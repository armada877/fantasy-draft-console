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7.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12.xml" ContentType="application/vnd.ms-excel.controlpropertie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autoCompressPictures="0"/>
  <mc:AlternateContent xmlns:mc="http://schemas.openxmlformats.org/markup-compatibility/2006">
    <mc:Choice Requires="x15">
      <x15ac:absPath xmlns:x15ac="http://schemas.microsoft.com/office/spreadsheetml/2010/11/ac" url="https://ucf-my.sharepoint.com/personal/rpmello_ucf_edu/Documents/"/>
    </mc:Choice>
  </mc:AlternateContent>
  <xr:revisionPtr revIDLastSave="187" documentId="8_{E3169DCB-6AF8-44AF-B66C-0A57743E067E}" xr6:coauthVersionLast="47" xr6:coauthVersionMax="47" xr10:uidLastSave="{EF3E2583-A7A7-4E03-ABD1-ADB7A0B45F04}"/>
  <bookViews>
    <workbookView xWindow="-33675" yWindow="-1170" windowWidth="25785" windowHeight="14760" tabRatio="764" xr2:uid="{00000000-000D-0000-FFFF-FFFF00000000}"/>
  </bookViews>
  <sheets>
    <sheet name="Intro" sheetId="11" r:id="rId1"/>
    <sheet name="LeagueInfo" sheetId="1" r:id="rId2"/>
    <sheet name="DefaultAuctionValues" sheetId="24" r:id="rId3"/>
    <sheet name="QB" sheetId="2" r:id="rId4"/>
    <sheet name="QB_Raw" sheetId="39" state="hidden" r:id="rId5"/>
    <sheet name="RB" sheetId="5" r:id="rId6"/>
    <sheet name="RB_Raw" sheetId="40" state="hidden" r:id="rId7"/>
    <sheet name="WR_Raw" sheetId="41" state="hidden" r:id="rId8"/>
    <sheet name="FlexQBWRRBTE" sheetId="32" state="hidden" r:id="rId9"/>
    <sheet name="FlexWRRB" sheetId="31" state="hidden" r:id="rId10"/>
    <sheet name="FlexWRRBTE" sheetId="30" state="hidden" r:id="rId11"/>
    <sheet name="FlexWRTE" sheetId="45" state="hidden" r:id="rId12"/>
    <sheet name="WR" sheetId="4" r:id="rId13"/>
    <sheet name="TE" sheetId="3" r:id="rId14"/>
    <sheet name="TE_Raw" sheetId="42" state="hidden" r:id="rId15"/>
    <sheet name="K_Raw" sheetId="43" state="hidden" r:id="rId16"/>
    <sheet name="K" sheetId="18" r:id="rId17"/>
    <sheet name="DEF" sheetId="25" r:id="rId18"/>
    <sheet name="BYEs" sheetId="15" state="hidden" r:id="rId19"/>
    <sheet name="DEF_Raw" sheetId="44" state="hidden" r:id="rId20"/>
    <sheet name="DepthChart" sheetId="46" r:id="rId21"/>
    <sheet name="DepthChart_RAW2" sheetId="49" state="hidden" r:id="rId22"/>
    <sheet name="Auction" sheetId="7" r:id="rId23"/>
    <sheet name="Teams" sheetId="29" r:id="rId24"/>
    <sheet name="CheatSheet" sheetId="28" r:id="rId25"/>
  </sheets>
  <definedNames>
    <definedName name="_xlnm._FilterDatabase" localSheetId="22" hidden="1">Auction!$A$12:$O$408</definedName>
    <definedName name="_xlnm._FilterDatabase" localSheetId="2" hidden="1">DefaultAuctionValues!$A$1:$D$545</definedName>
    <definedName name="_xlnm._FilterDatabase" localSheetId="8" hidden="1">FlexQBWRRBTE!$A$1:$I$514</definedName>
    <definedName name="_xlnm._FilterDatabase" localSheetId="9" hidden="1">FlexWRRB!$A$1:$I$327</definedName>
    <definedName name="_xlnm._FilterDatabase" localSheetId="10" hidden="1">FlexWRRBTE!$A$1:$I$432</definedName>
    <definedName name="_xlnm._FilterDatabase" localSheetId="11" hidden="1">FlexWRTE!$A$1:$I$304</definedName>
    <definedName name="_xlnm._FilterDatabase" localSheetId="3" hidden="1">QB!$A$2:$AB$86</definedName>
    <definedName name="_xlnm._FilterDatabase" localSheetId="5" hidden="1">'RB'!$A$2:$AB$137</definedName>
    <definedName name="_xlnm._FilterDatabase" localSheetId="13" hidden="1">TE!$A$2:$W$115</definedName>
    <definedName name="_xlnm._FilterDatabase" localSheetId="12" hidden="1">WR!$A$2:$W$213</definedName>
    <definedName name="AllowNegative">LeagueInfo!$H$6</definedName>
    <definedName name="BenchPF">LeagueInfo!$D$17</definedName>
    <definedName name="ExternalData_1" localSheetId="19" hidden="1">DEF_Raw!$A$1:$J$33</definedName>
    <definedName name="ExternalData_1" localSheetId="21" hidden="1">DepthChart_RAW2!$A$1:$B$705</definedName>
    <definedName name="ExternalData_1" localSheetId="15" hidden="1">K_Raw!$A$1:$F$33</definedName>
    <definedName name="ExternalData_1" localSheetId="4" hidden="1">QB_Raw!$A$1:$L$85</definedName>
    <definedName name="ExternalData_1" localSheetId="6" hidden="1">RB_Raw!$A$1:$J$138</definedName>
    <definedName name="ExternalData_1" localSheetId="14" hidden="1">TE_Raw!$A$1:$G$118</definedName>
    <definedName name="ExternalData_1" localSheetId="7" hidden="1">WR_Raw!$A$1:$J$217</definedName>
    <definedName name="FlexOn">LeagueInfo!$D$7</definedName>
    <definedName name="FlexType">LeagueInfo!$F$8</definedName>
    <definedName name="InflationPct">LeagueInfo!$H$4</definedName>
    <definedName name="InfVBD">LeagueInfo!$G$6</definedName>
    <definedName name="PassingINT">LeagueInfo!$J$4</definedName>
    <definedName name="PassingTD">LeagueInfo!$J$2</definedName>
    <definedName name="PassingYds">LeagueInfo!$J$3</definedName>
    <definedName name="QBBench">LeagueInfo!$B$22</definedName>
    <definedName name="QBCompletion">LeagueInfo!$J$10</definedName>
    <definedName name="QBCount">LeagueInfo!$B$5</definedName>
    <definedName name="QBFuml">LeagueInfo!$J$8</definedName>
    <definedName name="QBPassAtt">LeagueInfo!$J$9</definedName>
    <definedName name="QBRushAtt">LeagueInfo!$J$5</definedName>
    <definedName name="QBRushingTD">LeagueInfo!$J$6</definedName>
    <definedName name="QBRushingYd">LeagueInfo!$J$7</definedName>
    <definedName name="QBSheetCount">OFFSET(QB!$P$3,0,0,COUNTA(QB!$P$3:$P$188),1)</definedName>
    <definedName name="QBStarter">LeagueInfo!$B$15</definedName>
    <definedName name="RBBench">LeagueInfo!$B$20</definedName>
    <definedName name="RBCount">LeagueInfo!$B$3</definedName>
    <definedName name="RBFuml">LeagueInfo!$J$18</definedName>
    <definedName name="RBReceptions">LeagueInfo!$J$15</definedName>
    <definedName name="RBRecTD">LeagueInfo!$J$16</definedName>
    <definedName name="RBRecYd">LeagueInfo!$J$17</definedName>
    <definedName name="RBRushAtt">LeagueInfo!$J$12</definedName>
    <definedName name="RBRushingTD">LeagueInfo!$J$13</definedName>
    <definedName name="RBRushingYd">LeagueInfo!$J$14</definedName>
    <definedName name="RBSheetCount">OFFSET('RB'!$P$3,0,0,COUNTA('RB'!$P$3:$P$155),1)</definedName>
    <definedName name="RBStarters">LeagueInfo!$B$13</definedName>
    <definedName name="StarterPF">LeagueInfo!$D$16</definedName>
    <definedName name="TeamList">Teams!$H$3:INDEX(Teams!$H$3:$H$22,SUMPRODUCT(--(Teams!$H$3:$H$22&lt;&gt;"")))</definedName>
    <definedName name="TEBench">LeagueInfo!$B$23</definedName>
    <definedName name="TECount">LeagueInfo!$B$6</definedName>
    <definedName name="TEFuml">LeagueInfo!$N$18</definedName>
    <definedName name="TERec">LeagueInfo!$N$15</definedName>
    <definedName name="TERecTD">LeagueInfo!$N$16</definedName>
    <definedName name="TERecYd">LeagueInfo!$N$17</definedName>
    <definedName name="TERushAtt">LeagueInfo!$N$12</definedName>
    <definedName name="TERushTD">LeagueInfo!$N$13</definedName>
    <definedName name="TERushYd">LeagueInfo!$N$14</definedName>
    <definedName name="TESheetCount">OFFSET(TE!$P$3,0,0,COUNTA(TE!$P$3:$P$177),1)</definedName>
    <definedName name="TEStarters">LeagueInfo!$B$16</definedName>
    <definedName name="WRBench">LeagueInfo!$B$21</definedName>
    <definedName name="WRCount">LeagueInfo!$B$4</definedName>
    <definedName name="WRFuml">LeagueInfo!$N$8</definedName>
    <definedName name="WRRec">LeagueInfo!$N$5</definedName>
    <definedName name="WRRecTD">LeagueInfo!$N$6</definedName>
    <definedName name="WRRecYd">LeagueInfo!$N$7</definedName>
    <definedName name="WRRushAtt">LeagueInfo!$N$2</definedName>
    <definedName name="WRRushingTD">LeagueInfo!$N$3</definedName>
    <definedName name="WRRushingYd">LeagueInfo!$N$4</definedName>
    <definedName name="WRSheetCount">OFFSET(WR!$P$3,0,0,COUNTA(WR!$P$3:$P$205),1)</definedName>
    <definedName name="WRStarters">LeagueInfo!$B$14</definedName>
  </definedNames>
  <calcPr calcId="191029"/>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M5" i="28" l="1"/>
  <c r="V33" i="25"/>
  <c r="V32" i="25"/>
  <c r="V31" i="25"/>
  <c r="V30" i="25"/>
  <c r="V29" i="25"/>
  <c r="V28" i="25"/>
  <c r="V27" i="25"/>
  <c r="V26" i="25"/>
  <c r="V25" i="25"/>
  <c r="V24" i="25"/>
  <c r="V23" i="25"/>
  <c r="V22" i="25"/>
  <c r="V21" i="25"/>
  <c r="V20" i="25"/>
  <c r="V19" i="25"/>
  <c r="V18" i="25"/>
  <c r="V17" i="25"/>
  <c r="V16" i="25"/>
  <c r="V15" i="25"/>
  <c r="V14" i="25"/>
  <c r="V13" i="25"/>
  <c r="V12" i="25"/>
  <c r="V11" i="25"/>
  <c r="V10" i="25"/>
  <c r="V9" i="25"/>
  <c r="V8" i="25"/>
  <c r="V7" i="25"/>
  <c r="V6" i="25"/>
  <c r="V5" i="25"/>
  <c r="V4" i="25"/>
  <c r="V3" i="25"/>
  <c r="V2" i="25"/>
  <c r="U33" i="18"/>
  <c r="U32" i="18"/>
  <c r="U31" i="18"/>
  <c r="U30" i="18"/>
  <c r="U29" i="18"/>
  <c r="U28" i="18"/>
  <c r="U27" i="18"/>
  <c r="U26" i="18"/>
  <c r="U25" i="18"/>
  <c r="U24" i="18"/>
  <c r="U23" i="18"/>
  <c r="U22" i="18"/>
  <c r="U21" i="18"/>
  <c r="U20" i="18"/>
  <c r="U19" i="18"/>
  <c r="U18" i="18"/>
  <c r="U17" i="18"/>
  <c r="U16" i="18"/>
  <c r="U15" i="18"/>
  <c r="U14" i="18"/>
  <c r="U13" i="18"/>
  <c r="U12" i="18"/>
  <c r="U11" i="18"/>
  <c r="U10" i="18"/>
  <c r="U9" i="18"/>
  <c r="U8" i="18"/>
  <c r="U7" i="18"/>
  <c r="U6" i="18"/>
  <c r="U5" i="18"/>
  <c r="U4" i="18"/>
  <c r="U3" i="18"/>
  <c r="U2" i="18"/>
  <c r="V115" i="3"/>
  <c r="V114" i="3"/>
  <c r="V113" i="3"/>
  <c r="V112" i="3"/>
  <c r="V111" i="3"/>
  <c r="V110" i="3"/>
  <c r="V109" i="3"/>
  <c r="V108" i="3"/>
  <c r="V107" i="3"/>
  <c r="V106" i="3"/>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75" i="3"/>
  <c r="V74" i="3"/>
  <c r="V73" i="3"/>
  <c r="V72" i="3"/>
  <c r="V71" i="3"/>
  <c r="V70" i="3"/>
  <c r="V69" i="3"/>
  <c r="V68" i="3"/>
  <c r="V67" i="3"/>
  <c r="V66" i="3"/>
  <c r="V65" i="3"/>
  <c r="V64" i="3"/>
  <c r="V63" i="3"/>
  <c r="V62" i="3"/>
  <c r="V61" i="3"/>
  <c r="V60" i="3"/>
  <c r="V59" i="3"/>
  <c r="V58" i="3"/>
  <c r="V57" i="3"/>
  <c r="V56" i="3"/>
  <c r="V55" i="3"/>
  <c r="V54" i="3"/>
  <c r="V53" i="3"/>
  <c r="V52" i="3"/>
  <c r="V51" i="3"/>
  <c r="V50" i="3"/>
  <c r="V49" i="3"/>
  <c r="V48" i="3"/>
  <c r="V47" i="3"/>
  <c r="V46" i="3"/>
  <c r="V45" i="3"/>
  <c r="V44" i="3"/>
  <c r="V43" i="3"/>
  <c r="V42" i="3"/>
  <c r="V41" i="3"/>
  <c r="V40" i="3"/>
  <c r="V39" i="3"/>
  <c r="V38" i="3"/>
  <c r="V37" i="3"/>
  <c r="V36" i="3"/>
  <c r="V35" i="3"/>
  <c r="V34" i="3"/>
  <c r="V33" i="3"/>
  <c r="V32" i="3"/>
  <c r="V31" i="3"/>
  <c r="V30" i="3"/>
  <c r="V29" i="3"/>
  <c r="V28" i="3"/>
  <c r="V27" i="3"/>
  <c r="V26" i="3"/>
  <c r="V25" i="3"/>
  <c r="V24" i="3"/>
  <c r="V23" i="3"/>
  <c r="V22" i="3"/>
  <c r="V21" i="3"/>
  <c r="V20" i="3"/>
  <c r="V19" i="3"/>
  <c r="V18" i="3"/>
  <c r="V17" i="3"/>
  <c r="V16" i="3"/>
  <c r="V15" i="3"/>
  <c r="V14" i="3"/>
  <c r="V13" i="3"/>
  <c r="V12" i="3"/>
  <c r="V11" i="3"/>
  <c r="V10" i="3"/>
  <c r="V9" i="3"/>
  <c r="V8" i="3"/>
  <c r="V7" i="3"/>
  <c r="V6" i="3"/>
  <c r="V5" i="3"/>
  <c r="V4" i="3"/>
  <c r="V3" i="3"/>
  <c r="V213" i="4"/>
  <c r="V212" i="4"/>
  <c r="V211" i="4"/>
  <c r="V210" i="4"/>
  <c r="V209" i="4"/>
  <c r="V208" i="4"/>
  <c r="V207" i="4"/>
  <c r="V206" i="4"/>
  <c r="V205" i="4"/>
  <c r="V204" i="4"/>
  <c r="V203" i="4"/>
  <c r="V202" i="4"/>
  <c r="V201" i="4"/>
  <c r="V200" i="4"/>
  <c r="V199" i="4"/>
  <c r="V198" i="4"/>
  <c r="V197" i="4"/>
  <c r="V196" i="4"/>
  <c r="V195" i="4"/>
  <c r="V194" i="4"/>
  <c r="V193" i="4"/>
  <c r="V192" i="4"/>
  <c r="V191" i="4"/>
  <c r="V190" i="4"/>
  <c r="V189" i="4"/>
  <c r="V188" i="4"/>
  <c r="V187" i="4"/>
  <c r="V186" i="4"/>
  <c r="V185" i="4"/>
  <c r="V184" i="4"/>
  <c r="V183" i="4"/>
  <c r="V182" i="4"/>
  <c r="V181" i="4"/>
  <c r="V180" i="4"/>
  <c r="V179" i="4"/>
  <c r="V178" i="4"/>
  <c r="V177" i="4"/>
  <c r="V176" i="4"/>
  <c r="V175" i="4"/>
  <c r="V174" i="4"/>
  <c r="V173" i="4"/>
  <c r="V172" i="4"/>
  <c r="V171" i="4"/>
  <c r="V170" i="4"/>
  <c r="V169" i="4"/>
  <c r="V168" i="4"/>
  <c r="V167" i="4"/>
  <c r="V166" i="4"/>
  <c r="V165" i="4"/>
  <c r="V164" i="4"/>
  <c r="V163" i="4"/>
  <c r="V162" i="4"/>
  <c r="V161" i="4"/>
  <c r="V160" i="4"/>
  <c r="V159" i="4"/>
  <c r="V158" i="4"/>
  <c r="V157" i="4"/>
  <c r="V156" i="4"/>
  <c r="V155" i="4"/>
  <c r="V154" i="4"/>
  <c r="V153" i="4"/>
  <c r="V152" i="4"/>
  <c r="V151" i="4"/>
  <c r="V150" i="4"/>
  <c r="V149" i="4"/>
  <c r="V148" i="4"/>
  <c r="V147" i="4"/>
  <c r="V146" i="4"/>
  <c r="V145" i="4"/>
  <c r="V144" i="4"/>
  <c r="V143" i="4"/>
  <c r="V142" i="4"/>
  <c r="V141" i="4"/>
  <c r="V140" i="4"/>
  <c r="V139" i="4"/>
  <c r="V138" i="4"/>
  <c r="V137" i="4"/>
  <c r="V136" i="4"/>
  <c r="V135" i="4"/>
  <c r="V134" i="4"/>
  <c r="V133" i="4"/>
  <c r="V132" i="4"/>
  <c r="V131" i="4"/>
  <c r="V130" i="4"/>
  <c r="V129" i="4"/>
  <c r="V128" i="4"/>
  <c r="V127" i="4"/>
  <c r="V126" i="4"/>
  <c r="V125" i="4"/>
  <c r="V124" i="4"/>
  <c r="V123" i="4"/>
  <c r="V122" i="4"/>
  <c r="V121" i="4"/>
  <c r="V120" i="4"/>
  <c r="V119" i="4"/>
  <c r="V118" i="4"/>
  <c r="V117" i="4"/>
  <c r="V116" i="4"/>
  <c r="V115" i="4"/>
  <c r="V114" i="4"/>
  <c r="V113" i="4"/>
  <c r="V112" i="4"/>
  <c r="V111" i="4"/>
  <c r="V110" i="4"/>
  <c r="V109" i="4"/>
  <c r="V108" i="4"/>
  <c r="V107" i="4"/>
  <c r="V106" i="4"/>
  <c r="V105" i="4"/>
  <c r="V104" i="4"/>
  <c r="V103" i="4"/>
  <c r="V102" i="4"/>
  <c r="V101" i="4"/>
  <c r="V100" i="4"/>
  <c r="V99" i="4"/>
  <c r="V98" i="4"/>
  <c r="V97" i="4"/>
  <c r="V96" i="4"/>
  <c r="V95" i="4"/>
  <c r="V94" i="4"/>
  <c r="V93" i="4"/>
  <c r="V92" i="4"/>
  <c r="V91" i="4"/>
  <c r="V90" i="4"/>
  <c r="V89" i="4"/>
  <c r="V88" i="4"/>
  <c r="V87" i="4"/>
  <c r="V86" i="4"/>
  <c r="V85" i="4"/>
  <c r="V84" i="4"/>
  <c r="V83" i="4"/>
  <c r="V82" i="4"/>
  <c r="V81" i="4"/>
  <c r="V80" i="4"/>
  <c r="V79" i="4"/>
  <c r="V78" i="4"/>
  <c r="V77" i="4"/>
  <c r="V76" i="4"/>
  <c r="V75" i="4"/>
  <c r="V74" i="4"/>
  <c r="V73" i="4"/>
  <c r="V72" i="4"/>
  <c r="V71" i="4"/>
  <c r="V70" i="4"/>
  <c r="V69" i="4"/>
  <c r="V68" i="4"/>
  <c r="V67" i="4"/>
  <c r="V66" i="4"/>
  <c r="V65" i="4"/>
  <c r="V64" i="4"/>
  <c r="V63" i="4"/>
  <c r="V62" i="4"/>
  <c r="V61" i="4"/>
  <c r="V60" i="4"/>
  <c r="V59" i="4"/>
  <c r="V58" i="4"/>
  <c r="V57" i="4"/>
  <c r="V56" i="4"/>
  <c r="V55" i="4"/>
  <c r="V54" i="4"/>
  <c r="V53" i="4"/>
  <c r="V52" i="4"/>
  <c r="V51" i="4"/>
  <c r="V50" i="4"/>
  <c r="V49" i="4"/>
  <c r="V48" i="4"/>
  <c r="V47" i="4"/>
  <c r="V46" i="4"/>
  <c r="V45" i="4"/>
  <c r="V44" i="4"/>
  <c r="V43" i="4"/>
  <c r="V42" i="4"/>
  <c r="V41" i="4"/>
  <c r="V40" i="4"/>
  <c r="V39" i="4"/>
  <c r="V38" i="4"/>
  <c r="V37" i="4"/>
  <c r="V36" i="4"/>
  <c r="V35" i="4"/>
  <c r="V34" i="4"/>
  <c r="V33" i="4"/>
  <c r="V32" i="4"/>
  <c r="V31" i="4"/>
  <c r="V30" i="4"/>
  <c r="V29" i="4"/>
  <c r="V28" i="4"/>
  <c r="V27" i="4"/>
  <c r="V26" i="4"/>
  <c r="V25" i="4"/>
  <c r="V24" i="4"/>
  <c r="V23" i="4"/>
  <c r="V22" i="4"/>
  <c r="V21" i="4"/>
  <c r="V20" i="4"/>
  <c r="V19" i="4"/>
  <c r="V18" i="4"/>
  <c r="V17" i="4"/>
  <c r="V16" i="4"/>
  <c r="V15" i="4"/>
  <c r="V14" i="4"/>
  <c r="V13" i="4"/>
  <c r="V12" i="4"/>
  <c r="V11" i="4"/>
  <c r="V10" i="4"/>
  <c r="V9" i="4"/>
  <c r="V8" i="4"/>
  <c r="V7" i="4"/>
  <c r="V6" i="4"/>
  <c r="V5" i="4"/>
  <c r="V4" i="4"/>
  <c r="V3" i="4"/>
  <c r="V137" i="5"/>
  <c r="V136" i="5"/>
  <c r="V135" i="5"/>
  <c r="V134" i="5"/>
  <c r="V133" i="5"/>
  <c r="V132" i="5"/>
  <c r="V131" i="5"/>
  <c r="V130" i="5"/>
  <c r="V129" i="5"/>
  <c r="V128" i="5"/>
  <c r="V127" i="5"/>
  <c r="V126" i="5"/>
  <c r="V125" i="5"/>
  <c r="V124" i="5"/>
  <c r="V123" i="5"/>
  <c r="V122" i="5"/>
  <c r="V121" i="5"/>
  <c r="V120" i="5"/>
  <c r="V119" i="5"/>
  <c r="V118" i="5"/>
  <c r="V117" i="5"/>
  <c r="V116" i="5"/>
  <c r="V115" i="5"/>
  <c r="V114"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2" i="5"/>
  <c r="V71" i="5"/>
  <c r="V70" i="5"/>
  <c r="V69" i="5"/>
  <c r="V68" i="5"/>
  <c r="V67" i="5"/>
  <c r="V66" i="5"/>
  <c r="V65" i="5"/>
  <c r="V64" i="5"/>
  <c r="V63" i="5"/>
  <c r="V62" i="5"/>
  <c r="V61" i="5"/>
  <c r="V60" i="5"/>
  <c r="V59" i="5"/>
  <c r="V58" i="5"/>
  <c r="V57" i="5"/>
  <c r="V56" i="5"/>
  <c r="V55" i="5"/>
  <c r="V54" i="5"/>
  <c r="V53" i="5"/>
  <c r="V52" i="5"/>
  <c r="V51" i="5"/>
  <c r="V50" i="5"/>
  <c r="V49" i="5"/>
  <c r="V48" i="5"/>
  <c r="V47" i="5"/>
  <c r="V46" i="5"/>
  <c r="V45" i="5"/>
  <c r="V44" i="5"/>
  <c r="V43" i="5"/>
  <c r="V42" i="5"/>
  <c r="V41" i="5"/>
  <c r="V40" i="5"/>
  <c r="V39" i="5"/>
  <c r="V38" i="5"/>
  <c r="V37" i="5"/>
  <c r="V36" i="5"/>
  <c r="V35" i="5"/>
  <c r="V34" i="5"/>
  <c r="V33" i="5"/>
  <c r="V32" i="5"/>
  <c r="V31" i="5"/>
  <c r="V30" i="5"/>
  <c r="V29" i="5"/>
  <c r="V28" i="5"/>
  <c r="V27" i="5"/>
  <c r="V26" i="5"/>
  <c r="V25" i="5"/>
  <c r="V24" i="5"/>
  <c r="V23" i="5"/>
  <c r="V22" i="5"/>
  <c r="V21" i="5"/>
  <c r="V20" i="5"/>
  <c r="V19" i="5"/>
  <c r="V18" i="5"/>
  <c r="V17" i="5"/>
  <c r="V16" i="5"/>
  <c r="V15" i="5"/>
  <c r="V14" i="5"/>
  <c r="V13" i="5"/>
  <c r="V12" i="5"/>
  <c r="V11" i="5"/>
  <c r="V10" i="5"/>
  <c r="V9" i="5"/>
  <c r="V8" i="5"/>
  <c r="V7" i="5"/>
  <c r="V6" i="5"/>
  <c r="V5" i="5"/>
  <c r="V4" i="5"/>
  <c r="V3" i="5"/>
  <c r="V86" i="2"/>
  <c r="V85" i="2"/>
  <c r="V84" i="2"/>
  <c r="V83" i="2"/>
  <c r="V82" i="2"/>
  <c r="V81" i="2"/>
  <c r="V80" i="2"/>
  <c r="V79" i="2"/>
  <c r="V78" i="2"/>
  <c r="V77" i="2"/>
  <c r="V76" i="2"/>
  <c r="V75" i="2"/>
  <c r="V74" i="2"/>
  <c r="V73" i="2"/>
  <c r="V72" i="2"/>
  <c r="V71" i="2"/>
  <c r="V70" i="2"/>
  <c r="V69" i="2"/>
  <c r="V68" i="2"/>
  <c r="V67" i="2"/>
  <c r="V66" i="2"/>
  <c r="V65" i="2"/>
  <c r="V64" i="2"/>
  <c r="V63" i="2"/>
  <c r="V62" i="2"/>
  <c r="V61" i="2"/>
  <c r="V60" i="2"/>
  <c r="V59" i="2"/>
  <c r="V58" i="2"/>
  <c r="V57" i="2"/>
  <c r="V56" i="2"/>
  <c r="V55" i="2"/>
  <c r="V54" i="2"/>
  <c r="V53" i="2"/>
  <c r="V52" i="2"/>
  <c r="V51" i="2"/>
  <c r="V50" i="2"/>
  <c r="V49" i="2"/>
  <c r="V48" i="2"/>
  <c r="V47" i="2"/>
  <c r="V46" i="2"/>
  <c r="V45" i="2"/>
  <c r="V44" i="2"/>
  <c r="V43" i="2"/>
  <c r="V42" i="2"/>
  <c r="V41" i="2"/>
  <c r="V40" i="2"/>
  <c r="V39" i="2"/>
  <c r="V38" i="2"/>
  <c r="V37" i="2"/>
  <c r="V36" i="2"/>
  <c r="V35" i="2"/>
  <c r="V34" i="2"/>
  <c r="V33" i="2"/>
  <c r="V32" i="2"/>
  <c r="V31" i="2"/>
  <c r="V30" i="2"/>
  <c r="V29" i="2"/>
  <c r="V28" i="2"/>
  <c r="V27" i="2"/>
  <c r="V26" i="2"/>
  <c r="V25" i="2"/>
  <c r="V24" i="2"/>
  <c r="V23" i="2"/>
  <c r="V22" i="2"/>
  <c r="V21" i="2"/>
  <c r="V20" i="2"/>
  <c r="V19" i="2"/>
  <c r="V18" i="2"/>
  <c r="V17" i="2"/>
  <c r="V16" i="2"/>
  <c r="V15" i="2"/>
  <c r="V14" i="2"/>
  <c r="V13" i="2"/>
  <c r="V12" i="2"/>
  <c r="V11" i="2"/>
  <c r="V10" i="2"/>
  <c r="V9" i="2"/>
  <c r="V8" i="2"/>
  <c r="V7" i="2"/>
  <c r="V6" i="2"/>
  <c r="V5" i="2"/>
  <c r="V4" i="2"/>
  <c r="V3" i="2"/>
  <c r="G337" i="7"/>
  <c r="K337" i="7"/>
  <c r="G339" i="7"/>
  <c r="K339" i="7"/>
  <c r="G343" i="7"/>
  <c r="K343" i="7"/>
  <c r="G345" i="7"/>
  <c r="K345" i="7"/>
  <c r="G347" i="7"/>
  <c r="K347" i="7"/>
  <c r="G348" i="7"/>
  <c r="K348" i="7"/>
  <c r="G355" i="7"/>
  <c r="K355" i="7"/>
  <c r="G359" i="7"/>
  <c r="K359" i="7"/>
  <c r="G360" i="7"/>
  <c r="K360" i="7"/>
  <c r="G362" i="7"/>
  <c r="K362" i="7"/>
  <c r="G365" i="7"/>
  <c r="K365" i="7"/>
  <c r="G370" i="7"/>
  <c r="K370" i="7"/>
  <c r="G371" i="7"/>
  <c r="K371" i="7"/>
  <c r="G372" i="7"/>
  <c r="K372" i="7"/>
  <c r="G373" i="7"/>
  <c r="K373" i="7"/>
  <c r="G374" i="7"/>
  <c r="K374" i="7"/>
  <c r="G375" i="7"/>
  <c r="K375" i="7"/>
  <c r="G376" i="7"/>
  <c r="K376" i="7"/>
  <c r="G380" i="7"/>
  <c r="K380" i="7"/>
  <c r="G381" i="7"/>
  <c r="K381" i="7"/>
  <c r="G382" i="7"/>
  <c r="K382" i="7"/>
  <c r="G384" i="7"/>
  <c r="K384" i="7"/>
  <c r="G385" i="7"/>
  <c r="K385" i="7"/>
  <c r="G386" i="7"/>
  <c r="K386" i="7"/>
  <c r="G387" i="7"/>
  <c r="K387" i="7"/>
  <c r="G388" i="7"/>
  <c r="K388" i="7"/>
  <c r="G391" i="7"/>
  <c r="K391" i="7"/>
  <c r="G393" i="7"/>
  <c r="K393" i="7"/>
  <c r="G395" i="7"/>
  <c r="K395" i="7"/>
  <c r="G396" i="7"/>
  <c r="K396" i="7"/>
  <c r="G397" i="7"/>
  <c r="K397" i="7"/>
  <c r="G399" i="7"/>
  <c r="K399" i="7"/>
  <c r="G401" i="7"/>
  <c r="K401" i="7"/>
  <c r="G402" i="7"/>
  <c r="K402" i="7"/>
  <c r="G404" i="7"/>
  <c r="K404" i="7"/>
  <c r="G406" i="7"/>
  <c r="K406" i="7"/>
  <c r="G408" i="7"/>
  <c r="K408" i="7"/>
  <c r="G411" i="7"/>
  <c r="K411" i="7"/>
  <c r="G412" i="7"/>
  <c r="K412" i="7"/>
  <c r="G413" i="7"/>
  <c r="K413" i="7"/>
  <c r="G416" i="7"/>
  <c r="K416" i="7"/>
  <c r="G417" i="7"/>
  <c r="K417" i="7"/>
  <c r="G419" i="7"/>
  <c r="K419" i="7"/>
  <c r="G421" i="7"/>
  <c r="K421" i="7"/>
  <c r="G422" i="7"/>
  <c r="K422" i="7"/>
  <c r="G424" i="7"/>
  <c r="K424" i="7"/>
  <c r="G425" i="7"/>
  <c r="K425" i="7"/>
  <c r="G426" i="7"/>
  <c r="K426" i="7"/>
  <c r="G428" i="7"/>
  <c r="K428" i="7"/>
  <c r="G432" i="7"/>
  <c r="K432" i="7"/>
  <c r="G435" i="7"/>
  <c r="K435" i="7"/>
  <c r="G436" i="7"/>
  <c r="K436" i="7"/>
  <c r="G437" i="7"/>
  <c r="K437" i="7"/>
  <c r="G438" i="7"/>
  <c r="K438" i="7"/>
  <c r="G440" i="7"/>
  <c r="K440" i="7"/>
  <c r="G442" i="7"/>
  <c r="K442" i="7"/>
  <c r="G452" i="7"/>
  <c r="K452" i="7"/>
  <c r="G453" i="7"/>
  <c r="K453" i="7"/>
  <c r="G455" i="7"/>
  <c r="K455" i="7"/>
  <c r="G458" i="7"/>
  <c r="K458" i="7"/>
  <c r="G460" i="7"/>
  <c r="K460" i="7"/>
  <c r="G462" i="7"/>
  <c r="K462" i="7"/>
  <c r="G476" i="7"/>
  <c r="K476" i="7"/>
  <c r="G14" i="7"/>
  <c r="K14" i="7"/>
  <c r="G15" i="7"/>
  <c r="K15" i="7"/>
  <c r="G20" i="7"/>
  <c r="K20" i="7"/>
  <c r="G21" i="7"/>
  <c r="K21" i="7"/>
  <c r="G27" i="7"/>
  <c r="K27" i="7"/>
  <c r="G28" i="7"/>
  <c r="K28" i="7"/>
  <c r="G29" i="7"/>
  <c r="K29" i="7"/>
  <c r="G32" i="7"/>
  <c r="K32" i="7"/>
  <c r="G34" i="7"/>
  <c r="K34" i="7"/>
  <c r="G38" i="7"/>
  <c r="K38" i="7"/>
  <c r="G41" i="7"/>
  <c r="K41" i="7"/>
  <c r="G46" i="7"/>
  <c r="K46" i="7"/>
  <c r="G49" i="7"/>
  <c r="K49" i="7"/>
  <c r="G50" i="7"/>
  <c r="K50" i="7"/>
  <c r="G54" i="7"/>
  <c r="K54" i="7"/>
  <c r="G55" i="7"/>
  <c r="K55" i="7"/>
  <c r="G57" i="7"/>
  <c r="K57" i="7"/>
  <c r="G65" i="7"/>
  <c r="K65" i="7"/>
  <c r="G70" i="7"/>
  <c r="K70" i="7"/>
  <c r="G71" i="7"/>
  <c r="K71" i="7"/>
  <c r="G73" i="7"/>
  <c r="K73" i="7"/>
  <c r="G78" i="7"/>
  <c r="K78" i="7"/>
  <c r="G83" i="7"/>
  <c r="K83" i="7"/>
  <c r="G101" i="7"/>
  <c r="K101" i="7"/>
  <c r="G104" i="7"/>
  <c r="K104" i="7"/>
  <c r="G105" i="7"/>
  <c r="K105" i="7"/>
  <c r="G107" i="7"/>
  <c r="K107" i="7"/>
  <c r="G118" i="7"/>
  <c r="K118" i="7"/>
  <c r="G119" i="7"/>
  <c r="K119" i="7"/>
  <c r="G129" i="7"/>
  <c r="K129" i="7"/>
  <c r="G148" i="7"/>
  <c r="K148" i="7"/>
  <c r="G205" i="7"/>
  <c r="K205" i="7"/>
  <c r="G563" i="7"/>
  <c r="K563" i="7"/>
  <c r="G566" i="7"/>
  <c r="K566" i="7"/>
  <c r="G570" i="7"/>
  <c r="K570" i="7"/>
  <c r="G571" i="7"/>
  <c r="K571" i="7"/>
  <c r="G572" i="7"/>
  <c r="K572" i="7"/>
  <c r="G573" i="7"/>
  <c r="K573" i="7"/>
  <c r="G574" i="7"/>
  <c r="K574" i="7"/>
  <c r="G575" i="7"/>
  <c r="K575" i="7"/>
  <c r="G576" i="7"/>
  <c r="K576" i="7"/>
  <c r="G577" i="7"/>
  <c r="K577" i="7"/>
  <c r="G578" i="7"/>
  <c r="K578" i="7"/>
  <c r="G579" i="7"/>
  <c r="K579" i="7"/>
  <c r="G580" i="7"/>
  <c r="K580" i="7"/>
  <c r="G581" i="7"/>
  <c r="K581" i="7"/>
  <c r="G582" i="7"/>
  <c r="K582" i="7"/>
  <c r="G583" i="7"/>
  <c r="K583" i="7"/>
  <c r="G584" i="7"/>
  <c r="K584" i="7"/>
  <c r="G585" i="7"/>
  <c r="K585" i="7"/>
  <c r="G586" i="7"/>
  <c r="K586" i="7"/>
  <c r="G587" i="7"/>
  <c r="K587" i="7"/>
  <c r="G588" i="7"/>
  <c r="K588" i="7"/>
  <c r="G589" i="7"/>
  <c r="K589" i="7"/>
  <c r="G590" i="7"/>
  <c r="K590" i="7"/>
  <c r="G591" i="7"/>
  <c r="K591" i="7"/>
  <c r="G592" i="7"/>
  <c r="K592" i="7"/>
  <c r="G593" i="7"/>
  <c r="K593" i="7"/>
  <c r="G594" i="7"/>
  <c r="K594" i="7"/>
  <c r="G595" i="7"/>
  <c r="K595" i="7"/>
  <c r="G596" i="7"/>
  <c r="K596" i="7"/>
  <c r="G597" i="7"/>
  <c r="K597" i="7"/>
  <c r="G598" i="7"/>
  <c r="K598" i="7"/>
  <c r="G599" i="7"/>
  <c r="K599" i="7"/>
  <c r="G600" i="7"/>
  <c r="K600" i="7"/>
  <c r="G601" i="7"/>
  <c r="K601" i="7"/>
  <c r="G602" i="7"/>
  <c r="K602" i="7"/>
  <c r="G603" i="7"/>
  <c r="K603" i="7"/>
  <c r="G604" i="7"/>
  <c r="K604" i="7"/>
  <c r="G605" i="7"/>
  <c r="K605" i="7"/>
  <c r="G606" i="7"/>
  <c r="K606" i="7"/>
  <c r="G607" i="7"/>
  <c r="K607" i="7"/>
  <c r="G608" i="7"/>
  <c r="K608" i="7"/>
  <c r="G609" i="7"/>
  <c r="K609" i="7"/>
  <c r="G610" i="7"/>
  <c r="K610" i="7"/>
  <c r="G611" i="7"/>
  <c r="K611" i="7"/>
  <c r="G612" i="7"/>
  <c r="K612" i="7"/>
  <c r="G613" i="7"/>
  <c r="K613" i="7"/>
  <c r="G614" i="7"/>
  <c r="K614" i="7"/>
  <c r="G615" i="7"/>
  <c r="K615" i="7"/>
  <c r="G616" i="7"/>
  <c r="K616" i="7"/>
  <c r="G617" i="7"/>
  <c r="K617" i="7"/>
  <c r="G618" i="7"/>
  <c r="K618" i="7"/>
  <c r="G619" i="7"/>
  <c r="K619" i="7"/>
  <c r="G172" i="7"/>
  <c r="K172" i="7"/>
  <c r="G173" i="7"/>
  <c r="K173" i="7"/>
  <c r="G174" i="7"/>
  <c r="K174" i="7"/>
  <c r="G175" i="7"/>
  <c r="K175" i="7"/>
  <c r="G176" i="7"/>
  <c r="K176" i="7"/>
  <c r="G177" i="7"/>
  <c r="K177" i="7"/>
  <c r="G178" i="7"/>
  <c r="K178" i="7"/>
  <c r="G179" i="7"/>
  <c r="K179" i="7"/>
  <c r="G180" i="7"/>
  <c r="K180" i="7"/>
  <c r="G181" i="7"/>
  <c r="K181" i="7"/>
  <c r="G182" i="7"/>
  <c r="K182" i="7"/>
  <c r="G183" i="7"/>
  <c r="K183" i="7"/>
  <c r="G226" i="7"/>
  <c r="K226" i="7"/>
  <c r="G227" i="7"/>
  <c r="K227" i="7"/>
  <c r="G228" i="7"/>
  <c r="K228" i="7"/>
  <c r="G229" i="7"/>
  <c r="K229" i="7"/>
  <c r="G230" i="7"/>
  <c r="K230" i="7"/>
  <c r="G231" i="7"/>
  <c r="K231" i="7"/>
  <c r="G232" i="7"/>
  <c r="K232" i="7"/>
  <c r="G233" i="7"/>
  <c r="K233" i="7"/>
  <c r="G234" i="7"/>
  <c r="K234" i="7"/>
  <c r="G235" i="7"/>
  <c r="K235" i="7"/>
  <c r="G236" i="7"/>
  <c r="K236" i="7"/>
  <c r="G237" i="7"/>
  <c r="K237" i="7"/>
  <c r="G238" i="7"/>
  <c r="K238" i="7"/>
  <c r="G239" i="7"/>
  <c r="K239" i="7"/>
  <c r="G240" i="7"/>
  <c r="K240" i="7"/>
  <c r="G241" i="7"/>
  <c r="K241" i="7"/>
  <c r="G242" i="7"/>
  <c r="K242" i="7"/>
  <c r="G243" i="7"/>
  <c r="K243" i="7"/>
  <c r="G244" i="7"/>
  <c r="K244" i="7"/>
  <c r="G245" i="7"/>
  <c r="K245" i="7"/>
  <c r="G184" i="7"/>
  <c r="K184" i="7"/>
  <c r="G185" i="7"/>
  <c r="K185" i="7"/>
  <c r="G186" i="7"/>
  <c r="K186" i="7"/>
  <c r="G187" i="7"/>
  <c r="K187" i="7"/>
  <c r="G188" i="7"/>
  <c r="K188" i="7"/>
  <c r="G189" i="7"/>
  <c r="K189" i="7"/>
  <c r="G190" i="7"/>
  <c r="K190" i="7"/>
  <c r="G191" i="7"/>
  <c r="K191" i="7"/>
  <c r="G192" i="7"/>
  <c r="K192" i="7"/>
  <c r="G193" i="7"/>
  <c r="K193" i="7"/>
  <c r="G194" i="7"/>
  <c r="K194" i="7"/>
  <c r="G195" i="7"/>
  <c r="K195" i="7"/>
  <c r="G206" i="7"/>
  <c r="K206" i="7"/>
  <c r="G207" i="7"/>
  <c r="K207" i="7"/>
  <c r="G208" i="7"/>
  <c r="K208" i="7"/>
  <c r="G209" i="7"/>
  <c r="K209" i="7"/>
  <c r="G210" i="7"/>
  <c r="K210" i="7"/>
  <c r="G211" i="7"/>
  <c r="K211" i="7"/>
  <c r="G212" i="7"/>
  <c r="K212" i="7"/>
  <c r="G213" i="7"/>
  <c r="K213" i="7"/>
  <c r="G214" i="7"/>
  <c r="K214" i="7"/>
  <c r="G215" i="7"/>
  <c r="K215" i="7"/>
  <c r="G216" i="7"/>
  <c r="K216" i="7"/>
  <c r="G217" i="7"/>
  <c r="K217" i="7"/>
  <c r="G218" i="7"/>
  <c r="K218" i="7"/>
  <c r="G219" i="7"/>
  <c r="K219" i="7"/>
  <c r="G220" i="7"/>
  <c r="K220" i="7"/>
  <c r="G221" i="7"/>
  <c r="K221" i="7"/>
  <c r="G222" i="7"/>
  <c r="K222" i="7"/>
  <c r="G223" i="7"/>
  <c r="K223" i="7"/>
  <c r="G224" i="7"/>
  <c r="K224" i="7"/>
  <c r="G225" i="7"/>
  <c r="K225" i="7"/>
  <c r="D38" i="28"/>
  <c r="D37" i="28"/>
  <c r="D6" i="28"/>
  <c r="V16" i="28"/>
  <c r="V15" i="28"/>
  <c r="V14" i="28"/>
  <c r="V13" i="28"/>
  <c r="V12" i="28"/>
  <c r="V11" i="28"/>
  <c r="V10" i="28"/>
  <c r="V9" i="28"/>
  <c r="M12" i="28"/>
  <c r="M6" i="28"/>
  <c r="D178" i="7"/>
  <c r="F231" i="7"/>
  <c r="O240" i="7"/>
  <c r="D179" i="7"/>
  <c r="F232" i="7"/>
  <c r="O241" i="7"/>
  <c r="E245" i="7"/>
  <c r="O192" i="7"/>
  <c r="D214" i="7"/>
  <c r="F225" i="7"/>
  <c r="E224" i="7"/>
  <c r="N221" i="7"/>
  <c r="F226" i="7"/>
  <c r="F245" i="7"/>
  <c r="N211" i="7"/>
  <c r="N223" i="7"/>
  <c r="E237" i="7"/>
  <c r="N193" i="7"/>
  <c r="F192" i="7"/>
  <c r="O211" i="7"/>
  <c r="D223" i="7"/>
  <c r="D176" i="7"/>
  <c r="D234" i="7"/>
  <c r="O226" i="7"/>
  <c r="N216" i="7"/>
  <c r="O242" i="7"/>
  <c r="E187" i="7"/>
  <c r="D186" i="7"/>
  <c r="F207" i="7"/>
  <c r="O216" i="7"/>
  <c r="F175" i="7"/>
  <c r="O245" i="7"/>
  <c r="O187" i="7"/>
  <c r="D209" i="7"/>
  <c r="F220" i="7"/>
  <c r="D235" i="7"/>
  <c r="N194" i="7"/>
  <c r="E235" i="7"/>
  <c r="O186" i="7"/>
  <c r="D208" i="7"/>
  <c r="E186" i="7"/>
  <c r="E209" i="7"/>
  <c r="F190" i="7"/>
  <c r="D221" i="7"/>
  <c r="D191" i="7"/>
  <c r="O221" i="7"/>
  <c r="D182" i="7"/>
  <c r="F235" i="7"/>
  <c r="D183" i="7"/>
  <c r="F236" i="7"/>
  <c r="E227" i="7"/>
  <c r="F187" i="7"/>
  <c r="D218" i="7"/>
  <c r="O227" i="7"/>
  <c r="E212" i="7"/>
  <c r="D238" i="7"/>
  <c r="E190" i="7"/>
  <c r="N215" i="7"/>
  <c r="D227" i="7"/>
  <c r="O185" i="7"/>
  <c r="O215" i="7"/>
  <c r="E194" i="7"/>
  <c r="F238" i="7"/>
  <c r="E193" i="7"/>
  <c r="N190" i="7"/>
  <c r="F229" i="7"/>
  <c r="D190" i="7"/>
  <c r="F211" i="7"/>
  <c r="N187" i="7"/>
  <c r="E191" i="7"/>
  <c r="D213" i="7"/>
  <c r="F224" i="7"/>
  <c r="F173" i="7"/>
  <c r="O182" i="7"/>
  <c r="F174" i="7"/>
  <c r="O183" i="7"/>
  <c r="D237" i="7"/>
  <c r="E242" i="7"/>
  <c r="D188" i="7"/>
  <c r="F209" i="7"/>
  <c r="D230" i="7"/>
  <c r="N213" i="7"/>
  <c r="D181" i="7"/>
  <c r="N184" i="7"/>
  <c r="E214" i="7"/>
  <c r="E180" i="7"/>
  <c r="D185" i="7"/>
  <c r="F218" i="7"/>
  <c r="D226" i="7"/>
  <c r="E185" i="7"/>
  <c r="N220" i="7"/>
  <c r="E219" i="7"/>
  <c r="E176" i="7"/>
  <c r="O190" i="7"/>
  <c r="F223" i="7"/>
  <c r="E229" i="7"/>
  <c r="F194" i="7"/>
  <c r="D174" i="7"/>
  <c r="F227" i="7"/>
  <c r="O236" i="7"/>
  <c r="F228" i="7"/>
  <c r="O237" i="7"/>
  <c r="E243" i="7"/>
  <c r="O188" i="7"/>
  <c r="D210" i="7"/>
  <c r="F221" i="7"/>
  <c r="E232" i="7"/>
  <c r="O177" i="7"/>
  <c r="E240" i="7"/>
  <c r="E239" i="7"/>
  <c r="O180" i="7"/>
  <c r="E228" i="7"/>
  <c r="F188" i="7"/>
  <c r="D219" i="7"/>
  <c r="F230" i="7"/>
  <c r="E211" i="7"/>
  <c r="E207" i="7"/>
  <c r="E233" i="7"/>
  <c r="E177" i="7"/>
  <c r="D212" i="7"/>
  <c r="D224" i="7"/>
  <c r="N225" i="7"/>
  <c r="D195" i="7"/>
  <c r="F216" i="7"/>
  <c r="O174" i="7"/>
  <c r="D228" i="7"/>
  <c r="O175" i="7"/>
  <c r="O178" i="7"/>
  <c r="D232" i="7"/>
  <c r="F243" i="7"/>
  <c r="O179" i="7"/>
  <c r="D233" i="7"/>
  <c r="E183" i="7"/>
  <c r="D184" i="7"/>
  <c r="F195" i="7"/>
  <c r="O214" i="7"/>
  <c r="E174" i="7"/>
  <c r="N209" i="7"/>
  <c r="E217" i="7"/>
  <c r="O234" i="7"/>
  <c r="E184" i="7"/>
  <c r="E208" i="7"/>
  <c r="N218" i="7"/>
  <c r="E192" i="7"/>
  <c r="N207" i="7"/>
  <c r="D193" i="7"/>
  <c r="F214" i="7"/>
  <c r="O223" i="7"/>
  <c r="D177" i="7"/>
  <c r="E189" i="7"/>
  <c r="O243" i="7"/>
  <c r="F219" i="7"/>
  <c r="O209" i="7"/>
  <c r="F212" i="7"/>
  <c r="O244" i="7"/>
  <c r="O206" i="7"/>
  <c r="D180" i="7"/>
  <c r="E188" i="7"/>
  <c r="F206" i="7"/>
  <c r="F179" i="7"/>
  <c r="E195" i="7"/>
  <c r="O220" i="7"/>
  <c r="O191" i="7"/>
  <c r="D236" i="7"/>
  <c r="O218" i="7"/>
  <c r="D239" i="7"/>
  <c r="O181" i="7"/>
  <c r="D207" i="7"/>
  <c r="F180" i="7"/>
  <c r="O239" i="7"/>
  <c r="O212" i="7"/>
  <c r="E172" i="7"/>
  <c r="O213" i="7"/>
  <c r="D175" i="7"/>
  <c r="O176" i="7"/>
  <c r="E179" i="7"/>
  <c r="O207" i="7"/>
  <c r="O230" i="7"/>
  <c r="N224" i="7"/>
  <c r="F193" i="7"/>
  <c r="N206" i="7"/>
  <c r="F181" i="7"/>
  <c r="O232" i="7"/>
  <c r="D244" i="7"/>
  <c r="F182" i="7"/>
  <c r="O233" i="7"/>
  <c r="E226" i="7"/>
  <c r="O184" i="7"/>
  <c r="D206" i="7"/>
  <c r="F217" i="7"/>
  <c r="F176" i="7"/>
  <c r="D242" i="7"/>
  <c r="E216" i="7"/>
  <c r="O235" i="7"/>
  <c r="E210" i="7"/>
  <c r="E213" i="7"/>
  <c r="N189" i="7"/>
  <c r="E218" i="7"/>
  <c r="F184" i="7"/>
  <c r="O193" i="7"/>
  <c r="D215" i="7"/>
  <c r="N191" i="7"/>
  <c r="E178" i="7"/>
  <c r="F237" i="7"/>
  <c r="D231" i="7"/>
  <c r="E223" i="7"/>
  <c r="F172" i="7"/>
  <c r="N192" i="7"/>
  <c r="F189" i="7"/>
  <c r="O208" i="7"/>
  <c r="D220" i="7"/>
  <c r="E173" i="7"/>
  <c r="N210" i="7"/>
  <c r="D240" i="7"/>
  <c r="F191" i="7"/>
  <c r="N217" i="7"/>
  <c r="E181" i="7"/>
  <c r="F210" i="7"/>
  <c r="D173" i="7"/>
  <c r="E175" i="7"/>
  <c r="E230" i="7"/>
  <c r="E220" i="7"/>
  <c r="N212" i="7"/>
  <c r="E231" i="7"/>
  <c r="F183" i="7"/>
  <c r="O194" i="7"/>
  <c r="F215" i="7"/>
  <c r="F242" i="7"/>
  <c r="E241" i="7"/>
  <c r="D245" i="7"/>
  <c r="N195" i="7"/>
  <c r="E234" i="7"/>
  <c r="F178" i="7"/>
  <c r="D192" i="7"/>
  <c r="E222" i="7"/>
  <c r="D211" i="7"/>
  <c r="F185" i="7"/>
  <c r="O229" i="7"/>
  <c r="E206" i="7"/>
  <c r="F222" i="7"/>
  <c r="E215" i="7"/>
  <c r="D187" i="7"/>
  <c r="O172" i="7"/>
  <c r="O195" i="7"/>
  <c r="E244" i="7"/>
  <c r="D216" i="7"/>
  <c r="O228" i="7"/>
  <c r="E238" i="7"/>
  <c r="O224" i="7"/>
  <c r="F239" i="7"/>
  <c r="E236" i="7"/>
  <c r="O217" i="7"/>
  <c r="D229" i="7"/>
  <c r="O210" i="7"/>
  <c r="E182" i="7"/>
  <c r="N219" i="7"/>
  <c r="O219" i="7"/>
  <c r="N186" i="7"/>
  <c r="D194" i="7"/>
  <c r="F186" i="7"/>
  <c r="F213" i="7"/>
  <c r="N208" i="7"/>
  <c r="O222" i="7"/>
  <c r="F208" i="7"/>
  <c r="F234" i="7"/>
  <c r="D217" i="7"/>
  <c r="O189" i="7"/>
  <c r="F240" i="7"/>
  <c r="D222" i="7"/>
  <c r="F241" i="7"/>
  <c r="D243" i="7"/>
  <c r="F233" i="7"/>
  <c r="D189" i="7"/>
  <c r="F244" i="7"/>
  <c r="F177" i="7"/>
  <c r="D241" i="7"/>
  <c r="O173" i="7"/>
  <c r="O231" i="7"/>
  <c r="N185" i="7"/>
  <c r="D172" i="7"/>
  <c r="C221" i="7" l="1"/>
  <c r="C217" i="7"/>
  <c r="C213" i="7"/>
  <c r="C209" i="7"/>
  <c r="C195" i="7"/>
  <c r="C191" i="7"/>
  <c r="C187" i="7"/>
  <c r="C172" i="7"/>
  <c r="C224" i="7"/>
  <c r="C220" i="7"/>
  <c r="C216" i="7"/>
  <c r="C212" i="7"/>
  <c r="C208" i="7"/>
  <c r="C194" i="7"/>
  <c r="C190" i="7"/>
  <c r="C186" i="7"/>
  <c r="C245" i="7"/>
  <c r="C231" i="7"/>
  <c r="C173" i="7"/>
  <c r="C235" i="7"/>
  <c r="C234" i="7"/>
  <c r="C177" i="7"/>
  <c r="C176" i="7"/>
  <c r="C226" i="7"/>
  <c r="C223" i="7"/>
  <c r="C219" i="7"/>
  <c r="C215" i="7"/>
  <c r="C211" i="7"/>
  <c r="C207" i="7"/>
  <c r="C193" i="7"/>
  <c r="C189" i="7"/>
  <c r="C185" i="7"/>
  <c r="C243" i="7"/>
  <c r="C227" i="7"/>
  <c r="C239" i="7"/>
  <c r="C238" i="7"/>
  <c r="C181" i="7"/>
  <c r="C180" i="7"/>
  <c r="C242" i="7"/>
  <c r="C230" i="7"/>
  <c r="C222" i="7"/>
  <c r="C218" i="7"/>
  <c r="C214" i="7"/>
  <c r="C210" i="7"/>
  <c r="C206" i="7"/>
  <c r="C192" i="7"/>
  <c r="C188" i="7"/>
  <c r="C184" i="7"/>
  <c r="C241" i="7"/>
  <c r="C237" i="7"/>
  <c r="C233" i="7"/>
  <c r="C229" i="7"/>
  <c r="C183" i="7"/>
  <c r="C179" i="7"/>
  <c r="C175" i="7"/>
  <c r="C244" i="7"/>
  <c r="C240" i="7"/>
  <c r="C236" i="7"/>
  <c r="C232" i="7"/>
  <c r="C228" i="7"/>
  <c r="C182" i="7"/>
  <c r="C178" i="7"/>
  <c r="C174" i="7"/>
  <c r="B264" i="29" a="1"/>
  <c r="B264" i="29" s="1"/>
  <c r="B263" i="29" a="1"/>
  <c r="B263" i="29" s="1"/>
  <c r="B262" i="29" a="1"/>
  <c r="B262" i="29" s="1"/>
  <c r="B261" i="29" a="1"/>
  <c r="B261" i="29" s="1"/>
  <c r="B260" i="29" a="1"/>
  <c r="B260" i="29" s="1"/>
  <c r="B259" i="29" a="1"/>
  <c r="B259" i="29" s="1"/>
  <c r="B258" i="29" a="1"/>
  <c r="B258" i="29" s="1"/>
  <c r="B257" i="29" a="1"/>
  <c r="B257" i="29" s="1"/>
  <c r="B256" i="29" a="1"/>
  <c r="B256" i="29" s="1"/>
  <c r="B255" i="29" a="1"/>
  <c r="B255" i="29" s="1"/>
  <c r="B254" i="29" a="1"/>
  <c r="B254" i="29" s="1"/>
  <c r="B253" i="29" a="1"/>
  <c r="B253" i="29" s="1"/>
  <c r="B252" i="29" a="1"/>
  <c r="B252" i="29" s="1"/>
  <c r="B251" i="29" a="1"/>
  <c r="B251" i="29" s="1"/>
  <c r="B250" i="29" a="1"/>
  <c r="B250" i="29" s="1"/>
  <c r="B249" i="29" a="1"/>
  <c r="B249" i="29" s="1"/>
  <c r="E249" i="29" s="1"/>
  <c r="B248" i="29" a="1"/>
  <c r="B248" i="29" s="1"/>
  <c r="B247" i="29" a="1"/>
  <c r="B247" i="29" s="1"/>
  <c r="B246" i="29" a="1"/>
  <c r="B246" i="29" s="1"/>
  <c r="B245" i="29" a="1"/>
  <c r="B245" i="29" s="1"/>
  <c r="H240" i="29" a="1"/>
  <c r="H240" i="29" s="1"/>
  <c r="B240" i="29" a="1"/>
  <c r="B240" i="29" s="1"/>
  <c r="H239" i="29" a="1"/>
  <c r="H239" i="29" s="1"/>
  <c r="B239" i="29" a="1"/>
  <c r="B239" i="29" s="1"/>
  <c r="H238" i="29" a="1"/>
  <c r="H238" i="29" s="1"/>
  <c r="B238" i="29" a="1"/>
  <c r="B238" i="29" s="1"/>
  <c r="H237" i="29" a="1"/>
  <c r="H237" i="29" s="1"/>
  <c r="B237" i="29" a="1"/>
  <c r="B237" i="29" s="1"/>
  <c r="H236" i="29" a="1"/>
  <c r="H236" i="29" s="1"/>
  <c r="B236" i="29" a="1"/>
  <c r="B236" i="29" s="1"/>
  <c r="H235" i="29" a="1"/>
  <c r="H235" i="29" s="1"/>
  <c r="B235" i="29" a="1"/>
  <c r="B235" i="29" s="1"/>
  <c r="E235" i="29" s="1"/>
  <c r="H234" i="29" a="1"/>
  <c r="H234" i="29" s="1"/>
  <c r="B234" i="29" a="1"/>
  <c r="B234" i="29" s="1"/>
  <c r="H233" i="29" a="1"/>
  <c r="H233" i="29" s="1"/>
  <c r="B233" i="29" a="1"/>
  <c r="B233" i="29" s="1"/>
  <c r="H232" i="29" a="1"/>
  <c r="H232" i="29" s="1"/>
  <c r="B232" i="29" a="1"/>
  <c r="B232" i="29" s="1"/>
  <c r="H231" i="29" a="1"/>
  <c r="H231" i="29" s="1"/>
  <c r="B231" i="29"/>
  <c r="E231" i="29" s="1"/>
  <c r="B231" i="29" a="1"/>
  <c r="H230" i="29" a="1"/>
  <c r="H230" i="29" s="1"/>
  <c r="B230" i="29" a="1"/>
  <c r="B230" i="29" s="1"/>
  <c r="H229" i="29" a="1"/>
  <c r="H229" i="29" s="1"/>
  <c r="B229" i="29" a="1"/>
  <c r="B229" i="29" s="1"/>
  <c r="H228" i="29" a="1"/>
  <c r="H228" i="29" s="1"/>
  <c r="B228" i="29" a="1"/>
  <c r="B228" i="29" s="1"/>
  <c r="H227" i="29" a="1"/>
  <c r="H227" i="29" s="1"/>
  <c r="B227" i="29" a="1"/>
  <c r="B227" i="29" s="1"/>
  <c r="E227" i="29" s="1"/>
  <c r="H226" i="29" a="1"/>
  <c r="H226" i="29" s="1"/>
  <c r="B226" i="29" a="1"/>
  <c r="B226" i="29" s="1"/>
  <c r="H225" i="29" a="1"/>
  <c r="H225" i="29" s="1"/>
  <c r="B225" i="29" a="1"/>
  <c r="B225" i="29" s="1"/>
  <c r="H224" i="29" a="1"/>
  <c r="H224" i="29" s="1"/>
  <c r="B224" i="29" a="1"/>
  <c r="B224" i="29" s="1"/>
  <c r="H223" i="29" a="1"/>
  <c r="H223" i="29" s="1"/>
  <c r="B223" i="29" a="1"/>
  <c r="B223" i="29" s="1"/>
  <c r="H222" i="29" a="1"/>
  <c r="H222" i="29" s="1"/>
  <c r="B222" i="29" a="1"/>
  <c r="B222" i="29" s="1"/>
  <c r="H221" i="29" a="1"/>
  <c r="H221" i="29" s="1"/>
  <c r="B221" i="29" a="1"/>
  <c r="B221" i="29" s="1"/>
  <c r="H216" i="29" a="1"/>
  <c r="H216" i="29" s="1"/>
  <c r="B216" i="29" a="1"/>
  <c r="B216" i="29" s="1"/>
  <c r="H215" i="29" a="1"/>
  <c r="H215" i="29" s="1"/>
  <c r="B215" i="29" a="1"/>
  <c r="B215" i="29" s="1"/>
  <c r="E215" i="29" s="1"/>
  <c r="H214" i="29" a="1"/>
  <c r="H214" i="29" s="1"/>
  <c r="B214" i="29" a="1"/>
  <c r="B214" i="29" s="1"/>
  <c r="H213" i="29" a="1"/>
  <c r="H213" i="29" s="1"/>
  <c r="B213" i="29" a="1"/>
  <c r="B213" i="29" s="1"/>
  <c r="H212" i="29" a="1"/>
  <c r="H212" i="29" s="1"/>
  <c r="B212" i="29" a="1"/>
  <c r="B212" i="29" s="1"/>
  <c r="H211" i="29" a="1"/>
  <c r="H211" i="29" s="1"/>
  <c r="B211" i="29" a="1"/>
  <c r="B211" i="29" s="1"/>
  <c r="H210" i="29" a="1"/>
  <c r="H210" i="29" s="1"/>
  <c r="B210" i="29" a="1"/>
  <c r="B210" i="29" s="1"/>
  <c r="H209" i="29" a="1"/>
  <c r="H209" i="29" s="1"/>
  <c r="B209" i="29" a="1"/>
  <c r="B209" i="29" s="1"/>
  <c r="H208" i="29" a="1"/>
  <c r="H208" i="29" s="1"/>
  <c r="B208" i="29" a="1"/>
  <c r="B208" i="29" s="1"/>
  <c r="H207" i="29" a="1"/>
  <c r="H207" i="29" s="1"/>
  <c r="B207" i="29" a="1"/>
  <c r="B207" i="29" s="1"/>
  <c r="E207" i="29" s="1"/>
  <c r="H206" i="29" a="1"/>
  <c r="H206" i="29" s="1"/>
  <c r="B206" i="29" a="1"/>
  <c r="B206" i="29" s="1"/>
  <c r="H205" i="29" a="1"/>
  <c r="H205" i="29" s="1"/>
  <c r="B205" i="29" a="1"/>
  <c r="B205" i="29" s="1"/>
  <c r="H204" i="29" a="1"/>
  <c r="H204" i="29" s="1"/>
  <c r="B204" i="29" a="1"/>
  <c r="B204" i="29" s="1"/>
  <c r="H203" i="29" a="1"/>
  <c r="H203" i="29" s="1"/>
  <c r="B203" i="29" a="1"/>
  <c r="B203" i="29" s="1"/>
  <c r="H202" i="29" a="1"/>
  <c r="H202" i="29" s="1"/>
  <c r="B202" i="29" a="1"/>
  <c r="B202" i="29" s="1"/>
  <c r="H201" i="29" a="1"/>
  <c r="H201" i="29" s="1"/>
  <c r="B201" i="29" a="1"/>
  <c r="B201" i="29" s="1"/>
  <c r="A201" i="29" s="1"/>
  <c r="H200" i="29" a="1"/>
  <c r="H200" i="29" s="1"/>
  <c r="B200" i="29" a="1"/>
  <c r="B200" i="29" s="1"/>
  <c r="H199" i="29" a="1"/>
  <c r="H199" i="29" s="1"/>
  <c r="B199" i="29" a="1"/>
  <c r="B199" i="29" s="1"/>
  <c r="A199" i="29" s="1"/>
  <c r="H198" i="29" a="1"/>
  <c r="H198" i="29" s="1"/>
  <c r="B198" i="29" a="1"/>
  <c r="B198" i="29" s="1"/>
  <c r="H197" i="29" a="1"/>
  <c r="H197" i="29" s="1"/>
  <c r="B197" i="29" a="1"/>
  <c r="B197" i="29" s="1"/>
  <c r="A197" i="29" s="1"/>
  <c r="H192" i="29" a="1"/>
  <c r="H192" i="29" s="1"/>
  <c r="B192" i="29" a="1"/>
  <c r="B192" i="29" s="1"/>
  <c r="H191" i="29" a="1"/>
  <c r="H191" i="29" s="1"/>
  <c r="B191" i="29" a="1"/>
  <c r="B191" i="29" s="1"/>
  <c r="A191" i="29" s="1"/>
  <c r="H190" i="29" a="1"/>
  <c r="H190" i="29" s="1"/>
  <c r="B190" i="29" a="1"/>
  <c r="B190" i="29" s="1"/>
  <c r="H189" i="29" a="1"/>
  <c r="H189" i="29" s="1"/>
  <c r="I189" i="29" s="1"/>
  <c r="B189" i="29" a="1"/>
  <c r="B189" i="29" s="1"/>
  <c r="A189" i="29" s="1"/>
  <c r="H188" i="29" a="1"/>
  <c r="H188" i="29" s="1"/>
  <c r="B188" i="29" a="1"/>
  <c r="B188" i="29" s="1"/>
  <c r="H187" i="29" a="1"/>
  <c r="H187" i="29" s="1"/>
  <c r="B187" i="29" a="1"/>
  <c r="B187" i="29" s="1"/>
  <c r="C187" i="29" s="1"/>
  <c r="H186" i="29" a="1"/>
  <c r="H186" i="29" s="1"/>
  <c r="B186" i="29" a="1"/>
  <c r="B186" i="29" s="1"/>
  <c r="C186" i="29" s="1"/>
  <c r="H185" i="29" a="1"/>
  <c r="H185" i="29" s="1"/>
  <c r="G185" i="29" s="1"/>
  <c r="B185" i="29" a="1"/>
  <c r="B185" i="29" s="1"/>
  <c r="A185" i="29" s="1"/>
  <c r="H184" i="29" a="1"/>
  <c r="H184" i="29" s="1"/>
  <c r="B184" i="29" a="1"/>
  <c r="B184" i="29" s="1"/>
  <c r="H183" i="29" a="1"/>
  <c r="H183" i="29" s="1"/>
  <c r="I183" i="29" s="1"/>
  <c r="B183" i="29" a="1"/>
  <c r="B183" i="29" s="1"/>
  <c r="A183" i="29" s="1"/>
  <c r="H182" i="29" a="1"/>
  <c r="H182" i="29" s="1"/>
  <c r="B182" i="29" a="1"/>
  <c r="B182" i="29" s="1"/>
  <c r="A182" i="29" s="1"/>
  <c r="H181" i="29" a="1"/>
  <c r="H181" i="29" s="1"/>
  <c r="G181" i="29" s="1"/>
  <c r="B181" i="29" a="1"/>
  <c r="B181" i="29" s="1"/>
  <c r="H180" i="29" a="1"/>
  <c r="H180" i="29" s="1"/>
  <c r="G180" i="29" s="1"/>
  <c r="B180" i="29" a="1"/>
  <c r="B180" i="29" s="1"/>
  <c r="H179" i="29" a="1"/>
  <c r="H179" i="29" s="1"/>
  <c r="I179" i="29" s="1"/>
  <c r="B179" i="29" a="1"/>
  <c r="B179" i="29" s="1"/>
  <c r="A179" i="29" s="1"/>
  <c r="H178" i="29" a="1"/>
  <c r="H178" i="29" s="1"/>
  <c r="B178" i="29" a="1"/>
  <c r="B178" i="29" s="1"/>
  <c r="H177" i="29" a="1"/>
  <c r="H177" i="29" s="1"/>
  <c r="G177" i="29" s="1"/>
  <c r="B177" i="29" a="1"/>
  <c r="B177" i="29" s="1"/>
  <c r="A177" i="29" s="1"/>
  <c r="H176" i="29" a="1"/>
  <c r="H176" i="29" s="1"/>
  <c r="I176" i="29" s="1"/>
  <c r="B176" i="29" a="1"/>
  <c r="B176" i="29" s="1"/>
  <c r="H175" i="29" a="1"/>
  <c r="H175" i="29" s="1"/>
  <c r="K175" i="29" s="1"/>
  <c r="B175" i="29" a="1"/>
  <c r="B175" i="29" s="1"/>
  <c r="A175" i="29" s="1"/>
  <c r="H174" i="29" a="1"/>
  <c r="H174" i="29" s="1"/>
  <c r="B174" i="29" a="1"/>
  <c r="B174" i="29" s="1"/>
  <c r="H173" i="29" a="1"/>
  <c r="H173" i="29" s="1"/>
  <c r="G173" i="29" s="1"/>
  <c r="B173" i="29" a="1"/>
  <c r="B173" i="29" s="1"/>
  <c r="H168" i="29" a="1"/>
  <c r="H168" i="29" s="1"/>
  <c r="B168" i="29" a="1"/>
  <c r="B168" i="29" s="1"/>
  <c r="C168" i="29" s="1"/>
  <c r="H167" i="29" a="1"/>
  <c r="H167" i="29" s="1"/>
  <c r="K167" i="29" s="1"/>
  <c r="B167" i="29" a="1"/>
  <c r="B167" i="29" s="1"/>
  <c r="A167" i="29" s="1"/>
  <c r="H166" i="29" a="1"/>
  <c r="H166" i="29" s="1"/>
  <c r="B166" i="29" a="1"/>
  <c r="B166" i="29" s="1"/>
  <c r="H165" i="29" a="1"/>
  <c r="H165" i="29" s="1"/>
  <c r="G165" i="29" s="1"/>
  <c r="B165" i="29" a="1"/>
  <c r="B165" i="29" s="1"/>
  <c r="A165" i="29" s="1"/>
  <c r="H164" i="29" a="1"/>
  <c r="H164" i="29" s="1"/>
  <c r="I164" i="29" s="1"/>
  <c r="B164" i="29" a="1"/>
  <c r="B164" i="29" s="1"/>
  <c r="H163" i="29" a="1"/>
  <c r="H163" i="29" s="1"/>
  <c r="K163" i="29" s="1"/>
  <c r="B163" i="29" a="1"/>
  <c r="B163" i="29" s="1"/>
  <c r="A163" i="29" s="1"/>
  <c r="H162" i="29" a="1"/>
  <c r="H162" i="29" s="1"/>
  <c r="B162" i="29" a="1"/>
  <c r="B162" i="29" s="1"/>
  <c r="H161" i="29" a="1"/>
  <c r="H161" i="29" s="1"/>
  <c r="G161" i="29" s="1"/>
  <c r="B161" i="29" a="1"/>
  <c r="B161" i="29" s="1"/>
  <c r="H160" i="29" a="1"/>
  <c r="H160" i="29" s="1"/>
  <c r="G160" i="29" s="1"/>
  <c r="B160" i="29" a="1"/>
  <c r="B160" i="29" s="1"/>
  <c r="C160" i="29" s="1"/>
  <c r="H159" i="29" a="1"/>
  <c r="H159" i="29" s="1"/>
  <c r="I159" i="29" s="1"/>
  <c r="B159" i="29" a="1"/>
  <c r="B159" i="29" s="1"/>
  <c r="A159" i="29" s="1"/>
  <c r="H158" i="29" a="1"/>
  <c r="H158" i="29" s="1"/>
  <c r="B158" i="29" a="1"/>
  <c r="B158" i="29" s="1"/>
  <c r="H157" i="29" a="1"/>
  <c r="H157" i="29" s="1"/>
  <c r="G157" i="29" s="1"/>
  <c r="B157" i="29" a="1"/>
  <c r="B157" i="29" s="1"/>
  <c r="H156" i="29" a="1"/>
  <c r="H156" i="29" s="1"/>
  <c r="I156" i="29" s="1"/>
  <c r="B156" i="29" a="1"/>
  <c r="B156" i="29" s="1"/>
  <c r="H155" i="29" a="1"/>
  <c r="H155" i="29" s="1"/>
  <c r="G155" i="29" s="1"/>
  <c r="B155" i="29" a="1"/>
  <c r="B155" i="29" s="1"/>
  <c r="A155" i="29" s="1"/>
  <c r="H154" i="29" a="1"/>
  <c r="H154" i="29" s="1"/>
  <c r="K154" i="29" s="1"/>
  <c r="B154" i="29" a="1"/>
  <c r="B154" i="29" s="1"/>
  <c r="H153" i="29" a="1"/>
  <c r="H153" i="29" s="1"/>
  <c r="G153" i="29" s="1"/>
  <c r="B153" i="29" a="1"/>
  <c r="B153" i="29" s="1"/>
  <c r="C153" i="29" s="1"/>
  <c r="H152" i="29" a="1"/>
  <c r="H152" i="29" s="1"/>
  <c r="B152" i="29" a="1"/>
  <c r="B152" i="29" s="1"/>
  <c r="C152" i="29" s="1"/>
  <c r="H151" i="29" a="1"/>
  <c r="H151" i="29" s="1"/>
  <c r="G151" i="29" s="1"/>
  <c r="B151" i="29" a="1"/>
  <c r="B151" i="29" s="1"/>
  <c r="A151" i="29" s="1"/>
  <c r="H150" i="29" a="1"/>
  <c r="H150" i="29" s="1"/>
  <c r="B150" i="29" a="1"/>
  <c r="B150" i="29" s="1"/>
  <c r="A150" i="29" s="1"/>
  <c r="H149" i="29" a="1"/>
  <c r="H149" i="29" s="1"/>
  <c r="G149" i="29" s="1"/>
  <c r="B149" i="29" a="1"/>
  <c r="B149" i="29" s="1"/>
  <c r="H144" i="29" a="1"/>
  <c r="H144" i="29" s="1"/>
  <c r="B144" i="29" a="1"/>
  <c r="B144" i="29" s="1"/>
  <c r="H143" i="29" a="1"/>
  <c r="H143" i="29" s="1"/>
  <c r="G143" i="29" s="1"/>
  <c r="B143" i="29" a="1"/>
  <c r="B143" i="29" s="1"/>
  <c r="A143" i="29" s="1"/>
  <c r="H142" i="29" a="1"/>
  <c r="H142" i="29" s="1"/>
  <c r="B142" i="29" a="1"/>
  <c r="B142" i="29" s="1"/>
  <c r="A142" i="29" s="1"/>
  <c r="H141" i="29" a="1"/>
  <c r="H141" i="29" s="1"/>
  <c r="G141" i="29" s="1"/>
  <c r="B141" i="29" a="1"/>
  <c r="B141" i="29" s="1"/>
  <c r="C141" i="29" s="1"/>
  <c r="H140" i="29" a="1"/>
  <c r="H140" i="29" s="1"/>
  <c r="B140" i="29" a="1"/>
  <c r="B140" i="29" s="1"/>
  <c r="H139" i="29" a="1"/>
  <c r="H139" i="29" s="1"/>
  <c r="G139" i="29" s="1"/>
  <c r="B139" i="29" a="1"/>
  <c r="B139" i="29" s="1"/>
  <c r="A139" i="29" s="1"/>
  <c r="H138" i="29" a="1"/>
  <c r="H138" i="29" s="1"/>
  <c r="B138" i="29" a="1"/>
  <c r="B138" i="29" s="1"/>
  <c r="A138" i="29" s="1"/>
  <c r="H137" i="29" a="1"/>
  <c r="H137" i="29" s="1"/>
  <c r="G137" i="29" s="1"/>
  <c r="B137" i="29" a="1"/>
  <c r="B137" i="29" s="1"/>
  <c r="H136" i="29" a="1"/>
  <c r="H136" i="29" s="1"/>
  <c r="B136" i="29" a="1"/>
  <c r="B136" i="29" s="1"/>
  <c r="H135" i="29" a="1"/>
  <c r="H135" i="29" s="1"/>
  <c r="I135" i="29" s="1"/>
  <c r="B135" i="29" a="1"/>
  <c r="B135" i="29" s="1"/>
  <c r="A135" i="29" s="1"/>
  <c r="H134" i="29" a="1"/>
  <c r="H134" i="29" s="1"/>
  <c r="K134" i="29" s="1"/>
  <c r="B134" i="29" a="1"/>
  <c r="B134" i="29" s="1"/>
  <c r="H133" i="29" a="1"/>
  <c r="H133" i="29" s="1"/>
  <c r="G133" i="29" s="1"/>
  <c r="B133" i="29" a="1"/>
  <c r="B133" i="29" s="1"/>
  <c r="C133" i="29" s="1"/>
  <c r="H132" i="29" a="1"/>
  <c r="H132" i="29" s="1"/>
  <c r="B132" i="29" a="1"/>
  <c r="B132" i="29" s="1"/>
  <c r="C132" i="29" s="1"/>
  <c r="H131" i="29" a="1"/>
  <c r="H131" i="29" s="1"/>
  <c r="K131" i="29" s="1"/>
  <c r="B131" i="29" a="1"/>
  <c r="B131" i="29" s="1"/>
  <c r="E131" i="29" s="1"/>
  <c r="H130" i="29" a="1"/>
  <c r="H130" i="29" s="1"/>
  <c r="B130" i="29" a="1"/>
  <c r="B130" i="29" s="1"/>
  <c r="H129" i="29" a="1"/>
  <c r="H129" i="29" s="1"/>
  <c r="G129" i="29" s="1"/>
  <c r="B129" i="29" a="1"/>
  <c r="B129" i="29" s="1"/>
  <c r="H128" i="29" a="1"/>
  <c r="H128" i="29" s="1"/>
  <c r="B128" i="29" a="1"/>
  <c r="B128" i="29" s="1"/>
  <c r="C128" i="29" s="1"/>
  <c r="H127" i="29" a="1"/>
  <c r="H127" i="29" s="1"/>
  <c r="I127" i="29" s="1"/>
  <c r="B127" i="29" a="1"/>
  <c r="B127" i="29" s="1"/>
  <c r="H126" i="29" a="1"/>
  <c r="H126" i="29" s="1"/>
  <c r="B126" i="29" a="1"/>
  <c r="B126" i="29" s="1"/>
  <c r="H125" i="29" a="1"/>
  <c r="H125" i="29" s="1"/>
  <c r="B125" i="29" a="1"/>
  <c r="B125" i="29" s="1"/>
  <c r="H120" i="29" a="1"/>
  <c r="H120" i="29" s="1"/>
  <c r="B120" i="29" a="1"/>
  <c r="B120" i="29" s="1"/>
  <c r="E120" i="29" s="1"/>
  <c r="H119" i="29" a="1"/>
  <c r="H119" i="29" s="1"/>
  <c r="B119" i="29" a="1"/>
  <c r="B119" i="29" s="1"/>
  <c r="H118" i="29" a="1"/>
  <c r="H118" i="29" s="1"/>
  <c r="G118" i="29" s="1"/>
  <c r="B118" i="29" a="1"/>
  <c r="B118" i="29" s="1"/>
  <c r="A118" i="29" s="1"/>
  <c r="H117" i="29" a="1"/>
  <c r="H117" i="29" s="1"/>
  <c r="B117" i="29" a="1"/>
  <c r="B117" i="29" s="1"/>
  <c r="E117" i="29" s="1"/>
  <c r="H116" i="29" a="1"/>
  <c r="H116" i="29" s="1"/>
  <c r="B116" i="29" a="1"/>
  <c r="B116" i="29" s="1"/>
  <c r="A116" i="29" s="1"/>
  <c r="H115" i="29" a="1"/>
  <c r="H115" i="29" s="1"/>
  <c r="B115" i="29" a="1"/>
  <c r="B115" i="29" s="1"/>
  <c r="H114" i="29" a="1"/>
  <c r="H114" i="29" s="1"/>
  <c r="B114" i="29" a="1"/>
  <c r="B114" i="29" s="1"/>
  <c r="E114" i="29" s="1"/>
  <c r="H113" i="29" a="1"/>
  <c r="H113" i="29" s="1"/>
  <c r="B113" i="29" a="1"/>
  <c r="B113" i="29" s="1"/>
  <c r="H112" i="29" a="1"/>
  <c r="H112" i="29" s="1"/>
  <c r="B112" i="29" a="1"/>
  <c r="B112" i="29" s="1"/>
  <c r="E112" i="29" s="1"/>
  <c r="H111" i="29" a="1"/>
  <c r="H111" i="29" s="1"/>
  <c r="B111" i="29" a="1"/>
  <c r="B111" i="29" s="1"/>
  <c r="E111" i="29" s="1"/>
  <c r="H110" i="29" a="1"/>
  <c r="H110" i="29" s="1"/>
  <c r="B110" i="29" a="1"/>
  <c r="B110" i="29" s="1"/>
  <c r="A110" i="29" s="1"/>
  <c r="H109" i="29" a="1"/>
  <c r="H109" i="29" s="1"/>
  <c r="K109" i="29" s="1"/>
  <c r="B109" i="29" a="1"/>
  <c r="B109" i="29" s="1"/>
  <c r="H108" i="29" a="1"/>
  <c r="H108" i="29" s="1"/>
  <c r="G108" i="29" s="1"/>
  <c r="B108" i="29" a="1"/>
  <c r="B108" i="29" s="1"/>
  <c r="A108" i="29" s="1"/>
  <c r="H107" i="29" a="1"/>
  <c r="H107" i="29" s="1"/>
  <c r="B107" i="29" a="1"/>
  <c r="B107" i="29" s="1"/>
  <c r="E107" i="29" s="1"/>
  <c r="H106" i="29" a="1"/>
  <c r="H106" i="29" s="1"/>
  <c r="K106" i="29" s="1"/>
  <c r="B106" i="29" a="1"/>
  <c r="B106" i="29" s="1"/>
  <c r="H105" i="29" a="1"/>
  <c r="H105" i="29" s="1"/>
  <c r="B105" i="29" a="1"/>
  <c r="B105" i="29" s="1"/>
  <c r="H104" i="29" a="1"/>
  <c r="H104" i="29" s="1"/>
  <c r="B104" i="29" a="1"/>
  <c r="B104" i="29" s="1"/>
  <c r="E104" i="29" s="1"/>
  <c r="H103" i="29" a="1"/>
  <c r="H103" i="29" s="1"/>
  <c r="B103" i="29" a="1"/>
  <c r="B103" i="29" s="1"/>
  <c r="H102" i="29" a="1"/>
  <c r="H102" i="29" s="1"/>
  <c r="G102" i="29" s="1"/>
  <c r="B102" i="29" a="1"/>
  <c r="B102" i="29" s="1"/>
  <c r="E102" i="29" s="1"/>
  <c r="H101" i="29" a="1"/>
  <c r="H101" i="29" s="1"/>
  <c r="B101" i="29" a="1"/>
  <c r="B101" i="29" s="1"/>
  <c r="H96" i="29" a="1"/>
  <c r="H96" i="29" s="1"/>
  <c r="B96" i="29" a="1"/>
  <c r="B96" i="29" s="1"/>
  <c r="C96" i="29" s="1"/>
  <c r="D96" i="29" s="1"/>
  <c r="H95" i="29" a="1"/>
  <c r="H95" i="29" s="1"/>
  <c r="B95" i="29" a="1"/>
  <c r="B95" i="29" s="1"/>
  <c r="H94" i="29" a="1"/>
  <c r="H94" i="29" s="1"/>
  <c r="K94" i="29" s="1"/>
  <c r="B94" i="29" a="1"/>
  <c r="B94" i="29" s="1"/>
  <c r="E94" i="29" s="1"/>
  <c r="H93" i="29" a="1"/>
  <c r="H93" i="29" s="1"/>
  <c r="I93" i="29" s="1"/>
  <c r="B93" i="29" a="1"/>
  <c r="B93" i="29" s="1"/>
  <c r="E93" i="29" s="1"/>
  <c r="H92" i="29" a="1"/>
  <c r="H92" i="29" s="1"/>
  <c r="B92" i="29" a="1"/>
  <c r="B92" i="29" s="1"/>
  <c r="H91" i="29" a="1"/>
  <c r="H91" i="29" s="1"/>
  <c r="B91" i="29" a="1"/>
  <c r="B91" i="29" s="1"/>
  <c r="H90" i="29" a="1"/>
  <c r="H90" i="29" s="1"/>
  <c r="B90" i="29" a="1"/>
  <c r="B90" i="29" s="1"/>
  <c r="H89" i="29" a="1"/>
  <c r="H89" i="29" s="1"/>
  <c r="B89" i="29" a="1"/>
  <c r="B89" i="29" s="1"/>
  <c r="A89" i="29" s="1"/>
  <c r="H88" i="29" a="1"/>
  <c r="H88" i="29" s="1"/>
  <c r="B88" i="29" a="1"/>
  <c r="B88" i="29" s="1"/>
  <c r="H87" i="29" a="1"/>
  <c r="H87" i="29" s="1"/>
  <c r="B87" i="29" a="1"/>
  <c r="B87" i="29" s="1"/>
  <c r="A87" i="29" s="1"/>
  <c r="H86" i="29" a="1"/>
  <c r="H86" i="29" s="1"/>
  <c r="B86" i="29" a="1"/>
  <c r="B86" i="29" s="1"/>
  <c r="H85" i="29" a="1"/>
  <c r="H85" i="29" s="1"/>
  <c r="B85" i="29" a="1"/>
  <c r="B85" i="29" s="1"/>
  <c r="A85" i="29" s="1"/>
  <c r="H84" i="29" a="1"/>
  <c r="H84" i="29" s="1"/>
  <c r="B84" i="29" a="1"/>
  <c r="B84" i="29" s="1"/>
  <c r="H83" i="29" a="1"/>
  <c r="H83" i="29" s="1"/>
  <c r="B83" i="29" a="1"/>
  <c r="B83" i="29" s="1"/>
  <c r="A83" i="29" s="1"/>
  <c r="H82" i="29" a="1"/>
  <c r="H82" i="29" s="1"/>
  <c r="B82" i="29" a="1"/>
  <c r="B82" i="29" s="1"/>
  <c r="H81" i="29" a="1"/>
  <c r="H81" i="29" s="1"/>
  <c r="B81" i="29" a="1"/>
  <c r="B81" i="29" s="1"/>
  <c r="A81" i="29" s="1"/>
  <c r="H80" i="29" a="1"/>
  <c r="H80" i="29" s="1"/>
  <c r="B80" i="29" a="1"/>
  <c r="B80" i="29" s="1"/>
  <c r="H79" i="29" a="1"/>
  <c r="H79" i="29" s="1"/>
  <c r="B79" i="29" a="1"/>
  <c r="B79" i="29" s="1"/>
  <c r="H78" i="29" a="1"/>
  <c r="H78" i="29" s="1"/>
  <c r="B78" i="29" a="1"/>
  <c r="B78" i="29" s="1"/>
  <c r="H77" i="29" a="1"/>
  <c r="H77" i="29" s="1"/>
  <c r="B77" i="29" a="1"/>
  <c r="B77" i="29" s="1"/>
  <c r="A77" i="29" s="1"/>
  <c r="H72" i="29" a="1"/>
  <c r="H72" i="29" s="1"/>
  <c r="B72" i="29" a="1"/>
  <c r="B72" i="29" s="1"/>
  <c r="H71" i="29" a="1"/>
  <c r="H71" i="29" s="1"/>
  <c r="B71" i="29" a="1"/>
  <c r="B71" i="29" s="1"/>
  <c r="A71" i="29" s="1"/>
  <c r="H70" i="29" a="1"/>
  <c r="H70" i="29" s="1"/>
  <c r="B70" i="29" a="1"/>
  <c r="B70" i="29" s="1"/>
  <c r="H69" i="29" a="1"/>
  <c r="H69" i="29" s="1"/>
  <c r="B69" i="29" a="1"/>
  <c r="B69" i="29" s="1"/>
  <c r="A69" i="29" s="1"/>
  <c r="H68" i="29" a="1"/>
  <c r="H68" i="29" s="1"/>
  <c r="B68" i="29" a="1"/>
  <c r="B68" i="29" s="1"/>
  <c r="H67" i="29" a="1"/>
  <c r="H67" i="29" s="1"/>
  <c r="B67" i="29" a="1"/>
  <c r="B67" i="29" s="1"/>
  <c r="A67" i="29" s="1"/>
  <c r="H66" i="29" a="1"/>
  <c r="H66" i="29" s="1"/>
  <c r="B66" i="29" a="1"/>
  <c r="B66" i="29" s="1"/>
  <c r="H65" i="29" a="1"/>
  <c r="H65" i="29" s="1"/>
  <c r="B65" i="29" a="1"/>
  <c r="B65" i="29" s="1"/>
  <c r="A65" i="29" s="1"/>
  <c r="H64" i="29" a="1"/>
  <c r="H64" i="29" s="1"/>
  <c r="B64" i="29" a="1"/>
  <c r="B64" i="29" s="1"/>
  <c r="H63" i="29" a="1"/>
  <c r="H63" i="29" s="1"/>
  <c r="B63" i="29" a="1"/>
  <c r="B63" i="29" s="1"/>
  <c r="A63" i="29" s="1"/>
  <c r="H62" i="29" a="1"/>
  <c r="H62" i="29" s="1"/>
  <c r="B62" i="29" a="1"/>
  <c r="B62" i="29" s="1"/>
  <c r="H61" i="29" a="1"/>
  <c r="H61" i="29" s="1"/>
  <c r="B61" i="29" a="1"/>
  <c r="B61" i="29" s="1"/>
  <c r="A61" i="29" s="1"/>
  <c r="H60" i="29" a="1"/>
  <c r="H60" i="29" s="1"/>
  <c r="B60" i="29" a="1"/>
  <c r="B60" i="29" s="1"/>
  <c r="H59" i="29" a="1"/>
  <c r="H59" i="29" s="1"/>
  <c r="B59" i="29" a="1"/>
  <c r="B59" i="29" s="1"/>
  <c r="H58" i="29" a="1"/>
  <c r="H58" i="29" s="1"/>
  <c r="B58" i="29" a="1"/>
  <c r="B58" i="29" s="1"/>
  <c r="H57" i="29" a="1"/>
  <c r="H57" i="29" s="1"/>
  <c r="B57" i="29" a="1"/>
  <c r="B57" i="29" s="1"/>
  <c r="A57" i="29" s="1"/>
  <c r="H56" i="29" a="1"/>
  <c r="H56" i="29" s="1"/>
  <c r="B56" i="29" a="1"/>
  <c r="B56" i="29" s="1"/>
  <c r="H55" i="29" a="1"/>
  <c r="H55" i="29" s="1"/>
  <c r="B55" i="29" a="1"/>
  <c r="B55" i="29" s="1"/>
  <c r="H54" i="29" a="1"/>
  <c r="H54" i="29" s="1"/>
  <c r="B54" i="29" a="1"/>
  <c r="B54" i="29" s="1"/>
  <c r="H53" i="29" a="1"/>
  <c r="H53" i="29" s="1"/>
  <c r="K53" i="29" s="1"/>
  <c r="B53" i="29" a="1"/>
  <c r="B53" i="29" s="1"/>
  <c r="A53" i="29" s="1"/>
  <c r="H48" i="29" a="1"/>
  <c r="H48" i="29" s="1"/>
  <c r="B48" i="29" a="1"/>
  <c r="B48" i="29" s="1"/>
  <c r="H47" i="29" a="1"/>
  <c r="H47" i="29" s="1"/>
  <c r="B47" i="29" a="1"/>
  <c r="B47" i="29" s="1"/>
  <c r="A47" i="29" s="1"/>
  <c r="H46" i="29" a="1"/>
  <c r="H46" i="29" s="1"/>
  <c r="B46" i="29" a="1"/>
  <c r="B46" i="29" s="1"/>
  <c r="H45" i="29" a="1"/>
  <c r="H45" i="29" s="1"/>
  <c r="B45" i="29" a="1"/>
  <c r="B45" i="29" s="1"/>
  <c r="C45" i="29" s="1"/>
  <c r="H44" i="29" a="1"/>
  <c r="H44" i="29" s="1"/>
  <c r="B44" i="29" a="1"/>
  <c r="B44" i="29" s="1"/>
  <c r="C44" i="29" s="1"/>
  <c r="D44" i="29" s="1"/>
  <c r="H43" i="29" a="1"/>
  <c r="H43" i="29" s="1"/>
  <c r="B43" i="29" a="1"/>
  <c r="B43" i="29" s="1"/>
  <c r="A43" i="29" s="1"/>
  <c r="H42" i="29" a="1"/>
  <c r="H42" i="29" s="1"/>
  <c r="K42" i="29" s="1"/>
  <c r="B42" i="29" a="1"/>
  <c r="B42" i="29" s="1"/>
  <c r="H41" i="29" a="1"/>
  <c r="H41" i="29" s="1"/>
  <c r="B41" i="29" a="1"/>
  <c r="B41" i="29" s="1"/>
  <c r="A41" i="29" s="1"/>
  <c r="H40" i="29" a="1"/>
  <c r="H40" i="29" s="1"/>
  <c r="B40" i="29" a="1"/>
  <c r="B40" i="29" s="1"/>
  <c r="H39" i="29" a="1"/>
  <c r="H39" i="29" s="1"/>
  <c r="K39" i="29" s="1"/>
  <c r="B39" i="29" a="1"/>
  <c r="B39" i="29" s="1"/>
  <c r="A39" i="29" s="1"/>
  <c r="H38" i="29" a="1"/>
  <c r="H38" i="29" s="1"/>
  <c r="K38" i="29" s="1"/>
  <c r="B38" i="29" a="1"/>
  <c r="B38" i="29" s="1"/>
  <c r="C38" i="29" s="1"/>
  <c r="D38" i="29" s="1"/>
  <c r="H37" i="29" a="1"/>
  <c r="H37" i="29" s="1"/>
  <c r="B37" i="29" a="1"/>
  <c r="B37" i="29" s="1"/>
  <c r="H36" i="29" a="1"/>
  <c r="H36" i="29" s="1"/>
  <c r="B36" i="29" a="1"/>
  <c r="B36" i="29" s="1"/>
  <c r="H35" i="29" a="1"/>
  <c r="H35" i="29" s="1"/>
  <c r="K35" i="29" s="1"/>
  <c r="B35" i="29" a="1"/>
  <c r="B35" i="29" s="1"/>
  <c r="A35" i="29" s="1"/>
  <c r="H34" i="29" a="1"/>
  <c r="H34" i="29" s="1"/>
  <c r="K34" i="29" s="1"/>
  <c r="B34" i="29" a="1"/>
  <c r="B34" i="29" s="1"/>
  <c r="H33" i="29" a="1"/>
  <c r="H33" i="29" s="1"/>
  <c r="B33" i="29" a="1"/>
  <c r="B33" i="29" s="1"/>
  <c r="A33" i="29" s="1"/>
  <c r="H32" i="29" a="1"/>
  <c r="H32" i="29" s="1"/>
  <c r="K32" i="29" s="1"/>
  <c r="B32" i="29" a="1"/>
  <c r="B32" i="29" s="1"/>
  <c r="H31" i="29" a="1"/>
  <c r="H31" i="29" s="1"/>
  <c r="B31" i="29" a="1"/>
  <c r="B31" i="29" s="1"/>
  <c r="E31" i="29" s="1"/>
  <c r="H30" i="29" a="1"/>
  <c r="H30" i="29" s="1"/>
  <c r="I30" i="29" s="1"/>
  <c r="B30" i="29" a="1"/>
  <c r="B30" i="29" s="1"/>
  <c r="H29" i="29" a="1"/>
  <c r="H29" i="29" s="1"/>
  <c r="B29" i="29" a="1"/>
  <c r="B29" i="29" s="1"/>
  <c r="A29" i="29" s="1"/>
  <c r="U22" i="29"/>
  <c r="T22" i="29"/>
  <c r="S22" i="29"/>
  <c r="R22" i="29"/>
  <c r="Q22" i="29"/>
  <c r="P22" i="29"/>
  <c r="O22" i="29"/>
  <c r="N22" i="29"/>
  <c r="M22" i="29"/>
  <c r="L22" i="29"/>
  <c r="I22" i="29"/>
  <c r="B22" i="29" a="1"/>
  <c r="B22" i="29" s="1"/>
  <c r="U21" i="29"/>
  <c r="T21" i="29"/>
  <c r="S21" i="29"/>
  <c r="R21" i="29"/>
  <c r="Q21" i="29"/>
  <c r="P21" i="29"/>
  <c r="O21" i="29"/>
  <c r="N21" i="29"/>
  <c r="M21" i="29"/>
  <c r="L21" i="29"/>
  <c r="I21" i="29"/>
  <c r="B21" i="29" a="1"/>
  <c r="B21" i="29" s="1"/>
  <c r="C21" i="29" s="1"/>
  <c r="U20" i="29"/>
  <c r="T20" i="29"/>
  <c r="S20" i="29"/>
  <c r="R20" i="29"/>
  <c r="Q20" i="29"/>
  <c r="P20" i="29"/>
  <c r="O20" i="29"/>
  <c r="N20" i="29"/>
  <c r="M20" i="29"/>
  <c r="L20" i="29"/>
  <c r="I20" i="29"/>
  <c r="B20" i="29" a="1"/>
  <c r="B20" i="29" s="1"/>
  <c r="C20" i="29" s="1"/>
  <c r="U19" i="29"/>
  <c r="T19" i="29"/>
  <c r="S19" i="29"/>
  <c r="R19" i="29"/>
  <c r="Q19" i="29"/>
  <c r="P19" i="29"/>
  <c r="O19" i="29"/>
  <c r="N19" i="29"/>
  <c r="M19" i="29"/>
  <c r="L19" i="29"/>
  <c r="I19" i="29"/>
  <c r="B19" i="29" a="1"/>
  <c r="B19" i="29" s="1"/>
  <c r="A19" i="29" s="1"/>
  <c r="U18" i="29"/>
  <c r="T18" i="29"/>
  <c r="S18" i="29"/>
  <c r="R18" i="29"/>
  <c r="Q18" i="29"/>
  <c r="P18" i="29"/>
  <c r="O18" i="29"/>
  <c r="N18" i="29"/>
  <c r="M18" i="29"/>
  <c r="L18" i="29"/>
  <c r="I18" i="29"/>
  <c r="B18" i="29" a="1"/>
  <c r="B18" i="29" s="1"/>
  <c r="U17" i="29"/>
  <c r="T17" i="29"/>
  <c r="S17" i="29"/>
  <c r="R17" i="29"/>
  <c r="Q17" i="29"/>
  <c r="P17" i="29"/>
  <c r="O17" i="29"/>
  <c r="N17" i="29"/>
  <c r="M17" i="29"/>
  <c r="L17" i="29"/>
  <c r="I17" i="29"/>
  <c r="B17" i="29" a="1"/>
  <c r="B17" i="29" s="1"/>
  <c r="U16" i="29"/>
  <c r="T16" i="29"/>
  <c r="S16" i="29"/>
  <c r="R16" i="29"/>
  <c r="Q16" i="29"/>
  <c r="P16" i="29"/>
  <c r="O16" i="29"/>
  <c r="N16" i="29"/>
  <c r="M16" i="29"/>
  <c r="L16" i="29"/>
  <c r="I16" i="29"/>
  <c r="B16" i="29" a="1"/>
  <c r="B16" i="29" s="1"/>
  <c r="C16" i="29" s="1"/>
  <c r="U15" i="29"/>
  <c r="T15" i="29"/>
  <c r="S15" i="29"/>
  <c r="R15" i="29"/>
  <c r="Q15" i="29"/>
  <c r="P15" i="29"/>
  <c r="O15" i="29"/>
  <c r="N15" i="29"/>
  <c r="M15" i="29"/>
  <c r="L15" i="29"/>
  <c r="I15" i="29"/>
  <c r="B15" i="29" a="1"/>
  <c r="B15" i="29" s="1"/>
  <c r="A15" i="29" s="1"/>
  <c r="U14" i="29"/>
  <c r="T14" i="29"/>
  <c r="S14" i="29"/>
  <c r="R14" i="29"/>
  <c r="Q14" i="29"/>
  <c r="P14" i="29"/>
  <c r="O14" i="29"/>
  <c r="N14" i="29"/>
  <c r="M14" i="29"/>
  <c r="L14" i="29"/>
  <c r="I14" i="29"/>
  <c r="B14" i="29" a="1"/>
  <c r="B14" i="29" s="1"/>
  <c r="U13" i="29"/>
  <c r="T13" i="29"/>
  <c r="S13" i="29"/>
  <c r="R13" i="29"/>
  <c r="Q13" i="29"/>
  <c r="P13" i="29"/>
  <c r="O13" i="29"/>
  <c r="N13" i="29"/>
  <c r="M13" i="29"/>
  <c r="L13" i="29"/>
  <c r="I13" i="29"/>
  <c r="B13" i="29" a="1"/>
  <c r="B13" i="29" s="1"/>
  <c r="C13" i="29" s="1"/>
  <c r="D13" i="29" s="1"/>
  <c r="U12" i="29"/>
  <c r="T12" i="29"/>
  <c r="S12" i="29"/>
  <c r="R12" i="29"/>
  <c r="Q12" i="29"/>
  <c r="P12" i="29"/>
  <c r="O12" i="29"/>
  <c r="N12" i="29"/>
  <c r="M12" i="29"/>
  <c r="L12" i="29"/>
  <c r="I12" i="29"/>
  <c r="B12" i="29" a="1"/>
  <c r="B12" i="29" s="1"/>
  <c r="E12" i="29" s="1"/>
  <c r="U11" i="29"/>
  <c r="T11" i="29"/>
  <c r="S11" i="29"/>
  <c r="R11" i="29"/>
  <c r="Q11" i="29"/>
  <c r="P11" i="29"/>
  <c r="O11" i="29"/>
  <c r="N11" i="29"/>
  <c r="M11" i="29"/>
  <c r="L11" i="29"/>
  <c r="I11" i="29"/>
  <c r="B11" i="29" a="1"/>
  <c r="B11" i="29" s="1"/>
  <c r="E11" i="29" s="1"/>
  <c r="U10" i="29"/>
  <c r="T10" i="29"/>
  <c r="S10" i="29"/>
  <c r="R10" i="29"/>
  <c r="Q10" i="29"/>
  <c r="P10" i="29"/>
  <c r="O10" i="29"/>
  <c r="N10" i="29"/>
  <c r="M10" i="29"/>
  <c r="L10" i="29"/>
  <c r="I10" i="29"/>
  <c r="B10" i="29" a="1"/>
  <c r="B10" i="29" s="1"/>
  <c r="U9" i="29"/>
  <c r="T9" i="29"/>
  <c r="S9" i="29"/>
  <c r="R9" i="29"/>
  <c r="Q9" i="29"/>
  <c r="P9" i="29"/>
  <c r="O9" i="29"/>
  <c r="N9" i="29"/>
  <c r="M9" i="29"/>
  <c r="L9" i="29"/>
  <c r="I9" i="29"/>
  <c r="B9" i="29" a="1"/>
  <c r="B9" i="29" s="1"/>
  <c r="A9" i="29" s="1"/>
  <c r="U8" i="29"/>
  <c r="T8" i="29"/>
  <c r="S8" i="29"/>
  <c r="R8" i="29"/>
  <c r="Q8" i="29"/>
  <c r="P8" i="29"/>
  <c r="O8" i="29"/>
  <c r="N8" i="29"/>
  <c r="M8" i="29"/>
  <c r="L8" i="29"/>
  <c r="I8" i="29"/>
  <c r="B8" i="29" a="1"/>
  <c r="B8" i="29" s="1"/>
  <c r="U7" i="29"/>
  <c r="T7" i="29"/>
  <c r="S7" i="29"/>
  <c r="R7" i="29"/>
  <c r="Q7" i="29"/>
  <c r="P7" i="29"/>
  <c r="O7" i="29"/>
  <c r="N7" i="29"/>
  <c r="M7" i="29"/>
  <c r="L7" i="29"/>
  <c r="I7" i="29"/>
  <c r="B7" i="29" a="1"/>
  <c r="B7" i="29" s="1"/>
  <c r="E7" i="29" s="1"/>
  <c r="U6" i="29"/>
  <c r="T6" i="29"/>
  <c r="S6" i="29"/>
  <c r="R6" i="29"/>
  <c r="Q6" i="29"/>
  <c r="P6" i="29"/>
  <c r="O6" i="29"/>
  <c r="N6" i="29"/>
  <c r="M6" i="29"/>
  <c r="L6" i="29"/>
  <c r="I6" i="29"/>
  <c r="B6" i="29" a="1"/>
  <c r="B6" i="29" s="1"/>
  <c r="U5" i="29"/>
  <c r="T5" i="29"/>
  <c r="S5" i="29"/>
  <c r="R5" i="29"/>
  <c r="Q5" i="29"/>
  <c r="P5" i="29"/>
  <c r="O5" i="29"/>
  <c r="N5" i="29"/>
  <c r="M5" i="29"/>
  <c r="L5" i="29"/>
  <c r="I5" i="29"/>
  <c r="B5" i="29" a="1"/>
  <c r="B5" i="29" s="1"/>
  <c r="A5" i="29" s="1"/>
  <c r="U4" i="29"/>
  <c r="T4" i="29"/>
  <c r="S4" i="29"/>
  <c r="R4" i="29"/>
  <c r="Q4" i="29"/>
  <c r="P4" i="29"/>
  <c r="O4" i="29"/>
  <c r="N4" i="29"/>
  <c r="M4" i="29"/>
  <c r="L4" i="29"/>
  <c r="I4" i="29"/>
  <c r="B4" i="29" a="1"/>
  <c r="B4" i="29" s="1"/>
  <c r="U3" i="29"/>
  <c r="T3" i="29"/>
  <c r="S3" i="29"/>
  <c r="R3" i="29"/>
  <c r="Q3" i="29"/>
  <c r="P3" i="29"/>
  <c r="O3" i="29"/>
  <c r="N3" i="29"/>
  <c r="M3" i="29"/>
  <c r="L3" i="29"/>
  <c r="I3" i="29"/>
  <c r="B3" i="29" a="1"/>
  <c r="B3" i="29" s="1"/>
  <c r="C3" i="29" s="1"/>
  <c r="F212" i="4"/>
  <c r="E212" i="4" s="1"/>
  <c r="I212" i="4"/>
  <c r="J212" i="4"/>
  <c r="K212" i="4"/>
  <c r="L212" i="4"/>
  <c r="M212" i="4"/>
  <c r="N212" i="4"/>
  <c r="O212" i="4"/>
  <c r="F213" i="4"/>
  <c r="E213" i="4" s="1"/>
  <c r="I213" i="4"/>
  <c r="J213" i="4"/>
  <c r="K213" i="4"/>
  <c r="L213" i="4"/>
  <c r="M213" i="4"/>
  <c r="N213" i="4"/>
  <c r="O213" i="4"/>
  <c r="B212" i="4"/>
  <c r="D212" i="4" s="1"/>
  <c r="B213" i="4"/>
  <c r="D213" i="4" s="1"/>
  <c r="G4" i="2"/>
  <c r="H4" i="2"/>
  <c r="I4" i="2"/>
  <c r="J4" i="2"/>
  <c r="K4" i="2"/>
  <c r="L4" i="2"/>
  <c r="M4" i="2"/>
  <c r="N4" i="2"/>
  <c r="O4" i="2"/>
  <c r="G5" i="2"/>
  <c r="H5" i="2"/>
  <c r="I5" i="2"/>
  <c r="J5" i="2"/>
  <c r="K5" i="2"/>
  <c r="L5" i="2"/>
  <c r="M5" i="2"/>
  <c r="N5" i="2"/>
  <c r="O5" i="2"/>
  <c r="G6" i="2"/>
  <c r="H6" i="2"/>
  <c r="I6" i="2"/>
  <c r="J6" i="2"/>
  <c r="K6" i="2"/>
  <c r="L6" i="2"/>
  <c r="M6" i="2"/>
  <c r="N6" i="2"/>
  <c r="O6" i="2"/>
  <c r="G7" i="2"/>
  <c r="H7" i="2"/>
  <c r="I7" i="2"/>
  <c r="J7" i="2"/>
  <c r="K7" i="2"/>
  <c r="L7" i="2"/>
  <c r="M7" i="2"/>
  <c r="N7" i="2"/>
  <c r="O7" i="2"/>
  <c r="G8" i="2"/>
  <c r="H8" i="2"/>
  <c r="I8" i="2"/>
  <c r="J8" i="2"/>
  <c r="K8" i="2"/>
  <c r="L8" i="2"/>
  <c r="M8" i="2"/>
  <c r="N8" i="2"/>
  <c r="O8" i="2"/>
  <c r="G9" i="2"/>
  <c r="H9" i="2"/>
  <c r="I9" i="2"/>
  <c r="J9" i="2"/>
  <c r="K9" i="2"/>
  <c r="L9" i="2"/>
  <c r="M9" i="2"/>
  <c r="N9" i="2"/>
  <c r="O9" i="2"/>
  <c r="G10" i="2"/>
  <c r="H10" i="2"/>
  <c r="I10" i="2"/>
  <c r="J10" i="2"/>
  <c r="K10" i="2"/>
  <c r="L10" i="2"/>
  <c r="M10" i="2"/>
  <c r="N10" i="2"/>
  <c r="O10" i="2"/>
  <c r="G11" i="2"/>
  <c r="H11" i="2"/>
  <c r="I11" i="2"/>
  <c r="J11" i="2"/>
  <c r="K11" i="2"/>
  <c r="L11" i="2"/>
  <c r="M11" i="2"/>
  <c r="N11" i="2"/>
  <c r="O11" i="2"/>
  <c r="G12" i="2"/>
  <c r="H12" i="2"/>
  <c r="I12" i="2"/>
  <c r="J12" i="2"/>
  <c r="K12" i="2"/>
  <c r="L12" i="2"/>
  <c r="M12" i="2"/>
  <c r="N12" i="2"/>
  <c r="O12" i="2"/>
  <c r="G13" i="2"/>
  <c r="H13" i="2"/>
  <c r="I13" i="2"/>
  <c r="J13" i="2"/>
  <c r="K13" i="2"/>
  <c r="L13" i="2"/>
  <c r="M13" i="2"/>
  <c r="N13" i="2"/>
  <c r="O13" i="2"/>
  <c r="G14" i="2"/>
  <c r="H14" i="2"/>
  <c r="I14" i="2"/>
  <c r="J14" i="2"/>
  <c r="K14" i="2"/>
  <c r="L14" i="2"/>
  <c r="M14" i="2"/>
  <c r="N14" i="2"/>
  <c r="O14" i="2"/>
  <c r="G15" i="2"/>
  <c r="H15" i="2"/>
  <c r="I15" i="2"/>
  <c r="J15" i="2"/>
  <c r="K15" i="2"/>
  <c r="L15" i="2"/>
  <c r="M15" i="2"/>
  <c r="N15" i="2"/>
  <c r="O15" i="2"/>
  <c r="G16" i="2"/>
  <c r="H16" i="2"/>
  <c r="I16" i="2"/>
  <c r="J16" i="2"/>
  <c r="K16" i="2"/>
  <c r="L16" i="2"/>
  <c r="M16" i="2"/>
  <c r="N16" i="2"/>
  <c r="O16" i="2"/>
  <c r="G17" i="2"/>
  <c r="H17" i="2"/>
  <c r="I17" i="2"/>
  <c r="J17" i="2"/>
  <c r="K17" i="2"/>
  <c r="L17" i="2"/>
  <c r="M17" i="2"/>
  <c r="N17" i="2"/>
  <c r="O17" i="2"/>
  <c r="G18" i="2"/>
  <c r="H18" i="2"/>
  <c r="I18" i="2"/>
  <c r="J18" i="2"/>
  <c r="K18" i="2"/>
  <c r="L18" i="2"/>
  <c r="M18" i="2"/>
  <c r="N18" i="2"/>
  <c r="O18" i="2"/>
  <c r="G19" i="2"/>
  <c r="H19" i="2"/>
  <c r="I19" i="2"/>
  <c r="J19" i="2"/>
  <c r="K19" i="2"/>
  <c r="L19" i="2"/>
  <c r="M19" i="2"/>
  <c r="N19" i="2"/>
  <c r="O19" i="2"/>
  <c r="G20" i="2"/>
  <c r="H20" i="2"/>
  <c r="I20" i="2"/>
  <c r="J20" i="2"/>
  <c r="K20" i="2"/>
  <c r="L20" i="2"/>
  <c r="M20" i="2"/>
  <c r="N20" i="2"/>
  <c r="O20" i="2"/>
  <c r="G21" i="2"/>
  <c r="H21" i="2"/>
  <c r="I21" i="2"/>
  <c r="J21" i="2"/>
  <c r="K21" i="2"/>
  <c r="L21" i="2"/>
  <c r="M21" i="2"/>
  <c r="N21" i="2"/>
  <c r="O21" i="2"/>
  <c r="G22" i="2"/>
  <c r="H22" i="2"/>
  <c r="I22" i="2"/>
  <c r="J22" i="2"/>
  <c r="K22" i="2"/>
  <c r="L22" i="2"/>
  <c r="M22" i="2"/>
  <c r="N22" i="2"/>
  <c r="O22" i="2"/>
  <c r="G23" i="2"/>
  <c r="H23" i="2"/>
  <c r="I23" i="2"/>
  <c r="J23" i="2"/>
  <c r="K23" i="2"/>
  <c r="L23" i="2"/>
  <c r="M23" i="2"/>
  <c r="N23" i="2"/>
  <c r="O23" i="2"/>
  <c r="G24" i="2"/>
  <c r="H24" i="2"/>
  <c r="I24" i="2"/>
  <c r="J24" i="2"/>
  <c r="K24" i="2"/>
  <c r="L24" i="2"/>
  <c r="M24" i="2"/>
  <c r="N24" i="2"/>
  <c r="O24" i="2"/>
  <c r="G25" i="2"/>
  <c r="H25" i="2"/>
  <c r="I25" i="2"/>
  <c r="J25" i="2"/>
  <c r="K25" i="2"/>
  <c r="L25" i="2"/>
  <c r="M25" i="2"/>
  <c r="N25" i="2"/>
  <c r="O25" i="2"/>
  <c r="G26" i="2"/>
  <c r="H26" i="2"/>
  <c r="I26" i="2"/>
  <c r="J26" i="2"/>
  <c r="K26" i="2"/>
  <c r="L26" i="2"/>
  <c r="M26" i="2"/>
  <c r="N26" i="2"/>
  <c r="O26" i="2"/>
  <c r="G27" i="2"/>
  <c r="H27" i="2"/>
  <c r="I27" i="2"/>
  <c r="J27" i="2"/>
  <c r="K27" i="2"/>
  <c r="L27" i="2"/>
  <c r="M27" i="2"/>
  <c r="N27" i="2"/>
  <c r="O27" i="2"/>
  <c r="G28" i="2"/>
  <c r="H28" i="2"/>
  <c r="I28" i="2"/>
  <c r="J28" i="2"/>
  <c r="K28" i="2"/>
  <c r="L28" i="2"/>
  <c r="M28" i="2"/>
  <c r="N28" i="2"/>
  <c r="O28" i="2"/>
  <c r="G29" i="2"/>
  <c r="H29" i="2"/>
  <c r="I29" i="2"/>
  <c r="J29" i="2"/>
  <c r="K29" i="2"/>
  <c r="L29" i="2"/>
  <c r="M29" i="2"/>
  <c r="N29" i="2"/>
  <c r="O29" i="2"/>
  <c r="G30" i="2"/>
  <c r="H30" i="2"/>
  <c r="I30" i="2"/>
  <c r="J30" i="2"/>
  <c r="K30" i="2"/>
  <c r="L30" i="2"/>
  <c r="M30" i="2"/>
  <c r="N30" i="2"/>
  <c r="O30" i="2"/>
  <c r="G31" i="2"/>
  <c r="H31" i="2"/>
  <c r="I31" i="2"/>
  <c r="J31" i="2"/>
  <c r="K31" i="2"/>
  <c r="L31" i="2"/>
  <c r="M31" i="2"/>
  <c r="N31" i="2"/>
  <c r="O31" i="2"/>
  <c r="G32" i="2"/>
  <c r="H32" i="2"/>
  <c r="I32" i="2"/>
  <c r="J32" i="2"/>
  <c r="K32" i="2"/>
  <c r="L32" i="2"/>
  <c r="M32" i="2"/>
  <c r="N32" i="2"/>
  <c r="O32" i="2"/>
  <c r="G33" i="2"/>
  <c r="H33" i="2"/>
  <c r="I33" i="2"/>
  <c r="J33" i="2"/>
  <c r="K33" i="2"/>
  <c r="L33" i="2"/>
  <c r="M33" i="2"/>
  <c r="N33" i="2"/>
  <c r="O33" i="2"/>
  <c r="G34" i="2"/>
  <c r="H34" i="2"/>
  <c r="I34" i="2"/>
  <c r="J34" i="2"/>
  <c r="K34" i="2"/>
  <c r="L34" i="2"/>
  <c r="M34" i="2"/>
  <c r="N34" i="2"/>
  <c r="O34" i="2"/>
  <c r="G35" i="2"/>
  <c r="H35" i="2"/>
  <c r="I35" i="2"/>
  <c r="J35" i="2"/>
  <c r="K35" i="2"/>
  <c r="L35" i="2"/>
  <c r="M35" i="2"/>
  <c r="N35" i="2"/>
  <c r="O35" i="2"/>
  <c r="G36" i="2"/>
  <c r="H36" i="2"/>
  <c r="I36" i="2"/>
  <c r="J36" i="2"/>
  <c r="K36" i="2"/>
  <c r="L36" i="2"/>
  <c r="M36" i="2"/>
  <c r="N36" i="2"/>
  <c r="O36" i="2"/>
  <c r="G37" i="2"/>
  <c r="H37" i="2"/>
  <c r="I37" i="2"/>
  <c r="J37" i="2"/>
  <c r="K37" i="2"/>
  <c r="L37" i="2"/>
  <c r="M37" i="2"/>
  <c r="N37" i="2"/>
  <c r="O37" i="2"/>
  <c r="G38" i="2"/>
  <c r="H38" i="2"/>
  <c r="I38" i="2"/>
  <c r="J38" i="2"/>
  <c r="K38" i="2"/>
  <c r="L38" i="2"/>
  <c r="M38" i="2"/>
  <c r="N38" i="2"/>
  <c r="O38" i="2"/>
  <c r="G39" i="2"/>
  <c r="H39" i="2"/>
  <c r="I39" i="2"/>
  <c r="J39" i="2"/>
  <c r="K39" i="2"/>
  <c r="L39" i="2"/>
  <c r="M39" i="2"/>
  <c r="N39" i="2"/>
  <c r="O39" i="2"/>
  <c r="G40" i="2"/>
  <c r="H40" i="2"/>
  <c r="I40" i="2"/>
  <c r="J40" i="2"/>
  <c r="K40" i="2"/>
  <c r="L40" i="2"/>
  <c r="M40" i="2"/>
  <c r="N40" i="2"/>
  <c r="O40" i="2"/>
  <c r="G41" i="2"/>
  <c r="H41" i="2"/>
  <c r="I41" i="2"/>
  <c r="J41" i="2"/>
  <c r="K41" i="2"/>
  <c r="L41" i="2"/>
  <c r="M41" i="2"/>
  <c r="N41" i="2"/>
  <c r="O41" i="2"/>
  <c r="G42" i="2"/>
  <c r="H42" i="2"/>
  <c r="I42" i="2"/>
  <c r="J42" i="2"/>
  <c r="K42" i="2"/>
  <c r="L42" i="2"/>
  <c r="M42" i="2"/>
  <c r="N42" i="2"/>
  <c r="O42" i="2"/>
  <c r="G43" i="2"/>
  <c r="H43" i="2"/>
  <c r="I43" i="2"/>
  <c r="J43" i="2"/>
  <c r="K43" i="2"/>
  <c r="L43" i="2"/>
  <c r="M43" i="2"/>
  <c r="N43" i="2"/>
  <c r="O43" i="2"/>
  <c r="G44" i="2"/>
  <c r="H44" i="2"/>
  <c r="I44" i="2"/>
  <c r="J44" i="2"/>
  <c r="K44" i="2"/>
  <c r="L44" i="2"/>
  <c r="M44" i="2"/>
  <c r="N44" i="2"/>
  <c r="O44" i="2"/>
  <c r="G45" i="2"/>
  <c r="H45" i="2"/>
  <c r="I45" i="2"/>
  <c r="J45" i="2"/>
  <c r="K45" i="2"/>
  <c r="L45" i="2"/>
  <c r="M45" i="2"/>
  <c r="N45" i="2"/>
  <c r="O45" i="2"/>
  <c r="G46" i="2"/>
  <c r="H46" i="2"/>
  <c r="I46" i="2"/>
  <c r="J46" i="2"/>
  <c r="K46" i="2"/>
  <c r="L46" i="2"/>
  <c r="M46" i="2"/>
  <c r="N46" i="2"/>
  <c r="O46" i="2"/>
  <c r="G48" i="2"/>
  <c r="H48" i="2"/>
  <c r="I48" i="2"/>
  <c r="J48" i="2"/>
  <c r="K48" i="2"/>
  <c r="L48" i="2"/>
  <c r="M48" i="2"/>
  <c r="N48" i="2"/>
  <c r="O48" i="2"/>
  <c r="G47" i="2"/>
  <c r="H47" i="2"/>
  <c r="I47" i="2"/>
  <c r="J47" i="2"/>
  <c r="K47" i="2"/>
  <c r="L47" i="2"/>
  <c r="M47" i="2"/>
  <c r="N47" i="2"/>
  <c r="O47" i="2"/>
  <c r="G49" i="2"/>
  <c r="H49" i="2"/>
  <c r="I49" i="2"/>
  <c r="J49" i="2"/>
  <c r="K49" i="2"/>
  <c r="L49" i="2"/>
  <c r="M49" i="2"/>
  <c r="N49" i="2"/>
  <c r="O49" i="2"/>
  <c r="G51" i="2"/>
  <c r="H51" i="2"/>
  <c r="I51" i="2"/>
  <c r="J51" i="2"/>
  <c r="K51" i="2"/>
  <c r="L51" i="2"/>
  <c r="M51" i="2"/>
  <c r="N51" i="2"/>
  <c r="O51" i="2"/>
  <c r="G50" i="2"/>
  <c r="H50" i="2"/>
  <c r="I50" i="2"/>
  <c r="J50" i="2"/>
  <c r="K50" i="2"/>
  <c r="L50" i="2"/>
  <c r="M50" i="2"/>
  <c r="N50" i="2"/>
  <c r="O50" i="2"/>
  <c r="G53" i="2"/>
  <c r="H53" i="2"/>
  <c r="I53" i="2"/>
  <c r="J53" i="2"/>
  <c r="K53" i="2"/>
  <c r="L53" i="2"/>
  <c r="M53" i="2"/>
  <c r="N53" i="2"/>
  <c r="O53" i="2"/>
  <c r="G52" i="2"/>
  <c r="H52" i="2"/>
  <c r="I52" i="2"/>
  <c r="J52" i="2"/>
  <c r="K52" i="2"/>
  <c r="L52" i="2"/>
  <c r="M52" i="2"/>
  <c r="N52" i="2"/>
  <c r="O52" i="2"/>
  <c r="G55" i="2"/>
  <c r="H55" i="2"/>
  <c r="I55" i="2"/>
  <c r="J55" i="2"/>
  <c r="K55" i="2"/>
  <c r="L55" i="2"/>
  <c r="M55" i="2"/>
  <c r="N55" i="2"/>
  <c r="O55" i="2"/>
  <c r="G57" i="2"/>
  <c r="H57" i="2"/>
  <c r="I57" i="2"/>
  <c r="J57" i="2"/>
  <c r="K57" i="2"/>
  <c r="L57" i="2"/>
  <c r="M57" i="2"/>
  <c r="N57" i="2"/>
  <c r="O57" i="2"/>
  <c r="G54" i="2"/>
  <c r="H54" i="2"/>
  <c r="I54" i="2"/>
  <c r="J54" i="2"/>
  <c r="K54" i="2"/>
  <c r="L54" i="2"/>
  <c r="M54" i="2"/>
  <c r="N54" i="2"/>
  <c r="O54" i="2"/>
  <c r="G56" i="2"/>
  <c r="H56" i="2"/>
  <c r="I56" i="2"/>
  <c r="J56" i="2"/>
  <c r="K56" i="2"/>
  <c r="L56" i="2"/>
  <c r="M56" i="2"/>
  <c r="N56" i="2"/>
  <c r="O56" i="2"/>
  <c r="G61" i="2"/>
  <c r="H61" i="2"/>
  <c r="I61" i="2"/>
  <c r="J61" i="2"/>
  <c r="K61" i="2"/>
  <c r="L61" i="2"/>
  <c r="M61" i="2"/>
  <c r="N61" i="2"/>
  <c r="O61" i="2"/>
  <c r="G59" i="2"/>
  <c r="H59" i="2"/>
  <c r="I59" i="2"/>
  <c r="J59" i="2"/>
  <c r="K59" i="2"/>
  <c r="L59" i="2"/>
  <c r="M59" i="2"/>
  <c r="N59" i="2"/>
  <c r="O59" i="2"/>
  <c r="G60" i="2"/>
  <c r="H60" i="2"/>
  <c r="I60" i="2"/>
  <c r="J60" i="2"/>
  <c r="K60" i="2"/>
  <c r="L60" i="2"/>
  <c r="M60" i="2"/>
  <c r="N60" i="2"/>
  <c r="O60" i="2"/>
  <c r="G58" i="2"/>
  <c r="H58" i="2"/>
  <c r="I58" i="2"/>
  <c r="J58" i="2"/>
  <c r="K58" i="2"/>
  <c r="L58" i="2"/>
  <c r="M58" i="2"/>
  <c r="N58" i="2"/>
  <c r="O58" i="2"/>
  <c r="G62" i="2"/>
  <c r="H62" i="2"/>
  <c r="I62" i="2"/>
  <c r="J62" i="2"/>
  <c r="K62" i="2"/>
  <c r="L62" i="2"/>
  <c r="M62" i="2"/>
  <c r="N62" i="2"/>
  <c r="O62" i="2"/>
  <c r="G64" i="2"/>
  <c r="H64" i="2"/>
  <c r="I64" i="2"/>
  <c r="J64" i="2"/>
  <c r="K64" i="2"/>
  <c r="L64" i="2"/>
  <c r="M64" i="2"/>
  <c r="N64" i="2"/>
  <c r="O64" i="2"/>
  <c r="G63" i="2"/>
  <c r="H63" i="2"/>
  <c r="I63" i="2"/>
  <c r="J63" i="2"/>
  <c r="K63" i="2"/>
  <c r="L63" i="2"/>
  <c r="M63" i="2"/>
  <c r="N63" i="2"/>
  <c r="O63" i="2"/>
  <c r="G65" i="2"/>
  <c r="H65" i="2"/>
  <c r="I65" i="2"/>
  <c r="J65" i="2"/>
  <c r="K65" i="2"/>
  <c r="L65" i="2"/>
  <c r="M65" i="2"/>
  <c r="N65" i="2"/>
  <c r="O65" i="2"/>
  <c r="G67" i="2"/>
  <c r="H67" i="2"/>
  <c r="I67" i="2"/>
  <c r="J67" i="2"/>
  <c r="K67" i="2"/>
  <c r="L67" i="2"/>
  <c r="M67" i="2"/>
  <c r="N67" i="2"/>
  <c r="O67" i="2"/>
  <c r="G66" i="2"/>
  <c r="H66" i="2"/>
  <c r="I66" i="2"/>
  <c r="J66" i="2"/>
  <c r="K66" i="2"/>
  <c r="L66" i="2"/>
  <c r="M66" i="2"/>
  <c r="N66" i="2"/>
  <c r="O66" i="2"/>
  <c r="G68" i="2"/>
  <c r="H68" i="2"/>
  <c r="I68" i="2"/>
  <c r="J68" i="2"/>
  <c r="K68" i="2"/>
  <c r="L68" i="2"/>
  <c r="M68" i="2"/>
  <c r="N68" i="2"/>
  <c r="O68" i="2"/>
  <c r="G69" i="2"/>
  <c r="H69" i="2"/>
  <c r="I69" i="2"/>
  <c r="J69" i="2"/>
  <c r="K69" i="2"/>
  <c r="L69" i="2"/>
  <c r="M69" i="2"/>
  <c r="N69" i="2"/>
  <c r="O69" i="2"/>
  <c r="G70" i="2"/>
  <c r="H70" i="2"/>
  <c r="I70" i="2"/>
  <c r="J70" i="2"/>
  <c r="K70" i="2"/>
  <c r="L70" i="2"/>
  <c r="M70" i="2"/>
  <c r="N70" i="2"/>
  <c r="O70" i="2"/>
  <c r="G71" i="2"/>
  <c r="H71" i="2"/>
  <c r="I71" i="2"/>
  <c r="J71" i="2"/>
  <c r="K71" i="2"/>
  <c r="L71" i="2"/>
  <c r="M71" i="2"/>
  <c r="N71" i="2"/>
  <c r="O71" i="2"/>
  <c r="G72" i="2"/>
  <c r="H72" i="2"/>
  <c r="I72" i="2"/>
  <c r="J72" i="2"/>
  <c r="K72" i="2"/>
  <c r="L72" i="2"/>
  <c r="M72" i="2"/>
  <c r="N72" i="2"/>
  <c r="O72" i="2"/>
  <c r="G73" i="2"/>
  <c r="H73" i="2"/>
  <c r="I73" i="2"/>
  <c r="J73" i="2"/>
  <c r="K73" i="2"/>
  <c r="L73" i="2"/>
  <c r="M73" i="2"/>
  <c r="N73" i="2"/>
  <c r="O73" i="2"/>
  <c r="G74" i="2"/>
  <c r="H74" i="2"/>
  <c r="I74" i="2"/>
  <c r="J74" i="2"/>
  <c r="K74" i="2"/>
  <c r="L74" i="2"/>
  <c r="M74" i="2"/>
  <c r="N74" i="2"/>
  <c r="O74" i="2"/>
  <c r="G75" i="2"/>
  <c r="H75" i="2"/>
  <c r="I75" i="2"/>
  <c r="J75" i="2"/>
  <c r="K75" i="2"/>
  <c r="L75" i="2"/>
  <c r="M75" i="2"/>
  <c r="N75" i="2"/>
  <c r="O75" i="2"/>
  <c r="G76" i="2"/>
  <c r="H76" i="2"/>
  <c r="I76" i="2"/>
  <c r="J76" i="2"/>
  <c r="K76" i="2"/>
  <c r="L76" i="2"/>
  <c r="M76" i="2"/>
  <c r="N76" i="2"/>
  <c r="O76" i="2"/>
  <c r="G77" i="2"/>
  <c r="H77" i="2"/>
  <c r="I77" i="2"/>
  <c r="J77" i="2"/>
  <c r="K77" i="2"/>
  <c r="L77" i="2"/>
  <c r="M77" i="2"/>
  <c r="N77" i="2"/>
  <c r="O77" i="2"/>
  <c r="G78" i="2"/>
  <c r="H78" i="2"/>
  <c r="I78" i="2"/>
  <c r="J78" i="2"/>
  <c r="K78" i="2"/>
  <c r="L78" i="2"/>
  <c r="M78" i="2"/>
  <c r="N78" i="2"/>
  <c r="O78" i="2"/>
  <c r="G79" i="2"/>
  <c r="H79" i="2"/>
  <c r="I79" i="2"/>
  <c r="J79" i="2"/>
  <c r="K79" i="2"/>
  <c r="L79" i="2"/>
  <c r="M79" i="2"/>
  <c r="N79" i="2"/>
  <c r="O79" i="2"/>
  <c r="G80" i="2"/>
  <c r="H80" i="2"/>
  <c r="I80" i="2"/>
  <c r="J80" i="2"/>
  <c r="K80" i="2"/>
  <c r="L80" i="2"/>
  <c r="M80" i="2"/>
  <c r="N80" i="2"/>
  <c r="O80" i="2"/>
  <c r="G81" i="2"/>
  <c r="H81" i="2"/>
  <c r="I81" i="2"/>
  <c r="J81" i="2"/>
  <c r="K81" i="2"/>
  <c r="L81" i="2"/>
  <c r="M81" i="2"/>
  <c r="N81" i="2"/>
  <c r="O81" i="2"/>
  <c r="G82" i="2"/>
  <c r="H82" i="2"/>
  <c r="I82" i="2"/>
  <c r="J82" i="2"/>
  <c r="K82" i="2"/>
  <c r="L82" i="2"/>
  <c r="M82" i="2"/>
  <c r="N82" i="2"/>
  <c r="O82" i="2"/>
  <c r="G83" i="2"/>
  <c r="H83" i="2"/>
  <c r="I83" i="2"/>
  <c r="J83" i="2"/>
  <c r="K83" i="2"/>
  <c r="L83" i="2"/>
  <c r="M83" i="2"/>
  <c r="N83" i="2"/>
  <c r="O83" i="2"/>
  <c r="G84" i="2"/>
  <c r="H84" i="2"/>
  <c r="I84" i="2"/>
  <c r="J84" i="2"/>
  <c r="K84" i="2"/>
  <c r="L84" i="2"/>
  <c r="M84" i="2"/>
  <c r="N84" i="2"/>
  <c r="O84" i="2"/>
  <c r="G85" i="2"/>
  <c r="H85" i="2"/>
  <c r="I85" i="2"/>
  <c r="J85" i="2"/>
  <c r="K85" i="2"/>
  <c r="L85" i="2"/>
  <c r="M85" i="2"/>
  <c r="N85" i="2"/>
  <c r="O85" i="2"/>
  <c r="G86" i="2"/>
  <c r="H86" i="2"/>
  <c r="I86" i="2"/>
  <c r="J86" i="2"/>
  <c r="K86" i="2"/>
  <c r="L86" i="2"/>
  <c r="M86" i="2"/>
  <c r="N86" i="2"/>
  <c r="O86" i="2"/>
  <c r="O3" i="2"/>
  <c r="N3" i="2"/>
  <c r="M3" i="2"/>
  <c r="L3" i="2"/>
  <c r="K3" i="2"/>
  <c r="J3" i="2"/>
  <c r="I3" i="2"/>
  <c r="H3" i="2"/>
  <c r="G3" i="2"/>
  <c r="F4" i="2"/>
  <c r="E4" i="2" s="1"/>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8" i="2"/>
  <c r="F47" i="2"/>
  <c r="F49" i="2"/>
  <c r="F51" i="2"/>
  <c r="F50" i="2"/>
  <c r="F53" i="2"/>
  <c r="F52" i="2"/>
  <c r="F55" i="2"/>
  <c r="F57" i="2"/>
  <c r="F54" i="2"/>
  <c r="F56" i="2"/>
  <c r="F61" i="2"/>
  <c r="F59" i="2"/>
  <c r="F60" i="2"/>
  <c r="F58" i="2"/>
  <c r="F62" i="2"/>
  <c r="F64" i="2"/>
  <c r="F63" i="2"/>
  <c r="F65" i="2"/>
  <c r="F67" i="2"/>
  <c r="F66" i="2"/>
  <c r="F68" i="2"/>
  <c r="F69" i="2"/>
  <c r="F70" i="2"/>
  <c r="F71" i="2"/>
  <c r="F72" i="2"/>
  <c r="F73" i="2"/>
  <c r="F74" i="2"/>
  <c r="F75" i="2"/>
  <c r="F76" i="2"/>
  <c r="F77" i="2"/>
  <c r="F78" i="2"/>
  <c r="F79" i="2"/>
  <c r="F80" i="2"/>
  <c r="F81" i="2"/>
  <c r="F82" i="2"/>
  <c r="F83" i="2"/>
  <c r="F84" i="2"/>
  <c r="F85" i="2"/>
  <c r="F86" i="2"/>
  <c r="F3" i="2"/>
  <c r="B4" i="2"/>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8" i="2"/>
  <c r="B47" i="2"/>
  <c r="B49" i="2"/>
  <c r="B51" i="2"/>
  <c r="B50" i="2"/>
  <c r="B53" i="2"/>
  <c r="B52" i="2"/>
  <c r="B55" i="2"/>
  <c r="B57" i="2"/>
  <c r="B54" i="2"/>
  <c r="B56" i="2"/>
  <c r="B61" i="2"/>
  <c r="B59" i="2"/>
  <c r="B60" i="2"/>
  <c r="B58" i="2"/>
  <c r="B62" i="2"/>
  <c r="B64" i="2"/>
  <c r="B63" i="2"/>
  <c r="B65" i="2"/>
  <c r="B67" i="2"/>
  <c r="B66" i="2"/>
  <c r="B68" i="2"/>
  <c r="B69" i="2"/>
  <c r="B70" i="2"/>
  <c r="B71" i="2"/>
  <c r="B72" i="2"/>
  <c r="B73" i="2"/>
  <c r="B74" i="2"/>
  <c r="B75" i="2"/>
  <c r="B76" i="2"/>
  <c r="B77" i="2"/>
  <c r="B78" i="2"/>
  <c r="B79" i="2"/>
  <c r="B80" i="2"/>
  <c r="B81" i="2"/>
  <c r="B82" i="2"/>
  <c r="B83" i="2"/>
  <c r="B84" i="2"/>
  <c r="B85" i="2"/>
  <c r="B86" i="2"/>
  <c r="B3" i="2"/>
  <c r="I508" i="32"/>
  <c r="I509" i="32"/>
  <c r="I510" i="32"/>
  <c r="I511" i="32"/>
  <c r="I512" i="32"/>
  <c r="I513" i="32"/>
  <c r="I514" i="32"/>
  <c r="I3" i="32"/>
  <c r="O225" i="7"/>
  <c r="O579" i="7"/>
  <c r="O605" i="7"/>
  <c r="D598" i="7"/>
  <c r="O49" i="7"/>
  <c r="O584" i="7"/>
  <c r="D579" i="7"/>
  <c r="O578" i="7"/>
  <c r="D65" i="7"/>
  <c r="O119" i="7"/>
  <c r="D601" i="7"/>
  <c r="D105" i="7"/>
  <c r="O118" i="7"/>
  <c r="O597" i="7"/>
  <c r="O587" i="7"/>
  <c r="D597" i="7"/>
  <c r="D83" i="7"/>
  <c r="O580" i="7"/>
  <c r="D577" i="7"/>
  <c r="D583" i="7"/>
  <c r="D78" i="7"/>
  <c r="O613" i="7"/>
  <c r="O14" i="7"/>
  <c r="D614" i="7"/>
  <c r="D50" i="7"/>
  <c r="O586" i="7"/>
  <c r="D49" i="7"/>
  <c r="O614" i="7"/>
  <c r="O34" i="7"/>
  <c r="D107" i="7"/>
  <c r="O83" i="7"/>
  <c r="D590" i="7"/>
  <c r="D118" i="7"/>
  <c r="N222" i="7"/>
  <c r="D619" i="7"/>
  <c r="O589" i="7"/>
  <c r="O592" i="7"/>
  <c r="D148" i="7"/>
  <c r="D582" i="7"/>
  <c r="D607" i="7"/>
  <c r="O107" i="7"/>
  <c r="D15" i="7"/>
  <c r="O611" i="7"/>
  <c r="D585" i="7"/>
  <c r="O20" i="7"/>
  <c r="D611" i="7"/>
  <c r="O581" i="7"/>
  <c r="D600" i="7"/>
  <c r="D129" i="7"/>
  <c r="D581" i="7"/>
  <c r="O619" i="7"/>
  <c r="O55" i="7"/>
  <c r="D14" i="7"/>
  <c r="O593" i="7"/>
  <c r="D570" i="7"/>
  <c r="N188" i="7"/>
  <c r="D70" i="7"/>
  <c r="O583" i="7"/>
  <c r="D609" i="7"/>
  <c r="D41" i="7"/>
  <c r="O594" i="7"/>
  <c r="D603" i="7"/>
  <c r="D599" i="7"/>
  <c r="O101" i="7"/>
  <c r="O576" i="7"/>
  <c r="O575" i="7"/>
  <c r="O563" i="7"/>
  <c r="D586" i="7"/>
  <c r="O148" i="7"/>
  <c r="E221" i="7"/>
  <c r="D595" i="7"/>
  <c r="O573" i="7"/>
  <c r="D580" i="7"/>
  <c r="D605" i="7"/>
  <c r="D589" i="7"/>
  <c r="D205" i="7"/>
  <c r="O601" i="7"/>
  <c r="D613" i="7"/>
  <c r="O606" i="7"/>
  <c r="D566" i="7"/>
  <c r="O608" i="7"/>
  <c r="D604" i="7"/>
  <c r="O129" i="7"/>
  <c r="D119" i="7"/>
  <c r="O21" i="7"/>
  <c r="O71" i="7"/>
  <c r="O596" i="7"/>
  <c r="O28" i="7"/>
  <c r="D606" i="7"/>
  <c r="O577" i="7"/>
  <c r="O70" i="7"/>
  <c r="D34" i="7"/>
  <c r="D608" i="7"/>
  <c r="N214" i="7"/>
  <c r="D20" i="7"/>
  <c r="D576" i="7"/>
  <c r="D578" i="7"/>
  <c r="O574" i="7"/>
  <c r="O600" i="7"/>
  <c r="D29" i="7"/>
  <c r="D28" i="7"/>
  <c r="D616" i="7"/>
  <c r="D54" i="7"/>
  <c r="D593" i="7"/>
  <c r="O599" i="7"/>
  <c r="D101" i="7"/>
  <c r="O570" i="7"/>
  <c r="D225" i="7"/>
  <c r="O602" i="7"/>
  <c r="D587" i="7"/>
  <c r="O78" i="7"/>
  <c r="D73" i="7"/>
  <c r="D573" i="7"/>
  <c r="O73" i="7"/>
  <c r="D615" i="7"/>
  <c r="O585" i="7"/>
  <c r="O616" i="7"/>
  <c r="D572" i="7"/>
  <c r="O57" i="7"/>
  <c r="O612" i="7"/>
  <c r="D571" i="7"/>
  <c r="D27" i="7"/>
  <c r="D584" i="7"/>
  <c r="O38" i="7"/>
  <c r="O29" i="7"/>
  <c r="D588" i="7"/>
  <c r="D575" i="7"/>
  <c r="D594" i="7"/>
  <c r="O105" i="7"/>
  <c r="D71" i="7"/>
  <c r="D592" i="7"/>
  <c r="O65" i="7"/>
  <c r="D612" i="7"/>
  <c r="O590" i="7"/>
  <c r="O595" i="7"/>
  <c r="O104" i="7"/>
  <c r="O582" i="7"/>
  <c r="O15" i="7"/>
  <c r="D46" i="7"/>
  <c r="O50" i="7"/>
  <c r="O604" i="7"/>
  <c r="O591" i="7"/>
  <c r="E225" i="7"/>
  <c r="D602" i="7"/>
  <c r="O598" i="7"/>
  <c r="D596" i="7"/>
  <c r="D574" i="7"/>
  <c r="D57" i="7"/>
  <c r="D38" i="7"/>
  <c r="O238" i="7"/>
  <c r="O603" i="7"/>
  <c r="D618" i="7"/>
  <c r="D55" i="7"/>
  <c r="D563" i="7"/>
  <c r="O46" i="7"/>
  <c r="O54" i="7"/>
  <c r="O27" i="7"/>
  <c r="O566" i="7"/>
  <c r="O571" i="7"/>
  <c r="O610" i="7"/>
  <c r="O32" i="7"/>
  <c r="D591" i="7"/>
  <c r="D610" i="7"/>
  <c r="D32" i="7"/>
  <c r="O607" i="7"/>
  <c r="O617" i="7"/>
  <c r="O572" i="7"/>
  <c r="O618" i="7"/>
  <c r="O588" i="7"/>
  <c r="O205" i="7"/>
  <c r="O609" i="7"/>
  <c r="O615" i="7"/>
  <c r="D617" i="7"/>
  <c r="O41" i="7"/>
  <c r="D104" i="7"/>
  <c r="D21" i="7"/>
  <c r="C225" i="7" l="1"/>
  <c r="C15" i="7"/>
  <c r="C28" i="7"/>
  <c r="C38" i="7"/>
  <c r="C50" i="7"/>
  <c r="C65" i="7"/>
  <c r="C20" i="7"/>
  <c r="C29" i="7"/>
  <c r="C41" i="7"/>
  <c r="C54" i="7"/>
  <c r="C70" i="7"/>
  <c r="C21" i="7"/>
  <c r="C32" i="7"/>
  <c r="C46" i="7"/>
  <c r="C55" i="7"/>
  <c r="C71" i="7"/>
  <c r="C27" i="7"/>
  <c r="C34" i="7"/>
  <c r="C105" i="7"/>
  <c r="C129" i="7"/>
  <c r="C566" i="7"/>
  <c r="C573" i="7"/>
  <c r="C577" i="7"/>
  <c r="C581" i="7"/>
  <c r="C585" i="7"/>
  <c r="C589" i="7"/>
  <c r="C593" i="7"/>
  <c r="C597" i="7"/>
  <c r="C601" i="7"/>
  <c r="C605" i="7"/>
  <c r="C57" i="7"/>
  <c r="C78" i="7"/>
  <c r="C83" i="7"/>
  <c r="C107" i="7"/>
  <c r="C148" i="7"/>
  <c r="C570" i="7"/>
  <c r="C574" i="7"/>
  <c r="C578" i="7"/>
  <c r="C582" i="7"/>
  <c r="C586" i="7"/>
  <c r="C590" i="7"/>
  <c r="C592" i="7"/>
  <c r="C603" i="7"/>
  <c r="C610" i="7"/>
  <c r="C614" i="7"/>
  <c r="C618" i="7"/>
  <c r="C571" i="7"/>
  <c r="C572" i="7"/>
  <c r="C587" i="7"/>
  <c r="C588" i="7"/>
  <c r="C594" i="7"/>
  <c r="C604" i="7"/>
  <c r="C595" i="7"/>
  <c r="C606" i="7"/>
  <c r="C611" i="7"/>
  <c r="C615" i="7"/>
  <c r="C619" i="7"/>
  <c r="C14" i="7"/>
  <c r="C104" i="7"/>
  <c r="C205" i="7"/>
  <c r="C563" i="7"/>
  <c r="C583" i="7"/>
  <c r="C584" i="7"/>
  <c r="C596" i="7"/>
  <c r="C607" i="7"/>
  <c r="C73" i="7"/>
  <c r="C49" i="7"/>
  <c r="C101" i="7"/>
  <c r="C118" i="7"/>
  <c r="C119" i="7"/>
  <c r="C579" i="7"/>
  <c r="C580" i="7"/>
  <c r="C599" i="7"/>
  <c r="C600" i="7"/>
  <c r="C609" i="7"/>
  <c r="C612" i="7"/>
  <c r="C616" i="7"/>
  <c r="C591" i="7"/>
  <c r="C576" i="7"/>
  <c r="C602" i="7"/>
  <c r="C608" i="7"/>
  <c r="C617" i="7"/>
  <c r="C598" i="7"/>
  <c r="C575" i="7"/>
  <c r="C613" i="7"/>
  <c r="I34" i="29"/>
  <c r="K155" i="29"/>
  <c r="A45" i="29"/>
  <c r="A102" i="29"/>
  <c r="G163" i="29"/>
  <c r="C189" i="29"/>
  <c r="D189" i="29" s="1"/>
  <c r="I163" i="29"/>
  <c r="J163" i="29" s="1"/>
  <c r="E179" i="29"/>
  <c r="K159" i="29"/>
  <c r="E183" i="29"/>
  <c r="A187" i="29"/>
  <c r="A120" i="29"/>
  <c r="E175" i="29"/>
  <c r="E110" i="29"/>
  <c r="A114" i="29"/>
  <c r="K135" i="29"/>
  <c r="E257" i="29"/>
  <c r="A257" i="29"/>
  <c r="G183" i="29"/>
  <c r="E118" i="29"/>
  <c r="C165" i="29"/>
  <c r="C53" i="29"/>
  <c r="D53" i="29" s="1"/>
  <c r="A96" i="29"/>
  <c r="K151" i="29"/>
  <c r="G179" i="29"/>
  <c r="K183" i="29"/>
  <c r="G135" i="29"/>
  <c r="I155" i="29"/>
  <c r="E96" i="29"/>
  <c r="C116" i="29"/>
  <c r="D116" i="29" s="1"/>
  <c r="K179" i="29"/>
  <c r="G159" i="29"/>
  <c r="A3" i="29"/>
  <c r="E150" i="29"/>
  <c r="C185" i="29"/>
  <c r="D185" i="29" s="1"/>
  <c r="A231" i="29"/>
  <c r="G131" i="29"/>
  <c r="K143" i="29"/>
  <c r="P213" i="4"/>
  <c r="G105" i="29"/>
  <c r="I105" i="29"/>
  <c r="G114" i="29"/>
  <c r="I114" i="29"/>
  <c r="K114" i="29"/>
  <c r="E221" i="29"/>
  <c r="A221" i="29"/>
  <c r="E245" i="29"/>
  <c r="A245" i="29"/>
  <c r="G168" i="29"/>
  <c r="I168" i="29"/>
  <c r="J168" i="29" s="1"/>
  <c r="A176" i="29"/>
  <c r="C176" i="29"/>
  <c r="E225" i="29"/>
  <c r="A225" i="29"/>
  <c r="E253" i="29"/>
  <c r="A253" i="29"/>
  <c r="E211" i="29"/>
  <c r="A211" i="29"/>
  <c r="E229" i="29"/>
  <c r="A229" i="29"/>
  <c r="A184" i="29"/>
  <c r="C184" i="29"/>
  <c r="D184" i="29" s="1"/>
  <c r="C190" i="29"/>
  <c r="D190" i="29" s="1"/>
  <c r="E190" i="29"/>
  <c r="E239" i="29"/>
  <c r="A239" i="29"/>
  <c r="A113" i="29"/>
  <c r="C113" i="29"/>
  <c r="D113" i="29" s="1"/>
  <c r="E113" i="29"/>
  <c r="E223" i="29"/>
  <c r="A223" i="29"/>
  <c r="E261" i="29"/>
  <c r="A261" i="29"/>
  <c r="K126" i="29"/>
  <c r="G126" i="29"/>
  <c r="I126" i="29"/>
  <c r="A164" i="29"/>
  <c r="C164" i="29"/>
  <c r="D164" i="29" s="1"/>
  <c r="E205" i="29"/>
  <c r="A205" i="29"/>
  <c r="E233" i="29"/>
  <c r="A233" i="29"/>
  <c r="A91" i="29"/>
  <c r="E91" i="29"/>
  <c r="C91" i="29"/>
  <c r="D91" i="29" s="1"/>
  <c r="E209" i="29"/>
  <c r="A209" i="29"/>
  <c r="E213" i="29"/>
  <c r="A213" i="29"/>
  <c r="E237" i="29"/>
  <c r="A237" i="29"/>
  <c r="A93" i="29"/>
  <c r="G94" i="29"/>
  <c r="C104" i="29"/>
  <c r="D104" i="29" s="1"/>
  <c r="E108" i="29"/>
  <c r="C118" i="29"/>
  <c r="D118" i="29" s="1"/>
  <c r="D128" i="29"/>
  <c r="E138" i="29"/>
  <c r="I139" i="29"/>
  <c r="I143" i="29"/>
  <c r="I151" i="29"/>
  <c r="J151" i="29" s="1"/>
  <c r="I160" i="29"/>
  <c r="J160" i="29" s="1"/>
  <c r="E167" i="29"/>
  <c r="A215" i="29"/>
  <c r="A235" i="29"/>
  <c r="A7" i="29"/>
  <c r="C32" i="29"/>
  <c r="D32" i="29" s="1"/>
  <c r="C41" i="29"/>
  <c r="C102" i="29"/>
  <c r="D102" i="29" s="1"/>
  <c r="C110" i="29"/>
  <c r="D110" i="29" s="1"/>
  <c r="A112" i="29"/>
  <c r="E116" i="29"/>
  <c r="C120" i="29"/>
  <c r="K139" i="29"/>
  <c r="G167" i="29"/>
  <c r="G175" i="29"/>
  <c r="C107" i="29"/>
  <c r="D107" i="29" s="1"/>
  <c r="C112" i="29"/>
  <c r="D112" i="29" s="1"/>
  <c r="E135" i="29"/>
  <c r="C139" i="29"/>
  <c r="D139" i="29" s="1"/>
  <c r="E142" i="29"/>
  <c r="I167" i="29"/>
  <c r="J167" i="29" s="1"/>
  <c r="I175" i="29"/>
  <c r="I180" i="29"/>
  <c r="C93" i="29"/>
  <c r="D93" i="29" s="1"/>
  <c r="I94" i="29"/>
  <c r="J94" i="29" s="1"/>
  <c r="D21" i="29"/>
  <c r="K30" i="29"/>
  <c r="C47" i="29"/>
  <c r="D47" i="29" s="1"/>
  <c r="I131" i="29"/>
  <c r="J131" i="29" s="1"/>
  <c r="A207" i="29"/>
  <c r="A227" i="29"/>
  <c r="A249" i="29"/>
  <c r="A31" i="29"/>
  <c r="C33" i="29"/>
  <c r="D33" i="29" s="1"/>
  <c r="C35" i="29"/>
  <c r="D35" i="29" s="1"/>
  <c r="E139" i="29"/>
  <c r="E151" i="29"/>
  <c r="C177" i="29"/>
  <c r="D177" i="29" s="1"/>
  <c r="I108" i="29"/>
  <c r="A11" i="29"/>
  <c r="E33" i="29"/>
  <c r="A94" i="29"/>
  <c r="E143" i="29"/>
  <c r="E159" i="29"/>
  <c r="E163" i="29"/>
  <c r="E155" i="29"/>
  <c r="P212" i="4"/>
  <c r="G43" i="29"/>
  <c r="I43" i="29"/>
  <c r="J43" i="29" s="1"/>
  <c r="K43" i="29"/>
  <c r="A10" i="29"/>
  <c r="C10" i="29"/>
  <c r="D10" i="29" s="1"/>
  <c r="E10" i="29"/>
  <c r="A22" i="29"/>
  <c r="C22" i="29"/>
  <c r="D22" i="29" s="1"/>
  <c r="E22" i="29"/>
  <c r="G41" i="29"/>
  <c r="I41" i="29"/>
  <c r="J41" i="29" s="1"/>
  <c r="K41" i="29"/>
  <c r="A18" i="29"/>
  <c r="C18" i="29"/>
  <c r="D18" i="29" s="1"/>
  <c r="E18" i="29"/>
  <c r="A6" i="29"/>
  <c r="E6" i="29"/>
  <c r="C6" i="29"/>
  <c r="D6" i="29" s="1"/>
  <c r="A14" i="29"/>
  <c r="C14" i="29"/>
  <c r="D14" i="29" s="1"/>
  <c r="E14" i="29"/>
  <c r="G31" i="29"/>
  <c r="I31" i="29"/>
  <c r="J31" i="29" s="1"/>
  <c r="K31" i="29"/>
  <c r="G33" i="29"/>
  <c r="I33" i="29"/>
  <c r="J33" i="29" s="1"/>
  <c r="K33" i="29"/>
  <c r="A95" i="29"/>
  <c r="E95" i="29"/>
  <c r="G96" i="29"/>
  <c r="K96" i="29"/>
  <c r="C105" i="29"/>
  <c r="D105" i="29" s="1"/>
  <c r="A105" i="29"/>
  <c r="E105" i="29"/>
  <c r="G119" i="29"/>
  <c r="I119" i="29"/>
  <c r="J119" i="29" s="1"/>
  <c r="K119" i="29"/>
  <c r="G125" i="29"/>
  <c r="K125" i="29"/>
  <c r="I125" i="29"/>
  <c r="J125" i="29" s="1"/>
  <c r="C154" i="29"/>
  <c r="D154" i="29" s="1"/>
  <c r="A154" i="29"/>
  <c r="E154" i="29"/>
  <c r="G29" i="29"/>
  <c r="I29" i="29"/>
  <c r="J29" i="29" s="1"/>
  <c r="G45" i="29"/>
  <c r="I45" i="29"/>
  <c r="J45" i="29" s="1"/>
  <c r="E55" i="29"/>
  <c r="E59" i="29"/>
  <c r="C59" i="29"/>
  <c r="D59" i="29" s="1"/>
  <c r="G63" i="29"/>
  <c r="K63" i="29"/>
  <c r="I63" i="29"/>
  <c r="J63" i="29" s="1"/>
  <c r="C66" i="29"/>
  <c r="D66" i="29" s="1"/>
  <c r="A66" i="29"/>
  <c r="E66" i="29"/>
  <c r="K70" i="29"/>
  <c r="I70" i="29"/>
  <c r="J70" i="29" s="1"/>
  <c r="G70" i="29"/>
  <c r="E79" i="29"/>
  <c r="C79" i="29"/>
  <c r="D79" i="29" s="1"/>
  <c r="G83" i="29"/>
  <c r="K83" i="29"/>
  <c r="I83" i="29"/>
  <c r="J83" i="29" s="1"/>
  <c r="C86" i="29"/>
  <c r="D86" i="29" s="1"/>
  <c r="A86" i="29"/>
  <c r="E86" i="29"/>
  <c r="K90" i="29"/>
  <c r="I90" i="29"/>
  <c r="J90" i="29" s="1"/>
  <c r="G90" i="29"/>
  <c r="C92" i="29"/>
  <c r="D92" i="29" s="1"/>
  <c r="A92" i="29"/>
  <c r="E92" i="29"/>
  <c r="G93" i="29"/>
  <c r="K93" i="29"/>
  <c r="J93" i="29"/>
  <c r="A8" i="29"/>
  <c r="C11" i="29"/>
  <c r="D11" i="29" s="1"/>
  <c r="K45" i="29"/>
  <c r="G47" i="29"/>
  <c r="I47" i="29"/>
  <c r="J47" i="29" s="1"/>
  <c r="C55" i="29"/>
  <c r="D55" i="29" s="1"/>
  <c r="E57" i="29"/>
  <c r="C57" i="29"/>
  <c r="D57" i="29" s="1"/>
  <c r="G61" i="29"/>
  <c r="K61" i="29"/>
  <c r="I61" i="29"/>
  <c r="J61" i="29" s="1"/>
  <c r="C64" i="29"/>
  <c r="D64" i="29" s="1"/>
  <c r="A64" i="29"/>
  <c r="E64" i="29"/>
  <c r="K68" i="29"/>
  <c r="I68" i="29"/>
  <c r="J68" i="29" s="1"/>
  <c r="G68" i="29"/>
  <c r="E77" i="29"/>
  <c r="C77" i="29"/>
  <c r="D77" i="29" s="1"/>
  <c r="G81" i="29"/>
  <c r="K81" i="29"/>
  <c r="I81" i="29"/>
  <c r="J81" i="29" s="1"/>
  <c r="C84" i="29"/>
  <c r="D84" i="29" s="1"/>
  <c r="A84" i="29"/>
  <c r="E84" i="29"/>
  <c r="K88" i="29"/>
  <c r="I88" i="29"/>
  <c r="J88" i="29" s="1"/>
  <c r="G88" i="29"/>
  <c r="C8" i="29"/>
  <c r="D8" i="29" s="1"/>
  <c r="C17" i="29"/>
  <c r="D17" i="29" s="1"/>
  <c r="E19" i="29"/>
  <c r="A30" i="29"/>
  <c r="E30" i="29"/>
  <c r="C31" i="29"/>
  <c r="D31" i="29" s="1"/>
  <c r="G32" i="29"/>
  <c r="C36" i="29"/>
  <c r="D36" i="29" s="1"/>
  <c r="E37" i="29"/>
  <c r="C40" i="29"/>
  <c r="D40" i="29" s="1"/>
  <c r="E43" i="29"/>
  <c r="I44" i="29"/>
  <c r="J44" i="29" s="1"/>
  <c r="G44" i="29"/>
  <c r="C46" i="29"/>
  <c r="D46" i="29" s="1"/>
  <c r="A46" i="29"/>
  <c r="E46" i="29"/>
  <c r="K47" i="29"/>
  <c r="G53" i="29"/>
  <c r="I53" i="29"/>
  <c r="J53" i="29" s="1"/>
  <c r="G59" i="29"/>
  <c r="K59" i="29"/>
  <c r="I59" i="29"/>
  <c r="J59" i="29" s="1"/>
  <c r="C62" i="29"/>
  <c r="D62" i="29" s="1"/>
  <c r="A62" i="29"/>
  <c r="E62" i="29"/>
  <c r="K66" i="29"/>
  <c r="I66" i="29"/>
  <c r="J66" i="29" s="1"/>
  <c r="G66" i="29"/>
  <c r="E71" i="29"/>
  <c r="C71" i="29"/>
  <c r="D71" i="29" s="1"/>
  <c r="G79" i="29"/>
  <c r="K79" i="29"/>
  <c r="I79" i="29"/>
  <c r="J79" i="29" s="1"/>
  <c r="C82" i="29"/>
  <c r="D82" i="29" s="1"/>
  <c r="A82" i="29"/>
  <c r="E82" i="29"/>
  <c r="K86" i="29"/>
  <c r="I86" i="29"/>
  <c r="J86" i="29" s="1"/>
  <c r="G86" i="29"/>
  <c r="K92" i="29"/>
  <c r="I92" i="29"/>
  <c r="J92" i="29" s="1"/>
  <c r="G92" i="29"/>
  <c r="C95" i="29"/>
  <c r="D95" i="29" s="1"/>
  <c r="I96" i="29"/>
  <c r="J96" i="29" s="1"/>
  <c r="A126" i="29"/>
  <c r="E126" i="29"/>
  <c r="C126" i="29"/>
  <c r="D126" i="29" s="1"/>
  <c r="J127" i="29"/>
  <c r="G140" i="29"/>
  <c r="K140" i="29"/>
  <c r="I140" i="29"/>
  <c r="J140" i="29" s="1"/>
  <c r="E162" i="29"/>
  <c r="C162" i="29"/>
  <c r="D162" i="29" s="1"/>
  <c r="A162" i="29"/>
  <c r="A12" i="29"/>
  <c r="A119" i="29"/>
  <c r="E119" i="29"/>
  <c r="C119" i="29"/>
  <c r="D119" i="29" s="1"/>
  <c r="C127" i="29"/>
  <c r="D127" i="29" s="1"/>
  <c r="E127" i="29"/>
  <c r="A127" i="29"/>
  <c r="G136" i="29"/>
  <c r="K136" i="29"/>
  <c r="I136" i="29"/>
  <c r="J136" i="29" s="1"/>
  <c r="A180" i="29"/>
  <c r="E180" i="29"/>
  <c r="C180" i="29"/>
  <c r="D180" i="29" s="1"/>
  <c r="E203" i="29"/>
  <c r="C203" i="29"/>
  <c r="D203" i="29" s="1"/>
  <c r="A203" i="29"/>
  <c r="A4" i="29"/>
  <c r="C5" i="29"/>
  <c r="D5" i="29" s="1"/>
  <c r="D3" i="29"/>
  <c r="C4" i="29"/>
  <c r="D4" i="29" s="1"/>
  <c r="C7" i="29"/>
  <c r="D7" i="29" s="1"/>
  <c r="E8" i="29"/>
  <c r="E9" i="29"/>
  <c r="D16" i="29"/>
  <c r="A16" i="29"/>
  <c r="C30" i="29"/>
  <c r="D30" i="29" s="1"/>
  <c r="I32" i="29"/>
  <c r="J32" i="29" s="1"/>
  <c r="C43" i="29"/>
  <c r="D43" i="29" s="1"/>
  <c r="K44" i="29"/>
  <c r="C48" i="29"/>
  <c r="D48" i="29" s="1"/>
  <c r="A48" i="29"/>
  <c r="E48" i="29"/>
  <c r="G55" i="29"/>
  <c r="I55" i="29"/>
  <c r="J55" i="29" s="1"/>
  <c r="G57" i="29"/>
  <c r="K57" i="29"/>
  <c r="I57" i="29"/>
  <c r="J57" i="29" s="1"/>
  <c r="C60" i="29"/>
  <c r="D60" i="29" s="1"/>
  <c r="A60" i="29"/>
  <c r="E60" i="29"/>
  <c r="K64" i="29"/>
  <c r="I64" i="29"/>
  <c r="J64" i="29" s="1"/>
  <c r="G64" i="29"/>
  <c r="E69" i="29"/>
  <c r="C69" i="29"/>
  <c r="D69" i="29" s="1"/>
  <c r="G77" i="29"/>
  <c r="K77" i="29"/>
  <c r="I77" i="29"/>
  <c r="J77" i="29" s="1"/>
  <c r="C80" i="29"/>
  <c r="D80" i="29" s="1"/>
  <c r="A80" i="29"/>
  <c r="E80" i="29"/>
  <c r="K84" i="29"/>
  <c r="I84" i="29"/>
  <c r="J84" i="29" s="1"/>
  <c r="G84" i="29"/>
  <c r="E89" i="29"/>
  <c r="C89" i="29"/>
  <c r="D89" i="29" s="1"/>
  <c r="G95" i="29"/>
  <c r="K95" i="29"/>
  <c r="I95" i="29"/>
  <c r="J95" i="29" s="1"/>
  <c r="E101" i="29"/>
  <c r="C101" i="29"/>
  <c r="D101" i="29" s="1"/>
  <c r="A101" i="29"/>
  <c r="A103" i="29"/>
  <c r="E103" i="29"/>
  <c r="C103" i="29"/>
  <c r="D103" i="29" s="1"/>
  <c r="G113" i="29"/>
  <c r="K113" i="29"/>
  <c r="C130" i="29"/>
  <c r="D130" i="29" s="1"/>
  <c r="A130" i="29"/>
  <c r="E130" i="29"/>
  <c r="G117" i="29"/>
  <c r="K117" i="29"/>
  <c r="I117" i="29"/>
  <c r="J117" i="29" s="1"/>
  <c r="A17" i="29"/>
  <c r="E17" i="29"/>
  <c r="C19" i="29"/>
  <c r="D19" i="29" s="1"/>
  <c r="E20" i="29"/>
  <c r="K29" i="29"/>
  <c r="A34" i="29"/>
  <c r="E34" i="29"/>
  <c r="I40" i="29"/>
  <c r="J40" i="29" s="1"/>
  <c r="G40" i="29"/>
  <c r="A42" i="29"/>
  <c r="E42" i="29"/>
  <c r="K46" i="29"/>
  <c r="I46" i="29"/>
  <c r="J46" i="29" s="1"/>
  <c r="G46" i="29"/>
  <c r="C54" i="29"/>
  <c r="A54" i="29"/>
  <c r="E54" i="29"/>
  <c r="K55" i="29"/>
  <c r="C58" i="29"/>
  <c r="D58" i="29" s="1"/>
  <c r="A58" i="29"/>
  <c r="E58" i="29"/>
  <c r="K62" i="29"/>
  <c r="I62" i="29"/>
  <c r="J62" i="29" s="1"/>
  <c r="G62" i="29"/>
  <c r="E67" i="29"/>
  <c r="C67" i="29"/>
  <c r="D67" i="29" s="1"/>
  <c r="G71" i="29"/>
  <c r="K71" i="29"/>
  <c r="I71" i="29"/>
  <c r="J71" i="29" s="1"/>
  <c r="C78" i="29"/>
  <c r="D78" i="29" s="1"/>
  <c r="A78" i="29"/>
  <c r="E78" i="29"/>
  <c r="K82" i="29"/>
  <c r="I82" i="29"/>
  <c r="J82" i="29" s="1"/>
  <c r="G82" i="29"/>
  <c r="E87" i="29"/>
  <c r="C87" i="29"/>
  <c r="D87" i="29" s="1"/>
  <c r="G101" i="29"/>
  <c r="K101" i="29"/>
  <c r="I101" i="29"/>
  <c r="J101" i="29" s="1"/>
  <c r="G103" i="29"/>
  <c r="I103" i="29"/>
  <c r="J103" i="29" s="1"/>
  <c r="K103" i="29"/>
  <c r="I113" i="29"/>
  <c r="J113" i="29" s="1"/>
  <c r="A115" i="29"/>
  <c r="E115" i="29"/>
  <c r="G116" i="29"/>
  <c r="K116" i="29"/>
  <c r="C134" i="29"/>
  <c r="D134" i="29" s="1"/>
  <c r="A134" i="29"/>
  <c r="E134" i="29"/>
  <c r="G184" i="29"/>
  <c r="K184" i="29"/>
  <c r="I184" i="29"/>
  <c r="J184" i="29" s="1"/>
  <c r="C12" i="29"/>
  <c r="D12" i="29" s="1"/>
  <c r="A36" i="29"/>
  <c r="E36" i="29"/>
  <c r="C37" i="29"/>
  <c r="D37" i="29" s="1"/>
  <c r="G36" i="29"/>
  <c r="G37" i="29"/>
  <c r="I37" i="29"/>
  <c r="J37" i="29" s="1"/>
  <c r="E39" i="29"/>
  <c r="E3" i="29"/>
  <c r="A13" i="29"/>
  <c r="E13" i="29"/>
  <c r="C15" i="29"/>
  <c r="D15" i="29" s="1"/>
  <c r="E16" i="29"/>
  <c r="A21" i="29"/>
  <c r="E21" i="29"/>
  <c r="C29" i="29"/>
  <c r="D29" i="29" s="1"/>
  <c r="J30" i="29"/>
  <c r="G30" i="29"/>
  <c r="C34" i="29"/>
  <c r="D34" i="29" s="1"/>
  <c r="E35" i="29"/>
  <c r="I36" i="29"/>
  <c r="J36" i="29" s="1"/>
  <c r="K37" i="29"/>
  <c r="C39" i="29"/>
  <c r="D39" i="29" s="1"/>
  <c r="K40" i="29"/>
  <c r="C42" i="29"/>
  <c r="D42" i="29" s="1"/>
  <c r="E45" i="29"/>
  <c r="D45" i="29"/>
  <c r="K48" i="29"/>
  <c r="I48" i="29"/>
  <c r="J48" i="29" s="1"/>
  <c r="G48" i="29"/>
  <c r="D54" i="29"/>
  <c r="C56" i="29"/>
  <c r="D56" i="29" s="1"/>
  <c r="A56" i="29"/>
  <c r="E56" i="29"/>
  <c r="K60" i="29"/>
  <c r="I60" i="29"/>
  <c r="J60" i="29" s="1"/>
  <c r="G60" i="29"/>
  <c r="E65" i="29"/>
  <c r="C65" i="29"/>
  <c r="D65" i="29" s="1"/>
  <c r="G69" i="29"/>
  <c r="K69" i="29"/>
  <c r="I69" i="29"/>
  <c r="J69" i="29" s="1"/>
  <c r="C72" i="29"/>
  <c r="D72" i="29" s="1"/>
  <c r="A72" i="29"/>
  <c r="E72" i="29"/>
  <c r="K80" i="29"/>
  <c r="I80" i="29"/>
  <c r="J80" i="29" s="1"/>
  <c r="G80" i="29"/>
  <c r="E85" i="29"/>
  <c r="C85" i="29"/>
  <c r="D85" i="29" s="1"/>
  <c r="G89" i="29"/>
  <c r="K89" i="29"/>
  <c r="I89" i="29"/>
  <c r="J89" i="29" s="1"/>
  <c r="G107" i="29"/>
  <c r="K107" i="29"/>
  <c r="I107" i="29"/>
  <c r="J107" i="29" s="1"/>
  <c r="A109" i="29"/>
  <c r="E109" i="29"/>
  <c r="C109" i="29"/>
  <c r="D109" i="29" s="1"/>
  <c r="G110" i="29"/>
  <c r="K110" i="29"/>
  <c r="I110" i="29"/>
  <c r="J110" i="29" s="1"/>
  <c r="K112" i="29"/>
  <c r="I112" i="29"/>
  <c r="J112" i="29" s="1"/>
  <c r="G112" i="29"/>
  <c r="C115" i="29"/>
  <c r="D115" i="29" s="1"/>
  <c r="I116" i="29"/>
  <c r="J116" i="29" s="1"/>
  <c r="E174" i="29"/>
  <c r="C174" i="29"/>
  <c r="D174" i="29" s="1"/>
  <c r="A174" i="29"/>
  <c r="G104" i="29"/>
  <c r="K104" i="29"/>
  <c r="I104" i="29"/>
  <c r="J104" i="29" s="1"/>
  <c r="G111" i="29"/>
  <c r="K111" i="29"/>
  <c r="I111" i="29"/>
  <c r="J111" i="29" s="1"/>
  <c r="C9" i="29"/>
  <c r="D9" i="29" s="1"/>
  <c r="I38" i="29"/>
  <c r="J38" i="29" s="1"/>
  <c r="G38" i="29"/>
  <c r="A40" i="29"/>
  <c r="E40" i="29"/>
  <c r="E4" i="29"/>
  <c r="E5" i="29"/>
  <c r="E15" i="29"/>
  <c r="E29" i="29"/>
  <c r="K36" i="29"/>
  <c r="A38" i="29"/>
  <c r="E38" i="29"/>
  <c r="E47" i="29"/>
  <c r="K54" i="29"/>
  <c r="I54" i="29"/>
  <c r="J54" i="29" s="1"/>
  <c r="G54" i="29"/>
  <c r="K58" i="29"/>
  <c r="I58" i="29"/>
  <c r="J58" i="29" s="1"/>
  <c r="G58" i="29"/>
  <c r="E63" i="29"/>
  <c r="C63" i="29"/>
  <c r="D63" i="29" s="1"/>
  <c r="G67" i="29"/>
  <c r="K67" i="29"/>
  <c r="I67" i="29"/>
  <c r="J67" i="29" s="1"/>
  <c r="C70" i="29"/>
  <c r="D70" i="29" s="1"/>
  <c r="A70" i="29"/>
  <c r="E70" i="29"/>
  <c r="K78" i="29"/>
  <c r="I78" i="29"/>
  <c r="J78" i="29" s="1"/>
  <c r="G78" i="29"/>
  <c r="E83" i="29"/>
  <c r="C83" i="29"/>
  <c r="D83" i="29" s="1"/>
  <c r="G87" i="29"/>
  <c r="K87" i="29"/>
  <c r="I87" i="29"/>
  <c r="J87" i="29" s="1"/>
  <c r="C90" i="29"/>
  <c r="D90" i="29" s="1"/>
  <c r="A90" i="29"/>
  <c r="E90" i="29"/>
  <c r="A106" i="29"/>
  <c r="E106" i="29"/>
  <c r="C106" i="29"/>
  <c r="D106" i="29" s="1"/>
  <c r="G109" i="29"/>
  <c r="I109" i="29"/>
  <c r="J109" i="29" s="1"/>
  <c r="C111" i="29"/>
  <c r="D111" i="29" s="1"/>
  <c r="A111" i="29"/>
  <c r="G115" i="29"/>
  <c r="K115" i="29"/>
  <c r="I115" i="29"/>
  <c r="J115" i="29" s="1"/>
  <c r="G120" i="29"/>
  <c r="K120" i="29"/>
  <c r="I120" i="29"/>
  <c r="J120" i="29" s="1"/>
  <c r="D20" i="29"/>
  <c r="A20" i="29"/>
  <c r="A32" i="29"/>
  <c r="E32" i="29"/>
  <c r="J34" i="29"/>
  <c r="G34" i="29"/>
  <c r="G35" i="29"/>
  <c r="I35" i="29"/>
  <c r="J35" i="29" s="1"/>
  <c r="A37" i="29"/>
  <c r="G39" i="29"/>
  <c r="I39" i="29"/>
  <c r="J39" i="29" s="1"/>
  <c r="E41" i="29"/>
  <c r="D41" i="29"/>
  <c r="I42" i="29"/>
  <c r="J42" i="29" s="1"/>
  <c r="G42" i="29"/>
  <c r="A44" i="29"/>
  <c r="E44" i="29"/>
  <c r="E53" i="29"/>
  <c r="A55" i="29"/>
  <c r="K56" i="29"/>
  <c r="I56" i="29"/>
  <c r="J56" i="29" s="1"/>
  <c r="G56" i="29"/>
  <c r="A59" i="29"/>
  <c r="E61" i="29"/>
  <c r="C61" i="29"/>
  <c r="D61" i="29" s="1"/>
  <c r="G65" i="29"/>
  <c r="K65" i="29"/>
  <c r="I65" i="29"/>
  <c r="J65" i="29" s="1"/>
  <c r="C68" i="29"/>
  <c r="D68" i="29" s="1"/>
  <c r="A68" i="29"/>
  <c r="E68" i="29"/>
  <c r="K72" i="29"/>
  <c r="I72" i="29"/>
  <c r="J72" i="29" s="1"/>
  <c r="G72" i="29"/>
  <c r="A79" i="29"/>
  <c r="E81" i="29"/>
  <c r="C81" i="29"/>
  <c r="D81" i="29" s="1"/>
  <c r="G85" i="29"/>
  <c r="K85" i="29"/>
  <c r="I85" i="29"/>
  <c r="J85" i="29" s="1"/>
  <c r="C88" i="29"/>
  <c r="D88" i="29" s="1"/>
  <c r="A88" i="29"/>
  <c r="E88" i="29"/>
  <c r="G91" i="29"/>
  <c r="K91" i="29"/>
  <c r="I91" i="29"/>
  <c r="J91" i="29" s="1"/>
  <c r="I106" i="29"/>
  <c r="J106" i="29" s="1"/>
  <c r="G106" i="29"/>
  <c r="C125" i="29"/>
  <c r="D125" i="29" s="1"/>
  <c r="A125" i="29"/>
  <c r="E125" i="29"/>
  <c r="K128" i="29"/>
  <c r="G128" i="29"/>
  <c r="I128" i="29"/>
  <c r="J128" i="29" s="1"/>
  <c r="A107" i="29"/>
  <c r="G132" i="29"/>
  <c r="K132" i="29"/>
  <c r="G138" i="29"/>
  <c r="I138" i="29"/>
  <c r="J138" i="29" s="1"/>
  <c r="G142" i="29"/>
  <c r="I142" i="29"/>
  <c r="J142" i="29" s="1"/>
  <c r="K149" i="29"/>
  <c r="I149" i="29"/>
  <c r="J149" i="29" s="1"/>
  <c r="A157" i="29"/>
  <c r="E157" i="29"/>
  <c r="C157" i="29"/>
  <c r="D157" i="29" s="1"/>
  <c r="G162" i="29"/>
  <c r="I162" i="29"/>
  <c r="J162" i="29" s="1"/>
  <c r="G174" i="29"/>
  <c r="I174" i="29"/>
  <c r="J174" i="29" s="1"/>
  <c r="E182" i="29"/>
  <c r="C182" i="29"/>
  <c r="D182" i="29" s="1"/>
  <c r="K200" i="29"/>
  <c r="I200" i="29"/>
  <c r="J200" i="29" s="1"/>
  <c r="G200" i="29"/>
  <c r="A104" i="29"/>
  <c r="J114" i="29"/>
  <c r="A117" i="29"/>
  <c r="A128" i="29"/>
  <c r="A129" i="29"/>
  <c r="E129" i="29"/>
  <c r="I132" i="29"/>
  <c r="J132" i="29" s="1"/>
  <c r="G134" i="29"/>
  <c r="I134" i="29"/>
  <c r="J134" i="29" s="1"/>
  <c r="A137" i="29"/>
  <c r="E137" i="29"/>
  <c r="A141" i="29"/>
  <c r="E141" i="29"/>
  <c r="D141" i="29"/>
  <c r="G152" i="29"/>
  <c r="K152" i="29"/>
  <c r="I152" i="29"/>
  <c r="J152" i="29" s="1"/>
  <c r="G154" i="29"/>
  <c r="I154" i="29"/>
  <c r="J154" i="29" s="1"/>
  <c r="G182" i="29"/>
  <c r="I182" i="29"/>
  <c r="J182" i="29" s="1"/>
  <c r="C198" i="29"/>
  <c r="D198" i="29" s="1"/>
  <c r="A198" i="29"/>
  <c r="E198" i="29"/>
  <c r="J108" i="29"/>
  <c r="C129" i="29"/>
  <c r="D129" i="29" s="1"/>
  <c r="G130" i="29"/>
  <c r="I130" i="29"/>
  <c r="J130" i="29" s="1"/>
  <c r="A133" i="29"/>
  <c r="E133" i="29"/>
  <c r="D133" i="29"/>
  <c r="C137" i="29"/>
  <c r="D137" i="29" s="1"/>
  <c r="K138" i="29"/>
  <c r="K142" i="29"/>
  <c r="E144" i="29"/>
  <c r="C144" i="29"/>
  <c r="D144" i="29" s="1"/>
  <c r="A144" i="29"/>
  <c r="C150" i="29"/>
  <c r="D150" i="29" s="1"/>
  <c r="A153" i="29"/>
  <c r="E153" i="29"/>
  <c r="D153" i="29"/>
  <c r="K157" i="29"/>
  <c r="I157" i="29"/>
  <c r="J157" i="29" s="1"/>
  <c r="K162" i="29"/>
  <c r="K165" i="29"/>
  <c r="I165" i="29"/>
  <c r="J165" i="29" s="1"/>
  <c r="K174" i="29"/>
  <c r="G191" i="29"/>
  <c r="K191" i="29"/>
  <c r="I191" i="29"/>
  <c r="J191" i="29" s="1"/>
  <c r="C158" i="29"/>
  <c r="D158" i="29" s="1"/>
  <c r="A158" i="29"/>
  <c r="A161" i="29"/>
  <c r="E161" i="29"/>
  <c r="C166" i="29"/>
  <c r="D166" i="29" s="1"/>
  <c r="A166" i="29"/>
  <c r="A173" i="29"/>
  <c r="E173" i="29"/>
  <c r="K177" i="29"/>
  <c r="I177" i="29"/>
  <c r="J177" i="29" s="1"/>
  <c r="K182" i="29"/>
  <c r="C192" i="29"/>
  <c r="D192" i="29" s="1"/>
  <c r="A192" i="29"/>
  <c r="E192" i="29"/>
  <c r="C94" i="29"/>
  <c r="D94" i="29" s="1"/>
  <c r="I102" i="29"/>
  <c r="J102" i="29" s="1"/>
  <c r="J105" i="29"/>
  <c r="K108" i="29"/>
  <c r="C114" i="29"/>
  <c r="D114" i="29" s="1"/>
  <c r="C117" i="29"/>
  <c r="D117" i="29" s="1"/>
  <c r="I118" i="29"/>
  <c r="J118" i="29" s="1"/>
  <c r="D120" i="29"/>
  <c r="E128" i="29"/>
  <c r="K130" i="29"/>
  <c r="E136" i="29"/>
  <c r="A136" i="29"/>
  <c r="K137" i="29"/>
  <c r="I137" i="29"/>
  <c r="J137" i="29" s="1"/>
  <c r="A140" i="29"/>
  <c r="E140" i="29"/>
  <c r="K141" i="29"/>
  <c r="I141" i="29"/>
  <c r="J141" i="29" s="1"/>
  <c r="G144" i="29"/>
  <c r="K144" i="29"/>
  <c r="G150" i="29"/>
  <c r="K150" i="29"/>
  <c r="I150" i="29"/>
  <c r="J150" i="29" s="1"/>
  <c r="E156" i="29"/>
  <c r="C156" i="29"/>
  <c r="D156" i="29" s="1"/>
  <c r="A156" i="29"/>
  <c r="E158" i="29"/>
  <c r="C161" i="29"/>
  <c r="D161" i="29" s="1"/>
  <c r="E166" i="29"/>
  <c r="C173" i="29"/>
  <c r="D173" i="29" s="1"/>
  <c r="C178" i="29"/>
  <c r="D178" i="29" s="1"/>
  <c r="A178" i="29"/>
  <c r="A181" i="29"/>
  <c r="E181" i="29"/>
  <c r="K185" i="29"/>
  <c r="I185" i="29"/>
  <c r="J185" i="29" s="1"/>
  <c r="K102" i="29"/>
  <c r="K105" i="29"/>
  <c r="C108" i="29"/>
  <c r="D108" i="29" s="1"/>
  <c r="K118" i="29"/>
  <c r="J126" i="29"/>
  <c r="K129" i="29"/>
  <c r="I129" i="29"/>
  <c r="J129" i="29" s="1"/>
  <c r="A131" i="29"/>
  <c r="C131" i="29"/>
  <c r="D131" i="29" s="1"/>
  <c r="D132" i="29"/>
  <c r="A132" i="29"/>
  <c r="E132" i="29"/>
  <c r="K133" i="29"/>
  <c r="I133" i="29"/>
  <c r="J133" i="29" s="1"/>
  <c r="C136" i="29"/>
  <c r="D136" i="29" s="1"/>
  <c r="C140" i="29"/>
  <c r="D140" i="29" s="1"/>
  <c r="I144" i="29"/>
  <c r="J144" i="29" s="1"/>
  <c r="G158" i="29"/>
  <c r="K158" i="29"/>
  <c r="I158" i="29"/>
  <c r="J158" i="29" s="1"/>
  <c r="G164" i="29"/>
  <c r="K164" i="29"/>
  <c r="J164" i="29"/>
  <c r="G166" i="29"/>
  <c r="K166" i="29"/>
  <c r="I166" i="29"/>
  <c r="J166" i="29" s="1"/>
  <c r="E178" i="29"/>
  <c r="C181" i="29"/>
  <c r="D181" i="29" s="1"/>
  <c r="K127" i="29"/>
  <c r="G127" i="29"/>
  <c r="C138" i="29"/>
  <c r="D138" i="29" s="1"/>
  <c r="C142" i="29"/>
  <c r="D142" i="29" s="1"/>
  <c r="A149" i="29"/>
  <c r="E149" i="29"/>
  <c r="C149" i="29"/>
  <c r="D149" i="29" s="1"/>
  <c r="D152" i="29"/>
  <c r="A152" i="29"/>
  <c r="E152" i="29"/>
  <c r="G156" i="29"/>
  <c r="K156" i="29"/>
  <c r="J156" i="29"/>
  <c r="D160" i="29"/>
  <c r="A160" i="29"/>
  <c r="E160" i="29"/>
  <c r="D168" i="29"/>
  <c r="A168" i="29"/>
  <c r="E168" i="29"/>
  <c r="G176" i="29"/>
  <c r="K176" i="29"/>
  <c r="J176" i="29"/>
  <c r="G178" i="29"/>
  <c r="K178" i="29"/>
  <c r="I178" i="29"/>
  <c r="J178" i="29" s="1"/>
  <c r="K188" i="29"/>
  <c r="I188" i="29"/>
  <c r="J188" i="29" s="1"/>
  <c r="G188" i="29"/>
  <c r="K198" i="29"/>
  <c r="I198" i="29"/>
  <c r="J198" i="29" s="1"/>
  <c r="G198" i="29"/>
  <c r="C135" i="29"/>
  <c r="D135" i="29" s="1"/>
  <c r="J139" i="29"/>
  <c r="C143" i="29"/>
  <c r="D143" i="29" s="1"/>
  <c r="C155" i="29"/>
  <c r="D155" i="29" s="1"/>
  <c r="J159" i="29"/>
  <c r="C163" i="29"/>
  <c r="D163" i="29" s="1"/>
  <c r="C175" i="29"/>
  <c r="D175" i="29" s="1"/>
  <c r="J179" i="29"/>
  <c r="C183" i="29"/>
  <c r="D183" i="29" s="1"/>
  <c r="D176" i="29"/>
  <c r="A186" i="29"/>
  <c r="E189" i="29"/>
  <c r="G187" i="29"/>
  <c r="K190" i="29"/>
  <c r="I190" i="29"/>
  <c r="J190" i="29" s="1"/>
  <c r="G190" i="29"/>
  <c r="I153" i="29"/>
  <c r="J153" i="29" s="1"/>
  <c r="I161" i="29"/>
  <c r="J161" i="29" s="1"/>
  <c r="E164" i="29"/>
  <c r="D165" i="29"/>
  <c r="I173" i="29"/>
  <c r="J173" i="29" s="1"/>
  <c r="E176" i="29"/>
  <c r="J180" i="29"/>
  <c r="I181" i="29"/>
  <c r="J181" i="29" s="1"/>
  <c r="E184" i="29"/>
  <c r="D186" i="29"/>
  <c r="I187" i="29"/>
  <c r="J187" i="29" s="1"/>
  <c r="K202" i="29"/>
  <c r="I202" i="29"/>
  <c r="J202" i="29" s="1"/>
  <c r="G202" i="29"/>
  <c r="J135" i="29"/>
  <c r="J143" i="29"/>
  <c r="C151" i="29"/>
  <c r="D151" i="29" s="1"/>
  <c r="K153" i="29"/>
  <c r="J155" i="29"/>
  <c r="C159" i="29"/>
  <c r="D159" i="29" s="1"/>
  <c r="K160" i="29"/>
  <c r="K161" i="29"/>
  <c r="E165" i="29"/>
  <c r="C167" i="29"/>
  <c r="D167" i="29" s="1"/>
  <c r="K168" i="29"/>
  <c r="K173" i="29"/>
  <c r="J175" i="29"/>
  <c r="E177" i="29"/>
  <c r="C179" i="29"/>
  <c r="D179" i="29" s="1"/>
  <c r="K180" i="29"/>
  <c r="K181" i="29"/>
  <c r="J183" i="29"/>
  <c r="E185" i="29"/>
  <c r="E186" i="29"/>
  <c r="K187" i="29"/>
  <c r="K192" i="29"/>
  <c r="I192" i="29"/>
  <c r="J192" i="29" s="1"/>
  <c r="G192" i="29"/>
  <c r="E201" i="29"/>
  <c r="C201" i="29"/>
  <c r="D201" i="29" s="1"/>
  <c r="E199" i="29"/>
  <c r="C199" i="29"/>
  <c r="D199" i="29" s="1"/>
  <c r="G203" i="29"/>
  <c r="K203" i="29"/>
  <c r="I203" i="29"/>
  <c r="J203" i="29" s="1"/>
  <c r="G205" i="29"/>
  <c r="K205" i="29"/>
  <c r="I205" i="29"/>
  <c r="J205" i="29" s="1"/>
  <c r="G207" i="29"/>
  <c r="K207" i="29"/>
  <c r="I207" i="29"/>
  <c r="J207" i="29" s="1"/>
  <c r="G209" i="29"/>
  <c r="K209" i="29"/>
  <c r="I209" i="29"/>
  <c r="J209" i="29" s="1"/>
  <c r="G211" i="29"/>
  <c r="K211" i="29"/>
  <c r="I211" i="29"/>
  <c r="J211" i="29" s="1"/>
  <c r="G213" i="29"/>
  <c r="K213" i="29"/>
  <c r="I213" i="29"/>
  <c r="J213" i="29" s="1"/>
  <c r="G215" i="29"/>
  <c r="K215" i="29"/>
  <c r="I215" i="29"/>
  <c r="J215" i="29" s="1"/>
  <c r="G221" i="29"/>
  <c r="K221" i="29"/>
  <c r="I221" i="29"/>
  <c r="J221" i="29" s="1"/>
  <c r="G223" i="29"/>
  <c r="K223" i="29"/>
  <c r="I223" i="29"/>
  <c r="J223" i="29" s="1"/>
  <c r="G225" i="29"/>
  <c r="K225" i="29"/>
  <c r="I225" i="29"/>
  <c r="J225" i="29" s="1"/>
  <c r="G227" i="29"/>
  <c r="K227" i="29"/>
  <c r="I227" i="29"/>
  <c r="J227" i="29" s="1"/>
  <c r="G229" i="29"/>
  <c r="K229" i="29"/>
  <c r="I229" i="29"/>
  <c r="J229" i="29" s="1"/>
  <c r="G231" i="29"/>
  <c r="K231" i="29"/>
  <c r="I231" i="29"/>
  <c r="J231" i="29" s="1"/>
  <c r="G233" i="29"/>
  <c r="K233" i="29"/>
  <c r="I233" i="29"/>
  <c r="J233" i="29" s="1"/>
  <c r="G235" i="29"/>
  <c r="K235" i="29"/>
  <c r="I235" i="29"/>
  <c r="J235" i="29" s="1"/>
  <c r="G237" i="29"/>
  <c r="K237" i="29"/>
  <c r="I237" i="29"/>
  <c r="J237" i="29" s="1"/>
  <c r="G239" i="29"/>
  <c r="K239" i="29"/>
  <c r="I239" i="29"/>
  <c r="J239" i="29" s="1"/>
  <c r="A246" i="29"/>
  <c r="E246" i="29"/>
  <c r="C246" i="29"/>
  <c r="D246" i="29" s="1"/>
  <c r="A250" i="29"/>
  <c r="E250" i="29"/>
  <c r="C250" i="29"/>
  <c r="D250" i="29" s="1"/>
  <c r="A254" i="29"/>
  <c r="E254" i="29"/>
  <c r="C254" i="29"/>
  <c r="D254" i="29" s="1"/>
  <c r="A258" i="29"/>
  <c r="E258" i="29"/>
  <c r="C258" i="29"/>
  <c r="D258" i="29" s="1"/>
  <c r="A262" i="29"/>
  <c r="E262" i="29"/>
  <c r="C262" i="29"/>
  <c r="D262" i="29" s="1"/>
  <c r="K186" i="29"/>
  <c r="I186" i="29"/>
  <c r="J186" i="29" s="1"/>
  <c r="G186" i="29"/>
  <c r="C188" i="29"/>
  <c r="D188" i="29" s="1"/>
  <c r="A188" i="29"/>
  <c r="G189" i="29"/>
  <c r="J189" i="29"/>
  <c r="E197" i="29"/>
  <c r="C197" i="29"/>
  <c r="D197" i="29" s="1"/>
  <c r="G201" i="29"/>
  <c r="K201" i="29"/>
  <c r="I201" i="29"/>
  <c r="J201" i="29" s="1"/>
  <c r="C204" i="29"/>
  <c r="D204" i="29" s="1"/>
  <c r="A204" i="29"/>
  <c r="E204" i="29"/>
  <c r="C206" i="29"/>
  <c r="D206" i="29" s="1"/>
  <c r="A206" i="29"/>
  <c r="E206" i="29"/>
  <c r="C208" i="29"/>
  <c r="D208" i="29" s="1"/>
  <c r="A208" i="29"/>
  <c r="E208" i="29"/>
  <c r="C210" i="29"/>
  <c r="D210" i="29" s="1"/>
  <c r="A210" i="29"/>
  <c r="E210" i="29"/>
  <c r="C212" i="29"/>
  <c r="D212" i="29" s="1"/>
  <c r="A212" i="29"/>
  <c r="E212" i="29"/>
  <c r="C214" i="29"/>
  <c r="D214" i="29" s="1"/>
  <c r="A214" i="29"/>
  <c r="E214" i="29"/>
  <c r="C216" i="29"/>
  <c r="D216" i="29" s="1"/>
  <c r="A216" i="29"/>
  <c r="E216" i="29"/>
  <c r="C222" i="29"/>
  <c r="D222" i="29" s="1"/>
  <c r="A222" i="29"/>
  <c r="E222" i="29"/>
  <c r="C224" i="29"/>
  <c r="D224" i="29" s="1"/>
  <c r="A224" i="29"/>
  <c r="E224" i="29"/>
  <c r="C226" i="29"/>
  <c r="D226" i="29" s="1"/>
  <c r="A226" i="29"/>
  <c r="E226" i="29"/>
  <c r="C228" i="29"/>
  <c r="D228" i="29" s="1"/>
  <c r="A228" i="29"/>
  <c r="E228" i="29"/>
  <c r="C230" i="29"/>
  <c r="D230" i="29" s="1"/>
  <c r="A230" i="29"/>
  <c r="E230" i="29"/>
  <c r="C232" i="29"/>
  <c r="D232" i="29" s="1"/>
  <c r="A232" i="29"/>
  <c r="E232" i="29"/>
  <c r="C234" i="29"/>
  <c r="D234" i="29" s="1"/>
  <c r="A234" i="29"/>
  <c r="E234" i="29"/>
  <c r="C236" i="29"/>
  <c r="D236" i="29" s="1"/>
  <c r="A236" i="29"/>
  <c r="E236" i="29"/>
  <c r="C238" i="29"/>
  <c r="D238" i="29" s="1"/>
  <c r="A238" i="29"/>
  <c r="E238" i="29"/>
  <c r="C240" i="29"/>
  <c r="D240" i="29" s="1"/>
  <c r="A240" i="29"/>
  <c r="E240" i="29"/>
  <c r="C247" i="29"/>
  <c r="D247" i="29" s="1"/>
  <c r="A247" i="29"/>
  <c r="E247" i="29"/>
  <c r="C251" i="29"/>
  <c r="D251" i="29" s="1"/>
  <c r="A251" i="29"/>
  <c r="E251" i="29"/>
  <c r="C255" i="29"/>
  <c r="D255" i="29" s="1"/>
  <c r="A255" i="29"/>
  <c r="E255" i="29"/>
  <c r="C259" i="29"/>
  <c r="D259" i="29" s="1"/>
  <c r="A259" i="29"/>
  <c r="E259" i="29"/>
  <c r="C263" i="29"/>
  <c r="D263" i="29" s="1"/>
  <c r="A263" i="29"/>
  <c r="E263" i="29"/>
  <c r="E191" i="29"/>
  <c r="C191" i="29"/>
  <c r="D191" i="29" s="1"/>
  <c r="G199" i="29"/>
  <c r="K199" i="29"/>
  <c r="I199" i="29"/>
  <c r="J199" i="29" s="1"/>
  <c r="C202" i="29"/>
  <c r="D202" i="29" s="1"/>
  <c r="A202" i="29"/>
  <c r="E202" i="29"/>
  <c r="E187" i="29"/>
  <c r="D187" i="29"/>
  <c r="E188" i="29"/>
  <c r="K189" i="29"/>
  <c r="G197" i="29"/>
  <c r="K197" i="29"/>
  <c r="I197" i="29"/>
  <c r="J197" i="29" s="1"/>
  <c r="C200" i="29"/>
  <c r="D200" i="29" s="1"/>
  <c r="A200" i="29"/>
  <c r="E200" i="29"/>
  <c r="K204" i="29"/>
  <c r="I204" i="29"/>
  <c r="J204" i="29" s="1"/>
  <c r="G204" i="29"/>
  <c r="K206" i="29"/>
  <c r="I206" i="29"/>
  <c r="J206" i="29" s="1"/>
  <c r="G206" i="29"/>
  <c r="K208" i="29"/>
  <c r="I208" i="29"/>
  <c r="J208" i="29" s="1"/>
  <c r="G208" i="29"/>
  <c r="K210" i="29"/>
  <c r="I210" i="29"/>
  <c r="J210" i="29" s="1"/>
  <c r="G210" i="29"/>
  <c r="K212" i="29"/>
  <c r="I212" i="29"/>
  <c r="J212" i="29" s="1"/>
  <c r="G212" i="29"/>
  <c r="K214" i="29"/>
  <c r="I214" i="29"/>
  <c r="J214" i="29" s="1"/>
  <c r="G214" i="29"/>
  <c r="K216" i="29"/>
  <c r="I216" i="29"/>
  <c r="J216" i="29" s="1"/>
  <c r="G216" i="29"/>
  <c r="K222" i="29"/>
  <c r="I222" i="29"/>
  <c r="J222" i="29" s="1"/>
  <c r="G222" i="29"/>
  <c r="K224" i="29"/>
  <c r="I224" i="29"/>
  <c r="J224" i="29" s="1"/>
  <c r="G224" i="29"/>
  <c r="K226" i="29"/>
  <c r="I226" i="29"/>
  <c r="J226" i="29" s="1"/>
  <c r="G226" i="29"/>
  <c r="K228" i="29"/>
  <c r="I228" i="29"/>
  <c r="J228" i="29" s="1"/>
  <c r="G228" i="29"/>
  <c r="K230" i="29"/>
  <c r="I230" i="29"/>
  <c r="J230" i="29" s="1"/>
  <c r="G230" i="29"/>
  <c r="K232" i="29"/>
  <c r="I232" i="29"/>
  <c r="J232" i="29" s="1"/>
  <c r="G232" i="29"/>
  <c r="K234" i="29"/>
  <c r="I234" i="29"/>
  <c r="J234" i="29" s="1"/>
  <c r="G234" i="29"/>
  <c r="K236" i="29"/>
  <c r="I236" i="29"/>
  <c r="J236" i="29" s="1"/>
  <c r="G236" i="29"/>
  <c r="K238" i="29"/>
  <c r="I238" i="29"/>
  <c r="J238" i="29" s="1"/>
  <c r="G238" i="29"/>
  <c r="K240" i="29"/>
  <c r="I240" i="29"/>
  <c r="J240" i="29" s="1"/>
  <c r="G240" i="29"/>
  <c r="E248" i="29"/>
  <c r="C248" i="29"/>
  <c r="D248" i="29" s="1"/>
  <c r="A248" i="29"/>
  <c r="E252" i="29"/>
  <c r="C252" i="29"/>
  <c r="D252" i="29" s="1"/>
  <c r="A252" i="29"/>
  <c r="E256" i="29"/>
  <c r="C256" i="29"/>
  <c r="D256" i="29" s="1"/>
  <c r="A256" i="29"/>
  <c r="E260" i="29"/>
  <c r="C260" i="29"/>
  <c r="D260" i="29" s="1"/>
  <c r="A260" i="29"/>
  <c r="E264" i="29"/>
  <c r="C264" i="29"/>
  <c r="D264" i="29" s="1"/>
  <c r="A264" i="29"/>
  <c r="C205" i="29"/>
  <c r="D205" i="29" s="1"/>
  <c r="C207" i="29"/>
  <c r="D207" i="29" s="1"/>
  <c r="C209" i="29"/>
  <c r="D209" i="29" s="1"/>
  <c r="C211" i="29"/>
  <c r="D211" i="29" s="1"/>
  <c r="C213" i="29"/>
  <c r="D213" i="29" s="1"/>
  <c r="C215" i="29"/>
  <c r="D215" i="29" s="1"/>
  <c r="C221" i="29"/>
  <c r="D221" i="29" s="1"/>
  <c r="C223" i="29"/>
  <c r="D223" i="29" s="1"/>
  <c r="C225" i="29"/>
  <c r="D225" i="29" s="1"/>
  <c r="C227" i="29"/>
  <c r="D227" i="29" s="1"/>
  <c r="C229" i="29"/>
  <c r="D229" i="29" s="1"/>
  <c r="C231" i="29"/>
  <c r="D231" i="29" s="1"/>
  <c r="C233" i="29"/>
  <c r="D233" i="29" s="1"/>
  <c r="C235" i="29"/>
  <c r="D235" i="29" s="1"/>
  <c r="C237" i="29"/>
  <c r="D237" i="29" s="1"/>
  <c r="C239" i="29"/>
  <c r="D239" i="29" s="1"/>
  <c r="C245" i="29"/>
  <c r="D245" i="29" s="1"/>
  <c r="C249" i="29"/>
  <c r="D249" i="29" s="1"/>
  <c r="C253" i="29"/>
  <c r="D253" i="29" s="1"/>
  <c r="C257" i="29"/>
  <c r="D257" i="29" s="1"/>
  <c r="C261" i="29"/>
  <c r="D261" i="29" s="1"/>
  <c r="A190" i="29"/>
  <c r="P4" i="2"/>
  <c r="D4" i="2"/>
  <c r="F4" i="3"/>
  <c r="L4" i="3"/>
  <c r="M4" i="3"/>
  <c r="N4" i="3"/>
  <c r="O4" i="3"/>
  <c r="F5" i="3"/>
  <c r="L5" i="3"/>
  <c r="M5" i="3"/>
  <c r="N5" i="3"/>
  <c r="O5" i="3"/>
  <c r="F7" i="3"/>
  <c r="L7" i="3"/>
  <c r="M7" i="3"/>
  <c r="N7" i="3"/>
  <c r="O7" i="3"/>
  <c r="F9" i="3"/>
  <c r="L9" i="3"/>
  <c r="M9" i="3"/>
  <c r="N9" i="3"/>
  <c r="O9" i="3"/>
  <c r="F6" i="3"/>
  <c r="L6" i="3"/>
  <c r="M6" i="3"/>
  <c r="N6" i="3"/>
  <c r="O6" i="3"/>
  <c r="F8" i="3"/>
  <c r="L8" i="3"/>
  <c r="M8" i="3"/>
  <c r="N8" i="3"/>
  <c r="O8" i="3"/>
  <c r="F11" i="3"/>
  <c r="L11" i="3"/>
  <c r="M11" i="3"/>
  <c r="N11" i="3"/>
  <c r="O11" i="3"/>
  <c r="F12" i="3"/>
  <c r="L12" i="3"/>
  <c r="M12" i="3"/>
  <c r="N12" i="3"/>
  <c r="O12" i="3"/>
  <c r="F10" i="3"/>
  <c r="L10" i="3"/>
  <c r="M10" i="3"/>
  <c r="N10" i="3"/>
  <c r="O10" i="3"/>
  <c r="F13" i="3"/>
  <c r="L13" i="3"/>
  <c r="M13" i="3"/>
  <c r="N13" i="3"/>
  <c r="O13" i="3"/>
  <c r="F14" i="3"/>
  <c r="L14" i="3"/>
  <c r="M14" i="3"/>
  <c r="N14" i="3"/>
  <c r="O14" i="3"/>
  <c r="F15" i="3"/>
  <c r="L15" i="3"/>
  <c r="M15" i="3"/>
  <c r="N15" i="3"/>
  <c r="O15" i="3"/>
  <c r="F44" i="3"/>
  <c r="L44" i="3"/>
  <c r="M44" i="3"/>
  <c r="N44" i="3"/>
  <c r="O44" i="3"/>
  <c r="F16" i="3"/>
  <c r="L16" i="3"/>
  <c r="M16" i="3"/>
  <c r="N16" i="3"/>
  <c r="O16" i="3"/>
  <c r="F19" i="3"/>
  <c r="L19" i="3"/>
  <c r="M19" i="3"/>
  <c r="N19" i="3"/>
  <c r="O19" i="3"/>
  <c r="F18" i="3"/>
  <c r="L18" i="3"/>
  <c r="M18" i="3"/>
  <c r="N18" i="3"/>
  <c r="O18" i="3"/>
  <c r="F17" i="3"/>
  <c r="L17" i="3"/>
  <c r="M17" i="3"/>
  <c r="N17" i="3"/>
  <c r="O17" i="3"/>
  <c r="F20" i="3"/>
  <c r="L20" i="3"/>
  <c r="M20" i="3"/>
  <c r="N20" i="3"/>
  <c r="O20" i="3"/>
  <c r="F21" i="3"/>
  <c r="L21" i="3"/>
  <c r="M21" i="3"/>
  <c r="N21" i="3"/>
  <c r="O21" i="3"/>
  <c r="F24" i="3"/>
  <c r="L24" i="3"/>
  <c r="M24" i="3"/>
  <c r="N24" i="3"/>
  <c r="O24" i="3"/>
  <c r="F22" i="3"/>
  <c r="L22" i="3"/>
  <c r="M22" i="3"/>
  <c r="N22" i="3"/>
  <c r="O22" i="3"/>
  <c r="F26" i="3"/>
  <c r="L26" i="3"/>
  <c r="M26" i="3"/>
  <c r="N26" i="3"/>
  <c r="O26" i="3"/>
  <c r="F23" i="3"/>
  <c r="L23" i="3"/>
  <c r="M23" i="3"/>
  <c r="N23" i="3"/>
  <c r="O23" i="3"/>
  <c r="F25" i="3"/>
  <c r="L25" i="3"/>
  <c r="M25" i="3"/>
  <c r="N25" i="3"/>
  <c r="O25" i="3"/>
  <c r="F27" i="3"/>
  <c r="L27" i="3"/>
  <c r="M27" i="3"/>
  <c r="N27" i="3"/>
  <c r="O27" i="3"/>
  <c r="F28" i="3"/>
  <c r="L28" i="3"/>
  <c r="M28" i="3"/>
  <c r="N28" i="3"/>
  <c r="O28" i="3"/>
  <c r="F29" i="3"/>
  <c r="L29" i="3"/>
  <c r="M29" i="3"/>
  <c r="N29" i="3"/>
  <c r="O29" i="3"/>
  <c r="F31" i="3"/>
  <c r="L31" i="3"/>
  <c r="M31" i="3"/>
  <c r="N31" i="3"/>
  <c r="O31" i="3"/>
  <c r="F30" i="3"/>
  <c r="L30" i="3"/>
  <c r="M30" i="3"/>
  <c r="N30" i="3"/>
  <c r="O30" i="3"/>
  <c r="F32" i="3"/>
  <c r="L32" i="3"/>
  <c r="M32" i="3"/>
  <c r="N32" i="3"/>
  <c r="O32" i="3"/>
  <c r="F35" i="3"/>
  <c r="L35" i="3"/>
  <c r="M35" i="3"/>
  <c r="N35" i="3"/>
  <c r="O35" i="3"/>
  <c r="F33" i="3"/>
  <c r="L33" i="3"/>
  <c r="M33" i="3"/>
  <c r="N33" i="3"/>
  <c r="O33" i="3"/>
  <c r="F34" i="3"/>
  <c r="L34" i="3"/>
  <c r="M34" i="3"/>
  <c r="N34" i="3"/>
  <c r="O34" i="3"/>
  <c r="F37" i="3"/>
  <c r="L37" i="3"/>
  <c r="M37" i="3"/>
  <c r="N37" i="3"/>
  <c r="O37" i="3"/>
  <c r="F38" i="3"/>
  <c r="L38" i="3"/>
  <c r="M38" i="3"/>
  <c r="N38" i="3"/>
  <c r="O38" i="3"/>
  <c r="F36" i="3"/>
  <c r="L36" i="3"/>
  <c r="M36" i="3"/>
  <c r="N36" i="3"/>
  <c r="O36" i="3"/>
  <c r="F39" i="3"/>
  <c r="L39" i="3"/>
  <c r="M39" i="3"/>
  <c r="N39" i="3"/>
  <c r="O39" i="3"/>
  <c r="F40" i="3"/>
  <c r="L40" i="3"/>
  <c r="M40" i="3"/>
  <c r="N40" i="3"/>
  <c r="O40" i="3"/>
  <c r="F42" i="3"/>
  <c r="L42" i="3"/>
  <c r="M42" i="3"/>
  <c r="N42" i="3"/>
  <c r="O42" i="3"/>
  <c r="F43" i="3"/>
  <c r="L43" i="3"/>
  <c r="M43" i="3"/>
  <c r="N43" i="3"/>
  <c r="O43" i="3"/>
  <c r="F41" i="3"/>
  <c r="L41" i="3"/>
  <c r="M41" i="3"/>
  <c r="N41" i="3"/>
  <c r="O41" i="3"/>
  <c r="F46" i="3"/>
  <c r="L46" i="3"/>
  <c r="M46" i="3"/>
  <c r="N46" i="3"/>
  <c r="O46" i="3"/>
  <c r="F45" i="3"/>
  <c r="L45" i="3"/>
  <c r="M45" i="3"/>
  <c r="N45" i="3"/>
  <c r="O45" i="3"/>
  <c r="F47" i="3"/>
  <c r="L47" i="3"/>
  <c r="M47" i="3"/>
  <c r="N47" i="3"/>
  <c r="O47" i="3"/>
  <c r="F50" i="3"/>
  <c r="L50" i="3"/>
  <c r="M50" i="3"/>
  <c r="N50" i="3"/>
  <c r="O50" i="3"/>
  <c r="F49" i="3"/>
  <c r="L49" i="3"/>
  <c r="M49" i="3"/>
  <c r="N49" i="3"/>
  <c r="O49" i="3"/>
  <c r="F48" i="3"/>
  <c r="L48" i="3"/>
  <c r="M48" i="3"/>
  <c r="N48" i="3"/>
  <c r="O48" i="3"/>
  <c r="F52" i="3"/>
  <c r="L52" i="3"/>
  <c r="M52" i="3"/>
  <c r="N52" i="3"/>
  <c r="O52" i="3"/>
  <c r="F51" i="3"/>
  <c r="L51" i="3"/>
  <c r="M51" i="3"/>
  <c r="N51" i="3"/>
  <c r="O51" i="3"/>
  <c r="F54" i="3"/>
  <c r="L54" i="3"/>
  <c r="M54" i="3"/>
  <c r="N54" i="3"/>
  <c r="O54" i="3"/>
  <c r="F53" i="3"/>
  <c r="L53" i="3"/>
  <c r="M53" i="3"/>
  <c r="N53" i="3"/>
  <c r="O53" i="3"/>
  <c r="F57" i="3"/>
  <c r="L57" i="3"/>
  <c r="M57" i="3"/>
  <c r="N57" i="3"/>
  <c r="O57" i="3"/>
  <c r="F59" i="3"/>
  <c r="L59" i="3"/>
  <c r="M59" i="3"/>
  <c r="N59" i="3"/>
  <c r="O59" i="3"/>
  <c r="F55" i="3"/>
  <c r="L55" i="3"/>
  <c r="M55" i="3"/>
  <c r="N55" i="3"/>
  <c r="O55" i="3"/>
  <c r="F58" i="3"/>
  <c r="L58" i="3"/>
  <c r="M58" i="3"/>
  <c r="N58" i="3"/>
  <c r="O58" i="3"/>
  <c r="F56" i="3"/>
  <c r="L56" i="3"/>
  <c r="M56" i="3"/>
  <c r="N56" i="3"/>
  <c r="O56" i="3"/>
  <c r="F60" i="3"/>
  <c r="L60" i="3"/>
  <c r="M60" i="3"/>
  <c r="N60" i="3"/>
  <c r="O60" i="3"/>
  <c r="F61" i="3"/>
  <c r="L61" i="3"/>
  <c r="M61" i="3"/>
  <c r="N61" i="3"/>
  <c r="O61" i="3"/>
  <c r="F62" i="3"/>
  <c r="L62" i="3"/>
  <c r="M62" i="3"/>
  <c r="N62" i="3"/>
  <c r="O62" i="3"/>
  <c r="F63" i="3"/>
  <c r="L63" i="3"/>
  <c r="M63" i="3"/>
  <c r="N63" i="3"/>
  <c r="O63" i="3"/>
  <c r="F64" i="3"/>
  <c r="L64" i="3"/>
  <c r="M64" i="3"/>
  <c r="N64" i="3"/>
  <c r="O64" i="3"/>
  <c r="F66" i="3"/>
  <c r="L66" i="3"/>
  <c r="M66" i="3"/>
  <c r="N66" i="3"/>
  <c r="O66" i="3"/>
  <c r="F67" i="3"/>
  <c r="L67" i="3"/>
  <c r="M67" i="3"/>
  <c r="N67" i="3"/>
  <c r="O67" i="3"/>
  <c r="F68" i="3"/>
  <c r="L68" i="3"/>
  <c r="M68" i="3"/>
  <c r="N68" i="3"/>
  <c r="O68" i="3"/>
  <c r="F70" i="3"/>
  <c r="L70" i="3"/>
  <c r="M70" i="3"/>
  <c r="N70" i="3"/>
  <c r="O70" i="3"/>
  <c r="F69" i="3"/>
  <c r="L69" i="3"/>
  <c r="M69" i="3"/>
  <c r="N69" i="3"/>
  <c r="O69" i="3"/>
  <c r="F71" i="3"/>
  <c r="L71" i="3"/>
  <c r="M71" i="3"/>
  <c r="N71" i="3"/>
  <c r="O71" i="3"/>
  <c r="F72" i="3"/>
  <c r="L72" i="3"/>
  <c r="M72" i="3"/>
  <c r="N72" i="3"/>
  <c r="O72" i="3"/>
  <c r="F74" i="3"/>
  <c r="L74" i="3"/>
  <c r="M74" i="3"/>
  <c r="N74" i="3"/>
  <c r="O74" i="3"/>
  <c r="F65" i="3"/>
  <c r="L65" i="3"/>
  <c r="M65" i="3"/>
  <c r="N65" i="3"/>
  <c r="O65" i="3"/>
  <c r="F75" i="3"/>
  <c r="L75" i="3"/>
  <c r="M75" i="3"/>
  <c r="N75" i="3"/>
  <c r="O75" i="3"/>
  <c r="F79" i="3"/>
  <c r="L79" i="3"/>
  <c r="M79" i="3"/>
  <c r="N79" i="3"/>
  <c r="O79" i="3"/>
  <c r="F76" i="3"/>
  <c r="L76" i="3"/>
  <c r="M76" i="3"/>
  <c r="N76" i="3"/>
  <c r="O76" i="3"/>
  <c r="F73" i="3"/>
  <c r="L73" i="3"/>
  <c r="M73" i="3"/>
  <c r="N73" i="3"/>
  <c r="O73" i="3"/>
  <c r="F77" i="3"/>
  <c r="L77" i="3"/>
  <c r="M77" i="3"/>
  <c r="N77" i="3"/>
  <c r="O77" i="3"/>
  <c r="F83" i="3"/>
  <c r="L83" i="3"/>
  <c r="M83" i="3"/>
  <c r="N83" i="3"/>
  <c r="O83" i="3"/>
  <c r="F82" i="3"/>
  <c r="L82" i="3"/>
  <c r="M82" i="3"/>
  <c r="N82" i="3"/>
  <c r="O82" i="3"/>
  <c r="F80" i="3"/>
  <c r="L80" i="3"/>
  <c r="M80" i="3"/>
  <c r="N80" i="3"/>
  <c r="O80" i="3"/>
  <c r="F81" i="3"/>
  <c r="L81" i="3"/>
  <c r="M81" i="3"/>
  <c r="N81" i="3"/>
  <c r="O81" i="3"/>
  <c r="F78" i="3"/>
  <c r="L78" i="3"/>
  <c r="M78" i="3"/>
  <c r="N78" i="3"/>
  <c r="O78" i="3"/>
  <c r="F84" i="3"/>
  <c r="L84" i="3"/>
  <c r="M84" i="3"/>
  <c r="N84" i="3"/>
  <c r="O84" i="3"/>
  <c r="F86" i="3"/>
  <c r="L86" i="3"/>
  <c r="M86" i="3"/>
  <c r="N86" i="3"/>
  <c r="O86" i="3"/>
  <c r="F89" i="3"/>
  <c r="L89" i="3"/>
  <c r="M89" i="3"/>
  <c r="N89" i="3"/>
  <c r="O89" i="3"/>
  <c r="F87" i="3"/>
  <c r="L87" i="3"/>
  <c r="M87" i="3"/>
  <c r="N87" i="3"/>
  <c r="O87" i="3"/>
  <c r="F88" i="3"/>
  <c r="L88" i="3"/>
  <c r="M88" i="3"/>
  <c r="N88" i="3"/>
  <c r="O88" i="3"/>
  <c r="F85" i="3"/>
  <c r="L85" i="3"/>
  <c r="M85" i="3"/>
  <c r="N85" i="3"/>
  <c r="O85" i="3"/>
  <c r="F93" i="3"/>
  <c r="L93" i="3"/>
  <c r="M93" i="3"/>
  <c r="N93" i="3"/>
  <c r="O93" i="3"/>
  <c r="F90" i="3"/>
  <c r="L90" i="3"/>
  <c r="M90" i="3"/>
  <c r="N90" i="3"/>
  <c r="O90" i="3"/>
  <c r="F91" i="3"/>
  <c r="L91" i="3"/>
  <c r="M91" i="3"/>
  <c r="N91" i="3"/>
  <c r="O91" i="3"/>
  <c r="F92" i="3"/>
  <c r="L92" i="3"/>
  <c r="M92" i="3"/>
  <c r="N92" i="3"/>
  <c r="O92" i="3"/>
  <c r="F95" i="3"/>
  <c r="L95" i="3"/>
  <c r="M95" i="3"/>
  <c r="N95" i="3"/>
  <c r="O95" i="3"/>
  <c r="F97" i="3"/>
  <c r="L97" i="3"/>
  <c r="M97" i="3"/>
  <c r="N97" i="3"/>
  <c r="O97" i="3"/>
  <c r="F94" i="3"/>
  <c r="L94" i="3"/>
  <c r="M94" i="3"/>
  <c r="N94" i="3"/>
  <c r="O94" i="3"/>
  <c r="F96" i="3"/>
  <c r="L96" i="3"/>
  <c r="M96" i="3"/>
  <c r="N96" i="3"/>
  <c r="O96" i="3"/>
  <c r="F99" i="3"/>
  <c r="L99" i="3"/>
  <c r="M99" i="3"/>
  <c r="N99" i="3"/>
  <c r="O99" i="3"/>
  <c r="F98" i="3"/>
  <c r="L98" i="3"/>
  <c r="M98" i="3"/>
  <c r="N98" i="3"/>
  <c r="O98" i="3"/>
  <c r="F100" i="3"/>
  <c r="L100" i="3"/>
  <c r="M100" i="3"/>
  <c r="N100" i="3"/>
  <c r="O100" i="3"/>
  <c r="F101" i="3"/>
  <c r="L101" i="3"/>
  <c r="M101" i="3"/>
  <c r="N101" i="3"/>
  <c r="O101" i="3"/>
  <c r="F102" i="3"/>
  <c r="L102" i="3"/>
  <c r="M102" i="3"/>
  <c r="N102" i="3"/>
  <c r="O102" i="3"/>
  <c r="F106" i="3"/>
  <c r="L106" i="3"/>
  <c r="M106" i="3"/>
  <c r="N106" i="3"/>
  <c r="O106" i="3"/>
  <c r="F107" i="3"/>
  <c r="L107" i="3"/>
  <c r="M107" i="3"/>
  <c r="N107" i="3"/>
  <c r="O107" i="3"/>
  <c r="F105" i="3"/>
  <c r="L105" i="3"/>
  <c r="M105" i="3"/>
  <c r="N105" i="3"/>
  <c r="O105" i="3"/>
  <c r="F103" i="3"/>
  <c r="L103" i="3"/>
  <c r="M103" i="3"/>
  <c r="N103" i="3"/>
  <c r="O103" i="3"/>
  <c r="F108" i="3"/>
  <c r="L108" i="3"/>
  <c r="M108" i="3"/>
  <c r="N108" i="3"/>
  <c r="O108" i="3"/>
  <c r="F104" i="3"/>
  <c r="L104" i="3"/>
  <c r="M104" i="3"/>
  <c r="N104" i="3"/>
  <c r="O104" i="3"/>
  <c r="F110" i="3"/>
  <c r="L110" i="3"/>
  <c r="M110" i="3"/>
  <c r="N110" i="3"/>
  <c r="O110" i="3"/>
  <c r="F113" i="3"/>
  <c r="L113" i="3"/>
  <c r="M113" i="3"/>
  <c r="N113" i="3"/>
  <c r="O113" i="3"/>
  <c r="F112" i="3"/>
  <c r="L112" i="3"/>
  <c r="M112" i="3"/>
  <c r="N112" i="3"/>
  <c r="O112" i="3"/>
  <c r="F114" i="3"/>
  <c r="L114" i="3"/>
  <c r="M114" i="3"/>
  <c r="N114" i="3"/>
  <c r="O114" i="3"/>
  <c r="F111" i="3"/>
  <c r="L111" i="3"/>
  <c r="M111" i="3"/>
  <c r="N111" i="3"/>
  <c r="O111" i="3"/>
  <c r="F109" i="3"/>
  <c r="L109" i="3"/>
  <c r="M109" i="3"/>
  <c r="N109" i="3"/>
  <c r="O109" i="3"/>
  <c r="F115" i="3"/>
  <c r="L115" i="3"/>
  <c r="M115" i="3"/>
  <c r="N115" i="3"/>
  <c r="O115" i="3"/>
  <c r="B4" i="3"/>
  <c r="B5" i="3"/>
  <c r="B7" i="3"/>
  <c r="B9" i="3"/>
  <c r="B6" i="3"/>
  <c r="B8" i="3"/>
  <c r="B11" i="3"/>
  <c r="B12" i="3"/>
  <c r="B10" i="3"/>
  <c r="B13" i="3"/>
  <c r="B14" i="3"/>
  <c r="B15" i="3"/>
  <c r="B44" i="3"/>
  <c r="B16" i="3"/>
  <c r="B19" i="3"/>
  <c r="B18" i="3"/>
  <c r="B17" i="3"/>
  <c r="B20" i="3"/>
  <c r="B21" i="3"/>
  <c r="B24" i="3"/>
  <c r="B22" i="3"/>
  <c r="B26" i="3"/>
  <c r="B23" i="3"/>
  <c r="B25" i="3"/>
  <c r="B27" i="3"/>
  <c r="B28" i="3"/>
  <c r="B29" i="3"/>
  <c r="B31" i="3"/>
  <c r="B30" i="3"/>
  <c r="B32" i="3"/>
  <c r="B35" i="3"/>
  <c r="B33" i="3"/>
  <c r="B34" i="3"/>
  <c r="B37" i="3"/>
  <c r="B38" i="3"/>
  <c r="B36" i="3"/>
  <c r="B39" i="3"/>
  <c r="B40" i="3"/>
  <c r="B42" i="3"/>
  <c r="B43" i="3"/>
  <c r="B41" i="3"/>
  <c r="B46" i="3"/>
  <c r="B45" i="3"/>
  <c r="B47" i="3"/>
  <c r="B50" i="3"/>
  <c r="B49" i="3"/>
  <c r="B48" i="3"/>
  <c r="B52" i="3"/>
  <c r="B51" i="3"/>
  <c r="B54" i="3"/>
  <c r="B53" i="3"/>
  <c r="B57" i="3"/>
  <c r="B59" i="3"/>
  <c r="B55" i="3"/>
  <c r="B58" i="3"/>
  <c r="B56" i="3"/>
  <c r="B60" i="3"/>
  <c r="B61" i="3"/>
  <c r="B62" i="3"/>
  <c r="B63" i="3"/>
  <c r="B64" i="3"/>
  <c r="B66" i="3"/>
  <c r="B67" i="3"/>
  <c r="B68" i="3"/>
  <c r="B70" i="3"/>
  <c r="B69" i="3"/>
  <c r="B71" i="3"/>
  <c r="B72" i="3"/>
  <c r="B74" i="3"/>
  <c r="B65" i="3"/>
  <c r="B75" i="3"/>
  <c r="B79" i="3"/>
  <c r="B76" i="3"/>
  <c r="B73" i="3"/>
  <c r="B77" i="3"/>
  <c r="B83" i="3"/>
  <c r="B82" i="3"/>
  <c r="B80" i="3"/>
  <c r="B81" i="3"/>
  <c r="B78" i="3"/>
  <c r="B84" i="3"/>
  <c r="B86" i="3"/>
  <c r="B89" i="3"/>
  <c r="B87" i="3"/>
  <c r="B88" i="3"/>
  <c r="B85" i="3"/>
  <c r="B93" i="3"/>
  <c r="B90" i="3"/>
  <c r="B91" i="3"/>
  <c r="B92" i="3"/>
  <c r="B95" i="3"/>
  <c r="B97" i="3"/>
  <c r="B94" i="3"/>
  <c r="B96" i="3"/>
  <c r="B99" i="3"/>
  <c r="B98" i="3"/>
  <c r="B100" i="3"/>
  <c r="B101" i="3"/>
  <c r="B102" i="3"/>
  <c r="B106" i="3"/>
  <c r="B107" i="3"/>
  <c r="B105" i="3"/>
  <c r="B103" i="3"/>
  <c r="B108" i="3"/>
  <c r="B104" i="3"/>
  <c r="B110" i="3"/>
  <c r="B113" i="3"/>
  <c r="B112" i="3"/>
  <c r="B114" i="3"/>
  <c r="B111" i="3"/>
  <c r="B109" i="3"/>
  <c r="B115" i="3"/>
  <c r="F4" i="4"/>
  <c r="I4" i="4"/>
  <c r="J4" i="4"/>
  <c r="K4" i="4"/>
  <c r="L4" i="4"/>
  <c r="M4" i="4"/>
  <c r="N4" i="4"/>
  <c r="O4" i="4"/>
  <c r="F5" i="4"/>
  <c r="I5" i="4"/>
  <c r="J5" i="4"/>
  <c r="K5" i="4"/>
  <c r="L5" i="4"/>
  <c r="M5" i="4"/>
  <c r="N5" i="4"/>
  <c r="O5" i="4"/>
  <c r="F7" i="4"/>
  <c r="I7" i="4"/>
  <c r="J7" i="4"/>
  <c r="K7" i="4"/>
  <c r="L7" i="4"/>
  <c r="M7" i="4"/>
  <c r="N7" i="4"/>
  <c r="O7" i="4"/>
  <c r="F6" i="4"/>
  <c r="I6" i="4"/>
  <c r="J6" i="4"/>
  <c r="K6" i="4"/>
  <c r="L6" i="4"/>
  <c r="M6" i="4"/>
  <c r="N6" i="4"/>
  <c r="O6" i="4"/>
  <c r="F9" i="4"/>
  <c r="I9" i="4"/>
  <c r="J9" i="4"/>
  <c r="K9" i="4"/>
  <c r="L9" i="4"/>
  <c r="M9" i="4"/>
  <c r="N9" i="4"/>
  <c r="O9" i="4"/>
  <c r="F8" i="4"/>
  <c r="I8" i="4"/>
  <c r="J8" i="4"/>
  <c r="K8" i="4"/>
  <c r="L8" i="4"/>
  <c r="M8" i="4"/>
  <c r="N8" i="4"/>
  <c r="O8" i="4"/>
  <c r="F10" i="4"/>
  <c r="I10" i="4"/>
  <c r="J10" i="4"/>
  <c r="K10" i="4"/>
  <c r="L10" i="4"/>
  <c r="M10" i="4"/>
  <c r="N10" i="4"/>
  <c r="O10" i="4"/>
  <c r="F14" i="4"/>
  <c r="I14" i="4"/>
  <c r="J14" i="4"/>
  <c r="K14" i="4"/>
  <c r="L14" i="4"/>
  <c r="M14" i="4"/>
  <c r="N14" i="4"/>
  <c r="O14" i="4"/>
  <c r="F13" i="4"/>
  <c r="I13" i="4"/>
  <c r="J13" i="4"/>
  <c r="K13" i="4"/>
  <c r="L13" i="4"/>
  <c r="M13" i="4"/>
  <c r="N13" i="4"/>
  <c r="O13" i="4"/>
  <c r="F16" i="4"/>
  <c r="I16" i="4"/>
  <c r="J16" i="4"/>
  <c r="K16" i="4"/>
  <c r="L16" i="4"/>
  <c r="M16" i="4"/>
  <c r="N16" i="4"/>
  <c r="O16" i="4"/>
  <c r="F11" i="4"/>
  <c r="I11" i="4"/>
  <c r="J11" i="4"/>
  <c r="K11" i="4"/>
  <c r="L11" i="4"/>
  <c r="M11" i="4"/>
  <c r="N11" i="4"/>
  <c r="O11" i="4"/>
  <c r="F12" i="4"/>
  <c r="I12" i="4"/>
  <c r="J12" i="4"/>
  <c r="K12" i="4"/>
  <c r="L12" i="4"/>
  <c r="M12" i="4"/>
  <c r="N12" i="4"/>
  <c r="O12" i="4"/>
  <c r="F15" i="4"/>
  <c r="I15" i="4"/>
  <c r="J15" i="4"/>
  <c r="K15" i="4"/>
  <c r="L15" i="4"/>
  <c r="M15" i="4"/>
  <c r="N15" i="4"/>
  <c r="O15" i="4"/>
  <c r="F20" i="4"/>
  <c r="I20" i="4"/>
  <c r="J20" i="4"/>
  <c r="K20" i="4"/>
  <c r="L20" i="4"/>
  <c r="M20" i="4"/>
  <c r="N20" i="4"/>
  <c r="O20" i="4"/>
  <c r="F21" i="4"/>
  <c r="I21" i="4"/>
  <c r="J21" i="4"/>
  <c r="K21" i="4"/>
  <c r="L21" i="4"/>
  <c r="M21" i="4"/>
  <c r="N21" i="4"/>
  <c r="O21" i="4"/>
  <c r="F17" i="4"/>
  <c r="I17" i="4"/>
  <c r="J17" i="4"/>
  <c r="K17" i="4"/>
  <c r="L17" i="4"/>
  <c r="M17" i="4"/>
  <c r="N17" i="4"/>
  <c r="O17" i="4"/>
  <c r="F18" i="4"/>
  <c r="I18" i="4"/>
  <c r="J18" i="4"/>
  <c r="K18" i="4"/>
  <c r="L18" i="4"/>
  <c r="M18" i="4"/>
  <c r="N18" i="4"/>
  <c r="O18" i="4"/>
  <c r="F19" i="4"/>
  <c r="I19" i="4"/>
  <c r="J19" i="4"/>
  <c r="K19" i="4"/>
  <c r="L19" i="4"/>
  <c r="M19" i="4"/>
  <c r="N19" i="4"/>
  <c r="O19" i="4"/>
  <c r="F22" i="4"/>
  <c r="I22" i="4"/>
  <c r="J22" i="4"/>
  <c r="K22" i="4"/>
  <c r="L22" i="4"/>
  <c r="M22" i="4"/>
  <c r="N22" i="4"/>
  <c r="O22" i="4"/>
  <c r="F25" i="4"/>
  <c r="I25" i="4"/>
  <c r="J25" i="4"/>
  <c r="K25" i="4"/>
  <c r="L25" i="4"/>
  <c r="M25" i="4"/>
  <c r="N25" i="4"/>
  <c r="O25" i="4"/>
  <c r="F24" i="4"/>
  <c r="I24" i="4"/>
  <c r="J24" i="4"/>
  <c r="K24" i="4"/>
  <c r="L24" i="4"/>
  <c r="M24" i="4"/>
  <c r="N24" i="4"/>
  <c r="O24" i="4"/>
  <c r="F27" i="4"/>
  <c r="I27" i="4"/>
  <c r="J27" i="4"/>
  <c r="K27" i="4"/>
  <c r="L27" i="4"/>
  <c r="M27" i="4"/>
  <c r="N27" i="4"/>
  <c r="O27" i="4"/>
  <c r="F29" i="4"/>
  <c r="I29" i="4"/>
  <c r="J29" i="4"/>
  <c r="K29" i="4"/>
  <c r="L29" i="4"/>
  <c r="M29" i="4"/>
  <c r="N29" i="4"/>
  <c r="O29" i="4"/>
  <c r="F31" i="4"/>
  <c r="I31" i="4"/>
  <c r="J31" i="4"/>
  <c r="K31" i="4"/>
  <c r="L31" i="4"/>
  <c r="M31" i="4"/>
  <c r="N31" i="4"/>
  <c r="O31" i="4"/>
  <c r="F23" i="4"/>
  <c r="I23" i="4"/>
  <c r="J23" i="4"/>
  <c r="K23" i="4"/>
  <c r="L23" i="4"/>
  <c r="M23" i="4"/>
  <c r="N23" i="4"/>
  <c r="O23" i="4"/>
  <c r="F28" i="4"/>
  <c r="I28" i="4"/>
  <c r="J28" i="4"/>
  <c r="K28" i="4"/>
  <c r="L28" i="4"/>
  <c r="M28" i="4"/>
  <c r="N28" i="4"/>
  <c r="O28" i="4"/>
  <c r="F33" i="4"/>
  <c r="I33" i="4"/>
  <c r="J33" i="4"/>
  <c r="K33" i="4"/>
  <c r="L33" i="4"/>
  <c r="M33" i="4"/>
  <c r="N33" i="4"/>
  <c r="O33" i="4"/>
  <c r="F30" i="4"/>
  <c r="I30" i="4"/>
  <c r="J30" i="4"/>
  <c r="K30" i="4"/>
  <c r="L30" i="4"/>
  <c r="M30" i="4"/>
  <c r="N30" i="4"/>
  <c r="O30" i="4"/>
  <c r="F26" i="4"/>
  <c r="I26" i="4"/>
  <c r="J26" i="4"/>
  <c r="K26" i="4"/>
  <c r="L26" i="4"/>
  <c r="M26" i="4"/>
  <c r="N26" i="4"/>
  <c r="O26" i="4"/>
  <c r="F34" i="4"/>
  <c r="I34" i="4"/>
  <c r="J34" i="4"/>
  <c r="K34" i="4"/>
  <c r="L34" i="4"/>
  <c r="M34" i="4"/>
  <c r="N34" i="4"/>
  <c r="O34" i="4"/>
  <c r="F32" i="4"/>
  <c r="I32" i="4"/>
  <c r="J32" i="4"/>
  <c r="K32" i="4"/>
  <c r="L32" i="4"/>
  <c r="M32" i="4"/>
  <c r="N32" i="4"/>
  <c r="O32" i="4"/>
  <c r="F35" i="4"/>
  <c r="I35" i="4"/>
  <c r="J35" i="4"/>
  <c r="K35" i="4"/>
  <c r="L35" i="4"/>
  <c r="M35" i="4"/>
  <c r="N35" i="4"/>
  <c r="O35" i="4"/>
  <c r="F39" i="4"/>
  <c r="I39" i="4"/>
  <c r="J39" i="4"/>
  <c r="K39" i="4"/>
  <c r="L39" i="4"/>
  <c r="M39" i="4"/>
  <c r="N39" i="4"/>
  <c r="O39" i="4"/>
  <c r="F36" i="4"/>
  <c r="I36" i="4"/>
  <c r="J36" i="4"/>
  <c r="K36" i="4"/>
  <c r="L36" i="4"/>
  <c r="M36" i="4"/>
  <c r="N36" i="4"/>
  <c r="O36" i="4"/>
  <c r="F38" i="4"/>
  <c r="I38" i="4"/>
  <c r="J38" i="4"/>
  <c r="K38" i="4"/>
  <c r="L38" i="4"/>
  <c r="M38" i="4"/>
  <c r="N38" i="4"/>
  <c r="O38" i="4"/>
  <c r="F43" i="4"/>
  <c r="I43" i="4"/>
  <c r="J43" i="4"/>
  <c r="K43" i="4"/>
  <c r="L43" i="4"/>
  <c r="M43" i="4"/>
  <c r="N43" i="4"/>
  <c r="O43" i="4"/>
  <c r="F37" i="4"/>
  <c r="I37" i="4"/>
  <c r="J37" i="4"/>
  <c r="K37" i="4"/>
  <c r="L37" i="4"/>
  <c r="M37" i="4"/>
  <c r="N37" i="4"/>
  <c r="O37" i="4"/>
  <c r="F45" i="4"/>
  <c r="I45" i="4"/>
  <c r="J45" i="4"/>
  <c r="K45" i="4"/>
  <c r="L45" i="4"/>
  <c r="M45" i="4"/>
  <c r="N45" i="4"/>
  <c r="O45" i="4"/>
  <c r="F40" i="4"/>
  <c r="I40" i="4"/>
  <c r="J40" i="4"/>
  <c r="K40" i="4"/>
  <c r="L40" i="4"/>
  <c r="M40" i="4"/>
  <c r="N40" i="4"/>
  <c r="O40" i="4"/>
  <c r="F42" i="4"/>
  <c r="I42" i="4"/>
  <c r="J42" i="4"/>
  <c r="K42" i="4"/>
  <c r="L42" i="4"/>
  <c r="M42" i="4"/>
  <c r="N42" i="4"/>
  <c r="O42" i="4"/>
  <c r="F44" i="4"/>
  <c r="I44" i="4"/>
  <c r="J44" i="4"/>
  <c r="K44" i="4"/>
  <c r="L44" i="4"/>
  <c r="M44" i="4"/>
  <c r="N44" i="4"/>
  <c r="O44" i="4"/>
  <c r="F46" i="4"/>
  <c r="I46" i="4"/>
  <c r="J46" i="4"/>
  <c r="K46" i="4"/>
  <c r="L46" i="4"/>
  <c r="M46" i="4"/>
  <c r="N46" i="4"/>
  <c r="O46" i="4"/>
  <c r="F50" i="4"/>
  <c r="I50" i="4"/>
  <c r="J50" i="4"/>
  <c r="K50" i="4"/>
  <c r="L50" i="4"/>
  <c r="M50" i="4"/>
  <c r="N50" i="4"/>
  <c r="O50" i="4"/>
  <c r="F41" i="4"/>
  <c r="I41" i="4"/>
  <c r="J41" i="4"/>
  <c r="K41" i="4"/>
  <c r="L41" i="4"/>
  <c r="M41" i="4"/>
  <c r="N41" i="4"/>
  <c r="O41" i="4"/>
  <c r="F47" i="4"/>
  <c r="I47" i="4"/>
  <c r="J47" i="4"/>
  <c r="K47" i="4"/>
  <c r="L47" i="4"/>
  <c r="M47" i="4"/>
  <c r="N47" i="4"/>
  <c r="O47" i="4"/>
  <c r="F48" i="4"/>
  <c r="I48" i="4"/>
  <c r="J48" i="4"/>
  <c r="K48" i="4"/>
  <c r="L48" i="4"/>
  <c r="M48" i="4"/>
  <c r="N48" i="4"/>
  <c r="O48" i="4"/>
  <c r="F52" i="4"/>
  <c r="I52" i="4"/>
  <c r="J52" i="4"/>
  <c r="K52" i="4"/>
  <c r="L52" i="4"/>
  <c r="M52" i="4"/>
  <c r="N52" i="4"/>
  <c r="O52" i="4"/>
  <c r="F49" i="4"/>
  <c r="I49" i="4"/>
  <c r="J49" i="4"/>
  <c r="K49" i="4"/>
  <c r="L49" i="4"/>
  <c r="M49" i="4"/>
  <c r="N49" i="4"/>
  <c r="O49" i="4"/>
  <c r="F51" i="4"/>
  <c r="I51" i="4"/>
  <c r="J51" i="4"/>
  <c r="K51" i="4"/>
  <c r="L51" i="4"/>
  <c r="M51" i="4"/>
  <c r="N51" i="4"/>
  <c r="O51" i="4"/>
  <c r="F53" i="4"/>
  <c r="I53" i="4"/>
  <c r="J53" i="4"/>
  <c r="K53" i="4"/>
  <c r="L53" i="4"/>
  <c r="M53" i="4"/>
  <c r="N53" i="4"/>
  <c r="O53" i="4"/>
  <c r="F54" i="4"/>
  <c r="I54" i="4"/>
  <c r="J54" i="4"/>
  <c r="K54" i="4"/>
  <c r="L54" i="4"/>
  <c r="M54" i="4"/>
  <c r="N54" i="4"/>
  <c r="O54" i="4"/>
  <c r="F61" i="4"/>
  <c r="I61" i="4"/>
  <c r="J61" i="4"/>
  <c r="K61" i="4"/>
  <c r="L61" i="4"/>
  <c r="M61" i="4"/>
  <c r="N61" i="4"/>
  <c r="O61" i="4"/>
  <c r="F58" i="4"/>
  <c r="I58" i="4"/>
  <c r="J58" i="4"/>
  <c r="K58" i="4"/>
  <c r="L58" i="4"/>
  <c r="M58" i="4"/>
  <c r="N58" i="4"/>
  <c r="O58" i="4"/>
  <c r="F57" i="4"/>
  <c r="I57" i="4"/>
  <c r="J57" i="4"/>
  <c r="K57" i="4"/>
  <c r="L57" i="4"/>
  <c r="M57" i="4"/>
  <c r="N57" i="4"/>
  <c r="O57" i="4"/>
  <c r="F56" i="4"/>
  <c r="I56" i="4"/>
  <c r="J56" i="4"/>
  <c r="K56" i="4"/>
  <c r="L56" i="4"/>
  <c r="M56" i="4"/>
  <c r="N56" i="4"/>
  <c r="O56" i="4"/>
  <c r="F55" i="4"/>
  <c r="I55" i="4"/>
  <c r="J55" i="4"/>
  <c r="K55" i="4"/>
  <c r="L55" i="4"/>
  <c r="M55" i="4"/>
  <c r="N55" i="4"/>
  <c r="O55" i="4"/>
  <c r="F59" i="4"/>
  <c r="I59" i="4"/>
  <c r="J59" i="4"/>
  <c r="K59" i="4"/>
  <c r="L59" i="4"/>
  <c r="M59" i="4"/>
  <c r="N59" i="4"/>
  <c r="O59" i="4"/>
  <c r="F62" i="4"/>
  <c r="I62" i="4"/>
  <c r="J62" i="4"/>
  <c r="K62" i="4"/>
  <c r="L62" i="4"/>
  <c r="M62" i="4"/>
  <c r="N62" i="4"/>
  <c r="O62" i="4"/>
  <c r="F64" i="4"/>
  <c r="I64" i="4"/>
  <c r="J64" i="4"/>
  <c r="K64" i="4"/>
  <c r="L64" i="4"/>
  <c r="M64" i="4"/>
  <c r="N64" i="4"/>
  <c r="O64" i="4"/>
  <c r="F63" i="4"/>
  <c r="I63" i="4"/>
  <c r="J63" i="4"/>
  <c r="K63" i="4"/>
  <c r="L63" i="4"/>
  <c r="M63" i="4"/>
  <c r="N63" i="4"/>
  <c r="O63" i="4"/>
  <c r="F65" i="4"/>
  <c r="I65" i="4"/>
  <c r="J65" i="4"/>
  <c r="K65" i="4"/>
  <c r="L65" i="4"/>
  <c r="M65" i="4"/>
  <c r="N65" i="4"/>
  <c r="O65" i="4"/>
  <c r="F60" i="4"/>
  <c r="I60" i="4"/>
  <c r="J60" i="4"/>
  <c r="K60" i="4"/>
  <c r="L60" i="4"/>
  <c r="M60" i="4"/>
  <c r="N60" i="4"/>
  <c r="O60" i="4"/>
  <c r="F67" i="4"/>
  <c r="I67" i="4"/>
  <c r="J67" i="4"/>
  <c r="K67" i="4"/>
  <c r="L67" i="4"/>
  <c r="M67" i="4"/>
  <c r="N67" i="4"/>
  <c r="O67" i="4"/>
  <c r="F66" i="4"/>
  <c r="I66" i="4"/>
  <c r="J66" i="4"/>
  <c r="K66" i="4"/>
  <c r="L66" i="4"/>
  <c r="M66" i="4"/>
  <c r="N66" i="4"/>
  <c r="O66" i="4"/>
  <c r="F68" i="4"/>
  <c r="I68" i="4"/>
  <c r="J68" i="4"/>
  <c r="K68" i="4"/>
  <c r="L68" i="4"/>
  <c r="M68" i="4"/>
  <c r="N68" i="4"/>
  <c r="O68" i="4"/>
  <c r="F71" i="4"/>
  <c r="I71" i="4"/>
  <c r="J71" i="4"/>
  <c r="K71" i="4"/>
  <c r="L71" i="4"/>
  <c r="M71" i="4"/>
  <c r="N71" i="4"/>
  <c r="O71" i="4"/>
  <c r="F69" i="4"/>
  <c r="I69" i="4"/>
  <c r="J69" i="4"/>
  <c r="K69" i="4"/>
  <c r="L69" i="4"/>
  <c r="M69" i="4"/>
  <c r="N69" i="4"/>
  <c r="O69" i="4"/>
  <c r="F73" i="4"/>
  <c r="I73" i="4"/>
  <c r="J73" i="4"/>
  <c r="K73" i="4"/>
  <c r="L73" i="4"/>
  <c r="M73" i="4"/>
  <c r="N73" i="4"/>
  <c r="O73" i="4"/>
  <c r="F75" i="4"/>
  <c r="I75" i="4"/>
  <c r="J75" i="4"/>
  <c r="K75" i="4"/>
  <c r="L75" i="4"/>
  <c r="M75" i="4"/>
  <c r="N75" i="4"/>
  <c r="O75" i="4"/>
  <c r="F72" i="4"/>
  <c r="I72" i="4"/>
  <c r="J72" i="4"/>
  <c r="K72" i="4"/>
  <c r="L72" i="4"/>
  <c r="M72" i="4"/>
  <c r="N72" i="4"/>
  <c r="O72" i="4"/>
  <c r="F74" i="4"/>
  <c r="I74" i="4"/>
  <c r="J74" i="4"/>
  <c r="K74" i="4"/>
  <c r="L74" i="4"/>
  <c r="M74" i="4"/>
  <c r="N74" i="4"/>
  <c r="O74" i="4"/>
  <c r="F70" i="4"/>
  <c r="I70" i="4"/>
  <c r="J70" i="4"/>
  <c r="K70" i="4"/>
  <c r="L70" i="4"/>
  <c r="M70" i="4"/>
  <c r="N70" i="4"/>
  <c r="O70" i="4"/>
  <c r="F76" i="4"/>
  <c r="I76" i="4"/>
  <c r="J76" i="4"/>
  <c r="K76" i="4"/>
  <c r="L76" i="4"/>
  <c r="M76" i="4"/>
  <c r="N76" i="4"/>
  <c r="O76" i="4"/>
  <c r="F77" i="4"/>
  <c r="I77" i="4"/>
  <c r="J77" i="4"/>
  <c r="K77" i="4"/>
  <c r="L77" i="4"/>
  <c r="M77" i="4"/>
  <c r="N77" i="4"/>
  <c r="O77" i="4"/>
  <c r="F78" i="4"/>
  <c r="I78" i="4"/>
  <c r="J78" i="4"/>
  <c r="K78" i="4"/>
  <c r="L78" i="4"/>
  <c r="M78" i="4"/>
  <c r="N78" i="4"/>
  <c r="O78" i="4"/>
  <c r="F80" i="4"/>
  <c r="I80" i="4"/>
  <c r="J80" i="4"/>
  <c r="K80" i="4"/>
  <c r="L80" i="4"/>
  <c r="M80" i="4"/>
  <c r="N80" i="4"/>
  <c r="O80" i="4"/>
  <c r="F79" i="4"/>
  <c r="I79" i="4"/>
  <c r="J79" i="4"/>
  <c r="K79" i="4"/>
  <c r="L79" i="4"/>
  <c r="M79" i="4"/>
  <c r="N79" i="4"/>
  <c r="O79" i="4"/>
  <c r="F81" i="4"/>
  <c r="I81" i="4"/>
  <c r="J81" i="4"/>
  <c r="K81" i="4"/>
  <c r="L81" i="4"/>
  <c r="M81" i="4"/>
  <c r="N81" i="4"/>
  <c r="O81" i="4"/>
  <c r="F84" i="4"/>
  <c r="I84" i="4"/>
  <c r="J84" i="4"/>
  <c r="K84" i="4"/>
  <c r="L84" i="4"/>
  <c r="M84" i="4"/>
  <c r="N84" i="4"/>
  <c r="O84" i="4"/>
  <c r="F82" i="4"/>
  <c r="I82" i="4"/>
  <c r="J82" i="4"/>
  <c r="K82" i="4"/>
  <c r="L82" i="4"/>
  <c r="M82" i="4"/>
  <c r="N82" i="4"/>
  <c r="O82" i="4"/>
  <c r="F85" i="4"/>
  <c r="I85" i="4"/>
  <c r="J85" i="4"/>
  <c r="K85" i="4"/>
  <c r="L85" i="4"/>
  <c r="M85" i="4"/>
  <c r="N85" i="4"/>
  <c r="O85" i="4"/>
  <c r="F83" i="4"/>
  <c r="I83" i="4"/>
  <c r="J83" i="4"/>
  <c r="K83" i="4"/>
  <c r="L83" i="4"/>
  <c r="M83" i="4"/>
  <c r="N83" i="4"/>
  <c r="O83" i="4"/>
  <c r="F86" i="4"/>
  <c r="I86" i="4"/>
  <c r="J86" i="4"/>
  <c r="K86" i="4"/>
  <c r="L86" i="4"/>
  <c r="M86" i="4"/>
  <c r="N86" i="4"/>
  <c r="O86" i="4"/>
  <c r="F87" i="4"/>
  <c r="I87" i="4"/>
  <c r="J87" i="4"/>
  <c r="K87" i="4"/>
  <c r="L87" i="4"/>
  <c r="M87" i="4"/>
  <c r="N87" i="4"/>
  <c r="O87" i="4"/>
  <c r="F88" i="4"/>
  <c r="I88" i="4"/>
  <c r="J88" i="4"/>
  <c r="K88" i="4"/>
  <c r="L88" i="4"/>
  <c r="M88" i="4"/>
  <c r="N88" i="4"/>
  <c r="O88" i="4"/>
  <c r="F89" i="4"/>
  <c r="I89" i="4"/>
  <c r="J89" i="4"/>
  <c r="K89" i="4"/>
  <c r="L89" i="4"/>
  <c r="M89" i="4"/>
  <c r="N89" i="4"/>
  <c r="O89" i="4"/>
  <c r="F91" i="4"/>
  <c r="I91" i="4"/>
  <c r="J91" i="4"/>
  <c r="K91" i="4"/>
  <c r="L91" i="4"/>
  <c r="M91" i="4"/>
  <c r="N91" i="4"/>
  <c r="O91" i="4"/>
  <c r="F92" i="4"/>
  <c r="I92" i="4"/>
  <c r="J92" i="4"/>
  <c r="K92" i="4"/>
  <c r="L92" i="4"/>
  <c r="M92" i="4"/>
  <c r="N92" i="4"/>
  <c r="O92" i="4"/>
  <c r="F93" i="4"/>
  <c r="I93" i="4"/>
  <c r="J93" i="4"/>
  <c r="K93" i="4"/>
  <c r="L93" i="4"/>
  <c r="M93" i="4"/>
  <c r="N93" i="4"/>
  <c r="O93" i="4"/>
  <c r="F94" i="4"/>
  <c r="I94" i="4"/>
  <c r="J94" i="4"/>
  <c r="K94" i="4"/>
  <c r="L94" i="4"/>
  <c r="M94" i="4"/>
  <c r="N94" i="4"/>
  <c r="O94" i="4"/>
  <c r="F95" i="4"/>
  <c r="I95" i="4"/>
  <c r="J95" i="4"/>
  <c r="K95" i="4"/>
  <c r="L95" i="4"/>
  <c r="M95" i="4"/>
  <c r="N95" i="4"/>
  <c r="O95" i="4"/>
  <c r="F90" i="4"/>
  <c r="I90" i="4"/>
  <c r="J90" i="4"/>
  <c r="K90" i="4"/>
  <c r="L90" i="4"/>
  <c r="M90" i="4"/>
  <c r="N90" i="4"/>
  <c r="O90" i="4"/>
  <c r="F97" i="4"/>
  <c r="I97" i="4"/>
  <c r="J97" i="4"/>
  <c r="K97" i="4"/>
  <c r="L97" i="4"/>
  <c r="M97" i="4"/>
  <c r="N97" i="4"/>
  <c r="O97" i="4"/>
  <c r="F96" i="4"/>
  <c r="I96" i="4"/>
  <c r="J96" i="4"/>
  <c r="K96" i="4"/>
  <c r="L96" i="4"/>
  <c r="M96" i="4"/>
  <c r="N96" i="4"/>
  <c r="O96" i="4"/>
  <c r="F98" i="4"/>
  <c r="I98" i="4"/>
  <c r="J98" i="4"/>
  <c r="K98" i="4"/>
  <c r="L98" i="4"/>
  <c r="M98" i="4"/>
  <c r="N98" i="4"/>
  <c r="O98" i="4"/>
  <c r="F100" i="4"/>
  <c r="I100" i="4"/>
  <c r="J100" i="4"/>
  <c r="K100" i="4"/>
  <c r="L100" i="4"/>
  <c r="M100" i="4"/>
  <c r="N100" i="4"/>
  <c r="O100" i="4"/>
  <c r="F99" i="4"/>
  <c r="I99" i="4"/>
  <c r="J99" i="4"/>
  <c r="K99" i="4"/>
  <c r="L99" i="4"/>
  <c r="M99" i="4"/>
  <c r="N99" i="4"/>
  <c r="O99" i="4"/>
  <c r="F101" i="4"/>
  <c r="I101" i="4"/>
  <c r="J101" i="4"/>
  <c r="K101" i="4"/>
  <c r="L101" i="4"/>
  <c r="M101" i="4"/>
  <c r="N101" i="4"/>
  <c r="O101" i="4"/>
  <c r="F102" i="4"/>
  <c r="I102" i="4"/>
  <c r="J102" i="4"/>
  <c r="K102" i="4"/>
  <c r="L102" i="4"/>
  <c r="M102" i="4"/>
  <c r="N102" i="4"/>
  <c r="O102" i="4"/>
  <c r="F103" i="4"/>
  <c r="I103" i="4"/>
  <c r="J103" i="4"/>
  <c r="K103" i="4"/>
  <c r="L103" i="4"/>
  <c r="M103" i="4"/>
  <c r="N103" i="4"/>
  <c r="O103" i="4"/>
  <c r="F104" i="4"/>
  <c r="I104" i="4"/>
  <c r="J104" i="4"/>
  <c r="K104" i="4"/>
  <c r="L104" i="4"/>
  <c r="M104" i="4"/>
  <c r="N104" i="4"/>
  <c r="O104" i="4"/>
  <c r="F107" i="4"/>
  <c r="I107" i="4"/>
  <c r="J107" i="4"/>
  <c r="K107" i="4"/>
  <c r="L107" i="4"/>
  <c r="M107" i="4"/>
  <c r="N107" i="4"/>
  <c r="O107" i="4"/>
  <c r="F105" i="4"/>
  <c r="I105" i="4"/>
  <c r="J105" i="4"/>
  <c r="K105" i="4"/>
  <c r="L105" i="4"/>
  <c r="M105" i="4"/>
  <c r="N105" i="4"/>
  <c r="O105" i="4"/>
  <c r="F106" i="4"/>
  <c r="I106" i="4"/>
  <c r="J106" i="4"/>
  <c r="K106" i="4"/>
  <c r="L106" i="4"/>
  <c r="M106" i="4"/>
  <c r="N106" i="4"/>
  <c r="O106" i="4"/>
  <c r="F110" i="4"/>
  <c r="I110" i="4"/>
  <c r="J110" i="4"/>
  <c r="K110" i="4"/>
  <c r="L110" i="4"/>
  <c r="M110" i="4"/>
  <c r="N110" i="4"/>
  <c r="O110" i="4"/>
  <c r="F108" i="4"/>
  <c r="I108" i="4"/>
  <c r="J108" i="4"/>
  <c r="K108" i="4"/>
  <c r="L108" i="4"/>
  <c r="M108" i="4"/>
  <c r="N108" i="4"/>
  <c r="O108" i="4"/>
  <c r="F109" i="4"/>
  <c r="I109" i="4"/>
  <c r="J109" i="4"/>
  <c r="K109" i="4"/>
  <c r="L109" i="4"/>
  <c r="M109" i="4"/>
  <c r="N109" i="4"/>
  <c r="O109" i="4"/>
  <c r="F113" i="4"/>
  <c r="I113" i="4"/>
  <c r="J113" i="4"/>
  <c r="K113" i="4"/>
  <c r="L113" i="4"/>
  <c r="M113" i="4"/>
  <c r="N113" i="4"/>
  <c r="O113" i="4"/>
  <c r="F111" i="4"/>
  <c r="I111" i="4"/>
  <c r="J111" i="4"/>
  <c r="K111" i="4"/>
  <c r="L111" i="4"/>
  <c r="M111" i="4"/>
  <c r="N111" i="4"/>
  <c r="O111" i="4"/>
  <c r="F112" i="4"/>
  <c r="I112" i="4"/>
  <c r="J112" i="4"/>
  <c r="K112" i="4"/>
  <c r="L112" i="4"/>
  <c r="M112" i="4"/>
  <c r="N112" i="4"/>
  <c r="O112" i="4"/>
  <c r="F114" i="4"/>
  <c r="I114" i="4"/>
  <c r="J114" i="4"/>
  <c r="K114" i="4"/>
  <c r="L114" i="4"/>
  <c r="M114" i="4"/>
  <c r="N114" i="4"/>
  <c r="O114" i="4"/>
  <c r="F115" i="4"/>
  <c r="I115" i="4"/>
  <c r="J115" i="4"/>
  <c r="K115" i="4"/>
  <c r="L115" i="4"/>
  <c r="M115" i="4"/>
  <c r="N115" i="4"/>
  <c r="O115" i="4"/>
  <c r="F117" i="4"/>
  <c r="I117" i="4"/>
  <c r="J117" i="4"/>
  <c r="K117" i="4"/>
  <c r="L117" i="4"/>
  <c r="M117" i="4"/>
  <c r="N117" i="4"/>
  <c r="O117" i="4"/>
  <c r="F116" i="4"/>
  <c r="I116" i="4"/>
  <c r="J116" i="4"/>
  <c r="K116" i="4"/>
  <c r="L116" i="4"/>
  <c r="M116" i="4"/>
  <c r="N116" i="4"/>
  <c r="O116" i="4"/>
  <c r="F119" i="4"/>
  <c r="I119" i="4"/>
  <c r="J119" i="4"/>
  <c r="K119" i="4"/>
  <c r="L119" i="4"/>
  <c r="M119" i="4"/>
  <c r="N119" i="4"/>
  <c r="O119" i="4"/>
  <c r="F118" i="4"/>
  <c r="I118" i="4"/>
  <c r="J118" i="4"/>
  <c r="K118" i="4"/>
  <c r="L118" i="4"/>
  <c r="M118" i="4"/>
  <c r="N118" i="4"/>
  <c r="O118" i="4"/>
  <c r="F120" i="4"/>
  <c r="I120" i="4"/>
  <c r="J120" i="4"/>
  <c r="K120" i="4"/>
  <c r="L120" i="4"/>
  <c r="M120" i="4"/>
  <c r="N120" i="4"/>
  <c r="O120" i="4"/>
  <c r="F121" i="4"/>
  <c r="I121" i="4"/>
  <c r="J121" i="4"/>
  <c r="K121" i="4"/>
  <c r="L121" i="4"/>
  <c r="M121" i="4"/>
  <c r="N121" i="4"/>
  <c r="O121" i="4"/>
  <c r="F123" i="4"/>
  <c r="I123" i="4"/>
  <c r="J123" i="4"/>
  <c r="K123" i="4"/>
  <c r="L123" i="4"/>
  <c r="M123" i="4"/>
  <c r="N123" i="4"/>
  <c r="O123" i="4"/>
  <c r="F122" i="4"/>
  <c r="I122" i="4"/>
  <c r="J122" i="4"/>
  <c r="K122" i="4"/>
  <c r="L122" i="4"/>
  <c r="M122" i="4"/>
  <c r="N122" i="4"/>
  <c r="O122" i="4"/>
  <c r="F125" i="4"/>
  <c r="I125" i="4"/>
  <c r="J125" i="4"/>
  <c r="K125" i="4"/>
  <c r="L125" i="4"/>
  <c r="M125" i="4"/>
  <c r="N125" i="4"/>
  <c r="O125" i="4"/>
  <c r="F127" i="4"/>
  <c r="I127" i="4"/>
  <c r="J127" i="4"/>
  <c r="K127" i="4"/>
  <c r="L127" i="4"/>
  <c r="M127" i="4"/>
  <c r="N127" i="4"/>
  <c r="O127" i="4"/>
  <c r="F128" i="4"/>
  <c r="I128" i="4"/>
  <c r="J128" i="4"/>
  <c r="K128" i="4"/>
  <c r="L128" i="4"/>
  <c r="M128" i="4"/>
  <c r="N128" i="4"/>
  <c r="O128" i="4"/>
  <c r="F124" i="4"/>
  <c r="I124" i="4"/>
  <c r="J124" i="4"/>
  <c r="K124" i="4"/>
  <c r="L124" i="4"/>
  <c r="M124" i="4"/>
  <c r="N124" i="4"/>
  <c r="O124" i="4"/>
  <c r="F126" i="4"/>
  <c r="I126" i="4"/>
  <c r="J126" i="4"/>
  <c r="K126" i="4"/>
  <c r="L126" i="4"/>
  <c r="M126" i="4"/>
  <c r="N126" i="4"/>
  <c r="O126" i="4"/>
  <c r="F129" i="4"/>
  <c r="I129" i="4"/>
  <c r="J129" i="4"/>
  <c r="K129" i="4"/>
  <c r="L129" i="4"/>
  <c r="M129" i="4"/>
  <c r="N129" i="4"/>
  <c r="O129" i="4"/>
  <c r="F131" i="4"/>
  <c r="I131" i="4"/>
  <c r="J131" i="4"/>
  <c r="K131" i="4"/>
  <c r="L131" i="4"/>
  <c r="M131" i="4"/>
  <c r="N131" i="4"/>
  <c r="O131" i="4"/>
  <c r="F130" i="4"/>
  <c r="I130" i="4"/>
  <c r="J130" i="4"/>
  <c r="K130" i="4"/>
  <c r="L130" i="4"/>
  <c r="M130" i="4"/>
  <c r="N130" i="4"/>
  <c r="O130" i="4"/>
  <c r="F134" i="4"/>
  <c r="I134" i="4"/>
  <c r="J134" i="4"/>
  <c r="K134" i="4"/>
  <c r="L134" i="4"/>
  <c r="M134" i="4"/>
  <c r="N134" i="4"/>
  <c r="O134" i="4"/>
  <c r="F132" i="4"/>
  <c r="I132" i="4"/>
  <c r="J132" i="4"/>
  <c r="K132" i="4"/>
  <c r="L132" i="4"/>
  <c r="M132" i="4"/>
  <c r="N132" i="4"/>
  <c r="O132" i="4"/>
  <c r="F135" i="4"/>
  <c r="I135" i="4"/>
  <c r="J135" i="4"/>
  <c r="K135" i="4"/>
  <c r="L135" i="4"/>
  <c r="M135" i="4"/>
  <c r="N135" i="4"/>
  <c r="O135" i="4"/>
  <c r="F133" i="4"/>
  <c r="I133" i="4"/>
  <c r="J133" i="4"/>
  <c r="K133" i="4"/>
  <c r="L133" i="4"/>
  <c r="M133" i="4"/>
  <c r="N133" i="4"/>
  <c r="O133" i="4"/>
  <c r="F136" i="4"/>
  <c r="I136" i="4"/>
  <c r="J136" i="4"/>
  <c r="K136" i="4"/>
  <c r="L136" i="4"/>
  <c r="M136" i="4"/>
  <c r="N136" i="4"/>
  <c r="O136" i="4"/>
  <c r="F137" i="4"/>
  <c r="I137" i="4"/>
  <c r="J137" i="4"/>
  <c r="K137" i="4"/>
  <c r="L137" i="4"/>
  <c r="M137" i="4"/>
  <c r="N137" i="4"/>
  <c r="O137" i="4"/>
  <c r="F138" i="4"/>
  <c r="I138" i="4"/>
  <c r="J138" i="4"/>
  <c r="K138" i="4"/>
  <c r="L138" i="4"/>
  <c r="M138" i="4"/>
  <c r="N138" i="4"/>
  <c r="O138" i="4"/>
  <c r="F144" i="4"/>
  <c r="I144" i="4"/>
  <c r="J144" i="4"/>
  <c r="K144" i="4"/>
  <c r="L144" i="4"/>
  <c r="M144" i="4"/>
  <c r="N144" i="4"/>
  <c r="O144" i="4"/>
  <c r="F140" i="4"/>
  <c r="I140" i="4"/>
  <c r="J140" i="4"/>
  <c r="K140" i="4"/>
  <c r="L140" i="4"/>
  <c r="M140" i="4"/>
  <c r="N140" i="4"/>
  <c r="O140" i="4"/>
  <c r="F139" i="4"/>
  <c r="I139" i="4"/>
  <c r="J139" i="4"/>
  <c r="K139" i="4"/>
  <c r="L139" i="4"/>
  <c r="M139" i="4"/>
  <c r="N139" i="4"/>
  <c r="O139" i="4"/>
  <c r="F145" i="4"/>
  <c r="I145" i="4"/>
  <c r="J145" i="4"/>
  <c r="K145" i="4"/>
  <c r="L145" i="4"/>
  <c r="M145" i="4"/>
  <c r="N145" i="4"/>
  <c r="O145" i="4"/>
  <c r="F141" i="4"/>
  <c r="I141" i="4"/>
  <c r="J141" i="4"/>
  <c r="K141" i="4"/>
  <c r="L141" i="4"/>
  <c r="M141" i="4"/>
  <c r="N141" i="4"/>
  <c r="O141" i="4"/>
  <c r="F142" i="4"/>
  <c r="I142" i="4"/>
  <c r="J142" i="4"/>
  <c r="K142" i="4"/>
  <c r="L142" i="4"/>
  <c r="M142" i="4"/>
  <c r="N142" i="4"/>
  <c r="O142" i="4"/>
  <c r="F143" i="4"/>
  <c r="I143" i="4"/>
  <c r="J143" i="4"/>
  <c r="K143" i="4"/>
  <c r="L143" i="4"/>
  <c r="M143" i="4"/>
  <c r="N143" i="4"/>
  <c r="O143" i="4"/>
  <c r="F149" i="4"/>
  <c r="I149" i="4"/>
  <c r="J149" i="4"/>
  <c r="K149" i="4"/>
  <c r="L149" i="4"/>
  <c r="M149" i="4"/>
  <c r="N149" i="4"/>
  <c r="O149" i="4"/>
  <c r="F148" i="4"/>
  <c r="I148" i="4"/>
  <c r="J148" i="4"/>
  <c r="K148" i="4"/>
  <c r="L148" i="4"/>
  <c r="M148" i="4"/>
  <c r="N148" i="4"/>
  <c r="O148" i="4"/>
  <c r="F147" i="4"/>
  <c r="I147" i="4"/>
  <c r="J147" i="4"/>
  <c r="K147" i="4"/>
  <c r="L147" i="4"/>
  <c r="M147" i="4"/>
  <c r="N147" i="4"/>
  <c r="O147" i="4"/>
  <c r="F151" i="4"/>
  <c r="I151" i="4"/>
  <c r="J151" i="4"/>
  <c r="K151" i="4"/>
  <c r="L151" i="4"/>
  <c r="M151" i="4"/>
  <c r="N151" i="4"/>
  <c r="O151" i="4"/>
  <c r="F146" i="4"/>
  <c r="I146" i="4"/>
  <c r="J146" i="4"/>
  <c r="K146" i="4"/>
  <c r="L146" i="4"/>
  <c r="M146" i="4"/>
  <c r="N146" i="4"/>
  <c r="O146" i="4"/>
  <c r="F150" i="4"/>
  <c r="I150" i="4"/>
  <c r="J150" i="4"/>
  <c r="K150" i="4"/>
  <c r="L150" i="4"/>
  <c r="M150" i="4"/>
  <c r="N150" i="4"/>
  <c r="O150" i="4"/>
  <c r="F154" i="4"/>
  <c r="I154" i="4"/>
  <c r="J154" i="4"/>
  <c r="K154" i="4"/>
  <c r="L154" i="4"/>
  <c r="M154" i="4"/>
  <c r="N154" i="4"/>
  <c r="O154" i="4"/>
  <c r="F155" i="4"/>
  <c r="I155" i="4"/>
  <c r="J155" i="4"/>
  <c r="K155" i="4"/>
  <c r="L155" i="4"/>
  <c r="M155" i="4"/>
  <c r="N155" i="4"/>
  <c r="O155" i="4"/>
  <c r="F152" i="4"/>
  <c r="I152" i="4"/>
  <c r="J152" i="4"/>
  <c r="K152" i="4"/>
  <c r="L152" i="4"/>
  <c r="M152" i="4"/>
  <c r="N152" i="4"/>
  <c r="O152" i="4"/>
  <c r="F153" i="4"/>
  <c r="I153" i="4"/>
  <c r="J153" i="4"/>
  <c r="K153" i="4"/>
  <c r="L153" i="4"/>
  <c r="M153" i="4"/>
  <c r="N153" i="4"/>
  <c r="O153" i="4"/>
  <c r="F156" i="4"/>
  <c r="I156" i="4"/>
  <c r="J156" i="4"/>
  <c r="K156" i="4"/>
  <c r="L156" i="4"/>
  <c r="M156" i="4"/>
  <c r="N156" i="4"/>
  <c r="O156" i="4"/>
  <c r="F159" i="4"/>
  <c r="I159" i="4"/>
  <c r="J159" i="4"/>
  <c r="K159" i="4"/>
  <c r="L159" i="4"/>
  <c r="M159" i="4"/>
  <c r="N159" i="4"/>
  <c r="O159" i="4"/>
  <c r="F162" i="4"/>
  <c r="I162" i="4"/>
  <c r="J162" i="4"/>
  <c r="K162" i="4"/>
  <c r="L162" i="4"/>
  <c r="M162" i="4"/>
  <c r="N162" i="4"/>
  <c r="O162" i="4"/>
  <c r="F157" i="4"/>
  <c r="I157" i="4"/>
  <c r="J157" i="4"/>
  <c r="K157" i="4"/>
  <c r="L157" i="4"/>
  <c r="M157" i="4"/>
  <c r="N157" i="4"/>
  <c r="O157" i="4"/>
  <c r="F158" i="4"/>
  <c r="I158" i="4"/>
  <c r="J158" i="4"/>
  <c r="K158" i="4"/>
  <c r="L158" i="4"/>
  <c r="M158" i="4"/>
  <c r="N158" i="4"/>
  <c r="O158" i="4"/>
  <c r="F160" i="4"/>
  <c r="I160" i="4"/>
  <c r="J160" i="4"/>
  <c r="K160" i="4"/>
  <c r="L160" i="4"/>
  <c r="M160" i="4"/>
  <c r="N160" i="4"/>
  <c r="O160" i="4"/>
  <c r="F161" i="4"/>
  <c r="I161" i="4"/>
  <c r="J161" i="4"/>
  <c r="K161" i="4"/>
  <c r="L161" i="4"/>
  <c r="M161" i="4"/>
  <c r="N161" i="4"/>
  <c r="O161" i="4"/>
  <c r="F164" i="4"/>
  <c r="I164" i="4"/>
  <c r="J164" i="4"/>
  <c r="K164" i="4"/>
  <c r="L164" i="4"/>
  <c r="M164" i="4"/>
  <c r="N164" i="4"/>
  <c r="O164" i="4"/>
  <c r="F166" i="4"/>
  <c r="I166" i="4"/>
  <c r="J166" i="4"/>
  <c r="K166" i="4"/>
  <c r="L166" i="4"/>
  <c r="M166" i="4"/>
  <c r="N166" i="4"/>
  <c r="O166" i="4"/>
  <c r="F163" i="4"/>
  <c r="I163" i="4"/>
  <c r="J163" i="4"/>
  <c r="K163" i="4"/>
  <c r="L163" i="4"/>
  <c r="M163" i="4"/>
  <c r="N163" i="4"/>
  <c r="O163" i="4"/>
  <c r="F168" i="4"/>
  <c r="I168" i="4"/>
  <c r="J168" i="4"/>
  <c r="K168" i="4"/>
  <c r="L168" i="4"/>
  <c r="M168" i="4"/>
  <c r="N168" i="4"/>
  <c r="O168" i="4"/>
  <c r="F171" i="4"/>
  <c r="I171" i="4"/>
  <c r="J171" i="4"/>
  <c r="K171" i="4"/>
  <c r="L171" i="4"/>
  <c r="M171" i="4"/>
  <c r="N171" i="4"/>
  <c r="O171" i="4"/>
  <c r="F167" i="4"/>
  <c r="I167" i="4"/>
  <c r="J167" i="4"/>
  <c r="K167" i="4"/>
  <c r="L167" i="4"/>
  <c r="M167" i="4"/>
  <c r="N167" i="4"/>
  <c r="O167" i="4"/>
  <c r="F165" i="4"/>
  <c r="I165" i="4"/>
  <c r="J165" i="4"/>
  <c r="K165" i="4"/>
  <c r="L165" i="4"/>
  <c r="M165" i="4"/>
  <c r="N165" i="4"/>
  <c r="O165" i="4"/>
  <c r="F169" i="4"/>
  <c r="I169" i="4"/>
  <c r="J169" i="4"/>
  <c r="K169" i="4"/>
  <c r="L169" i="4"/>
  <c r="M169" i="4"/>
  <c r="N169" i="4"/>
  <c r="O169" i="4"/>
  <c r="F170" i="4"/>
  <c r="I170" i="4"/>
  <c r="J170" i="4"/>
  <c r="K170" i="4"/>
  <c r="L170" i="4"/>
  <c r="M170" i="4"/>
  <c r="N170" i="4"/>
  <c r="O170" i="4"/>
  <c r="F172" i="4"/>
  <c r="I172" i="4"/>
  <c r="J172" i="4"/>
  <c r="K172" i="4"/>
  <c r="L172" i="4"/>
  <c r="M172" i="4"/>
  <c r="N172" i="4"/>
  <c r="O172" i="4"/>
  <c r="F173" i="4"/>
  <c r="I173" i="4"/>
  <c r="J173" i="4"/>
  <c r="K173" i="4"/>
  <c r="L173" i="4"/>
  <c r="M173" i="4"/>
  <c r="N173" i="4"/>
  <c r="O173" i="4"/>
  <c r="F174" i="4"/>
  <c r="I174" i="4"/>
  <c r="J174" i="4"/>
  <c r="K174" i="4"/>
  <c r="L174" i="4"/>
  <c r="M174" i="4"/>
  <c r="N174" i="4"/>
  <c r="O174" i="4"/>
  <c r="F176" i="4"/>
  <c r="I176" i="4"/>
  <c r="J176" i="4"/>
  <c r="K176" i="4"/>
  <c r="L176" i="4"/>
  <c r="M176" i="4"/>
  <c r="N176" i="4"/>
  <c r="O176" i="4"/>
  <c r="F175" i="4"/>
  <c r="I175" i="4"/>
  <c r="J175" i="4"/>
  <c r="K175" i="4"/>
  <c r="L175" i="4"/>
  <c r="M175" i="4"/>
  <c r="N175" i="4"/>
  <c r="O175" i="4"/>
  <c r="F177" i="4"/>
  <c r="I177" i="4"/>
  <c r="J177" i="4"/>
  <c r="K177" i="4"/>
  <c r="L177" i="4"/>
  <c r="M177" i="4"/>
  <c r="N177" i="4"/>
  <c r="O177" i="4"/>
  <c r="F178" i="4"/>
  <c r="I178" i="4"/>
  <c r="J178" i="4"/>
  <c r="K178" i="4"/>
  <c r="L178" i="4"/>
  <c r="M178" i="4"/>
  <c r="N178" i="4"/>
  <c r="O178" i="4"/>
  <c r="F179" i="4"/>
  <c r="I179" i="4"/>
  <c r="J179" i="4"/>
  <c r="K179" i="4"/>
  <c r="L179" i="4"/>
  <c r="M179" i="4"/>
  <c r="N179" i="4"/>
  <c r="O179" i="4"/>
  <c r="F184" i="4"/>
  <c r="I184" i="4"/>
  <c r="J184" i="4"/>
  <c r="K184" i="4"/>
  <c r="L184" i="4"/>
  <c r="M184" i="4"/>
  <c r="N184" i="4"/>
  <c r="O184" i="4"/>
  <c r="F182" i="4"/>
  <c r="I182" i="4"/>
  <c r="J182" i="4"/>
  <c r="K182" i="4"/>
  <c r="L182" i="4"/>
  <c r="M182" i="4"/>
  <c r="N182" i="4"/>
  <c r="O182" i="4"/>
  <c r="F180" i="4"/>
  <c r="I180" i="4"/>
  <c r="J180" i="4"/>
  <c r="K180" i="4"/>
  <c r="L180" i="4"/>
  <c r="M180" i="4"/>
  <c r="N180" i="4"/>
  <c r="O180" i="4"/>
  <c r="F181" i="4"/>
  <c r="I181" i="4"/>
  <c r="J181" i="4"/>
  <c r="K181" i="4"/>
  <c r="L181" i="4"/>
  <c r="M181" i="4"/>
  <c r="N181" i="4"/>
  <c r="O181" i="4"/>
  <c r="F183" i="4"/>
  <c r="I183" i="4"/>
  <c r="J183" i="4"/>
  <c r="K183" i="4"/>
  <c r="L183" i="4"/>
  <c r="M183" i="4"/>
  <c r="N183" i="4"/>
  <c r="O183" i="4"/>
  <c r="F186" i="4"/>
  <c r="I186" i="4"/>
  <c r="J186" i="4"/>
  <c r="K186" i="4"/>
  <c r="L186" i="4"/>
  <c r="M186" i="4"/>
  <c r="N186" i="4"/>
  <c r="O186" i="4"/>
  <c r="F185" i="4"/>
  <c r="I185" i="4"/>
  <c r="J185" i="4"/>
  <c r="K185" i="4"/>
  <c r="L185" i="4"/>
  <c r="M185" i="4"/>
  <c r="N185" i="4"/>
  <c r="O185" i="4"/>
  <c r="F187" i="4"/>
  <c r="I187" i="4"/>
  <c r="J187" i="4"/>
  <c r="K187" i="4"/>
  <c r="L187" i="4"/>
  <c r="M187" i="4"/>
  <c r="N187" i="4"/>
  <c r="O187" i="4"/>
  <c r="F188" i="4"/>
  <c r="I188" i="4"/>
  <c r="J188" i="4"/>
  <c r="K188" i="4"/>
  <c r="L188" i="4"/>
  <c r="M188" i="4"/>
  <c r="N188" i="4"/>
  <c r="O188" i="4"/>
  <c r="F191" i="4"/>
  <c r="I191" i="4"/>
  <c r="J191" i="4"/>
  <c r="K191" i="4"/>
  <c r="L191" i="4"/>
  <c r="M191" i="4"/>
  <c r="N191" i="4"/>
  <c r="O191" i="4"/>
  <c r="F192" i="4"/>
  <c r="I192" i="4"/>
  <c r="J192" i="4"/>
  <c r="K192" i="4"/>
  <c r="L192" i="4"/>
  <c r="M192" i="4"/>
  <c r="N192" i="4"/>
  <c r="O192" i="4"/>
  <c r="F193" i="4"/>
  <c r="I193" i="4"/>
  <c r="J193" i="4"/>
  <c r="K193" i="4"/>
  <c r="L193" i="4"/>
  <c r="M193" i="4"/>
  <c r="N193" i="4"/>
  <c r="O193" i="4"/>
  <c r="F190" i="4"/>
  <c r="I190" i="4"/>
  <c r="J190" i="4"/>
  <c r="K190" i="4"/>
  <c r="L190" i="4"/>
  <c r="M190" i="4"/>
  <c r="N190" i="4"/>
  <c r="O190" i="4"/>
  <c r="F189" i="4"/>
  <c r="I189" i="4"/>
  <c r="J189" i="4"/>
  <c r="K189" i="4"/>
  <c r="L189" i="4"/>
  <c r="M189" i="4"/>
  <c r="N189" i="4"/>
  <c r="O189" i="4"/>
  <c r="F195" i="4"/>
  <c r="I195" i="4"/>
  <c r="J195" i="4"/>
  <c r="K195" i="4"/>
  <c r="L195" i="4"/>
  <c r="M195" i="4"/>
  <c r="N195" i="4"/>
  <c r="O195" i="4"/>
  <c r="F197" i="4"/>
  <c r="I197" i="4"/>
  <c r="J197" i="4"/>
  <c r="K197" i="4"/>
  <c r="L197" i="4"/>
  <c r="M197" i="4"/>
  <c r="N197" i="4"/>
  <c r="O197" i="4"/>
  <c r="F196" i="4"/>
  <c r="I196" i="4"/>
  <c r="J196" i="4"/>
  <c r="K196" i="4"/>
  <c r="L196" i="4"/>
  <c r="M196" i="4"/>
  <c r="N196" i="4"/>
  <c r="O196" i="4"/>
  <c r="F198" i="4"/>
  <c r="I198" i="4"/>
  <c r="J198" i="4"/>
  <c r="K198" i="4"/>
  <c r="L198" i="4"/>
  <c r="M198" i="4"/>
  <c r="N198" i="4"/>
  <c r="O198" i="4"/>
  <c r="F199" i="4"/>
  <c r="I199" i="4"/>
  <c r="J199" i="4"/>
  <c r="K199" i="4"/>
  <c r="L199" i="4"/>
  <c r="M199" i="4"/>
  <c r="N199" i="4"/>
  <c r="O199" i="4"/>
  <c r="F194" i="4"/>
  <c r="I194" i="4"/>
  <c r="J194" i="4"/>
  <c r="K194" i="4"/>
  <c r="L194" i="4"/>
  <c r="M194" i="4"/>
  <c r="N194" i="4"/>
  <c r="O194" i="4"/>
  <c r="F200" i="4"/>
  <c r="I200" i="4"/>
  <c r="J200" i="4"/>
  <c r="K200" i="4"/>
  <c r="L200" i="4"/>
  <c r="M200" i="4"/>
  <c r="N200" i="4"/>
  <c r="O200" i="4"/>
  <c r="F201" i="4"/>
  <c r="I201" i="4"/>
  <c r="J201" i="4"/>
  <c r="K201" i="4"/>
  <c r="L201" i="4"/>
  <c r="M201" i="4"/>
  <c r="N201" i="4"/>
  <c r="O201" i="4"/>
  <c r="F202" i="4"/>
  <c r="I202" i="4"/>
  <c r="J202" i="4"/>
  <c r="K202" i="4"/>
  <c r="L202" i="4"/>
  <c r="M202" i="4"/>
  <c r="N202" i="4"/>
  <c r="O202" i="4"/>
  <c r="F204" i="4"/>
  <c r="I204" i="4"/>
  <c r="J204" i="4"/>
  <c r="K204" i="4"/>
  <c r="L204" i="4"/>
  <c r="M204" i="4"/>
  <c r="N204" i="4"/>
  <c r="O204" i="4"/>
  <c r="F203" i="4"/>
  <c r="I203" i="4"/>
  <c r="J203" i="4"/>
  <c r="K203" i="4"/>
  <c r="L203" i="4"/>
  <c r="M203" i="4"/>
  <c r="N203" i="4"/>
  <c r="O203" i="4"/>
  <c r="F205" i="4"/>
  <c r="I205" i="4"/>
  <c r="J205" i="4"/>
  <c r="K205" i="4"/>
  <c r="L205" i="4"/>
  <c r="M205" i="4"/>
  <c r="N205" i="4"/>
  <c r="O205" i="4"/>
  <c r="F207" i="4"/>
  <c r="I207" i="4"/>
  <c r="J207" i="4"/>
  <c r="K207" i="4"/>
  <c r="L207" i="4"/>
  <c r="M207" i="4"/>
  <c r="N207" i="4"/>
  <c r="O207" i="4"/>
  <c r="F206" i="4"/>
  <c r="I206" i="4"/>
  <c r="J206" i="4"/>
  <c r="K206" i="4"/>
  <c r="L206" i="4"/>
  <c r="M206" i="4"/>
  <c r="N206" i="4"/>
  <c r="O206" i="4"/>
  <c r="F209" i="4"/>
  <c r="I209" i="4"/>
  <c r="J209" i="4"/>
  <c r="K209" i="4"/>
  <c r="L209" i="4"/>
  <c r="M209" i="4"/>
  <c r="N209" i="4"/>
  <c r="O209" i="4"/>
  <c r="F210" i="4"/>
  <c r="I210" i="4"/>
  <c r="J210" i="4"/>
  <c r="K210" i="4"/>
  <c r="L210" i="4"/>
  <c r="M210" i="4"/>
  <c r="N210" i="4"/>
  <c r="O210" i="4"/>
  <c r="F208" i="4"/>
  <c r="I208" i="4"/>
  <c r="J208" i="4"/>
  <c r="K208" i="4"/>
  <c r="L208" i="4"/>
  <c r="M208" i="4"/>
  <c r="N208" i="4"/>
  <c r="O208" i="4"/>
  <c r="F211" i="4"/>
  <c r="I211" i="4"/>
  <c r="J211" i="4"/>
  <c r="K211" i="4"/>
  <c r="L211" i="4"/>
  <c r="M211" i="4"/>
  <c r="N211" i="4"/>
  <c r="O211" i="4"/>
  <c r="B4" i="4"/>
  <c r="B5" i="4"/>
  <c r="B7" i="4"/>
  <c r="B6" i="4"/>
  <c r="B9" i="4"/>
  <c r="B8" i="4"/>
  <c r="B10" i="4"/>
  <c r="B14" i="4"/>
  <c r="B13" i="4"/>
  <c r="B16" i="4"/>
  <c r="B11" i="4"/>
  <c r="B12" i="4"/>
  <c r="B15" i="4"/>
  <c r="B20" i="4"/>
  <c r="B21" i="4"/>
  <c r="B17" i="4"/>
  <c r="B18" i="4"/>
  <c r="B19" i="4"/>
  <c r="B22" i="4"/>
  <c r="B25" i="4"/>
  <c r="B24" i="4"/>
  <c r="B27" i="4"/>
  <c r="B29" i="4"/>
  <c r="B31" i="4"/>
  <c r="B23" i="4"/>
  <c r="B28" i="4"/>
  <c r="B33" i="4"/>
  <c r="B30" i="4"/>
  <c r="B26" i="4"/>
  <c r="B34" i="4"/>
  <c r="B32" i="4"/>
  <c r="B35" i="4"/>
  <c r="B39" i="4"/>
  <c r="B36" i="4"/>
  <c r="B38" i="4"/>
  <c r="B43" i="4"/>
  <c r="B37" i="4"/>
  <c r="B45" i="4"/>
  <c r="B40" i="4"/>
  <c r="B42" i="4"/>
  <c r="B44" i="4"/>
  <c r="B46" i="4"/>
  <c r="B50" i="4"/>
  <c r="B41" i="4"/>
  <c r="B47" i="4"/>
  <c r="B48" i="4"/>
  <c r="B52" i="4"/>
  <c r="B49" i="4"/>
  <c r="B51" i="4"/>
  <c r="B53" i="4"/>
  <c r="B54" i="4"/>
  <c r="B61" i="4"/>
  <c r="B58" i="4"/>
  <c r="B57" i="4"/>
  <c r="B56" i="4"/>
  <c r="B55" i="4"/>
  <c r="B59" i="4"/>
  <c r="B62" i="4"/>
  <c r="B64" i="4"/>
  <c r="B63" i="4"/>
  <c r="B65" i="4"/>
  <c r="B60" i="4"/>
  <c r="B67" i="4"/>
  <c r="B66" i="4"/>
  <c r="B68" i="4"/>
  <c r="B71" i="4"/>
  <c r="B69" i="4"/>
  <c r="B73" i="4"/>
  <c r="B75" i="4"/>
  <c r="B72" i="4"/>
  <c r="B74" i="4"/>
  <c r="B70" i="4"/>
  <c r="B76" i="4"/>
  <c r="B77" i="4"/>
  <c r="B78" i="4"/>
  <c r="B80" i="4"/>
  <c r="B79" i="4"/>
  <c r="B81" i="4"/>
  <c r="B84" i="4"/>
  <c r="B82" i="4"/>
  <c r="B85" i="4"/>
  <c r="B83" i="4"/>
  <c r="B86" i="4"/>
  <c r="B87" i="4"/>
  <c r="B88" i="4"/>
  <c r="B89" i="4"/>
  <c r="B91" i="4"/>
  <c r="B92" i="4"/>
  <c r="B93" i="4"/>
  <c r="B94" i="4"/>
  <c r="B95" i="4"/>
  <c r="B90" i="4"/>
  <c r="B97" i="4"/>
  <c r="B96" i="4"/>
  <c r="B98" i="4"/>
  <c r="B100" i="4"/>
  <c r="B99" i="4"/>
  <c r="B101" i="4"/>
  <c r="B102" i="4"/>
  <c r="B103" i="4"/>
  <c r="B104" i="4"/>
  <c r="B107" i="4"/>
  <c r="B105" i="4"/>
  <c r="B106" i="4"/>
  <c r="B110" i="4"/>
  <c r="B108" i="4"/>
  <c r="B109" i="4"/>
  <c r="B113" i="4"/>
  <c r="B111" i="4"/>
  <c r="B112" i="4"/>
  <c r="B114" i="4"/>
  <c r="B115" i="4"/>
  <c r="B117" i="4"/>
  <c r="B116" i="4"/>
  <c r="B119" i="4"/>
  <c r="B118" i="4"/>
  <c r="B120" i="4"/>
  <c r="B121" i="4"/>
  <c r="B123" i="4"/>
  <c r="B122" i="4"/>
  <c r="B125" i="4"/>
  <c r="B127" i="4"/>
  <c r="B128" i="4"/>
  <c r="B124" i="4"/>
  <c r="B126" i="4"/>
  <c r="B129" i="4"/>
  <c r="B131" i="4"/>
  <c r="B130" i="4"/>
  <c r="B134" i="4"/>
  <c r="B132" i="4"/>
  <c r="B135" i="4"/>
  <c r="B133" i="4"/>
  <c r="B136" i="4"/>
  <c r="B137" i="4"/>
  <c r="B138" i="4"/>
  <c r="B144" i="4"/>
  <c r="B140" i="4"/>
  <c r="B139" i="4"/>
  <c r="B145" i="4"/>
  <c r="B141" i="4"/>
  <c r="B142" i="4"/>
  <c r="B143" i="4"/>
  <c r="B149" i="4"/>
  <c r="B148" i="4"/>
  <c r="B147" i="4"/>
  <c r="B151" i="4"/>
  <c r="B146" i="4"/>
  <c r="B150" i="4"/>
  <c r="B154" i="4"/>
  <c r="B155" i="4"/>
  <c r="B152" i="4"/>
  <c r="B153" i="4"/>
  <c r="B156" i="4"/>
  <c r="B159" i="4"/>
  <c r="B162" i="4"/>
  <c r="B157" i="4"/>
  <c r="B158" i="4"/>
  <c r="B160" i="4"/>
  <c r="B161" i="4"/>
  <c r="B164" i="4"/>
  <c r="B166" i="4"/>
  <c r="B163" i="4"/>
  <c r="B168" i="4"/>
  <c r="B171" i="4"/>
  <c r="B167" i="4"/>
  <c r="B165" i="4"/>
  <c r="B169" i="4"/>
  <c r="B170" i="4"/>
  <c r="B172" i="4"/>
  <c r="B173" i="4"/>
  <c r="B174" i="4"/>
  <c r="B176" i="4"/>
  <c r="B175" i="4"/>
  <c r="B177" i="4"/>
  <c r="B178" i="4"/>
  <c r="B179" i="4"/>
  <c r="B184" i="4"/>
  <c r="B182" i="4"/>
  <c r="B180" i="4"/>
  <c r="B181" i="4"/>
  <c r="B183" i="4"/>
  <c r="B186" i="4"/>
  <c r="B185" i="4"/>
  <c r="B187" i="4"/>
  <c r="B188" i="4"/>
  <c r="B191" i="4"/>
  <c r="B192" i="4"/>
  <c r="B193" i="4"/>
  <c r="B190" i="4"/>
  <c r="B189" i="4"/>
  <c r="B195" i="4"/>
  <c r="B197" i="4"/>
  <c r="B196" i="4"/>
  <c r="B198" i="4"/>
  <c r="B199" i="4"/>
  <c r="B194" i="4"/>
  <c r="B200" i="4"/>
  <c r="B201" i="4"/>
  <c r="B202" i="4"/>
  <c r="B204" i="4"/>
  <c r="B203" i="4"/>
  <c r="B205" i="4"/>
  <c r="B207" i="4"/>
  <c r="B206" i="4"/>
  <c r="B209" i="4"/>
  <c r="B210" i="4"/>
  <c r="B208" i="4"/>
  <c r="B211" i="4"/>
  <c r="F4" i="5"/>
  <c r="I4" i="5"/>
  <c r="J4" i="5"/>
  <c r="K4" i="5"/>
  <c r="L4" i="5"/>
  <c r="M4" i="5"/>
  <c r="N4" i="5"/>
  <c r="O4" i="5"/>
  <c r="F5" i="5"/>
  <c r="I5" i="5"/>
  <c r="J5" i="5"/>
  <c r="K5" i="5"/>
  <c r="L5" i="5"/>
  <c r="M5" i="5"/>
  <c r="N5" i="5"/>
  <c r="O5" i="5"/>
  <c r="F7" i="5"/>
  <c r="I7" i="5"/>
  <c r="J7" i="5"/>
  <c r="K7" i="5"/>
  <c r="L7" i="5"/>
  <c r="M7" i="5"/>
  <c r="N7" i="5"/>
  <c r="O7" i="5"/>
  <c r="F6" i="5"/>
  <c r="I6" i="5"/>
  <c r="J6" i="5"/>
  <c r="K6" i="5"/>
  <c r="L6" i="5"/>
  <c r="M6" i="5"/>
  <c r="N6" i="5"/>
  <c r="O6" i="5"/>
  <c r="F8" i="5"/>
  <c r="I8" i="5"/>
  <c r="J8" i="5"/>
  <c r="K8" i="5"/>
  <c r="L8" i="5"/>
  <c r="M8" i="5"/>
  <c r="N8" i="5"/>
  <c r="O8" i="5"/>
  <c r="F9" i="5"/>
  <c r="I9" i="5"/>
  <c r="J9" i="5"/>
  <c r="K9" i="5"/>
  <c r="L9" i="5"/>
  <c r="M9" i="5"/>
  <c r="N9" i="5"/>
  <c r="O9" i="5"/>
  <c r="F10" i="5"/>
  <c r="I10" i="5"/>
  <c r="J10" i="5"/>
  <c r="K10" i="5"/>
  <c r="L10" i="5"/>
  <c r="M10" i="5"/>
  <c r="N10" i="5"/>
  <c r="O10" i="5"/>
  <c r="F13" i="5"/>
  <c r="I13" i="5"/>
  <c r="J13" i="5"/>
  <c r="K13" i="5"/>
  <c r="L13" i="5"/>
  <c r="M13" i="5"/>
  <c r="N13" i="5"/>
  <c r="O13" i="5"/>
  <c r="F12" i="5"/>
  <c r="I12" i="5"/>
  <c r="J12" i="5"/>
  <c r="K12" i="5"/>
  <c r="L12" i="5"/>
  <c r="M12" i="5"/>
  <c r="N12" i="5"/>
  <c r="O12" i="5"/>
  <c r="F11" i="5"/>
  <c r="I11" i="5"/>
  <c r="J11" i="5"/>
  <c r="K11" i="5"/>
  <c r="L11" i="5"/>
  <c r="M11" i="5"/>
  <c r="N11" i="5"/>
  <c r="O11" i="5"/>
  <c r="F14" i="5"/>
  <c r="I14" i="5"/>
  <c r="J14" i="5"/>
  <c r="K14" i="5"/>
  <c r="L14" i="5"/>
  <c r="M14" i="5"/>
  <c r="N14" i="5"/>
  <c r="O14" i="5"/>
  <c r="F16" i="5"/>
  <c r="I16" i="5"/>
  <c r="J16" i="5"/>
  <c r="K16" i="5"/>
  <c r="L16" i="5"/>
  <c r="M16" i="5"/>
  <c r="N16" i="5"/>
  <c r="O16" i="5"/>
  <c r="F18" i="5"/>
  <c r="I18" i="5"/>
  <c r="J18" i="5"/>
  <c r="K18" i="5"/>
  <c r="L18" i="5"/>
  <c r="M18" i="5"/>
  <c r="N18" i="5"/>
  <c r="O18" i="5"/>
  <c r="F17" i="5"/>
  <c r="I17" i="5"/>
  <c r="J17" i="5"/>
  <c r="K17" i="5"/>
  <c r="L17" i="5"/>
  <c r="M17" i="5"/>
  <c r="N17" i="5"/>
  <c r="O17" i="5"/>
  <c r="F19" i="5"/>
  <c r="I19" i="5"/>
  <c r="J19" i="5"/>
  <c r="K19" i="5"/>
  <c r="L19" i="5"/>
  <c r="M19" i="5"/>
  <c r="N19" i="5"/>
  <c r="O19" i="5"/>
  <c r="F15" i="5"/>
  <c r="I15" i="5"/>
  <c r="J15" i="5"/>
  <c r="K15" i="5"/>
  <c r="L15" i="5"/>
  <c r="M15" i="5"/>
  <c r="N15" i="5"/>
  <c r="O15" i="5"/>
  <c r="F21" i="5"/>
  <c r="I21" i="5"/>
  <c r="J21" i="5"/>
  <c r="K21" i="5"/>
  <c r="L21" i="5"/>
  <c r="M21" i="5"/>
  <c r="N21" i="5"/>
  <c r="O21" i="5"/>
  <c r="F20" i="5"/>
  <c r="I20" i="5"/>
  <c r="J20" i="5"/>
  <c r="K20" i="5"/>
  <c r="L20" i="5"/>
  <c r="M20" i="5"/>
  <c r="N20" i="5"/>
  <c r="O20" i="5"/>
  <c r="F23" i="5"/>
  <c r="I23" i="5"/>
  <c r="J23" i="5"/>
  <c r="K23" i="5"/>
  <c r="L23" i="5"/>
  <c r="M23" i="5"/>
  <c r="N23" i="5"/>
  <c r="O23" i="5"/>
  <c r="F25" i="5"/>
  <c r="I25" i="5"/>
  <c r="J25" i="5"/>
  <c r="K25" i="5"/>
  <c r="L25" i="5"/>
  <c r="M25" i="5"/>
  <c r="N25" i="5"/>
  <c r="O25" i="5"/>
  <c r="F24" i="5"/>
  <c r="I24" i="5"/>
  <c r="J24" i="5"/>
  <c r="K24" i="5"/>
  <c r="L24" i="5"/>
  <c r="M24" i="5"/>
  <c r="N24" i="5"/>
  <c r="O24" i="5"/>
  <c r="F26" i="5"/>
  <c r="I26" i="5"/>
  <c r="J26" i="5"/>
  <c r="K26" i="5"/>
  <c r="L26" i="5"/>
  <c r="M26" i="5"/>
  <c r="N26" i="5"/>
  <c r="O26" i="5"/>
  <c r="F22" i="5"/>
  <c r="I22" i="5"/>
  <c r="J22" i="5"/>
  <c r="K22" i="5"/>
  <c r="L22" i="5"/>
  <c r="M22" i="5"/>
  <c r="N22" i="5"/>
  <c r="O22" i="5"/>
  <c r="F29" i="5"/>
  <c r="I29" i="5"/>
  <c r="J29" i="5"/>
  <c r="K29" i="5"/>
  <c r="L29" i="5"/>
  <c r="M29" i="5"/>
  <c r="N29" i="5"/>
  <c r="O29" i="5"/>
  <c r="F28" i="5"/>
  <c r="I28" i="5"/>
  <c r="J28" i="5"/>
  <c r="K28" i="5"/>
  <c r="L28" i="5"/>
  <c r="M28" i="5"/>
  <c r="N28" i="5"/>
  <c r="O28" i="5"/>
  <c r="F27" i="5"/>
  <c r="I27" i="5"/>
  <c r="J27" i="5"/>
  <c r="K27" i="5"/>
  <c r="L27" i="5"/>
  <c r="M27" i="5"/>
  <c r="N27" i="5"/>
  <c r="O27" i="5"/>
  <c r="F31" i="5"/>
  <c r="I31" i="5"/>
  <c r="J31" i="5"/>
  <c r="K31" i="5"/>
  <c r="L31" i="5"/>
  <c r="M31" i="5"/>
  <c r="N31" i="5"/>
  <c r="O31" i="5"/>
  <c r="F32" i="5"/>
  <c r="I32" i="5"/>
  <c r="J32" i="5"/>
  <c r="K32" i="5"/>
  <c r="L32" i="5"/>
  <c r="M32" i="5"/>
  <c r="N32" i="5"/>
  <c r="O32" i="5"/>
  <c r="F33" i="5"/>
  <c r="I33" i="5"/>
  <c r="J33" i="5"/>
  <c r="K33" i="5"/>
  <c r="L33" i="5"/>
  <c r="M33" i="5"/>
  <c r="N33" i="5"/>
  <c r="O33" i="5"/>
  <c r="F37" i="5"/>
  <c r="I37" i="5"/>
  <c r="J37" i="5"/>
  <c r="K37" i="5"/>
  <c r="L37" i="5"/>
  <c r="M37" i="5"/>
  <c r="N37" i="5"/>
  <c r="O37" i="5"/>
  <c r="F30" i="5"/>
  <c r="I30" i="5"/>
  <c r="J30" i="5"/>
  <c r="K30" i="5"/>
  <c r="L30" i="5"/>
  <c r="M30" i="5"/>
  <c r="N30" i="5"/>
  <c r="O30" i="5"/>
  <c r="F36" i="5"/>
  <c r="I36" i="5"/>
  <c r="J36" i="5"/>
  <c r="K36" i="5"/>
  <c r="L36" i="5"/>
  <c r="M36" i="5"/>
  <c r="N36" i="5"/>
  <c r="O36" i="5"/>
  <c r="F38" i="5"/>
  <c r="I38" i="5"/>
  <c r="J38" i="5"/>
  <c r="K38" i="5"/>
  <c r="L38" i="5"/>
  <c r="M38" i="5"/>
  <c r="N38" i="5"/>
  <c r="O38" i="5"/>
  <c r="F34" i="5"/>
  <c r="I34" i="5"/>
  <c r="J34" i="5"/>
  <c r="K34" i="5"/>
  <c r="L34" i="5"/>
  <c r="M34" i="5"/>
  <c r="N34" i="5"/>
  <c r="O34" i="5"/>
  <c r="F35" i="5"/>
  <c r="I35" i="5"/>
  <c r="J35" i="5"/>
  <c r="K35" i="5"/>
  <c r="L35" i="5"/>
  <c r="M35" i="5"/>
  <c r="N35" i="5"/>
  <c r="O35" i="5"/>
  <c r="F39" i="5"/>
  <c r="I39" i="5"/>
  <c r="J39" i="5"/>
  <c r="K39" i="5"/>
  <c r="L39" i="5"/>
  <c r="M39" i="5"/>
  <c r="N39" i="5"/>
  <c r="O39" i="5"/>
  <c r="F40" i="5"/>
  <c r="I40" i="5"/>
  <c r="J40" i="5"/>
  <c r="K40" i="5"/>
  <c r="L40" i="5"/>
  <c r="M40" i="5"/>
  <c r="N40" i="5"/>
  <c r="O40" i="5"/>
  <c r="F41" i="5"/>
  <c r="I41" i="5"/>
  <c r="J41" i="5"/>
  <c r="K41" i="5"/>
  <c r="L41" i="5"/>
  <c r="M41" i="5"/>
  <c r="N41" i="5"/>
  <c r="O41" i="5"/>
  <c r="F42" i="5"/>
  <c r="I42" i="5"/>
  <c r="J42" i="5"/>
  <c r="K42" i="5"/>
  <c r="L42" i="5"/>
  <c r="M42" i="5"/>
  <c r="N42" i="5"/>
  <c r="O42" i="5"/>
  <c r="F43" i="5"/>
  <c r="I43" i="5"/>
  <c r="J43" i="5"/>
  <c r="K43" i="5"/>
  <c r="L43" i="5"/>
  <c r="M43" i="5"/>
  <c r="N43" i="5"/>
  <c r="O43" i="5"/>
  <c r="F44" i="5"/>
  <c r="I44" i="5"/>
  <c r="J44" i="5"/>
  <c r="K44" i="5"/>
  <c r="L44" i="5"/>
  <c r="M44" i="5"/>
  <c r="N44" i="5"/>
  <c r="O44" i="5"/>
  <c r="F46" i="5"/>
  <c r="I46" i="5"/>
  <c r="J46" i="5"/>
  <c r="K46" i="5"/>
  <c r="L46" i="5"/>
  <c r="M46" i="5"/>
  <c r="N46" i="5"/>
  <c r="O46" i="5"/>
  <c r="F45" i="5"/>
  <c r="I45" i="5"/>
  <c r="J45" i="5"/>
  <c r="K45" i="5"/>
  <c r="L45" i="5"/>
  <c r="M45" i="5"/>
  <c r="N45" i="5"/>
  <c r="O45" i="5"/>
  <c r="F47" i="5"/>
  <c r="I47" i="5"/>
  <c r="J47" i="5"/>
  <c r="K47" i="5"/>
  <c r="L47" i="5"/>
  <c r="M47" i="5"/>
  <c r="N47" i="5"/>
  <c r="O47" i="5"/>
  <c r="F50" i="5"/>
  <c r="I50" i="5"/>
  <c r="J50" i="5"/>
  <c r="K50" i="5"/>
  <c r="L50" i="5"/>
  <c r="M50" i="5"/>
  <c r="N50" i="5"/>
  <c r="O50" i="5"/>
  <c r="F52" i="5"/>
  <c r="I52" i="5"/>
  <c r="J52" i="5"/>
  <c r="K52" i="5"/>
  <c r="L52" i="5"/>
  <c r="M52" i="5"/>
  <c r="N52" i="5"/>
  <c r="O52" i="5"/>
  <c r="F49" i="5"/>
  <c r="I49" i="5"/>
  <c r="J49" i="5"/>
  <c r="K49" i="5"/>
  <c r="L49" i="5"/>
  <c r="M49" i="5"/>
  <c r="N49" i="5"/>
  <c r="O49" i="5"/>
  <c r="F48" i="5"/>
  <c r="I48" i="5"/>
  <c r="J48" i="5"/>
  <c r="K48" i="5"/>
  <c r="L48" i="5"/>
  <c r="M48" i="5"/>
  <c r="N48" i="5"/>
  <c r="O48" i="5"/>
  <c r="F51" i="5"/>
  <c r="I51" i="5"/>
  <c r="J51" i="5"/>
  <c r="K51" i="5"/>
  <c r="L51" i="5"/>
  <c r="M51" i="5"/>
  <c r="N51" i="5"/>
  <c r="O51" i="5"/>
  <c r="F53" i="5"/>
  <c r="I53" i="5"/>
  <c r="J53" i="5"/>
  <c r="K53" i="5"/>
  <c r="L53" i="5"/>
  <c r="M53" i="5"/>
  <c r="N53" i="5"/>
  <c r="O53" i="5"/>
  <c r="F55" i="5"/>
  <c r="I55" i="5"/>
  <c r="J55" i="5"/>
  <c r="K55" i="5"/>
  <c r="L55" i="5"/>
  <c r="M55" i="5"/>
  <c r="N55" i="5"/>
  <c r="O55" i="5"/>
  <c r="F54" i="5"/>
  <c r="I54" i="5"/>
  <c r="J54" i="5"/>
  <c r="K54" i="5"/>
  <c r="L54" i="5"/>
  <c r="M54" i="5"/>
  <c r="N54" i="5"/>
  <c r="O54" i="5"/>
  <c r="F57" i="5"/>
  <c r="I57" i="5"/>
  <c r="J57" i="5"/>
  <c r="K57" i="5"/>
  <c r="L57" i="5"/>
  <c r="M57" i="5"/>
  <c r="N57" i="5"/>
  <c r="O57" i="5"/>
  <c r="F59" i="5"/>
  <c r="I59" i="5"/>
  <c r="J59" i="5"/>
  <c r="K59" i="5"/>
  <c r="L59" i="5"/>
  <c r="M59" i="5"/>
  <c r="N59" i="5"/>
  <c r="O59" i="5"/>
  <c r="F56" i="5"/>
  <c r="I56" i="5"/>
  <c r="J56" i="5"/>
  <c r="K56" i="5"/>
  <c r="L56" i="5"/>
  <c r="M56" i="5"/>
  <c r="N56" i="5"/>
  <c r="O56" i="5"/>
  <c r="F58" i="5"/>
  <c r="I58" i="5"/>
  <c r="J58" i="5"/>
  <c r="K58" i="5"/>
  <c r="L58" i="5"/>
  <c r="M58" i="5"/>
  <c r="N58" i="5"/>
  <c r="O58" i="5"/>
  <c r="F60" i="5"/>
  <c r="I60" i="5"/>
  <c r="J60" i="5"/>
  <c r="K60" i="5"/>
  <c r="L60" i="5"/>
  <c r="M60" i="5"/>
  <c r="N60" i="5"/>
  <c r="O60" i="5"/>
  <c r="F61" i="5"/>
  <c r="I61" i="5"/>
  <c r="J61" i="5"/>
  <c r="K61" i="5"/>
  <c r="L61" i="5"/>
  <c r="M61" i="5"/>
  <c r="N61" i="5"/>
  <c r="O61" i="5"/>
  <c r="F63" i="5"/>
  <c r="I63" i="5"/>
  <c r="J63" i="5"/>
  <c r="K63" i="5"/>
  <c r="L63" i="5"/>
  <c r="M63" i="5"/>
  <c r="N63" i="5"/>
  <c r="O63" i="5"/>
  <c r="F62" i="5"/>
  <c r="I62" i="5"/>
  <c r="J62" i="5"/>
  <c r="K62" i="5"/>
  <c r="L62" i="5"/>
  <c r="M62" i="5"/>
  <c r="N62" i="5"/>
  <c r="O62" i="5"/>
  <c r="F66" i="5"/>
  <c r="I66" i="5"/>
  <c r="J66" i="5"/>
  <c r="K66" i="5"/>
  <c r="L66" i="5"/>
  <c r="M66" i="5"/>
  <c r="N66" i="5"/>
  <c r="O66" i="5"/>
  <c r="F64" i="5"/>
  <c r="I64" i="5"/>
  <c r="J64" i="5"/>
  <c r="K64" i="5"/>
  <c r="L64" i="5"/>
  <c r="M64" i="5"/>
  <c r="N64" i="5"/>
  <c r="O64" i="5"/>
  <c r="F68" i="5"/>
  <c r="I68" i="5"/>
  <c r="J68" i="5"/>
  <c r="K68" i="5"/>
  <c r="L68" i="5"/>
  <c r="M68" i="5"/>
  <c r="N68" i="5"/>
  <c r="O68" i="5"/>
  <c r="F67" i="5"/>
  <c r="I67" i="5"/>
  <c r="J67" i="5"/>
  <c r="K67" i="5"/>
  <c r="L67" i="5"/>
  <c r="M67" i="5"/>
  <c r="N67" i="5"/>
  <c r="O67" i="5"/>
  <c r="F70" i="5"/>
  <c r="I70" i="5"/>
  <c r="J70" i="5"/>
  <c r="K70" i="5"/>
  <c r="L70" i="5"/>
  <c r="M70" i="5"/>
  <c r="N70" i="5"/>
  <c r="O70" i="5"/>
  <c r="F65" i="5"/>
  <c r="I65" i="5"/>
  <c r="J65" i="5"/>
  <c r="K65" i="5"/>
  <c r="L65" i="5"/>
  <c r="M65" i="5"/>
  <c r="N65" i="5"/>
  <c r="O65" i="5"/>
  <c r="F69" i="5"/>
  <c r="I69" i="5"/>
  <c r="J69" i="5"/>
  <c r="K69" i="5"/>
  <c r="L69" i="5"/>
  <c r="M69" i="5"/>
  <c r="N69" i="5"/>
  <c r="O69" i="5"/>
  <c r="F71" i="5"/>
  <c r="I71" i="5"/>
  <c r="J71" i="5"/>
  <c r="K71" i="5"/>
  <c r="L71" i="5"/>
  <c r="M71" i="5"/>
  <c r="N71" i="5"/>
  <c r="O71" i="5"/>
  <c r="F72" i="5"/>
  <c r="I72" i="5"/>
  <c r="J72" i="5"/>
  <c r="K72" i="5"/>
  <c r="L72" i="5"/>
  <c r="M72" i="5"/>
  <c r="N72" i="5"/>
  <c r="O72" i="5"/>
  <c r="F73" i="5"/>
  <c r="I73" i="5"/>
  <c r="J73" i="5"/>
  <c r="K73" i="5"/>
  <c r="L73" i="5"/>
  <c r="M73" i="5"/>
  <c r="N73" i="5"/>
  <c r="O73" i="5"/>
  <c r="F75" i="5"/>
  <c r="I75" i="5"/>
  <c r="J75" i="5"/>
  <c r="K75" i="5"/>
  <c r="L75" i="5"/>
  <c r="M75" i="5"/>
  <c r="N75" i="5"/>
  <c r="O75" i="5"/>
  <c r="F74" i="5"/>
  <c r="I74" i="5"/>
  <c r="J74" i="5"/>
  <c r="K74" i="5"/>
  <c r="L74" i="5"/>
  <c r="M74" i="5"/>
  <c r="N74" i="5"/>
  <c r="O74" i="5"/>
  <c r="F79" i="5"/>
  <c r="I79" i="5"/>
  <c r="J79" i="5"/>
  <c r="K79" i="5"/>
  <c r="L79" i="5"/>
  <c r="M79" i="5"/>
  <c r="N79" i="5"/>
  <c r="O79" i="5"/>
  <c r="F76" i="5"/>
  <c r="I76" i="5"/>
  <c r="J76" i="5"/>
  <c r="K76" i="5"/>
  <c r="L76" i="5"/>
  <c r="M76" i="5"/>
  <c r="N76" i="5"/>
  <c r="O76" i="5"/>
  <c r="F78" i="5"/>
  <c r="I78" i="5"/>
  <c r="J78" i="5"/>
  <c r="K78" i="5"/>
  <c r="L78" i="5"/>
  <c r="M78" i="5"/>
  <c r="N78" i="5"/>
  <c r="O78" i="5"/>
  <c r="F80" i="5"/>
  <c r="I80" i="5"/>
  <c r="J80" i="5"/>
  <c r="K80" i="5"/>
  <c r="L80" i="5"/>
  <c r="M80" i="5"/>
  <c r="N80" i="5"/>
  <c r="O80" i="5"/>
  <c r="F77" i="5"/>
  <c r="I77" i="5"/>
  <c r="J77" i="5"/>
  <c r="K77" i="5"/>
  <c r="L77" i="5"/>
  <c r="M77" i="5"/>
  <c r="N77" i="5"/>
  <c r="O77" i="5"/>
  <c r="F81" i="5"/>
  <c r="I81" i="5"/>
  <c r="J81" i="5"/>
  <c r="K81" i="5"/>
  <c r="L81" i="5"/>
  <c r="M81" i="5"/>
  <c r="N81" i="5"/>
  <c r="O81" i="5"/>
  <c r="F83" i="5"/>
  <c r="I83" i="5"/>
  <c r="J83" i="5"/>
  <c r="K83" i="5"/>
  <c r="L83" i="5"/>
  <c r="M83" i="5"/>
  <c r="N83" i="5"/>
  <c r="O83" i="5"/>
  <c r="F82" i="5"/>
  <c r="I82" i="5"/>
  <c r="J82" i="5"/>
  <c r="K82" i="5"/>
  <c r="L82" i="5"/>
  <c r="M82" i="5"/>
  <c r="N82" i="5"/>
  <c r="O82" i="5"/>
  <c r="F84" i="5"/>
  <c r="I84" i="5"/>
  <c r="J84" i="5"/>
  <c r="K84" i="5"/>
  <c r="L84" i="5"/>
  <c r="M84" i="5"/>
  <c r="N84" i="5"/>
  <c r="O84" i="5"/>
  <c r="F86" i="5"/>
  <c r="I86" i="5"/>
  <c r="J86" i="5"/>
  <c r="K86" i="5"/>
  <c r="L86" i="5"/>
  <c r="M86" i="5"/>
  <c r="N86" i="5"/>
  <c r="O86" i="5"/>
  <c r="F85" i="5"/>
  <c r="I85" i="5"/>
  <c r="J85" i="5"/>
  <c r="K85" i="5"/>
  <c r="L85" i="5"/>
  <c r="M85" i="5"/>
  <c r="N85" i="5"/>
  <c r="O85" i="5"/>
  <c r="F87" i="5"/>
  <c r="I87" i="5"/>
  <c r="J87" i="5"/>
  <c r="K87" i="5"/>
  <c r="L87" i="5"/>
  <c r="M87" i="5"/>
  <c r="N87" i="5"/>
  <c r="O87" i="5"/>
  <c r="F89" i="5"/>
  <c r="I89" i="5"/>
  <c r="J89" i="5"/>
  <c r="K89" i="5"/>
  <c r="L89" i="5"/>
  <c r="M89" i="5"/>
  <c r="N89" i="5"/>
  <c r="O89" i="5"/>
  <c r="F88" i="5"/>
  <c r="I88" i="5"/>
  <c r="J88" i="5"/>
  <c r="K88" i="5"/>
  <c r="L88" i="5"/>
  <c r="M88" i="5"/>
  <c r="N88" i="5"/>
  <c r="O88" i="5"/>
  <c r="F92" i="5"/>
  <c r="I92" i="5"/>
  <c r="J92" i="5"/>
  <c r="K92" i="5"/>
  <c r="L92" i="5"/>
  <c r="M92" i="5"/>
  <c r="N92" i="5"/>
  <c r="O92" i="5"/>
  <c r="F91" i="5"/>
  <c r="I91" i="5"/>
  <c r="J91" i="5"/>
  <c r="K91" i="5"/>
  <c r="L91" i="5"/>
  <c r="M91" i="5"/>
  <c r="N91" i="5"/>
  <c r="O91" i="5"/>
  <c r="F95" i="5"/>
  <c r="I95" i="5"/>
  <c r="J95" i="5"/>
  <c r="K95" i="5"/>
  <c r="L95" i="5"/>
  <c r="M95" i="5"/>
  <c r="N95" i="5"/>
  <c r="O95" i="5"/>
  <c r="F96" i="5"/>
  <c r="I96" i="5"/>
  <c r="J96" i="5"/>
  <c r="K96" i="5"/>
  <c r="L96" i="5"/>
  <c r="M96" i="5"/>
  <c r="N96" i="5"/>
  <c r="O96" i="5"/>
  <c r="F93" i="5"/>
  <c r="I93" i="5"/>
  <c r="J93" i="5"/>
  <c r="K93" i="5"/>
  <c r="L93" i="5"/>
  <c r="M93" i="5"/>
  <c r="N93" i="5"/>
  <c r="O93" i="5"/>
  <c r="F90" i="5"/>
  <c r="I90" i="5"/>
  <c r="J90" i="5"/>
  <c r="K90" i="5"/>
  <c r="L90" i="5"/>
  <c r="M90" i="5"/>
  <c r="N90" i="5"/>
  <c r="O90" i="5"/>
  <c r="F97" i="5"/>
  <c r="I97" i="5"/>
  <c r="J97" i="5"/>
  <c r="K97" i="5"/>
  <c r="L97" i="5"/>
  <c r="M97" i="5"/>
  <c r="N97" i="5"/>
  <c r="O97" i="5"/>
  <c r="F94" i="5"/>
  <c r="I94" i="5"/>
  <c r="J94" i="5"/>
  <c r="K94" i="5"/>
  <c r="L94" i="5"/>
  <c r="M94" i="5"/>
  <c r="N94" i="5"/>
  <c r="O94" i="5"/>
  <c r="F99" i="5"/>
  <c r="I99" i="5"/>
  <c r="J99" i="5"/>
  <c r="K99" i="5"/>
  <c r="L99" i="5"/>
  <c r="M99" i="5"/>
  <c r="N99" i="5"/>
  <c r="O99" i="5"/>
  <c r="F100" i="5"/>
  <c r="I100" i="5"/>
  <c r="J100" i="5"/>
  <c r="K100" i="5"/>
  <c r="L100" i="5"/>
  <c r="M100" i="5"/>
  <c r="N100" i="5"/>
  <c r="O100" i="5"/>
  <c r="F98" i="5"/>
  <c r="I98" i="5"/>
  <c r="J98" i="5"/>
  <c r="K98" i="5"/>
  <c r="L98" i="5"/>
  <c r="M98" i="5"/>
  <c r="N98" i="5"/>
  <c r="O98" i="5"/>
  <c r="F101" i="5"/>
  <c r="I101" i="5"/>
  <c r="J101" i="5"/>
  <c r="K101" i="5"/>
  <c r="L101" i="5"/>
  <c r="M101" i="5"/>
  <c r="N101" i="5"/>
  <c r="O101" i="5"/>
  <c r="F104" i="5"/>
  <c r="I104" i="5"/>
  <c r="J104" i="5"/>
  <c r="K104" i="5"/>
  <c r="L104" i="5"/>
  <c r="M104" i="5"/>
  <c r="N104" i="5"/>
  <c r="O104" i="5"/>
  <c r="F103" i="5"/>
  <c r="I103" i="5"/>
  <c r="J103" i="5"/>
  <c r="K103" i="5"/>
  <c r="L103" i="5"/>
  <c r="M103" i="5"/>
  <c r="N103" i="5"/>
  <c r="O103" i="5"/>
  <c r="F105" i="5"/>
  <c r="I105" i="5"/>
  <c r="J105" i="5"/>
  <c r="K105" i="5"/>
  <c r="L105" i="5"/>
  <c r="M105" i="5"/>
  <c r="N105" i="5"/>
  <c r="O105" i="5"/>
  <c r="F102" i="5"/>
  <c r="I102" i="5"/>
  <c r="J102" i="5"/>
  <c r="K102" i="5"/>
  <c r="L102" i="5"/>
  <c r="M102" i="5"/>
  <c r="N102" i="5"/>
  <c r="O102" i="5"/>
  <c r="F107" i="5"/>
  <c r="I107" i="5"/>
  <c r="J107" i="5"/>
  <c r="K107" i="5"/>
  <c r="L107" i="5"/>
  <c r="M107" i="5"/>
  <c r="N107" i="5"/>
  <c r="O107" i="5"/>
  <c r="F109" i="5"/>
  <c r="I109" i="5"/>
  <c r="J109" i="5"/>
  <c r="K109" i="5"/>
  <c r="L109" i="5"/>
  <c r="M109" i="5"/>
  <c r="N109" i="5"/>
  <c r="O109" i="5"/>
  <c r="F108" i="5"/>
  <c r="I108" i="5"/>
  <c r="J108" i="5"/>
  <c r="K108" i="5"/>
  <c r="L108" i="5"/>
  <c r="M108" i="5"/>
  <c r="N108" i="5"/>
  <c r="O108" i="5"/>
  <c r="F106" i="5"/>
  <c r="I106" i="5"/>
  <c r="J106" i="5"/>
  <c r="K106" i="5"/>
  <c r="L106" i="5"/>
  <c r="M106" i="5"/>
  <c r="N106" i="5"/>
  <c r="O106" i="5"/>
  <c r="F111" i="5"/>
  <c r="I111" i="5"/>
  <c r="J111" i="5"/>
  <c r="K111" i="5"/>
  <c r="L111" i="5"/>
  <c r="M111" i="5"/>
  <c r="N111" i="5"/>
  <c r="O111" i="5"/>
  <c r="F112" i="5"/>
  <c r="I112" i="5"/>
  <c r="J112" i="5"/>
  <c r="K112" i="5"/>
  <c r="L112" i="5"/>
  <c r="M112" i="5"/>
  <c r="N112" i="5"/>
  <c r="O112" i="5"/>
  <c r="F113" i="5"/>
  <c r="I113" i="5"/>
  <c r="J113" i="5"/>
  <c r="K113" i="5"/>
  <c r="L113" i="5"/>
  <c r="M113" i="5"/>
  <c r="N113" i="5"/>
  <c r="O113" i="5"/>
  <c r="F110" i="5"/>
  <c r="I110" i="5"/>
  <c r="J110" i="5"/>
  <c r="K110" i="5"/>
  <c r="L110" i="5"/>
  <c r="M110" i="5"/>
  <c r="N110" i="5"/>
  <c r="O110" i="5"/>
  <c r="F115" i="5"/>
  <c r="I115" i="5"/>
  <c r="J115" i="5"/>
  <c r="K115" i="5"/>
  <c r="L115" i="5"/>
  <c r="M115" i="5"/>
  <c r="N115" i="5"/>
  <c r="O115" i="5"/>
  <c r="F117" i="5"/>
  <c r="I117" i="5"/>
  <c r="J117" i="5"/>
  <c r="K117" i="5"/>
  <c r="L117" i="5"/>
  <c r="M117" i="5"/>
  <c r="N117" i="5"/>
  <c r="O117" i="5"/>
  <c r="F116" i="5"/>
  <c r="I116" i="5"/>
  <c r="J116" i="5"/>
  <c r="K116" i="5"/>
  <c r="L116" i="5"/>
  <c r="M116" i="5"/>
  <c r="N116" i="5"/>
  <c r="O116" i="5"/>
  <c r="F114" i="5"/>
  <c r="I114" i="5"/>
  <c r="J114" i="5"/>
  <c r="K114" i="5"/>
  <c r="L114" i="5"/>
  <c r="M114" i="5"/>
  <c r="N114" i="5"/>
  <c r="O114" i="5"/>
  <c r="F119" i="5"/>
  <c r="I119" i="5"/>
  <c r="J119" i="5"/>
  <c r="K119" i="5"/>
  <c r="L119" i="5"/>
  <c r="M119" i="5"/>
  <c r="N119" i="5"/>
  <c r="O119" i="5"/>
  <c r="F121" i="5"/>
  <c r="I121" i="5"/>
  <c r="J121" i="5"/>
  <c r="K121" i="5"/>
  <c r="L121" i="5"/>
  <c r="M121" i="5"/>
  <c r="N121" i="5"/>
  <c r="O121" i="5"/>
  <c r="F120" i="5"/>
  <c r="I120" i="5"/>
  <c r="J120" i="5"/>
  <c r="K120" i="5"/>
  <c r="L120" i="5"/>
  <c r="M120" i="5"/>
  <c r="N120" i="5"/>
  <c r="O120" i="5"/>
  <c r="F122" i="5"/>
  <c r="I122" i="5"/>
  <c r="J122" i="5"/>
  <c r="K122" i="5"/>
  <c r="L122" i="5"/>
  <c r="M122" i="5"/>
  <c r="N122" i="5"/>
  <c r="O122" i="5"/>
  <c r="F118" i="5"/>
  <c r="I118" i="5"/>
  <c r="J118" i="5"/>
  <c r="K118" i="5"/>
  <c r="L118" i="5"/>
  <c r="M118" i="5"/>
  <c r="N118" i="5"/>
  <c r="O118" i="5"/>
  <c r="F125" i="5"/>
  <c r="I125" i="5"/>
  <c r="J125" i="5"/>
  <c r="K125" i="5"/>
  <c r="L125" i="5"/>
  <c r="M125" i="5"/>
  <c r="N125" i="5"/>
  <c r="O125" i="5"/>
  <c r="F130" i="5"/>
  <c r="I130" i="5"/>
  <c r="J130" i="5"/>
  <c r="K130" i="5"/>
  <c r="L130" i="5"/>
  <c r="M130" i="5"/>
  <c r="N130" i="5"/>
  <c r="O130" i="5"/>
  <c r="F123" i="5"/>
  <c r="I123" i="5"/>
  <c r="J123" i="5"/>
  <c r="K123" i="5"/>
  <c r="L123" i="5"/>
  <c r="M123" i="5"/>
  <c r="N123" i="5"/>
  <c r="O123" i="5"/>
  <c r="F124" i="5"/>
  <c r="I124" i="5"/>
  <c r="J124" i="5"/>
  <c r="K124" i="5"/>
  <c r="L124" i="5"/>
  <c r="M124" i="5"/>
  <c r="N124" i="5"/>
  <c r="O124" i="5"/>
  <c r="F129" i="5"/>
  <c r="I129" i="5"/>
  <c r="J129" i="5"/>
  <c r="K129" i="5"/>
  <c r="L129" i="5"/>
  <c r="M129" i="5"/>
  <c r="N129" i="5"/>
  <c r="O129" i="5"/>
  <c r="F128" i="5"/>
  <c r="I128" i="5"/>
  <c r="J128" i="5"/>
  <c r="K128" i="5"/>
  <c r="L128" i="5"/>
  <c r="M128" i="5"/>
  <c r="N128" i="5"/>
  <c r="O128" i="5"/>
  <c r="F127" i="5"/>
  <c r="I127" i="5"/>
  <c r="J127" i="5"/>
  <c r="K127" i="5"/>
  <c r="L127" i="5"/>
  <c r="M127" i="5"/>
  <c r="N127" i="5"/>
  <c r="O127" i="5"/>
  <c r="F126" i="5"/>
  <c r="I126" i="5"/>
  <c r="J126" i="5"/>
  <c r="K126" i="5"/>
  <c r="L126" i="5"/>
  <c r="M126" i="5"/>
  <c r="N126" i="5"/>
  <c r="O126" i="5"/>
  <c r="F134" i="5"/>
  <c r="I134" i="5"/>
  <c r="J134" i="5"/>
  <c r="K134" i="5"/>
  <c r="L134" i="5"/>
  <c r="M134" i="5"/>
  <c r="N134" i="5"/>
  <c r="O134" i="5"/>
  <c r="F132" i="5"/>
  <c r="I132" i="5"/>
  <c r="J132" i="5"/>
  <c r="K132" i="5"/>
  <c r="L132" i="5"/>
  <c r="M132" i="5"/>
  <c r="N132" i="5"/>
  <c r="O132" i="5"/>
  <c r="F131" i="5"/>
  <c r="I131" i="5"/>
  <c r="J131" i="5"/>
  <c r="K131" i="5"/>
  <c r="L131" i="5"/>
  <c r="M131" i="5"/>
  <c r="N131" i="5"/>
  <c r="O131" i="5"/>
  <c r="F133" i="5"/>
  <c r="I133" i="5"/>
  <c r="J133" i="5"/>
  <c r="K133" i="5"/>
  <c r="L133" i="5"/>
  <c r="M133" i="5"/>
  <c r="N133" i="5"/>
  <c r="O133" i="5"/>
  <c r="F135" i="5"/>
  <c r="I135" i="5"/>
  <c r="J135" i="5"/>
  <c r="K135" i="5"/>
  <c r="L135" i="5"/>
  <c r="M135" i="5"/>
  <c r="N135" i="5"/>
  <c r="O135" i="5"/>
  <c r="F136" i="5"/>
  <c r="I136" i="5"/>
  <c r="J136" i="5"/>
  <c r="K136" i="5"/>
  <c r="L136" i="5"/>
  <c r="M136" i="5"/>
  <c r="N136" i="5"/>
  <c r="O136" i="5"/>
  <c r="F137" i="5"/>
  <c r="I137" i="5"/>
  <c r="J137" i="5"/>
  <c r="K137" i="5"/>
  <c r="L137" i="5"/>
  <c r="M137" i="5"/>
  <c r="N137" i="5"/>
  <c r="O137" i="5"/>
  <c r="B4" i="5"/>
  <c r="B5" i="5"/>
  <c r="B7" i="5"/>
  <c r="B6" i="5"/>
  <c r="B8" i="5"/>
  <c r="B9" i="5"/>
  <c r="B10" i="5"/>
  <c r="B13" i="5"/>
  <c r="B12" i="5"/>
  <c r="B11" i="5"/>
  <c r="B14" i="5"/>
  <c r="B16" i="5"/>
  <c r="B18" i="5"/>
  <c r="B17" i="5"/>
  <c r="B19" i="5"/>
  <c r="B15" i="5"/>
  <c r="B21" i="5"/>
  <c r="B20" i="5"/>
  <c r="B23" i="5"/>
  <c r="B25" i="5"/>
  <c r="B24" i="5"/>
  <c r="B26" i="5"/>
  <c r="B22" i="5"/>
  <c r="B29" i="5"/>
  <c r="B28" i="5"/>
  <c r="B27" i="5"/>
  <c r="B31" i="5"/>
  <c r="B32" i="5"/>
  <c r="B33" i="5"/>
  <c r="B37" i="5"/>
  <c r="B30" i="5"/>
  <c r="B36" i="5"/>
  <c r="B38" i="5"/>
  <c r="B34" i="5"/>
  <c r="B35" i="5"/>
  <c r="B39" i="5"/>
  <c r="B40" i="5"/>
  <c r="B41" i="5"/>
  <c r="B42" i="5"/>
  <c r="B43" i="5"/>
  <c r="B44" i="5"/>
  <c r="B46" i="5"/>
  <c r="B45" i="5"/>
  <c r="B47" i="5"/>
  <c r="B50" i="5"/>
  <c r="B52" i="5"/>
  <c r="B49" i="5"/>
  <c r="B48" i="5"/>
  <c r="B51" i="5"/>
  <c r="B53" i="5"/>
  <c r="B55" i="5"/>
  <c r="B54" i="5"/>
  <c r="B57" i="5"/>
  <c r="B59" i="5"/>
  <c r="B56" i="5"/>
  <c r="B58" i="5"/>
  <c r="B60" i="5"/>
  <c r="B61" i="5"/>
  <c r="B63" i="5"/>
  <c r="B62" i="5"/>
  <c r="B66" i="5"/>
  <c r="B64" i="5"/>
  <c r="B68" i="5"/>
  <c r="B67" i="5"/>
  <c r="B70" i="5"/>
  <c r="B65" i="5"/>
  <c r="B69" i="5"/>
  <c r="B71" i="5"/>
  <c r="B72" i="5"/>
  <c r="B73" i="5"/>
  <c r="B75" i="5"/>
  <c r="B74" i="5"/>
  <c r="B79" i="5"/>
  <c r="B76" i="5"/>
  <c r="B78" i="5"/>
  <c r="B80" i="5"/>
  <c r="B77" i="5"/>
  <c r="B81" i="5"/>
  <c r="B83" i="5"/>
  <c r="B82" i="5"/>
  <c r="B84" i="5"/>
  <c r="B86" i="5"/>
  <c r="B85" i="5"/>
  <c r="B87" i="5"/>
  <c r="B89" i="5"/>
  <c r="B88" i="5"/>
  <c r="B92" i="5"/>
  <c r="B91" i="5"/>
  <c r="B95" i="5"/>
  <c r="B96" i="5"/>
  <c r="B93" i="5"/>
  <c r="B90" i="5"/>
  <c r="B97" i="5"/>
  <c r="B94" i="5"/>
  <c r="B99" i="5"/>
  <c r="B100" i="5"/>
  <c r="B98" i="5"/>
  <c r="B101" i="5"/>
  <c r="B104" i="5"/>
  <c r="B103" i="5"/>
  <c r="B105" i="5"/>
  <c r="B102" i="5"/>
  <c r="B107" i="5"/>
  <c r="B109" i="5"/>
  <c r="B108" i="5"/>
  <c r="B106" i="5"/>
  <c r="B111" i="5"/>
  <c r="B112" i="5"/>
  <c r="B113" i="5"/>
  <c r="B110" i="5"/>
  <c r="B115" i="5"/>
  <c r="B117" i="5"/>
  <c r="B116" i="5"/>
  <c r="B114" i="5"/>
  <c r="B119" i="5"/>
  <c r="B121" i="5"/>
  <c r="B120" i="5"/>
  <c r="B122" i="5"/>
  <c r="B118" i="5"/>
  <c r="B125" i="5"/>
  <c r="B130" i="5"/>
  <c r="B123" i="5"/>
  <c r="B124" i="5"/>
  <c r="B129" i="5"/>
  <c r="B128" i="5"/>
  <c r="B127" i="5"/>
  <c r="B126" i="5"/>
  <c r="B134" i="5"/>
  <c r="B132" i="5"/>
  <c r="B131" i="5"/>
  <c r="B133" i="5"/>
  <c r="B135" i="5"/>
  <c r="B136" i="5"/>
  <c r="B137" i="5"/>
  <c r="I431" i="30" l="1"/>
  <c r="I432" i="30"/>
  <c r="I437" i="32"/>
  <c r="P115" i="3"/>
  <c r="E115" i="3"/>
  <c r="D115" i="3"/>
  <c r="I247" i="45"/>
  <c r="I18" i="45"/>
  <c r="I21" i="45"/>
  <c r="I23" i="45"/>
  <c r="I24" i="45"/>
  <c r="I47" i="45"/>
  <c r="I51" i="45"/>
  <c r="I53" i="45"/>
  <c r="I109" i="45"/>
  <c r="I107" i="45"/>
  <c r="I122" i="45"/>
  <c r="I119" i="45"/>
  <c r="I85" i="45"/>
  <c r="I147" i="45"/>
  <c r="I163" i="45"/>
  <c r="I172" i="45"/>
  <c r="I190" i="45"/>
  <c r="I183" i="45"/>
  <c r="I187" i="45"/>
  <c r="I182" i="45"/>
  <c r="I189" i="45"/>
  <c r="I211" i="45"/>
  <c r="I208" i="45"/>
  <c r="I213" i="45"/>
  <c r="I234" i="45"/>
  <c r="I229" i="45"/>
  <c r="I237" i="45"/>
  <c r="I230" i="45"/>
  <c r="I239" i="45"/>
  <c r="I241" i="45"/>
  <c r="I236" i="45"/>
  <c r="I22" i="45"/>
  <c r="I37" i="45"/>
  <c r="I72" i="45"/>
  <c r="I76" i="45"/>
  <c r="I143" i="45"/>
  <c r="I91" i="45"/>
  <c r="I97" i="45"/>
  <c r="I102" i="45"/>
  <c r="I103" i="45"/>
  <c r="I115" i="45"/>
  <c r="I126" i="45"/>
  <c r="I161" i="45"/>
  <c r="I133" i="45"/>
  <c r="I152" i="45"/>
  <c r="I170" i="45"/>
  <c r="I138" i="45"/>
  <c r="I169" i="45"/>
  <c r="I164" i="45"/>
  <c r="I176" i="45"/>
  <c r="I177" i="45"/>
  <c r="I179" i="45"/>
  <c r="I194" i="45"/>
  <c r="I216" i="45"/>
  <c r="I226" i="45"/>
  <c r="I227" i="45"/>
  <c r="I225" i="45"/>
  <c r="I231" i="45"/>
  <c r="I232" i="45"/>
  <c r="I240" i="45"/>
  <c r="I248" i="45"/>
  <c r="I251" i="45"/>
  <c r="I254" i="45"/>
  <c r="I245" i="45"/>
  <c r="I258" i="45"/>
  <c r="I253" i="45"/>
  <c r="I11" i="45"/>
  <c r="I262" i="45"/>
  <c r="I256" i="45"/>
  <c r="I10" i="45"/>
  <c r="I9" i="45"/>
  <c r="I13" i="45"/>
  <c r="I8" i="45"/>
  <c r="I6" i="45"/>
  <c r="I15" i="45"/>
  <c r="I41" i="45"/>
  <c r="I20" i="45"/>
  <c r="I19" i="45"/>
  <c r="I28" i="45"/>
  <c r="I56" i="45"/>
  <c r="I34" i="45"/>
  <c r="I39" i="45"/>
  <c r="I48" i="45"/>
  <c r="I58" i="45"/>
  <c r="I61" i="45"/>
  <c r="I66" i="45"/>
  <c r="I67" i="45"/>
  <c r="I74" i="45"/>
  <c r="I65" i="45"/>
  <c r="I63" i="45"/>
  <c r="I68" i="45"/>
  <c r="I64" i="45"/>
  <c r="I70" i="45"/>
  <c r="I75" i="45"/>
  <c r="I77" i="45"/>
  <c r="I84" i="45"/>
  <c r="I69" i="45"/>
  <c r="I81" i="45"/>
  <c r="I83" i="45"/>
  <c r="I303" i="45"/>
  <c r="I304" i="45"/>
  <c r="I256" i="30"/>
  <c r="I257" i="30"/>
  <c r="I258" i="30"/>
  <c r="I260" i="30"/>
  <c r="I264" i="30"/>
  <c r="I276" i="30"/>
  <c r="I280" i="30"/>
  <c r="I281" i="30"/>
  <c r="I283" i="30"/>
  <c r="I284" i="30"/>
  <c r="I287" i="30"/>
  <c r="I289" i="30"/>
  <c r="I290" i="30"/>
  <c r="I294" i="30"/>
  <c r="I299" i="30"/>
  <c r="I302" i="30"/>
  <c r="I303" i="30"/>
  <c r="I304" i="30"/>
  <c r="I305" i="30"/>
  <c r="I306" i="30"/>
  <c r="I311" i="30"/>
  <c r="I317" i="30"/>
  <c r="I320" i="30"/>
  <c r="I323" i="30"/>
  <c r="I324" i="30"/>
  <c r="I325" i="30"/>
  <c r="I326" i="30"/>
  <c r="I329" i="30"/>
  <c r="I330" i="30"/>
  <c r="I333" i="30"/>
  <c r="I337" i="30"/>
  <c r="I338" i="30"/>
  <c r="I339" i="30"/>
  <c r="I345" i="30"/>
  <c r="I349" i="30"/>
  <c r="I350" i="30"/>
  <c r="I352" i="30"/>
  <c r="I354" i="30"/>
  <c r="I355" i="30"/>
  <c r="I358" i="30"/>
  <c r="I359" i="30"/>
  <c r="I106" i="30"/>
  <c r="I136" i="30"/>
  <c r="I183" i="30"/>
  <c r="I203" i="30"/>
  <c r="I220" i="30"/>
  <c r="I230" i="30"/>
  <c r="I268" i="30"/>
  <c r="I332" i="30"/>
  <c r="I344" i="30"/>
  <c r="I348" i="30"/>
  <c r="I100" i="30"/>
  <c r="I362" i="30"/>
  <c r="I366" i="30"/>
  <c r="I370" i="30"/>
  <c r="I373" i="30"/>
  <c r="I378" i="30"/>
  <c r="I3" i="30"/>
  <c r="I4" i="30"/>
  <c r="I26" i="30"/>
  <c r="I28" i="30"/>
  <c r="I36" i="30"/>
  <c r="I37" i="30"/>
  <c r="I40" i="30"/>
  <c r="I41" i="30"/>
  <c r="I42" i="30"/>
  <c r="I46" i="30"/>
  <c r="I43" i="30"/>
  <c r="I52" i="30"/>
  <c r="I58" i="30"/>
  <c r="I88" i="30"/>
  <c r="I90" i="30"/>
  <c r="I363" i="30"/>
  <c r="I102" i="30"/>
  <c r="I107" i="30"/>
  <c r="I108" i="30"/>
  <c r="I111" i="30"/>
  <c r="I117" i="30"/>
  <c r="I129" i="30"/>
  <c r="I159" i="30"/>
  <c r="I146" i="30"/>
  <c r="I154" i="30"/>
  <c r="I179" i="30"/>
  <c r="I147" i="30"/>
  <c r="I169" i="30"/>
  <c r="I172" i="30"/>
  <c r="I161" i="30"/>
  <c r="I193" i="30"/>
  <c r="I195" i="30"/>
  <c r="I199" i="30"/>
  <c r="I204" i="30"/>
  <c r="I211" i="30"/>
  <c r="I255" i="30"/>
  <c r="I261" i="30"/>
  <c r="I269" i="30"/>
  <c r="I278" i="30"/>
  <c r="I266" i="30"/>
  <c r="I273" i="30"/>
  <c r="I279" i="30"/>
  <c r="I285" i="30"/>
  <c r="I300" i="30"/>
  <c r="I295" i="30"/>
  <c r="I312" i="30"/>
  <c r="I319" i="30"/>
  <c r="I292" i="30"/>
  <c r="I316" i="30"/>
  <c r="I321" i="30"/>
  <c r="I383" i="30"/>
  <c r="I334" i="30"/>
  <c r="I391" i="30"/>
  <c r="I389" i="30"/>
  <c r="I387" i="30"/>
  <c r="I327" i="30"/>
  <c r="I392" i="30"/>
  <c r="I396" i="30"/>
  <c r="I395" i="30"/>
  <c r="I400" i="30"/>
  <c r="I408" i="30"/>
  <c r="I404" i="30"/>
  <c r="I407" i="30"/>
  <c r="I412" i="30"/>
  <c r="I413" i="30"/>
  <c r="I414" i="30"/>
  <c r="I418" i="30"/>
  <c r="I421" i="30"/>
  <c r="I422" i="30"/>
  <c r="I423" i="30"/>
  <c r="I424" i="30"/>
  <c r="I425" i="30"/>
  <c r="I426" i="30"/>
  <c r="I427" i="30"/>
  <c r="I428" i="30"/>
  <c r="I429" i="30"/>
  <c r="I430" i="30"/>
  <c r="I309" i="31"/>
  <c r="I310" i="31"/>
  <c r="I311" i="31"/>
  <c r="I312" i="31"/>
  <c r="I313" i="31"/>
  <c r="I314" i="31"/>
  <c r="I315" i="31"/>
  <c r="I316" i="31"/>
  <c r="I317" i="31"/>
  <c r="I318" i="31"/>
  <c r="I319" i="31"/>
  <c r="I320" i="31"/>
  <c r="I321" i="31"/>
  <c r="I322" i="31"/>
  <c r="I323" i="31"/>
  <c r="I324" i="31"/>
  <c r="I325" i="31"/>
  <c r="I326" i="31"/>
  <c r="I327" i="31"/>
  <c r="I163" i="31"/>
  <c r="I165" i="31"/>
  <c r="I167" i="31"/>
  <c r="I168" i="31"/>
  <c r="I170" i="31"/>
  <c r="I171" i="31"/>
  <c r="I172" i="31"/>
  <c r="I174" i="31"/>
  <c r="I175" i="31"/>
  <c r="I177" i="31"/>
  <c r="I178" i="31"/>
  <c r="I181" i="31"/>
  <c r="I182" i="31"/>
  <c r="I184" i="31"/>
  <c r="I185" i="31"/>
  <c r="I188" i="31"/>
  <c r="I189" i="31"/>
  <c r="I190" i="31"/>
  <c r="I194" i="31"/>
  <c r="I195" i="31"/>
  <c r="I202" i="31"/>
  <c r="I203" i="31"/>
  <c r="I204" i="31"/>
  <c r="I205" i="31"/>
  <c r="I207" i="31"/>
  <c r="I209" i="31"/>
  <c r="I212" i="31"/>
  <c r="I213" i="31"/>
  <c r="I215" i="31"/>
  <c r="I216" i="31"/>
  <c r="I217" i="31"/>
  <c r="I219" i="31"/>
  <c r="I220" i="31"/>
  <c r="I221" i="31"/>
  <c r="I222" i="31"/>
  <c r="I223" i="31"/>
  <c r="I224" i="31"/>
  <c r="I225" i="31"/>
  <c r="I227" i="31"/>
  <c r="I228" i="31"/>
  <c r="I229" i="31"/>
  <c r="I230" i="31"/>
  <c r="I231" i="31"/>
  <c r="I232" i="31"/>
  <c r="I233" i="31"/>
  <c r="I234" i="31"/>
  <c r="I235" i="31"/>
  <c r="I237" i="31"/>
  <c r="I239" i="31"/>
  <c r="I243" i="31"/>
  <c r="I245" i="31"/>
  <c r="I246" i="31"/>
  <c r="I248" i="31"/>
  <c r="I250" i="31"/>
  <c r="I252" i="31"/>
  <c r="I253" i="31"/>
  <c r="I254" i="31"/>
  <c r="I286" i="31"/>
  <c r="I287" i="31"/>
  <c r="I288" i="31"/>
  <c r="I289" i="31"/>
  <c r="I290" i="31"/>
  <c r="I291" i="31"/>
  <c r="I292" i="31"/>
  <c r="I293" i="31"/>
  <c r="I294" i="31"/>
  <c r="I295" i="31"/>
  <c r="I296" i="31"/>
  <c r="I297" i="31"/>
  <c r="I298" i="31"/>
  <c r="I299" i="31"/>
  <c r="I300" i="31"/>
  <c r="I301" i="31"/>
  <c r="I302" i="31"/>
  <c r="I303" i="31"/>
  <c r="I304" i="31"/>
  <c r="I305" i="31"/>
  <c r="I306" i="31"/>
  <c r="I307" i="31"/>
  <c r="I308" i="31"/>
  <c r="I317" i="32"/>
  <c r="I329" i="32"/>
  <c r="I318" i="32"/>
  <c r="I320" i="32"/>
  <c r="I349" i="32"/>
  <c r="I341" i="32"/>
  <c r="I334" i="32"/>
  <c r="I351" i="32"/>
  <c r="I335" i="32"/>
  <c r="I332" i="32"/>
  <c r="I348" i="32"/>
  <c r="I117" i="32"/>
  <c r="I371" i="32"/>
  <c r="I397" i="32"/>
  <c r="I355" i="32"/>
  <c r="I352" i="32"/>
  <c r="I376" i="32"/>
  <c r="I87" i="32"/>
  <c r="I369" i="32"/>
  <c r="I412" i="32"/>
  <c r="I197" i="32"/>
  <c r="I84" i="32"/>
  <c r="I148" i="32"/>
  <c r="I214" i="32"/>
  <c r="I219" i="32"/>
  <c r="I236" i="32"/>
  <c r="I208" i="32"/>
  <c r="I235" i="32"/>
  <c r="I233" i="32"/>
  <c r="I260" i="32"/>
  <c r="I257" i="32"/>
  <c r="I272" i="32"/>
  <c r="I269" i="32"/>
  <c r="I273" i="32"/>
  <c r="I305" i="32"/>
  <c r="I402" i="32"/>
  <c r="I422" i="32"/>
  <c r="I448" i="32"/>
  <c r="I20" i="32"/>
  <c r="I41" i="32"/>
  <c r="I48" i="32"/>
  <c r="I56" i="32"/>
  <c r="I59" i="32"/>
  <c r="I62" i="32"/>
  <c r="I68" i="32"/>
  <c r="I70" i="32"/>
  <c r="I98" i="32"/>
  <c r="I96" i="32"/>
  <c r="I129" i="32"/>
  <c r="I140" i="32"/>
  <c r="I170" i="32"/>
  <c r="I177" i="32"/>
  <c r="I182" i="32"/>
  <c r="I248" i="32"/>
  <c r="I202" i="32"/>
  <c r="I168" i="32"/>
  <c r="I246" i="32"/>
  <c r="I243" i="32"/>
  <c r="I366" i="32"/>
  <c r="I302" i="32"/>
  <c r="I385" i="32"/>
  <c r="I462" i="32"/>
  <c r="I486" i="32"/>
  <c r="I494" i="32"/>
  <c r="I472" i="32"/>
  <c r="I493" i="32"/>
  <c r="I477" i="32"/>
  <c r="I434" i="32"/>
  <c r="I415" i="32"/>
  <c r="I428" i="32"/>
  <c r="I501" i="32"/>
  <c r="I300" i="32"/>
  <c r="I5" i="32"/>
  <c r="I507" i="32"/>
  <c r="I10" i="32"/>
  <c r="I28" i="32"/>
  <c r="I31" i="32"/>
  <c r="I374" i="32"/>
  <c r="I26" i="32"/>
  <c r="I18" i="32"/>
  <c r="I354" i="32"/>
  <c r="I290" i="32"/>
  <c r="I343" i="32"/>
  <c r="I356" i="32"/>
  <c r="I205" i="32"/>
  <c r="I467" i="32"/>
  <c r="I426" i="32"/>
  <c r="I427" i="32"/>
  <c r="I429" i="32"/>
  <c r="I431" i="32"/>
  <c r="I432" i="32"/>
  <c r="I433" i="32"/>
  <c r="I435" i="32"/>
  <c r="I6" i="32"/>
  <c r="I24" i="32"/>
  <c r="I27" i="32"/>
  <c r="I36" i="32"/>
  <c r="I39" i="32"/>
  <c r="I45" i="32"/>
  <c r="I44" i="32"/>
  <c r="I47" i="32"/>
  <c r="I49" i="32"/>
  <c r="I50" i="32"/>
  <c r="I51" i="32"/>
  <c r="I55" i="32"/>
  <c r="I54" i="32"/>
  <c r="I53" i="32"/>
  <c r="I52" i="32"/>
  <c r="I63" i="32"/>
  <c r="I81" i="32"/>
  <c r="I85" i="32"/>
  <c r="I75" i="32"/>
  <c r="I94" i="32"/>
  <c r="I95" i="32"/>
  <c r="I101" i="32"/>
  <c r="I102" i="32"/>
  <c r="I104" i="32"/>
  <c r="I106" i="32"/>
  <c r="I132" i="32"/>
  <c r="I143" i="32"/>
  <c r="I157" i="32"/>
  <c r="I158" i="32"/>
  <c r="I265" i="32"/>
  <c r="I100" i="32"/>
  <c r="I93" i="32"/>
  <c r="I122" i="32"/>
  <c r="I128" i="32"/>
  <c r="I244" i="32"/>
  <c r="I323" i="32"/>
  <c r="I315" i="32"/>
  <c r="I459" i="32"/>
  <c r="I464" i="32"/>
  <c r="I476" i="32"/>
  <c r="I478" i="32"/>
  <c r="I482" i="32"/>
  <c r="I487" i="32"/>
  <c r="I490" i="32"/>
  <c r="I495" i="32"/>
  <c r="I496" i="32"/>
  <c r="I497" i="32"/>
  <c r="I498" i="32"/>
  <c r="I103" i="32"/>
  <c r="I108" i="32"/>
  <c r="I220" i="32"/>
  <c r="I226" i="32"/>
  <c r="I223" i="32"/>
  <c r="I229" i="32"/>
  <c r="I237" i="32"/>
  <c r="I240" i="32"/>
  <c r="I241" i="32"/>
  <c r="I258" i="32"/>
  <c r="I254" i="32"/>
  <c r="I264" i="32"/>
  <c r="I267" i="32"/>
  <c r="I275" i="32"/>
  <c r="I282" i="32"/>
  <c r="I287" i="32"/>
  <c r="I291" i="32"/>
  <c r="I281" i="32"/>
  <c r="I294" i="32"/>
  <c r="I295" i="32"/>
  <c r="I296" i="32"/>
  <c r="D4" i="5"/>
  <c r="D5" i="5"/>
  <c r="D7" i="5"/>
  <c r="D6" i="5"/>
  <c r="D8" i="5"/>
  <c r="D9" i="5"/>
  <c r="D10" i="5"/>
  <c r="D13" i="5"/>
  <c r="D12" i="5"/>
  <c r="D11" i="5"/>
  <c r="D14" i="5"/>
  <c r="D16" i="5"/>
  <c r="D18" i="5"/>
  <c r="D17" i="5"/>
  <c r="D19" i="5"/>
  <c r="D15" i="5"/>
  <c r="D24" i="5"/>
  <c r="D20" i="5"/>
  <c r="D25" i="5"/>
  <c r="D23" i="5"/>
  <c r="D21" i="5"/>
  <c r="D26" i="5"/>
  <c r="D22" i="5"/>
  <c r="D29" i="5"/>
  <c r="D28" i="5"/>
  <c r="D27" i="5"/>
  <c r="D34" i="5"/>
  <c r="D32" i="5"/>
  <c r="D33" i="5"/>
  <c r="D37" i="5"/>
  <c r="D30" i="5"/>
  <c r="D36" i="5"/>
  <c r="D38" i="5"/>
  <c r="D39" i="5"/>
  <c r="D31" i="5"/>
  <c r="D35" i="5"/>
  <c r="D40" i="5"/>
  <c r="D41" i="5"/>
  <c r="D44" i="5"/>
  <c r="D42" i="5"/>
  <c r="D43" i="5"/>
  <c r="D46" i="5"/>
  <c r="D45" i="5"/>
  <c r="D47" i="5"/>
  <c r="D50" i="5"/>
  <c r="D52" i="5"/>
  <c r="D49" i="5"/>
  <c r="D48" i="5"/>
  <c r="D51" i="5"/>
  <c r="D53" i="5"/>
  <c r="D57" i="5"/>
  <c r="D55" i="5"/>
  <c r="D59" i="5"/>
  <c r="D54" i="5"/>
  <c r="D56" i="5"/>
  <c r="D60" i="5"/>
  <c r="D58" i="5"/>
  <c r="D61" i="5"/>
  <c r="D63" i="5"/>
  <c r="D62" i="5"/>
  <c r="D66" i="5"/>
  <c r="D70" i="5"/>
  <c r="D69" i="5"/>
  <c r="D64" i="5"/>
  <c r="D68" i="5"/>
  <c r="D65" i="5"/>
  <c r="D67" i="5"/>
  <c r="D72" i="5"/>
  <c r="D71" i="5"/>
  <c r="D74" i="5"/>
  <c r="D73" i="5"/>
  <c r="D76" i="5"/>
  <c r="D79" i="5"/>
  <c r="D75" i="5"/>
  <c r="D78" i="5"/>
  <c r="D77" i="5"/>
  <c r="D83" i="5"/>
  <c r="D81" i="5"/>
  <c r="D80" i="5"/>
  <c r="D86" i="5"/>
  <c r="D85" i="5"/>
  <c r="D84" i="5"/>
  <c r="D87" i="5"/>
  <c r="D82" i="5"/>
  <c r="D92" i="5"/>
  <c r="D89" i="5"/>
  <c r="D88" i="5"/>
  <c r="D91" i="5"/>
  <c r="D93" i="5"/>
  <c r="D95" i="5"/>
  <c r="D96" i="5"/>
  <c r="D90" i="5"/>
  <c r="D97" i="5"/>
  <c r="D94" i="5"/>
  <c r="D99" i="5"/>
  <c r="D100" i="5"/>
  <c r="D98" i="5"/>
  <c r="D101" i="5"/>
  <c r="D104" i="5"/>
  <c r="D103" i="5"/>
  <c r="D105" i="5"/>
  <c r="D102" i="5"/>
  <c r="D107" i="5"/>
  <c r="D108" i="5"/>
  <c r="D106" i="5"/>
  <c r="D109" i="5"/>
  <c r="D115" i="5"/>
  <c r="D116" i="5"/>
  <c r="D113" i="5"/>
  <c r="D110" i="5"/>
  <c r="D111" i="5"/>
  <c r="D112" i="5"/>
  <c r="D117" i="5"/>
  <c r="D114" i="5"/>
  <c r="D119" i="5"/>
  <c r="D121" i="5"/>
  <c r="D123" i="5"/>
  <c r="D120" i="5"/>
  <c r="D122" i="5"/>
  <c r="D125" i="5"/>
  <c r="D130" i="5"/>
  <c r="D124" i="5"/>
  <c r="D134" i="5"/>
  <c r="D127" i="5"/>
  <c r="D118" i="5"/>
  <c r="D129" i="5"/>
  <c r="D128" i="5"/>
  <c r="D126" i="5"/>
  <c r="D132" i="5"/>
  <c r="D131" i="5"/>
  <c r="D133" i="5"/>
  <c r="D135" i="5"/>
  <c r="D136" i="5"/>
  <c r="D137" i="5"/>
  <c r="G249" i="7"/>
  <c r="K249" i="7"/>
  <c r="D4" i="3"/>
  <c r="D5" i="3"/>
  <c r="D7" i="3"/>
  <c r="D9" i="3"/>
  <c r="D6" i="3"/>
  <c r="D8" i="3"/>
  <c r="D11" i="3"/>
  <c r="D12" i="3"/>
  <c r="D10" i="3"/>
  <c r="D14" i="3"/>
  <c r="D13" i="3"/>
  <c r="D15" i="3"/>
  <c r="D44" i="3"/>
  <c r="D42" i="3"/>
  <c r="D16" i="3"/>
  <c r="D18" i="3"/>
  <c r="D17" i="3"/>
  <c r="D20" i="3"/>
  <c r="D24" i="3"/>
  <c r="D21" i="3"/>
  <c r="D22" i="3"/>
  <c r="D26" i="3"/>
  <c r="D23" i="3"/>
  <c r="D25" i="3"/>
  <c r="D27" i="3"/>
  <c r="D28" i="3"/>
  <c r="D29" i="3"/>
  <c r="D31" i="3"/>
  <c r="D30" i="3"/>
  <c r="D32" i="3"/>
  <c r="D35" i="3"/>
  <c r="D33" i="3"/>
  <c r="D37" i="3"/>
  <c r="D34" i="3"/>
  <c r="D38" i="3"/>
  <c r="D36" i="3"/>
  <c r="D39" i="3"/>
  <c r="D40" i="3"/>
  <c r="D19" i="3"/>
  <c r="D43" i="3"/>
  <c r="D41" i="3"/>
  <c r="D46" i="3"/>
  <c r="D45" i="3"/>
  <c r="D47" i="3"/>
  <c r="D50" i="3"/>
  <c r="D51" i="3"/>
  <c r="D49" i="3"/>
  <c r="D52" i="3"/>
  <c r="D59" i="3"/>
  <c r="D48" i="3"/>
  <c r="D53" i="3"/>
  <c r="D57" i="3"/>
  <c r="D54" i="3"/>
  <c r="D55" i="3"/>
  <c r="D58" i="3"/>
  <c r="D56" i="3"/>
  <c r="D60" i="3"/>
  <c r="D61" i="3"/>
  <c r="D62" i="3"/>
  <c r="D63" i="3"/>
  <c r="D64" i="3"/>
  <c r="D67" i="3"/>
  <c r="D70" i="3"/>
  <c r="D66" i="3"/>
  <c r="D68" i="3"/>
  <c r="D69" i="3"/>
  <c r="D71" i="3"/>
  <c r="D65" i="3"/>
  <c r="D74" i="3"/>
  <c r="D75" i="3"/>
  <c r="D76" i="3"/>
  <c r="D73" i="3"/>
  <c r="D72" i="3"/>
  <c r="D80" i="3"/>
  <c r="D79" i="3"/>
  <c r="D87" i="3"/>
  <c r="D77" i="3"/>
  <c r="D81" i="3"/>
  <c r="D82" i="3"/>
  <c r="D89" i="3"/>
  <c r="D86" i="3"/>
  <c r="D88" i="3"/>
  <c r="D84" i="3"/>
  <c r="D78" i="3"/>
  <c r="D83" i="3"/>
  <c r="D85" i="3"/>
  <c r="D95" i="3"/>
  <c r="D90" i="3"/>
  <c r="D93" i="3"/>
  <c r="D91" i="3"/>
  <c r="D99" i="3"/>
  <c r="D92" i="3"/>
  <c r="D97" i="3"/>
  <c r="D94" i="3"/>
  <c r="D96" i="3"/>
  <c r="D98" i="3"/>
  <c r="D100" i="3"/>
  <c r="D101" i="3"/>
  <c r="D106" i="3"/>
  <c r="D110" i="3"/>
  <c r="D102" i="3"/>
  <c r="D105" i="3"/>
  <c r="D103" i="3"/>
  <c r="D107" i="3"/>
  <c r="D104" i="3"/>
  <c r="D113" i="3"/>
  <c r="D112" i="3"/>
  <c r="D111" i="3"/>
  <c r="D108" i="3"/>
  <c r="D114" i="3"/>
  <c r="D109" i="3"/>
  <c r="D4" i="4"/>
  <c r="D5" i="4"/>
  <c r="D7" i="4"/>
  <c r="D6" i="4"/>
  <c r="D9" i="4"/>
  <c r="D8" i="4"/>
  <c r="D10" i="4"/>
  <c r="D14" i="4"/>
  <c r="D13" i="4"/>
  <c r="D16" i="4"/>
  <c r="D11" i="4"/>
  <c r="D12" i="4"/>
  <c r="D15" i="4"/>
  <c r="D20" i="4"/>
  <c r="D17" i="4"/>
  <c r="D21" i="4"/>
  <c r="D18" i="4"/>
  <c r="D19" i="4"/>
  <c r="D22" i="4"/>
  <c r="D25" i="4"/>
  <c r="D24" i="4"/>
  <c r="D27" i="4"/>
  <c r="D29" i="4"/>
  <c r="D23" i="4"/>
  <c r="D31" i="4"/>
  <c r="D28" i="4"/>
  <c r="D33" i="4"/>
  <c r="D30" i="4"/>
  <c r="D26" i="4"/>
  <c r="D34" i="4"/>
  <c r="D32" i="4"/>
  <c r="D35" i="4"/>
  <c r="D39" i="4"/>
  <c r="D36" i="4"/>
  <c r="D38" i="4"/>
  <c r="D43" i="4"/>
  <c r="D37" i="4"/>
  <c r="D45" i="4"/>
  <c r="D40" i="4"/>
  <c r="D42" i="4"/>
  <c r="D46" i="4"/>
  <c r="D44" i="4"/>
  <c r="D50" i="4"/>
  <c r="D52" i="4"/>
  <c r="D41" i="4"/>
  <c r="D47" i="4"/>
  <c r="D49" i="4"/>
  <c r="D48" i="4"/>
  <c r="D51" i="4"/>
  <c r="D53" i="4"/>
  <c r="D61" i="4"/>
  <c r="D55" i="4"/>
  <c r="D58" i="4"/>
  <c r="D57" i="4"/>
  <c r="D56" i="4"/>
  <c r="D54" i="4"/>
  <c r="D63" i="4"/>
  <c r="D62" i="4"/>
  <c r="D64" i="4"/>
  <c r="D60" i="4"/>
  <c r="D65" i="4"/>
  <c r="D59" i="4"/>
  <c r="D67" i="4"/>
  <c r="D77" i="4"/>
  <c r="D66" i="4"/>
  <c r="D72" i="4"/>
  <c r="D71" i="4"/>
  <c r="D69" i="4"/>
  <c r="D68" i="4"/>
  <c r="D75" i="4"/>
  <c r="D70" i="4"/>
  <c r="D73" i="4"/>
  <c r="D74" i="4"/>
  <c r="D80" i="4"/>
  <c r="D76" i="4"/>
  <c r="D78" i="4"/>
  <c r="D79" i="4"/>
  <c r="D84" i="4"/>
  <c r="D82" i="4"/>
  <c r="D83" i="4"/>
  <c r="D81" i="4"/>
  <c r="D86" i="4"/>
  <c r="D85" i="4"/>
  <c r="D89" i="4"/>
  <c r="D88" i="4"/>
  <c r="D87" i="4"/>
  <c r="D91" i="4"/>
  <c r="D93" i="4"/>
  <c r="D92" i="4"/>
  <c r="D94" i="4"/>
  <c r="D97" i="4"/>
  <c r="D90" i="4"/>
  <c r="D96" i="4"/>
  <c r="D95" i="4"/>
  <c r="D98" i="4"/>
  <c r="D100" i="4"/>
  <c r="D99" i="4"/>
  <c r="D101" i="4"/>
  <c r="D102" i="4"/>
  <c r="D103" i="4"/>
  <c r="D104" i="4"/>
  <c r="D107" i="4"/>
  <c r="D105" i="4"/>
  <c r="D106" i="4"/>
  <c r="D110" i="4"/>
  <c r="D108" i="4"/>
  <c r="D109" i="4"/>
  <c r="D113" i="4"/>
  <c r="D111" i="4"/>
  <c r="D112" i="4"/>
  <c r="D114" i="4"/>
  <c r="D115" i="4"/>
  <c r="D117" i="4"/>
  <c r="D116" i="4"/>
  <c r="D119" i="4"/>
  <c r="D120" i="4"/>
  <c r="D121" i="4"/>
  <c r="D127" i="4"/>
  <c r="D123" i="4"/>
  <c r="D118" i="4"/>
  <c r="D125" i="4"/>
  <c r="D122" i="4"/>
  <c r="D124" i="4"/>
  <c r="D128" i="4"/>
  <c r="D126" i="4"/>
  <c r="D129" i="4"/>
  <c r="D135" i="4"/>
  <c r="D144" i="4"/>
  <c r="D136" i="4"/>
  <c r="D137" i="4"/>
  <c r="D131" i="4"/>
  <c r="D130" i="4"/>
  <c r="D133" i="4"/>
  <c r="D138" i="4"/>
  <c r="D139" i="4"/>
  <c r="D132" i="4"/>
  <c r="D140" i="4"/>
  <c r="D134" i="4"/>
  <c r="D148" i="4"/>
  <c r="D141" i="4"/>
  <c r="D143" i="4"/>
  <c r="D145" i="4"/>
  <c r="D142" i="4"/>
  <c r="D146" i="4"/>
  <c r="D149" i="4"/>
  <c r="D155" i="4"/>
  <c r="D150" i="4"/>
  <c r="D147" i="4"/>
  <c r="D151" i="4"/>
  <c r="D154" i="4"/>
  <c r="D164" i="4"/>
  <c r="D153" i="4"/>
  <c r="D152" i="4"/>
  <c r="D156" i="4"/>
  <c r="D157" i="4"/>
  <c r="D158" i="4"/>
  <c r="D171" i="4"/>
  <c r="D162" i="4"/>
  <c r="D159" i="4"/>
  <c r="D163" i="4"/>
  <c r="D161" i="4"/>
  <c r="D166" i="4"/>
  <c r="D168" i="4"/>
  <c r="D160" i="4"/>
  <c r="D167" i="4"/>
  <c r="D165" i="4"/>
  <c r="D169" i="4"/>
  <c r="D170" i="4"/>
  <c r="D172" i="4"/>
  <c r="D173" i="4"/>
  <c r="D174" i="4"/>
  <c r="D176" i="4"/>
  <c r="D175" i="4"/>
  <c r="D177" i="4"/>
  <c r="D178" i="4"/>
  <c r="D179" i="4"/>
  <c r="D184" i="4"/>
  <c r="D182" i="4"/>
  <c r="D180" i="4"/>
  <c r="D181" i="4"/>
  <c r="D183" i="4"/>
  <c r="D186" i="4"/>
  <c r="D185" i="4"/>
  <c r="D187" i="4"/>
  <c r="D188" i="4"/>
  <c r="D191" i="4"/>
  <c r="D192" i="4"/>
  <c r="D193" i="4"/>
  <c r="D190" i="4"/>
  <c r="D189" i="4"/>
  <c r="D195" i="4"/>
  <c r="D197" i="4"/>
  <c r="D196" i="4"/>
  <c r="D198" i="4"/>
  <c r="D199" i="4"/>
  <c r="D194" i="4"/>
  <c r="D200" i="4"/>
  <c r="D201" i="4"/>
  <c r="D202" i="4"/>
  <c r="D204" i="4"/>
  <c r="D203" i="4"/>
  <c r="D205" i="4"/>
  <c r="D207" i="4"/>
  <c r="D206" i="4"/>
  <c r="D209" i="4"/>
  <c r="D210" i="4"/>
  <c r="D208" i="4"/>
  <c r="D211" i="4"/>
  <c r="D3" i="2"/>
  <c r="D6" i="2"/>
  <c r="D7" i="2"/>
  <c r="D8" i="2"/>
  <c r="D9" i="2"/>
  <c r="D10" i="2"/>
  <c r="D11" i="2"/>
  <c r="D12" i="2"/>
  <c r="D13" i="2"/>
  <c r="D14" i="2"/>
  <c r="D16" i="2"/>
  <c r="D17" i="2"/>
  <c r="D15" i="2"/>
  <c r="D18" i="2"/>
  <c r="D19" i="2"/>
  <c r="D20" i="2"/>
  <c r="D22" i="2"/>
  <c r="D21" i="2"/>
  <c r="D23" i="2"/>
  <c r="D24" i="2"/>
  <c r="D25" i="2"/>
  <c r="D26" i="2"/>
  <c r="D27" i="2"/>
  <c r="D28" i="2"/>
  <c r="D29" i="2"/>
  <c r="D30" i="2"/>
  <c r="D31" i="2"/>
  <c r="D32" i="2"/>
  <c r="D33" i="2"/>
  <c r="D34" i="2"/>
  <c r="D35" i="2"/>
  <c r="D36" i="2"/>
  <c r="D37" i="2"/>
  <c r="D38" i="2"/>
  <c r="D39" i="2"/>
  <c r="D40" i="2"/>
  <c r="D41" i="2"/>
  <c r="D42" i="2"/>
  <c r="D43" i="2"/>
  <c r="D44" i="2"/>
  <c r="D45" i="2"/>
  <c r="D46" i="2"/>
  <c r="D48" i="2"/>
  <c r="D47" i="2"/>
  <c r="D51" i="2"/>
  <c r="D50" i="2"/>
  <c r="D53" i="2"/>
  <c r="D49" i="2"/>
  <c r="D55" i="2"/>
  <c r="D54" i="2"/>
  <c r="D52" i="2"/>
  <c r="D57" i="2"/>
  <c r="D56" i="2"/>
  <c r="D61" i="2"/>
  <c r="D64" i="2"/>
  <c r="D58" i="2"/>
  <c r="D62" i="2"/>
  <c r="D60" i="2"/>
  <c r="D59" i="2"/>
  <c r="D65" i="2"/>
  <c r="D63" i="2"/>
  <c r="D67" i="2"/>
  <c r="D66" i="2"/>
  <c r="D68" i="2"/>
  <c r="D69" i="2"/>
  <c r="D70" i="2"/>
  <c r="D71" i="2"/>
  <c r="D72" i="2"/>
  <c r="D73" i="2"/>
  <c r="D74" i="2"/>
  <c r="D75" i="2"/>
  <c r="D76" i="2"/>
  <c r="D77" i="2"/>
  <c r="D78" i="2"/>
  <c r="D79" i="2"/>
  <c r="D80" i="2"/>
  <c r="D81" i="2"/>
  <c r="D82" i="2"/>
  <c r="D83" i="2"/>
  <c r="D84" i="2"/>
  <c r="D85" i="2"/>
  <c r="D86" i="2"/>
  <c r="V64" i="28"/>
  <c r="M64" i="28"/>
  <c r="D64" i="28"/>
  <c r="V63" i="28"/>
  <c r="M63" i="28"/>
  <c r="D63" i="28"/>
  <c r="V62" i="28"/>
  <c r="M62" i="28"/>
  <c r="D62" i="28"/>
  <c r="V61" i="28"/>
  <c r="M61" i="28"/>
  <c r="D61" i="28"/>
  <c r="V60" i="28"/>
  <c r="M60" i="28"/>
  <c r="D60" i="28"/>
  <c r="V59" i="28"/>
  <c r="M59" i="28"/>
  <c r="D59" i="28"/>
  <c r="V58" i="28"/>
  <c r="M58" i="28"/>
  <c r="D58" i="28"/>
  <c r="V57" i="28"/>
  <c r="M57" i="28"/>
  <c r="D57" i="28"/>
  <c r="V56" i="28"/>
  <c r="M56" i="28"/>
  <c r="D56" i="28"/>
  <c r="V55" i="28"/>
  <c r="M55" i="28"/>
  <c r="D55" i="28"/>
  <c r="V54" i="28"/>
  <c r="M54" i="28"/>
  <c r="D54" i="28"/>
  <c r="V53" i="28"/>
  <c r="M53" i="28"/>
  <c r="D53" i="28"/>
  <c r="V52" i="28"/>
  <c r="M52" i="28"/>
  <c r="D52" i="28"/>
  <c r="V51" i="28"/>
  <c r="M51" i="28"/>
  <c r="D51" i="28"/>
  <c r="V50" i="28"/>
  <c r="M50" i="28"/>
  <c r="D50" i="28"/>
  <c r="V49" i="28"/>
  <c r="M49" i="28"/>
  <c r="D49" i="28"/>
  <c r="V48" i="28"/>
  <c r="M48" i="28"/>
  <c r="D48" i="28"/>
  <c r="V47" i="28"/>
  <c r="M47" i="28"/>
  <c r="D47" i="28"/>
  <c r="V46" i="28"/>
  <c r="M46" i="28"/>
  <c r="D46" i="28"/>
  <c r="V45" i="28"/>
  <c r="M45" i="28"/>
  <c r="D45" i="28"/>
  <c r="V44" i="28"/>
  <c r="M44" i="28"/>
  <c r="D44" i="28"/>
  <c r="V43" i="28"/>
  <c r="M43" i="28"/>
  <c r="D43" i="28"/>
  <c r="V42" i="28"/>
  <c r="M42" i="28"/>
  <c r="D42" i="28"/>
  <c r="V41" i="28"/>
  <c r="M41" i="28"/>
  <c r="D41" i="28"/>
  <c r="V40" i="28"/>
  <c r="M40" i="28"/>
  <c r="D40" i="28"/>
  <c r="V39" i="28"/>
  <c r="M39" i="28"/>
  <c r="D39" i="28"/>
  <c r="V38" i="28"/>
  <c r="M38" i="28"/>
  <c r="V37" i="28"/>
  <c r="M37" i="28"/>
  <c r="V36" i="28"/>
  <c r="M36" i="28"/>
  <c r="V35" i="28"/>
  <c r="M35" i="28"/>
  <c r="V34" i="28"/>
  <c r="M34" i="28"/>
  <c r="D34" i="28"/>
  <c r="V33" i="28"/>
  <c r="M33" i="28"/>
  <c r="D33" i="28"/>
  <c r="V32" i="28"/>
  <c r="M32" i="28"/>
  <c r="D32" i="28"/>
  <c r="V31" i="28"/>
  <c r="M31" i="28"/>
  <c r="D31" i="28"/>
  <c r="V30" i="28"/>
  <c r="M30" i="28"/>
  <c r="D30" i="28"/>
  <c r="V29" i="28"/>
  <c r="M29" i="28"/>
  <c r="D29" i="28"/>
  <c r="V28" i="28"/>
  <c r="M28" i="28"/>
  <c r="D28" i="28"/>
  <c r="V27" i="28"/>
  <c r="M27" i="28"/>
  <c r="D27" i="28"/>
  <c r="V26" i="28"/>
  <c r="M26" i="28"/>
  <c r="D26" i="28"/>
  <c r="V25" i="28"/>
  <c r="M25" i="28"/>
  <c r="D25" i="28"/>
  <c r="V24" i="28"/>
  <c r="M24" i="28"/>
  <c r="D24" i="28"/>
  <c r="V23" i="28"/>
  <c r="M23" i="28"/>
  <c r="D23" i="28"/>
  <c r="V22" i="28"/>
  <c r="M22" i="28"/>
  <c r="D22" i="28"/>
  <c r="V21" i="28"/>
  <c r="M21" i="28"/>
  <c r="D21" i="28"/>
  <c r="V20" i="28"/>
  <c r="M20" i="28"/>
  <c r="D20" i="28"/>
  <c r="V19" i="28"/>
  <c r="M19" i="28"/>
  <c r="D19" i="28"/>
  <c r="V18" i="28"/>
  <c r="M18" i="28"/>
  <c r="D18" i="28"/>
  <c r="V17" i="28"/>
  <c r="M17" i="28"/>
  <c r="D17" i="28"/>
  <c r="M16" i="28"/>
  <c r="D16" i="28"/>
  <c r="M15" i="28"/>
  <c r="D15" i="28"/>
  <c r="M14" i="28"/>
  <c r="D14" i="28"/>
  <c r="M13" i="28"/>
  <c r="D13" i="28"/>
  <c r="D12" i="28"/>
  <c r="M11" i="28"/>
  <c r="D11" i="28"/>
  <c r="M10" i="28"/>
  <c r="D10" i="28"/>
  <c r="M9" i="28"/>
  <c r="D9" i="28"/>
  <c r="V8" i="28"/>
  <c r="M8" i="28"/>
  <c r="D8" i="28"/>
  <c r="V7" i="28"/>
  <c r="M7" i="28"/>
  <c r="D7" i="28"/>
  <c r="V6" i="28"/>
  <c r="V5" i="28"/>
  <c r="D5" i="28"/>
  <c r="G529" i="7"/>
  <c r="K529" i="7"/>
  <c r="G286" i="7"/>
  <c r="K286" i="7"/>
  <c r="G85" i="7"/>
  <c r="K85" i="7"/>
  <c r="G271" i="7"/>
  <c r="K271" i="7"/>
  <c r="G35" i="7"/>
  <c r="K35" i="7"/>
  <c r="G544" i="7"/>
  <c r="K544" i="7"/>
  <c r="G523" i="7"/>
  <c r="K523" i="7"/>
  <c r="G562" i="7"/>
  <c r="K562" i="7"/>
  <c r="G324" i="7"/>
  <c r="K324" i="7"/>
  <c r="G531" i="7"/>
  <c r="K531" i="7"/>
  <c r="G269" i="7"/>
  <c r="K269" i="7"/>
  <c r="K133" i="7"/>
  <c r="G502" i="7"/>
  <c r="K502" i="7"/>
  <c r="G503" i="7"/>
  <c r="K503" i="7"/>
  <c r="G318" i="7"/>
  <c r="K318" i="7"/>
  <c r="G267" i="7"/>
  <c r="K267" i="7"/>
  <c r="G305" i="7"/>
  <c r="K305" i="7"/>
  <c r="G494" i="7"/>
  <c r="K494" i="7"/>
  <c r="G427" i="7"/>
  <c r="K427" i="7"/>
  <c r="G338" i="7"/>
  <c r="K338" i="7"/>
  <c r="G89" i="7"/>
  <c r="K89" i="7"/>
  <c r="G499" i="7"/>
  <c r="K499" i="7"/>
  <c r="G524" i="7"/>
  <c r="K524" i="7"/>
  <c r="G197" i="7"/>
  <c r="K197" i="7"/>
  <c r="G63" i="7"/>
  <c r="K63" i="7"/>
  <c r="G128" i="7"/>
  <c r="K128" i="7"/>
  <c r="G461" i="7"/>
  <c r="K461" i="7"/>
  <c r="G108" i="7"/>
  <c r="K108" i="7"/>
  <c r="G294" i="7"/>
  <c r="K294" i="7"/>
  <c r="G543" i="7"/>
  <c r="K543" i="7"/>
  <c r="G555" i="7"/>
  <c r="K555" i="7"/>
  <c r="G490" i="7"/>
  <c r="K490" i="7"/>
  <c r="G495" i="7"/>
  <c r="K495" i="7"/>
  <c r="G308" i="7"/>
  <c r="K308" i="7"/>
  <c r="G454" i="7"/>
  <c r="K454" i="7"/>
  <c r="G264" i="7"/>
  <c r="K264" i="7"/>
  <c r="G470" i="7"/>
  <c r="K470" i="7"/>
  <c r="G525" i="7"/>
  <c r="K525" i="7"/>
  <c r="G394" i="7"/>
  <c r="K394" i="7"/>
  <c r="G415" i="7"/>
  <c r="K415" i="7"/>
  <c r="G444" i="7"/>
  <c r="K444" i="7"/>
  <c r="G398" i="7"/>
  <c r="K398" i="7"/>
  <c r="G541" i="7"/>
  <c r="K541" i="7"/>
  <c r="G517" i="7"/>
  <c r="K517" i="7"/>
  <c r="G58" i="7"/>
  <c r="K58" i="7"/>
  <c r="G358" i="7"/>
  <c r="K358" i="7"/>
  <c r="G246" i="7"/>
  <c r="K246" i="7"/>
  <c r="G410" i="7"/>
  <c r="K410" i="7"/>
  <c r="G357" i="7"/>
  <c r="K357" i="7"/>
  <c r="G123" i="7"/>
  <c r="K123" i="7"/>
  <c r="G441" i="7"/>
  <c r="K441" i="7"/>
  <c r="G90" i="7"/>
  <c r="K90" i="7"/>
  <c r="G93" i="7"/>
  <c r="K93" i="7"/>
  <c r="K333" i="7"/>
  <c r="G516" i="7"/>
  <c r="K516" i="7"/>
  <c r="G155" i="7"/>
  <c r="K155" i="7"/>
  <c r="G443" i="7"/>
  <c r="K443" i="7"/>
  <c r="G549" i="7"/>
  <c r="K549" i="7"/>
  <c r="G257" i="7"/>
  <c r="K257" i="7"/>
  <c r="G278" i="7"/>
  <c r="K278" i="7"/>
  <c r="G320" i="7"/>
  <c r="K320" i="7"/>
  <c r="G142" i="7"/>
  <c r="K142" i="7"/>
  <c r="K349" i="7"/>
  <c r="G527" i="7"/>
  <c r="K527" i="7"/>
  <c r="G477" i="7"/>
  <c r="K477" i="7"/>
  <c r="G429" i="7"/>
  <c r="K429" i="7"/>
  <c r="G263" i="7"/>
  <c r="K263" i="7"/>
  <c r="G561" i="7"/>
  <c r="K561" i="7"/>
  <c r="G31" i="7"/>
  <c r="K31" i="7"/>
  <c r="G112" i="7"/>
  <c r="K112" i="7"/>
  <c r="G540" i="7"/>
  <c r="K540" i="7"/>
  <c r="G279" i="7"/>
  <c r="K279" i="7"/>
  <c r="G290" i="7"/>
  <c r="K290" i="7"/>
  <c r="G92" i="7"/>
  <c r="K92" i="7"/>
  <c r="G247" i="7"/>
  <c r="K247" i="7"/>
  <c r="G170" i="7"/>
  <c r="K170" i="7"/>
  <c r="G445" i="7"/>
  <c r="K445" i="7"/>
  <c r="G325" i="7"/>
  <c r="K325" i="7"/>
  <c r="G300" i="7"/>
  <c r="K300" i="7"/>
  <c r="G464" i="7"/>
  <c r="K464" i="7"/>
  <c r="G64" i="7"/>
  <c r="K64" i="7"/>
  <c r="G293" i="7"/>
  <c r="K293" i="7"/>
  <c r="G315" i="7"/>
  <c r="K315" i="7"/>
  <c r="G538" i="7"/>
  <c r="K538" i="7"/>
  <c r="G299" i="7"/>
  <c r="K299" i="7"/>
  <c r="G434" i="7"/>
  <c r="K434" i="7"/>
  <c r="G498" i="7"/>
  <c r="K498" i="7"/>
  <c r="G330" i="7"/>
  <c r="K330" i="7"/>
  <c r="G74" i="7"/>
  <c r="K74" i="7"/>
  <c r="G482" i="7"/>
  <c r="K482" i="7"/>
  <c r="G87" i="7"/>
  <c r="K87" i="7"/>
  <c r="G203" i="7"/>
  <c r="K203" i="7"/>
  <c r="G471" i="7"/>
  <c r="K471" i="7"/>
  <c r="G534" i="7"/>
  <c r="K534" i="7"/>
  <c r="G474" i="7"/>
  <c r="K474" i="7"/>
  <c r="G420" i="7"/>
  <c r="K420" i="7"/>
  <c r="G509" i="7"/>
  <c r="K509" i="7"/>
  <c r="G351" i="7"/>
  <c r="K351" i="7"/>
  <c r="G114" i="7"/>
  <c r="K114" i="7"/>
  <c r="G151" i="7"/>
  <c r="K151" i="7"/>
  <c r="G547" i="7"/>
  <c r="K547" i="7"/>
  <c r="G511" i="7"/>
  <c r="K511" i="7"/>
  <c r="G469" i="7"/>
  <c r="K469" i="7"/>
  <c r="G66" i="7"/>
  <c r="K66" i="7"/>
  <c r="G131" i="7"/>
  <c r="K131" i="7"/>
  <c r="G329" i="7"/>
  <c r="K329" i="7"/>
  <c r="G560" i="7"/>
  <c r="K560" i="7"/>
  <c r="E165" i="4"/>
  <c r="P165" i="4"/>
  <c r="E169" i="4"/>
  <c r="P169" i="4"/>
  <c r="E170" i="4"/>
  <c r="P170" i="4"/>
  <c r="E172" i="4"/>
  <c r="P172" i="4"/>
  <c r="E173" i="4"/>
  <c r="P173" i="4"/>
  <c r="E174" i="4"/>
  <c r="P174" i="4"/>
  <c r="E176" i="4"/>
  <c r="P176" i="4"/>
  <c r="E175" i="4"/>
  <c r="P175" i="4"/>
  <c r="E177" i="4"/>
  <c r="P177" i="4"/>
  <c r="E178" i="4"/>
  <c r="P178" i="4"/>
  <c r="E179" i="4"/>
  <c r="P179" i="4"/>
  <c r="E184" i="4"/>
  <c r="P184" i="4"/>
  <c r="E182" i="4"/>
  <c r="P182" i="4"/>
  <c r="E180" i="4"/>
  <c r="P180" i="4"/>
  <c r="E181" i="4"/>
  <c r="P181" i="4"/>
  <c r="E183" i="4"/>
  <c r="P183" i="4"/>
  <c r="E186" i="4"/>
  <c r="P186" i="4"/>
  <c r="E185" i="4"/>
  <c r="P185" i="4"/>
  <c r="E187" i="4"/>
  <c r="P187" i="4"/>
  <c r="E188" i="4"/>
  <c r="P188" i="4"/>
  <c r="E191" i="4"/>
  <c r="P191" i="4"/>
  <c r="E192" i="4"/>
  <c r="P192" i="4"/>
  <c r="E193" i="4"/>
  <c r="P193" i="4"/>
  <c r="E190" i="4"/>
  <c r="P190" i="4"/>
  <c r="E189" i="4"/>
  <c r="P189" i="4"/>
  <c r="E195" i="4"/>
  <c r="P195" i="4"/>
  <c r="E197" i="4"/>
  <c r="P197" i="4"/>
  <c r="E196" i="4"/>
  <c r="P196" i="4"/>
  <c r="E198" i="4"/>
  <c r="P198" i="4"/>
  <c r="E199" i="4"/>
  <c r="P199" i="4"/>
  <c r="E194" i="4"/>
  <c r="P194" i="4"/>
  <c r="E200" i="4"/>
  <c r="P200" i="4"/>
  <c r="E201" i="4"/>
  <c r="P201" i="4"/>
  <c r="E202" i="4"/>
  <c r="P202" i="4"/>
  <c r="E204" i="4"/>
  <c r="P204" i="4"/>
  <c r="E203" i="4"/>
  <c r="P203" i="4"/>
  <c r="E205" i="4"/>
  <c r="P205" i="4"/>
  <c r="E207" i="4"/>
  <c r="P207" i="4"/>
  <c r="E206" i="4"/>
  <c r="P206" i="4"/>
  <c r="E209" i="4"/>
  <c r="P209" i="4"/>
  <c r="E210" i="4"/>
  <c r="P210" i="4"/>
  <c r="E208" i="4"/>
  <c r="P208" i="4"/>
  <c r="E211" i="4"/>
  <c r="P211" i="4"/>
  <c r="E131" i="5"/>
  <c r="P131" i="5"/>
  <c r="E133" i="5"/>
  <c r="P133" i="5"/>
  <c r="E135" i="5"/>
  <c r="P135" i="5"/>
  <c r="E136" i="5"/>
  <c r="P136" i="5"/>
  <c r="E137" i="5"/>
  <c r="P137" i="5"/>
  <c r="E76" i="2"/>
  <c r="P76" i="2"/>
  <c r="E77" i="2"/>
  <c r="P77" i="2"/>
  <c r="E78" i="2"/>
  <c r="P78" i="2"/>
  <c r="E79" i="2"/>
  <c r="P79" i="2"/>
  <c r="E80" i="2"/>
  <c r="P80" i="2"/>
  <c r="E81" i="2"/>
  <c r="P81" i="2"/>
  <c r="E82" i="2"/>
  <c r="P82" i="2"/>
  <c r="E83" i="2"/>
  <c r="P83" i="2"/>
  <c r="E84" i="2"/>
  <c r="P84" i="2"/>
  <c r="E85" i="2"/>
  <c r="P85" i="2"/>
  <c r="E86" i="2"/>
  <c r="P86" i="2"/>
  <c r="D514" i="32"/>
  <c r="D511" i="32"/>
  <c r="D510" i="32"/>
  <c r="D509" i="32"/>
  <c r="D513" i="32"/>
  <c r="D512" i="32"/>
  <c r="K532" i="7" l="1"/>
  <c r="K102" i="7"/>
  <c r="K39" i="7"/>
  <c r="K557" i="7"/>
  <c r="K431" i="7"/>
  <c r="K80" i="7"/>
  <c r="K16" i="7"/>
  <c r="K456" i="7"/>
  <c r="K366" i="7"/>
  <c r="G431" i="7"/>
  <c r="G366" i="7"/>
  <c r="G557" i="7"/>
  <c r="G80" i="7"/>
  <c r="G39" i="7"/>
  <c r="G102" i="7"/>
  <c r="G532" i="7"/>
  <c r="G456" i="7"/>
  <c r="G16" i="7"/>
  <c r="I297" i="45"/>
  <c r="I298" i="45"/>
  <c r="I299" i="45"/>
  <c r="I300" i="45"/>
  <c r="I301" i="45"/>
  <c r="I302" i="45"/>
  <c r="I263" i="30"/>
  <c r="I297" i="30"/>
  <c r="I298" i="30"/>
  <c r="I388" i="30"/>
  <c r="I397" i="30"/>
  <c r="I393" i="30"/>
  <c r="I145" i="30"/>
  <c r="I149" i="30"/>
  <c r="I151" i="30"/>
  <c r="I156" i="30"/>
  <c r="I168" i="30"/>
  <c r="I178" i="30"/>
  <c r="I180" i="30"/>
  <c r="I190" i="30"/>
  <c r="I194" i="30"/>
  <c r="I198" i="30"/>
  <c r="I212" i="30"/>
  <c r="I214" i="30"/>
  <c r="I226" i="30"/>
  <c r="I229" i="30"/>
  <c r="I233" i="30"/>
  <c r="I239" i="30"/>
  <c r="I243" i="30"/>
  <c r="I246" i="30"/>
  <c r="I247" i="30"/>
  <c r="I241" i="31"/>
  <c r="I249" i="31"/>
  <c r="I262" i="31"/>
  <c r="I255" i="31"/>
  <c r="I251" i="31"/>
  <c r="I268" i="31"/>
  <c r="I271" i="31"/>
  <c r="I274" i="31"/>
  <c r="I215" i="32"/>
  <c r="I249" i="32"/>
  <c r="I328" i="32"/>
  <c r="I370" i="32"/>
  <c r="I183" i="32"/>
  <c r="I319" i="32"/>
  <c r="I347" i="32"/>
  <c r="I471" i="32"/>
  <c r="I417" i="32"/>
  <c r="I421" i="32"/>
  <c r="I503" i="32"/>
  <c r="I16" i="32"/>
  <c r="I7" i="32"/>
  <c r="I14" i="32"/>
  <c r="I21" i="32"/>
  <c r="I11" i="32"/>
  <c r="I357" i="32"/>
  <c r="I42" i="32"/>
  <c r="I19" i="32"/>
  <c r="I15" i="32"/>
  <c r="I344" i="32"/>
  <c r="I46" i="32"/>
  <c r="I361" i="32"/>
  <c r="I353" i="32"/>
  <c r="I362" i="32"/>
  <c r="I280" i="32"/>
  <c r="I327" i="32"/>
  <c r="I372" i="32"/>
  <c r="I420" i="32"/>
  <c r="I137" i="32"/>
  <c r="I155" i="32"/>
  <c r="I186" i="32"/>
  <c r="I188" i="32"/>
  <c r="I196" i="32"/>
  <c r="I200" i="32"/>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K33" i="46"/>
  <c r="J33" i="46"/>
  <c r="I33" i="46"/>
  <c r="H33" i="46"/>
  <c r="G33" i="46"/>
  <c r="F33" i="46"/>
  <c r="E33" i="46"/>
  <c r="D33" i="46"/>
  <c r="C33" i="46"/>
  <c r="B33" i="46"/>
  <c r="L17" i="46"/>
  <c r="K17" i="46"/>
  <c r="J17" i="46"/>
  <c r="I17" i="46"/>
  <c r="H17" i="46"/>
  <c r="G17" i="46"/>
  <c r="F17" i="46"/>
  <c r="E17" i="46"/>
  <c r="D17" i="46"/>
  <c r="C17" i="46"/>
  <c r="B17" i="46"/>
  <c r="L1" i="46"/>
  <c r="K1" i="46"/>
  <c r="J1" i="46"/>
  <c r="I1" i="46"/>
  <c r="H1" i="46"/>
  <c r="G1" i="46"/>
  <c r="F1" i="46"/>
  <c r="E1" i="46"/>
  <c r="D1" i="46"/>
  <c r="C1" i="46"/>
  <c r="B1" i="46"/>
  <c r="J9" i="25" l="1"/>
  <c r="J8" i="25"/>
  <c r="J7" i="25"/>
  <c r="J6" i="25"/>
  <c r="J5" i="25"/>
  <c r="J4" i="25"/>
  <c r="J3" i="25"/>
  <c r="J2" i="25"/>
  <c r="J10" i="25"/>
  <c r="J11" i="25"/>
  <c r="J12" i="25"/>
  <c r="J13" i="25"/>
  <c r="J14" i="25"/>
  <c r="J15" i="25"/>
  <c r="J16" i="25"/>
  <c r="J17" i="25"/>
  <c r="J18" i="25"/>
  <c r="J19" i="25"/>
  <c r="J20" i="25"/>
  <c r="J21" i="25"/>
  <c r="J22" i="25"/>
  <c r="J23" i="25"/>
  <c r="J24" i="25"/>
  <c r="J25" i="25"/>
  <c r="J26" i="25"/>
  <c r="J27" i="25"/>
  <c r="J28" i="25"/>
  <c r="J29" i="25"/>
  <c r="J30" i="25"/>
  <c r="J31" i="25"/>
  <c r="J32" i="25"/>
  <c r="J33" i="25"/>
  <c r="I453" i="32"/>
  <c r="I456" i="32"/>
  <c r="I83" i="32"/>
  <c r="I266" i="32"/>
  <c r="I316" i="32"/>
  <c r="I475" i="32"/>
  <c r="I488" i="32"/>
  <c r="I97" i="32"/>
  <c r="I124" i="32"/>
  <c r="I144" i="32"/>
  <c r="I350" i="32"/>
  <c r="I368" i="32"/>
  <c r="I268" i="32"/>
  <c r="I451" i="32"/>
  <c r="I33" i="32"/>
  <c r="I111" i="32"/>
  <c r="I251" i="32"/>
  <c r="I309" i="32"/>
  <c r="I326" i="32"/>
  <c r="I263" i="32"/>
  <c r="I396" i="32"/>
  <c r="I413" i="32"/>
  <c r="I454" i="32"/>
  <c r="I145" i="32"/>
  <c r="I286" i="32"/>
  <c r="I390" i="32"/>
  <c r="I394" i="32"/>
  <c r="I458" i="32"/>
  <c r="I463" i="32"/>
  <c r="I502" i="32"/>
  <c r="I506" i="32"/>
  <c r="I74" i="32"/>
  <c r="I76" i="32"/>
  <c r="I222" i="32"/>
  <c r="I22" i="32"/>
  <c r="I38" i="32"/>
  <c r="I134" i="32"/>
  <c r="I194" i="32"/>
  <c r="I199" i="32"/>
  <c r="I218" i="32"/>
  <c r="I301" i="32"/>
  <c r="I395" i="32"/>
  <c r="I383" i="32"/>
  <c r="I389" i="32"/>
  <c r="I400" i="32"/>
  <c r="I405" i="32"/>
  <c r="I424" i="32"/>
  <c r="I162" i="32"/>
  <c r="I232" i="32"/>
  <c r="I391" i="32"/>
  <c r="I69" i="32"/>
  <c r="I238" i="32"/>
  <c r="I261" i="32"/>
  <c r="I13" i="32"/>
  <c r="I32" i="32"/>
  <c r="I17" i="32"/>
  <c r="I303" i="32"/>
  <c r="I410" i="32"/>
  <c r="I455" i="32"/>
  <c r="I43" i="32"/>
  <c r="I91" i="32"/>
  <c r="I262" i="32"/>
  <c r="I207" i="32"/>
  <c r="I466" i="32"/>
  <c r="I480" i="32"/>
  <c r="I147" i="32"/>
  <c r="I174" i="32"/>
  <c r="I179" i="32"/>
  <c r="I185" i="32"/>
  <c r="I465" i="32"/>
  <c r="I489" i="32"/>
  <c r="I119" i="32"/>
  <c r="I160" i="32"/>
  <c r="I242" i="32"/>
  <c r="I414" i="32"/>
  <c r="I37" i="32"/>
  <c r="I88" i="32"/>
  <c r="I99" i="32"/>
  <c r="I113" i="32"/>
  <c r="I152" i="32"/>
  <c r="I164" i="32"/>
  <c r="I172" i="32"/>
  <c r="I298" i="32"/>
  <c r="I312" i="32"/>
  <c r="I359" i="32"/>
  <c r="I342" i="32"/>
  <c r="I330" i="32"/>
  <c r="I380" i="32"/>
  <c r="I360" i="32"/>
  <c r="I408" i="32"/>
  <c r="I299" i="32"/>
  <c r="I80" i="32"/>
  <c r="I146" i="32"/>
  <c r="I293" i="32"/>
  <c r="I230" i="32"/>
  <c r="I217" i="32"/>
  <c r="I483" i="32"/>
  <c r="I228" i="32"/>
  <c r="I333" i="32"/>
  <c r="I373" i="32"/>
  <c r="I367" i="32"/>
  <c r="I381" i="32"/>
  <c r="I404" i="32"/>
  <c r="I125" i="32"/>
  <c r="I399" i="32"/>
  <c r="I288" i="32"/>
  <c r="I386" i="32"/>
  <c r="I419" i="32"/>
  <c r="I411" i="32"/>
  <c r="I430" i="32"/>
  <c r="I57" i="32"/>
  <c r="I64" i="32"/>
  <c r="I73" i="32"/>
  <c r="I175" i="32"/>
  <c r="I154" i="32"/>
  <c r="I79" i="32"/>
  <c r="I178" i="32"/>
  <c r="I189" i="32"/>
  <c r="I190" i="32"/>
  <c r="I377" i="32"/>
  <c r="I479" i="32"/>
  <c r="I491" i="32"/>
  <c r="I499" i="32"/>
  <c r="I447" i="32"/>
  <c r="I443" i="32"/>
  <c r="I61" i="32"/>
  <c r="I407" i="32"/>
  <c r="I89" i="32"/>
  <c r="I114" i="32"/>
  <c r="I126" i="32"/>
  <c r="I165" i="32"/>
  <c r="I221" i="32"/>
  <c r="I338" i="32"/>
  <c r="I340" i="32"/>
  <c r="I473" i="32"/>
  <c r="I297" i="32"/>
  <c r="I436" i="32"/>
  <c r="I418" i="32"/>
  <c r="I438" i="32"/>
  <c r="I500" i="32"/>
  <c r="I505" i="32"/>
  <c r="I9" i="32"/>
  <c r="I504" i="32"/>
  <c r="I4" i="32"/>
  <c r="I29" i="32"/>
  <c r="I285" i="32"/>
  <c r="I322" i="32"/>
  <c r="I445" i="32"/>
  <c r="I388" i="32"/>
  <c r="I363" i="32"/>
  <c r="I444" i="32"/>
  <c r="I60" i="32"/>
  <c r="I58" i="32"/>
  <c r="I90" i="32"/>
  <c r="I66" i="32"/>
  <c r="I131" i="32"/>
  <c r="I255" i="32"/>
  <c r="I468" i="32"/>
  <c r="I423" i="32"/>
  <c r="I277" i="32"/>
  <c r="I292" i="32"/>
  <c r="I403" i="32"/>
  <c r="I409" i="32"/>
  <c r="I110" i="32"/>
  <c r="I107" i="32"/>
  <c r="I127" i="32"/>
  <c r="I136" i="32"/>
  <c r="I156" i="32"/>
  <c r="I149" i="32"/>
  <c r="I192" i="32"/>
  <c r="I198" i="32"/>
  <c r="I234" i="32"/>
  <c r="I259" i="32"/>
  <c r="I284" i="32"/>
  <c r="I313" i="32"/>
  <c r="I337" i="32"/>
  <c r="I346" i="32"/>
  <c r="I378" i="32"/>
  <c r="I82" i="32"/>
  <c r="I142" i="32"/>
  <c r="I8" i="32"/>
  <c r="I12" i="32"/>
  <c r="I245" i="32"/>
  <c r="I210" i="32"/>
  <c r="I449" i="32"/>
  <c r="I452" i="32"/>
  <c r="I306" i="32"/>
  <c r="I153" i="32"/>
  <c r="I310" i="32"/>
  <c r="I92" i="32"/>
  <c r="I121" i="32"/>
  <c r="I171" i="32"/>
  <c r="I274" i="32"/>
  <c r="I321" i="32"/>
  <c r="I387" i="32"/>
  <c r="I239" i="32"/>
  <c r="I308" i="32"/>
  <c r="I375" i="32"/>
  <c r="I440" i="32"/>
  <c r="I289" i="32"/>
  <c r="I439" i="32"/>
  <c r="I72" i="32"/>
  <c r="I212" i="32"/>
  <c r="I469" i="32"/>
  <c r="I474" i="32"/>
  <c r="I65" i="32"/>
  <c r="I120" i="32"/>
  <c r="I279" i="32"/>
  <c r="I209" i="32"/>
  <c r="I247" i="32"/>
  <c r="I384" i="32"/>
  <c r="I23" i="32"/>
  <c r="I40" i="32"/>
  <c r="I34" i="32"/>
  <c r="I30" i="32"/>
  <c r="I203" i="32"/>
  <c r="I364" i="32"/>
  <c r="I86" i="32"/>
  <c r="I130" i="32"/>
  <c r="I141" i="32"/>
  <c r="I115" i="32"/>
  <c r="I231" i="32"/>
  <c r="I250" i="32"/>
  <c r="I393" i="32"/>
  <c r="I392" i="32"/>
  <c r="I401" i="32"/>
  <c r="I406" i="32"/>
  <c r="I425" i="32"/>
  <c r="I112" i="32"/>
  <c r="I118" i="32"/>
  <c r="I135" i="32"/>
  <c r="I169" i="32"/>
  <c r="I161" i="32"/>
  <c r="I187" i="32"/>
  <c r="I193" i="32"/>
  <c r="I253" i="32"/>
  <c r="I176" i="32"/>
  <c r="I184" i="32"/>
  <c r="I195" i="32"/>
  <c r="I276" i="32"/>
  <c r="I283" i="32"/>
  <c r="I2" i="32"/>
  <c r="I25" i="32"/>
  <c r="I365" i="32"/>
  <c r="I324" i="32"/>
  <c r="I133" i="32"/>
  <c r="I139" i="32"/>
  <c r="I67" i="32"/>
  <c r="I470" i="32"/>
  <c r="I481" i="32"/>
  <c r="I484" i="32"/>
  <c r="I485" i="32"/>
  <c r="I492" i="32"/>
  <c r="I116" i="32"/>
  <c r="I150" i="32"/>
  <c r="I173" i="32"/>
  <c r="I180" i="32"/>
  <c r="I201" i="32"/>
  <c r="I181" i="32"/>
  <c r="I105" i="32"/>
  <c r="I163" i="32"/>
  <c r="I225" i="32"/>
  <c r="I358" i="32"/>
  <c r="I78" i="32"/>
  <c r="I123" i="32"/>
  <c r="I211" i="32"/>
  <c r="I216" i="32"/>
  <c r="I304" i="32"/>
  <c r="I441" i="32"/>
  <c r="I442" i="32"/>
  <c r="I138" i="32"/>
  <c r="I151" i="32"/>
  <c r="I159" i="32"/>
  <c r="I167" i="32"/>
  <c r="I166" i="32"/>
  <c r="I191" i="32"/>
  <c r="I213" i="32"/>
  <c r="I204" i="32"/>
  <c r="I224" i="32"/>
  <c r="I256" i="32"/>
  <c r="I271" i="32"/>
  <c r="I450" i="32"/>
  <c r="I206" i="32"/>
  <c r="I227" i="32"/>
  <c r="I252" i="32"/>
  <c r="I270" i="32"/>
  <c r="I307" i="32"/>
  <c r="I311" i="32"/>
  <c r="I325" i="32"/>
  <c r="I314" i="32"/>
  <c r="I336" i="32"/>
  <c r="I345" i="32"/>
  <c r="I379" i="32"/>
  <c r="I398" i="32"/>
  <c r="I457" i="32"/>
  <c r="I460" i="32"/>
  <c r="I461" i="32"/>
  <c r="I109" i="32"/>
  <c r="I416" i="32"/>
  <c r="I446" i="32"/>
  <c r="I35" i="32"/>
  <c r="I71" i="32"/>
  <c r="I77" i="32"/>
  <c r="I331" i="32"/>
  <c r="I339" i="32"/>
  <c r="I382" i="32"/>
  <c r="I278" i="32"/>
  <c r="I23" i="30"/>
  <c r="I44" i="30"/>
  <c r="I55" i="30"/>
  <c r="I167" i="30"/>
  <c r="I135" i="30"/>
  <c r="I121" i="30"/>
  <c r="I175" i="30"/>
  <c r="I210" i="30"/>
  <c r="I353" i="30"/>
  <c r="I11" i="30"/>
  <c r="I97" i="30"/>
  <c r="I130" i="30"/>
  <c r="I110" i="30"/>
  <c r="I118" i="30"/>
  <c r="I133" i="30"/>
  <c r="I33" i="30"/>
  <c r="I70" i="30"/>
  <c r="I160" i="30"/>
  <c r="I262" i="30"/>
  <c r="I310" i="30"/>
  <c r="I343" i="30"/>
  <c r="I371" i="30"/>
  <c r="I47" i="30"/>
  <c r="I76" i="30"/>
  <c r="I89" i="30"/>
  <c r="I386" i="30"/>
  <c r="I219" i="30"/>
  <c r="I249" i="30"/>
  <c r="I250" i="30"/>
  <c r="I10" i="30"/>
  <c r="I53" i="30"/>
  <c r="I188" i="30"/>
  <c r="I224" i="30"/>
  <c r="I271" i="30"/>
  <c r="I360" i="30"/>
  <c r="I48" i="30"/>
  <c r="I65" i="30"/>
  <c r="I82" i="30"/>
  <c r="I64" i="30"/>
  <c r="I274" i="30"/>
  <c r="I282" i="30"/>
  <c r="I336" i="30"/>
  <c r="I380" i="30"/>
  <c r="I405" i="30"/>
  <c r="I417" i="30"/>
  <c r="I92" i="30"/>
  <c r="I143" i="30"/>
  <c r="I20" i="30"/>
  <c r="I196" i="30"/>
  <c r="I340" i="30"/>
  <c r="I356" i="30"/>
  <c r="I361" i="30"/>
  <c r="I365" i="30"/>
  <c r="I27" i="30"/>
  <c r="I67" i="30"/>
  <c r="I113" i="30"/>
  <c r="I209" i="30"/>
  <c r="I235" i="30"/>
  <c r="I286" i="30"/>
  <c r="I398" i="30"/>
  <c r="I401" i="30"/>
  <c r="I191" i="30"/>
  <c r="I253" i="30"/>
  <c r="I144" i="30"/>
  <c r="I173" i="30"/>
  <c r="I74" i="30"/>
  <c r="I85" i="30"/>
  <c r="I112" i="30"/>
  <c r="I126" i="30"/>
  <c r="I174" i="30"/>
  <c r="I275" i="30"/>
  <c r="I342" i="30"/>
  <c r="I315" i="30"/>
  <c r="I376" i="30"/>
  <c r="I8" i="30"/>
  <c r="I34" i="30"/>
  <c r="I45" i="30"/>
  <c r="I56" i="30"/>
  <c r="I79" i="30"/>
  <c r="I104" i="30"/>
  <c r="I141" i="30"/>
  <c r="I125" i="30"/>
  <c r="I150" i="30"/>
  <c r="I181" i="30"/>
  <c r="I227" i="30"/>
  <c r="I241" i="30"/>
  <c r="I232" i="30"/>
  <c r="I234" i="30"/>
  <c r="I254" i="30"/>
  <c r="I288" i="30"/>
  <c r="I270" i="30"/>
  <c r="I16" i="30"/>
  <c r="I17" i="30"/>
  <c r="I49" i="30"/>
  <c r="I57" i="30"/>
  <c r="I59" i="30"/>
  <c r="I166" i="30"/>
  <c r="I163" i="30"/>
  <c r="I245" i="30"/>
  <c r="I12" i="30"/>
  <c r="I31" i="30"/>
  <c r="I61" i="30"/>
  <c r="I94" i="30"/>
  <c r="I105" i="30"/>
  <c r="I98" i="30"/>
  <c r="I123" i="30"/>
  <c r="I165" i="30"/>
  <c r="I155" i="30"/>
  <c r="I207" i="30"/>
  <c r="I176" i="30"/>
  <c r="I208" i="30"/>
  <c r="I379" i="30"/>
  <c r="I416" i="30"/>
  <c r="I73" i="30"/>
  <c r="I115" i="30"/>
  <c r="I69" i="30"/>
  <c r="I78" i="30"/>
  <c r="I86" i="30"/>
  <c r="I93" i="30"/>
  <c r="I99" i="30"/>
  <c r="I119" i="30"/>
  <c r="I127" i="30"/>
  <c r="I231" i="30"/>
  <c r="I29" i="30"/>
  <c r="I80" i="30"/>
  <c r="I96" i="30"/>
  <c r="I103" i="30"/>
  <c r="I114" i="30"/>
  <c r="I134" i="30"/>
  <c r="I164" i="30"/>
  <c r="I184" i="30"/>
  <c r="I205" i="30"/>
  <c r="I309" i="30"/>
  <c r="I293" i="30"/>
  <c r="I296" i="30"/>
  <c r="I335" i="30"/>
  <c r="I385" i="30"/>
  <c r="I382" i="30"/>
  <c r="I171" i="30"/>
  <c r="I187" i="30"/>
  <c r="I189" i="30"/>
  <c r="I200" i="30"/>
  <c r="I221" i="30"/>
  <c r="I9" i="30"/>
  <c r="I21" i="30"/>
  <c r="I24" i="30"/>
  <c r="I25" i="30"/>
  <c r="I54" i="30"/>
  <c r="I83" i="30"/>
  <c r="I182" i="30"/>
  <c r="I267" i="30"/>
  <c r="I218" i="30"/>
  <c r="I236" i="30"/>
  <c r="I252" i="30"/>
  <c r="I346" i="30"/>
  <c r="I351" i="30"/>
  <c r="I368" i="30"/>
  <c r="I18" i="30"/>
  <c r="I35" i="30"/>
  <c r="I38" i="30"/>
  <c r="I51" i="30"/>
  <c r="I101" i="30"/>
  <c r="I153" i="30"/>
  <c r="I162" i="30"/>
  <c r="I185" i="30"/>
  <c r="I217" i="30"/>
  <c r="I259" i="30"/>
  <c r="I381" i="30"/>
  <c r="I419" i="30"/>
  <c r="I50" i="30"/>
  <c r="I66" i="30"/>
  <c r="I71" i="30"/>
  <c r="I109" i="30"/>
  <c r="I131" i="30"/>
  <c r="I140" i="30"/>
  <c r="I132" i="30"/>
  <c r="I142" i="30"/>
  <c r="I244" i="30"/>
  <c r="I242" i="30"/>
  <c r="I251" i="30"/>
  <c r="I265" i="30"/>
  <c r="I322" i="30"/>
  <c r="I328" i="30"/>
  <c r="I367" i="30"/>
  <c r="I364" i="30"/>
  <c r="I81" i="30"/>
  <c r="I148" i="30"/>
  <c r="I202" i="30"/>
  <c r="I272" i="30"/>
  <c r="I331" i="30"/>
  <c r="I403" i="30"/>
  <c r="I186" i="30"/>
  <c r="I77" i="30"/>
  <c r="I222" i="30"/>
  <c r="I409" i="30"/>
  <c r="I410" i="30"/>
  <c r="I420" i="30"/>
  <c r="I60" i="30"/>
  <c r="I13" i="30"/>
  <c r="I22" i="30"/>
  <c r="I72" i="30"/>
  <c r="I116" i="30"/>
  <c r="I120" i="30"/>
  <c r="I128" i="30"/>
  <c r="I237" i="30"/>
  <c r="I238" i="30"/>
  <c r="I314" i="30"/>
  <c r="I308" i="30"/>
  <c r="I313" i="30"/>
  <c r="I375" i="30"/>
  <c r="I14" i="30"/>
  <c r="I277" i="30"/>
  <c r="I394" i="30"/>
  <c r="I68" i="30"/>
  <c r="I177" i="30"/>
  <c r="I357" i="30"/>
  <c r="I372" i="30"/>
  <c r="I32" i="30"/>
  <c r="I95" i="30"/>
  <c r="I152" i="30"/>
  <c r="I170" i="30"/>
  <c r="I192" i="30"/>
  <c r="I225" i="30"/>
  <c r="I206" i="30"/>
  <c r="I248" i="30"/>
  <c r="I291" i="30"/>
  <c r="I215" i="30"/>
  <c r="I318" i="30"/>
  <c r="I138" i="30"/>
  <c r="I158" i="30"/>
  <c r="I213" i="30"/>
  <c r="I228" i="30"/>
  <c r="I301" i="30"/>
  <c r="I384" i="30"/>
  <c r="I399" i="30"/>
  <c r="I411" i="30"/>
  <c r="I415" i="30"/>
  <c r="I39" i="30"/>
  <c r="I75" i="30"/>
  <c r="I84" i="30"/>
  <c r="I6" i="30"/>
  <c r="I15" i="30"/>
  <c r="I62" i="30"/>
  <c r="I91" i="30"/>
  <c r="I197" i="30"/>
  <c r="I201" i="30"/>
  <c r="I347" i="30"/>
  <c r="I369" i="30"/>
  <c r="I374" i="30"/>
  <c r="I377" i="30"/>
  <c r="I7" i="30"/>
  <c r="I63" i="30"/>
  <c r="I124" i="30"/>
  <c r="I137" i="30"/>
  <c r="I223" i="30"/>
  <c r="I216" i="30"/>
  <c r="I307" i="30"/>
  <c r="I157" i="30"/>
  <c r="I341" i="30"/>
  <c r="I30" i="30"/>
  <c r="I122" i="30"/>
  <c r="I139" i="30"/>
  <c r="I240" i="30"/>
  <c r="I390" i="30"/>
  <c r="I402" i="30"/>
  <c r="I406" i="30"/>
  <c r="I87" i="30"/>
  <c r="I5" i="30"/>
  <c r="I19" i="30"/>
  <c r="I2" i="30"/>
  <c r="AA23" i="25" l="1"/>
  <c r="AA6" i="25"/>
  <c r="AA15" i="25"/>
  <c r="AA32" i="25"/>
  <c r="AA14" i="25"/>
  <c r="AA22" i="25"/>
  <c r="AA31" i="25"/>
  <c r="AA8" i="25"/>
  <c r="AA16" i="25"/>
  <c r="AA30" i="25"/>
  <c r="AA7" i="25"/>
  <c r="AA24" i="25"/>
  <c r="AA29" i="25"/>
  <c r="AA21" i="25"/>
  <c r="AA13" i="25"/>
  <c r="AA5" i="25"/>
  <c r="AA28" i="25"/>
  <c r="AA20" i="25"/>
  <c r="AA12" i="25"/>
  <c r="AA4" i="25"/>
  <c r="AA27" i="25"/>
  <c r="AA19" i="25"/>
  <c r="AA11" i="25"/>
  <c r="AA3" i="25"/>
  <c r="AA26" i="25"/>
  <c r="AA18" i="25"/>
  <c r="AA10" i="25"/>
  <c r="AA2" i="25"/>
  <c r="AA33" i="25"/>
  <c r="AA25" i="25"/>
  <c r="AA17" i="25"/>
  <c r="AA9" i="25"/>
  <c r="E30" i="46" a="1"/>
  <c r="L16" i="46" a="1"/>
  <c r="C46" i="46" a="1"/>
  <c r="G23" i="46" a="1"/>
  <c r="B23" i="46" a="1"/>
  <c r="B40" i="46" a="1"/>
  <c r="H25" i="46" a="1"/>
  <c r="G18" i="46" a="1"/>
  <c r="H48" i="46" a="1"/>
  <c r="I27" i="46" a="1"/>
  <c r="K23" i="46" a="1"/>
  <c r="C22" i="46" a="1"/>
  <c r="K36" i="46" a="1"/>
  <c r="L14" i="46" a="1"/>
  <c r="B8" i="46" a="1"/>
  <c r="J25" i="46" a="1"/>
  <c r="F44" i="46" a="1"/>
  <c r="D34" i="46" a="1"/>
  <c r="C36" i="46" a="1"/>
  <c r="F26" i="46" a="1"/>
  <c r="F36" i="46" a="1"/>
  <c r="H16" i="46" a="1"/>
  <c r="E36" i="46" a="1"/>
  <c r="K9" i="46" a="1"/>
  <c r="D46" i="46" a="1"/>
  <c r="C30" i="46" a="1"/>
  <c r="E42" i="46" a="1"/>
  <c r="G44" i="46" a="1"/>
  <c r="L24" i="46" a="1"/>
  <c r="I20" i="46" a="1"/>
  <c r="I40" i="46" a="1"/>
  <c r="H47" i="46" a="1"/>
  <c r="L5" i="46" a="1"/>
  <c r="B36" i="46" a="1"/>
  <c r="G41" i="46" a="1"/>
  <c r="C20" i="46" a="1"/>
  <c r="H27" i="46" a="1"/>
  <c r="G45" i="46" a="1"/>
  <c r="I13" i="46" a="1"/>
  <c r="E28" i="46" a="1"/>
  <c r="G40" i="46" a="1"/>
  <c r="I38" i="46" a="1"/>
  <c r="K48" i="46" a="1"/>
  <c r="F28" i="46" a="1"/>
  <c r="C21" i="46" a="1"/>
  <c r="K12" i="46" a="1"/>
  <c r="I45" i="46" a="1"/>
  <c r="G2" i="46" a="1"/>
  <c r="D31" i="46" a="1"/>
  <c r="B44" i="46" a="1"/>
  <c r="K20" i="46" a="1"/>
  <c r="H34" i="46" a="1"/>
  <c r="H4" i="46" a="1"/>
  <c r="G28" i="46" a="1"/>
  <c r="E43" i="46" a="1"/>
  <c r="I5" i="46" a="1"/>
  <c r="E3" i="46" a="1"/>
  <c r="C28" i="46" a="1"/>
  <c r="I41" i="46" a="1"/>
  <c r="F46" i="46" a="1"/>
  <c r="F25" i="46" a="1"/>
  <c r="L28" i="46" a="1"/>
  <c r="L18" i="46" a="1"/>
  <c r="J38" i="46" a="1"/>
  <c r="K27" i="46" a="1"/>
  <c r="J24" i="46" a="1"/>
  <c r="I19" i="46" a="1"/>
  <c r="C6" i="46" a="1"/>
  <c r="G20" i="46" a="1"/>
  <c r="I14" i="46" a="1"/>
  <c r="G22" i="46" a="1"/>
  <c r="H40" i="46" a="1"/>
  <c r="I8" i="46" a="1"/>
  <c r="C24" i="46" a="1"/>
  <c r="L30" i="46" a="1"/>
  <c r="J47" i="46" a="1"/>
  <c r="B6" i="46" a="1"/>
  <c r="B24" i="46" a="1"/>
  <c r="H5" i="46" a="1"/>
  <c r="C5" i="46" a="1"/>
  <c r="C19" i="46" a="1"/>
  <c r="E2" i="46" a="1"/>
  <c r="H9" i="46" a="1"/>
  <c r="H13" i="46" a="1"/>
  <c r="F10" i="46" a="1"/>
  <c r="I2" i="46" a="1"/>
  <c r="J46" i="46" a="1"/>
  <c r="K29" i="46" a="1"/>
  <c r="C41" i="46" a="1"/>
  <c r="G10" i="46" a="1"/>
  <c r="B13" i="46" a="1"/>
  <c r="E31" i="46" a="1"/>
  <c r="B48" i="46" a="1"/>
  <c r="L23" i="46" a="1"/>
  <c r="D12" i="46" a="1"/>
  <c r="C37" i="46" a="1"/>
  <c r="J11" i="46" a="1"/>
  <c r="C44" i="46" a="1"/>
  <c r="B39" i="46" a="1"/>
  <c r="J16" i="46" a="1"/>
  <c r="H39" i="46" a="1"/>
  <c r="I15" i="46" a="1"/>
  <c r="F37" i="46" a="1"/>
  <c r="G26" i="46" a="1"/>
  <c r="H26" i="46" a="1"/>
  <c r="K26" i="46" a="1"/>
  <c r="K24" i="46" a="1"/>
  <c r="B42" i="46" a="1"/>
  <c r="E24" i="46" a="1"/>
  <c r="F3" i="46" a="1"/>
  <c r="D38" i="46" a="1"/>
  <c r="L32" i="46" a="1"/>
  <c r="C42" i="46" a="1"/>
  <c r="L12" i="46" a="1"/>
  <c r="E47" i="46" a="1"/>
  <c r="C4" i="46" a="1"/>
  <c r="C2" i="46" a="1"/>
  <c r="H11" i="46" a="1"/>
  <c r="F48" i="46" a="1"/>
  <c r="J30" i="46" a="1"/>
  <c r="I36" i="46" a="1"/>
  <c r="I23" i="46" a="1"/>
  <c r="E44" i="46" a="1"/>
  <c r="C40" i="46" a="1"/>
  <c r="E34" i="46" a="1"/>
  <c r="C9" i="46" a="1"/>
  <c r="J15" i="46" a="1"/>
  <c r="J48" i="46" a="1"/>
  <c r="F27" i="46" a="1"/>
  <c r="B34" i="46" a="1"/>
  <c r="H38" i="46" a="1"/>
  <c r="F5" i="46" a="1"/>
  <c r="C11" i="46" a="1"/>
  <c r="F21" i="46" a="1"/>
  <c r="H28" i="46" a="1"/>
  <c r="C34" i="46" a="1"/>
  <c r="H6" i="46" a="1"/>
  <c r="J12" i="46" a="1"/>
  <c r="B31" i="46" a="1"/>
  <c r="F12" i="46" a="1"/>
  <c r="E5" i="46" a="1"/>
  <c r="I25" i="46" a="1"/>
  <c r="K25" i="46" a="1"/>
  <c r="K38" i="46" a="1"/>
  <c r="I18" i="46" a="1"/>
  <c r="E32" i="46" a="1"/>
  <c r="B38" i="46" a="1"/>
  <c r="H43" i="46" a="1"/>
  <c r="E10" i="46" a="1"/>
  <c r="C29" i="46" a="1"/>
  <c r="J41" i="46" a="1"/>
  <c r="K44" i="46" a="1"/>
  <c r="G19" i="46" a="1"/>
  <c r="D6" i="46" a="1"/>
  <c r="B15" i="46" a="1"/>
  <c r="J34" i="46" a="1"/>
  <c r="D26" i="46" a="1"/>
  <c r="D32" i="46" a="1"/>
  <c r="B12" i="46" a="1"/>
  <c r="K40" i="46" a="1"/>
  <c r="K45" i="46" a="1"/>
  <c r="I31" i="46" a="1"/>
  <c r="C10" i="46" a="1"/>
  <c r="I46" i="46" a="1"/>
  <c r="E46" i="46" a="1"/>
  <c r="B46" i="46" a="1"/>
  <c r="G39" i="46" a="1"/>
  <c r="C7" i="46" a="1"/>
  <c r="I30" i="46" a="1"/>
  <c r="B27" i="46" a="1"/>
  <c r="D25" i="46" a="1"/>
  <c r="J19" i="46" a="1"/>
  <c r="J6" i="46" a="1"/>
  <c r="B21" i="46" a="1"/>
  <c r="D22" i="46" a="1"/>
  <c r="K34" i="46" a="1"/>
  <c r="H41" i="46" a="1"/>
  <c r="D42" i="46" a="1"/>
  <c r="D20" i="46" a="1"/>
  <c r="G12" i="46" a="1"/>
  <c r="H24" i="46" a="1"/>
  <c r="E37" i="46" a="1"/>
  <c r="C31" i="46" a="1"/>
  <c r="G16" i="46" a="1"/>
  <c r="K15" i="46" a="1"/>
  <c r="C23" i="46" a="1"/>
  <c r="I16" i="46" a="1"/>
  <c r="I21" i="46" a="1"/>
  <c r="E8" i="46" a="1"/>
  <c r="K42" i="46" a="1"/>
  <c r="D24" i="46" a="1"/>
  <c r="D40" i="46" a="1"/>
  <c r="E23" i="46" a="1"/>
  <c r="L31" i="46" a="1"/>
  <c r="F42" i="46" a="1"/>
  <c r="F30" i="46" a="1"/>
  <c r="H37" i="46" a="1"/>
  <c r="K7" i="46" a="1"/>
  <c r="F38" i="46" a="1"/>
  <c r="I22" i="46" a="1"/>
  <c r="D4" i="46" a="1"/>
  <c r="I3" i="46" a="1"/>
  <c r="G14" i="46" a="1"/>
  <c r="F20" i="46" a="1"/>
  <c r="B41" i="46" a="1"/>
  <c r="F43" i="46" a="1"/>
  <c r="F9" i="46" a="1"/>
  <c r="L27" i="46" a="1"/>
  <c r="F18" i="46" a="1"/>
  <c r="E11" i="46" a="1"/>
  <c r="C32" i="46" a="1"/>
  <c r="D39" i="46" a="1"/>
  <c r="K39" i="46" a="1"/>
  <c r="E41" i="46" a="1"/>
  <c r="I44" i="46" a="1"/>
  <c r="F24" i="46" a="1"/>
  <c r="G47" i="46" a="1"/>
  <c r="B5" i="46" a="1"/>
  <c r="G8" i="46" a="1"/>
  <c r="I6" i="46" a="1"/>
  <c r="J4" i="46" a="1"/>
  <c r="F11" i="46" a="1"/>
  <c r="G7" i="46" a="1"/>
  <c r="L13" i="46" a="1"/>
  <c r="I48" i="46" a="1"/>
  <c r="D15" i="46" a="1"/>
  <c r="K3" i="46" a="1"/>
  <c r="D27" i="46" a="1"/>
  <c r="B3" i="46" a="1"/>
  <c r="E26" i="46" a="1"/>
  <c r="I10" i="46" a="1"/>
  <c r="E40" i="46" a="1"/>
  <c r="J26" i="46" a="1"/>
  <c r="D30" i="46" a="1"/>
  <c r="I35" i="46" a="1"/>
  <c r="D8" i="46" a="1"/>
  <c r="F14" i="46" a="1"/>
  <c r="E45" i="46" a="1"/>
  <c r="G29" i="46" a="1"/>
  <c r="B18" i="46" a="1"/>
  <c r="I42" i="46" a="1"/>
  <c r="J13" i="46" a="1"/>
  <c r="H44" i="46" a="1"/>
  <c r="F47" i="46" a="1"/>
  <c r="D5" i="46" a="1"/>
  <c r="L21" i="46" a="1"/>
  <c r="H3" i="46" a="1"/>
  <c r="F31" i="46" a="1"/>
  <c r="F39" i="46" a="1"/>
  <c r="C8" i="46" a="1"/>
  <c r="B28" i="46" a="1"/>
  <c r="B11" i="46" a="1"/>
  <c r="H31" i="46" a="1"/>
  <c r="J14" i="46" a="1"/>
  <c r="I26" i="46" a="1"/>
  <c r="D41" i="46" a="1"/>
  <c r="J20" i="46" a="1"/>
  <c r="G32" i="46" a="1"/>
  <c r="F22" i="46" a="1"/>
  <c r="C13" i="46" a="1"/>
  <c r="K35" i="46" a="1"/>
  <c r="G9" i="46" a="1"/>
  <c r="C15" i="46" a="1"/>
  <c r="K41" i="46" a="1"/>
  <c r="G42" i="46" a="1"/>
  <c r="I4" i="46" a="1"/>
  <c r="C45" i="46" a="1"/>
  <c r="F8" i="46" a="1"/>
  <c r="H45" i="46" a="1"/>
  <c r="J5" i="46" a="1"/>
  <c r="I12" i="46" a="1"/>
  <c r="B4" i="46" a="1"/>
  <c r="E7" i="46" a="1"/>
  <c r="I24" i="46" a="1"/>
  <c r="K21" i="46" a="1"/>
  <c r="J8" i="46" a="1"/>
  <c r="J27" i="46" a="1"/>
  <c r="L3" i="46" a="1"/>
  <c r="C26" i="46" a="1"/>
  <c r="B32" i="46" a="1"/>
  <c r="J22" i="46" a="1"/>
  <c r="G5" i="46" a="1"/>
  <c r="C48" i="46" a="1"/>
  <c r="I28" i="46" a="1"/>
  <c r="J36" i="46" a="1"/>
  <c r="I34" i="46" a="1"/>
  <c r="G25" i="46" a="1"/>
  <c r="D18" i="46" a="1"/>
  <c r="J7" i="46" a="1"/>
  <c r="K46" i="46" a="1"/>
  <c r="D28" i="46" a="1"/>
  <c r="B20" i="46" a="1"/>
  <c r="D14" i="46" a="1"/>
  <c r="G43" i="46" a="1"/>
  <c r="H15" i="46" a="1"/>
  <c r="G3" i="46" a="1"/>
  <c r="F29" i="46" a="1"/>
  <c r="E27" i="46" a="1"/>
  <c r="E25" i="46" a="1"/>
  <c r="K4" i="46" a="1"/>
  <c r="F13" i="46" a="1"/>
  <c r="E15" i="46" a="1"/>
  <c r="F4" i="46" a="1"/>
  <c r="J43" i="46" a="1"/>
  <c r="D9" i="46" a="1"/>
  <c r="B2" i="46" a="1"/>
  <c r="G31" i="46" a="1"/>
  <c r="F6" i="46" a="1"/>
  <c r="H22" i="46" a="1"/>
  <c r="L20" i="46" a="1"/>
  <c r="C14" i="46" a="1"/>
  <c r="F34" i="46" a="1"/>
  <c r="C25" i="46" a="1"/>
  <c r="K43" i="46" a="1"/>
  <c r="J45" i="46" a="1"/>
  <c r="E20" i="46" a="1"/>
  <c r="F32" i="46" a="1"/>
  <c r="E4" i="46" a="1"/>
  <c r="E19" i="46" a="1"/>
  <c r="B47" i="46" a="1"/>
  <c r="D23" i="46" a="1"/>
  <c r="L6" i="46" a="1"/>
  <c r="L26" i="46" a="1"/>
  <c r="D44" i="46" a="1"/>
  <c r="D19" i="46" a="1"/>
  <c r="J40" i="46" a="1"/>
  <c r="K16" i="46" a="1"/>
  <c r="L10" i="46" a="1"/>
  <c r="G27" i="46" a="1"/>
  <c r="J18" i="46" a="1"/>
  <c r="J23" i="46" a="1"/>
  <c r="H18" i="46" a="1"/>
  <c r="K47" i="46" a="1"/>
  <c r="K14" i="46" a="1"/>
  <c r="B10" i="46" a="1"/>
  <c r="H46" i="46" a="1"/>
  <c r="J21" i="46" a="1"/>
  <c r="K19" i="46" a="1"/>
  <c r="C39" i="46" a="1"/>
  <c r="D36" i="46" a="1"/>
  <c r="G21" i="46" a="1"/>
  <c r="B16" i="46" a="1"/>
  <c r="C35" i="46" a="1"/>
  <c r="L8" i="46" a="1"/>
  <c r="J37" i="46" a="1"/>
  <c r="H29" i="46" a="1"/>
  <c r="G30" i="46" a="1"/>
  <c r="F41" i="46" a="1"/>
  <c r="B26" i="46" a="1"/>
  <c r="J29" i="46" a="1"/>
  <c r="F19" i="46" a="1"/>
  <c r="E38" i="46" a="1"/>
  <c r="B7" i="46" a="1"/>
  <c r="L2" i="46" a="1"/>
  <c r="G46" i="46" a="1"/>
  <c r="D2" i="46" a="1"/>
  <c r="B35" i="46" a="1"/>
  <c r="K22" i="46" a="1"/>
  <c r="G13" i="46" a="1"/>
  <c r="B9" i="46" a="1"/>
  <c r="B45" i="46" a="1"/>
  <c r="H35" i="46" a="1"/>
  <c r="D29" i="46" a="1"/>
  <c r="G35" i="46" a="1"/>
  <c r="L25" i="46" a="1"/>
  <c r="H36" i="46" a="1"/>
  <c r="E18" i="46" a="1"/>
  <c r="L7" i="46" a="1"/>
  <c r="L19" i="46" a="1"/>
  <c r="G34" i="46" a="1"/>
  <c r="F7" i="46" a="1"/>
  <c r="K5" i="46" a="1"/>
  <c r="J35" i="46" a="1"/>
  <c r="I47" i="46" a="1"/>
  <c r="H8" i="46" a="1"/>
  <c r="H19" i="46" a="1"/>
  <c r="J39" i="46" a="1"/>
  <c r="G4" i="46" a="1"/>
  <c r="L29" i="46" a="1"/>
  <c r="E35" i="46" a="1"/>
  <c r="F23" i="46" a="1"/>
  <c r="C27" i="46" a="1"/>
  <c r="D37" i="46" a="1"/>
  <c r="I39" i="46" a="1"/>
  <c r="K11" i="46" a="1"/>
  <c r="F2" i="46" a="1"/>
  <c r="E9" i="46" a="1"/>
  <c r="J31" i="46" a="1"/>
  <c r="H23" i="46" a="1"/>
  <c r="D11" i="46" a="1"/>
  <c r="I11" i="46" a="1"/>
  <c r="D13" i="46" a="1"/>
  <c r="I43" i="46" a="1"/>
  <c r="C16" i="46" a="1"/>
  <c r="G11" i="46" a="1"/>
  <c r="H2" i="46" a="1"/>
  <c r="G48" i="46" a="1"/>
  <c r="C43" i="46" a="1"/>
  <c r="E21" i="46" a="1"/>
  <c r="B30" i="46" a="1"/>
  <c r="B37" i="46" a="1"/>
  <c r="I29" i="46" a="1"/>
  <c r="K8" i="46" a="1"/>
  <c r="I32" i="46" a="1"/>
  <c r="K13" i="46" a="1"/>
  <c r="H7" i="46" a="1"/>
  <c r="K10" i="46" a="1"/>
  <c r="L4" i="46" a="1"/>
  <c r="G38" i="46" a="1"/>
  <c r="J32" i="46" a="1"/>
  <c r="J28" i="46" a="1"/>
  <c r="H10" i="46" a="1"/>
  <c r="L9" i="46" a="1"/>
  <c r="K28" i="46" a="1"/>
  <c r="D16" i="46" a="1"/>
  <c r="D3" i="46" a="1"/>
  <c r="D35" i="46" a="1"/>
  <c r="F45" i="46" a="1"/>
  <c r="D10" i="46" a="1"/>
  <c r="D43" i="46" a="1"/>
  <c r="D48" i="46" a="1"/>
  <c r="G37" i="46" a="1"/>
  <c r="F35" i="46" a="1"/>
  <c r="L11" i="46" a="1"/>
  <c r="D7" i="46" a="1"/>
  <c r="C12" i="46" a="1"/>
  <c r="E48" i="46" a="1"/>
  <c r="D45" i="46" a="1"/>
  <c r="B25" i="46" a="1"/>
  <c r="F15" i="46" a="1"/>
  <c r="K32" i="46" a="1"/>
  <c r="I37" i="46" a="1"/>
  <c r="E14" i="46" a="1"/>
  <c r="K18" i="46" a="1"/>
  <c r="G36" i="46" a="1"/>
  <c r="E12" i="46" a="1"/>
  <c r="C18" i="46" a="1"/>
  <c r="E39" i="46" a="1"/>
  <c r="K2" i="46" a="1"/>
  <c r="I7" i="46" a="1"/>
  <c r="H42" i="46" a="1"/>
  <c r="J42" i="46" a="1"/>
  <c r="B22" i="46" a="1"/>
  <c r="G6" i="46" a="1"/>
  <c r="E6" i="46" a="1"/>
  <c r="C47" i="46" a="1"/>
  <c r="J10" i="46" a="1"/>
  <c r="K30" i="46" a="1"/>
  <c r="G24" i="46" a="1"/>
  <c r="J3" i="46" a="1"/>
  <c r="B14" i="46" a="1"/>
  <c r="E29" i="46" a="1"/>
  <c r="G15" i="46" a="1"/>
  <c r="H21" i="46" a="1"/>
  <c r="B43" i="46" a="1"/>
  <c r="C3" i="46" a="1"/>
  <c r="C38" i="46" a="1"/>
  <c r="B29" i="46" a="1"/>
  <c r="K37" i="46" a="1"/>
  <c r="L22" i="46" a="1"/>
  <c r="E22" i="46" a="1"/>
  <c r="L15" i="46" a="1"/>
  <c r="E13" i="46" a="1"/>
  <c r="J2" i="46" a="1"/>
  <c r="J9" i="46" a="1"/>
  <c r="D47" i="46" a="1"/>
  <c r="E16" i="46" a="1"/>
  <c r="B19" i="46" a="1"/>
  <c r="F40" i="46" a="1"/>
  <c r="H32" i="46" a="1"/>
  <c r="H30" i="46" a="1"/>
  <c r="I9" i="46" a="1"/>
  <c r="H14" i="46" a="1"/>
  <c r="H20" i="46" a="1"/>
  <c r="H12" i="46" a="1"/>
  <c r="J44" i="46" a="1"/>
  <c r="K31" i="46" a="1"/>
  <c r="F16" i="46" a="1"/>
  <c r="D21" i="46" a="1"/>
  <c r="K6" i="46" a="1"/>
  <c r="H37" i="46" l="1"/>
  <c r="L11" i="46"/>
  <c r="B46" i="46"/>
  <c r="G44" i="46"/>
  <c r="B48" i="46"/>
  <c r="J32" i="46"/>
  <c r="H48" i="46"/>
  <c r="J31" i="46"/>
  <c r="C42" i="46"/>
  <c r="L12" i="46"/>
  <c r="F43" i="46"/>
  <c r="C10" i="46"/>
  <c r="K6" i="46"/>
  <c r="G32" i="46"/>
  <c r="H12" i="46"/>
  <c r="J12" i="46"/>
  <c r="G10" i="46"/>
  <c r="H25" i="46"/>
  <c r="C46" i="46"/>
  <c r="D15" i="46"/>
  <c r="I19" i="46"/>
  <c r="E16" i="46"/>
  <c r="C21" i="46"/>
  <c r="C2" i="46"/>
  <c r="G21" i="46"/>
  <c r="J19" i="46"/>
  <c r="F47" i="46"/>
  <c r="H14" i="46"/>
  <c r="B16" i="46"/>
  <c r="B23" i="46"/>
  <c r="E7" i="46"/>
  <c r="I25" i="46"/>
  <c r="H34" i="46"/>
  <c r="F45" i="46"/>
  <c r="F9" i="46"/>
  <c r="J21" i="46"/>
  <c r="F24" i="46"/>
  <c r="J15" i="46"/>
  <c r="E32" i="46"/>
  <c r="D44" i="46"/>
  <c r="D36" i="46"/>
  <c r="E11" i="46"/>
  <c r="D26" i="46"/>
  <c r="L7" i="46"/>
  <c r="D30" i="46"/>
  <c r="L9" i="46"/>
  <c r="C12" i="46"/>
  <c r="B39" i="46"/>
  <c r="I7" i="46"/>
  <c r="E47" i="46"/>
  <c r="I13" i="46"/>
  <c r="C6" i="46"/>
  <c r="B37" i="46"/>
  <c r="K14" i="46"/>
  <c r="H4" i="46"/>
  <c r="B32" i="46"/>
  <c r="K10" i="46"/>
  <c r="I37" i="46"/>
  <c r="J23" i="46"/>
  <c r="H18" i="46"/>
  <c r="E45" i="46"/>
  <c r="I22" i="46"/>
  <c r="B34" i="46"/>
  <c r="L20" i="46"/>
  <c r="J8" i="46"/>
  <c r="H42" i="46"/>
  <c r="B43" i="46"/>
  <c r="K28" i="46"/>
  <c r="J10" i="46"/>
  <c r="E12" i="46"/>
  <c r="B18" i="46"/>
  <c r="K35" i="46"/>
  <c r="J46" i="46"/>
  <c r="B27" i="46"/>
  <c r="E34" i="46"/>
  <c r="L21" i="46"/>
  <c r="I43" i="46"/>
  <c r="H8" i="46"/>
  <c r="C29" i="46"/>
  <c r="E42" i="46"/>
  <c r="B44" i="46"/>
  <c r="I32" i="46"/>
  <c r="J3" i="46"/>
  <c r="K38" i="46"/>
  <c r="C15" i="46"/>
  <c r="B35" i="46"/>
  <c r="E41" i="46"/>
  <c r="G25" i="46"/>
  <c r="D9" i="46"/>
  <c r="J13" i="46"/>
  <c r="C3" i="46"/>
  <c r="C40" i="46"/>
  <c r="K48" i="46"/>
  <c r="J35" i="46"/>
  <c r="F3" i="46"/>
  <c r="E38" i="46"/>
  <c r="G41" i="46"/>
  <c r="K16" i="46"/>
  <c r="D6" i="46"/>
  <c r="B14" i="46"/>
  <c r="K23" i="46"/>
  <c r="F38" i="46"/>
  <c r="L27" i="46"/>
  <c r="J40" i="46"/>
  <c r="E27" i="46"/>
  <c r="E28" i="46"/>
  <c r="K24" i="46"/>
  <c r="G38" i="46"/>
  <c r="B4" i="46"/>
  <c r="J45" i="46"/>
  <c r="E4" i="46"/>
  <c r="G29" i="46"/>
  <c r="J41" i="46"/>
  <c r="K25" i="46"/>
  <c r="K20" i="46"/>
  <c r="E8" i="46"/>
  <c r="E24" i="46"/>
  <c r="G22" i="46"/>
  <c r="I2" i="46"/>
  <c r="E21" i="46"/>
  <c r="E31" i="46"/>
  <c r="E13" i="46"/>
  <c r="B42" i="46"/>
  <c r="I10" i="46"/>
  <c r="E25" i="46"/>
  <c r="B12" i="46"/>
  <c r="J22" i="46"/>
  <c r="H6" i="46"/>
  <c r="E35" i="46"/>
  <c r="F25" i="46"/>
  <c r="F7" i="46"/>
  <c r="C30" i="46"/>
  <c r="D40" i="46"/>
  <c r="K15" i="46"/>
  <c r="J6" i="46"/>
  <c r="D37" i="46"/>
  <c r="C19" i="46"/>
  <c r="I41" i="46"/>
  <c r="F34" i="46"/>
  <c r="F10" i="46"/>
  <c r="D45" i="46"/>
  <c r="L13" i="46"/>
  <c r="D32" i="46"/>
  <c r="B24" i="46"/>
  <c r="L19" i="46"/>
  <c r="C45" i="46"/>
  <c r="C13" i="46"/>
  <c r="F48" i="46"/>
  <c r="B36" i="46"/>
  <c r="B6" i="46"/>
  <c r="C8" i="46"/>
  <c r="H10" i="46"/>
  <c r="E30" i="46"/>
  <c r="I18" i="46"/>
  <c r="F23" i="46"/>
  <c r="H41" i="46"/>
  <c r="I46" i="46"/>
  <c r="C26" i="46"/>
  <c r="B15" i="46"/>
  <c r="I11" i="46"/>
  <c r="D14" i="46"/>
  <c r="H19" i="46"/>
  <c r="G20" i="46"/>
  <c r="B38" i="46"/>
  <c r="F36" i="46"/>
  <c r="C41" i="46"/>
  <c r="H23" i="46"/>
  <c r="H9" i="46"/>
  <c r="F2" i="46"/>
  <c r="B28" i="46"/>
  <c r="E23" i="46"/>
  <c r="H30" i="46"/>
  <c r="J43" i="46"/>
  <c r="D35" i="46"/>
  <c r="G7" i="46"/>
  <c r="H32" i="46"/>
  <c r="K2" i="46"/>
  <c r="L4" i="46"/>
  <c r="I24" i="46"/>
  <c r="C28" i="46"/>
  <c r="G23" i="46"/>
  <c r="J47" i="46"/>
  <c r="G40" i="46"/>
  <c r="K11" i="46"/>
  <c r="C38" i="46"/>
  <c r="F12" i="46"/>
  <c r="H7" i="46"/>
  <c r="B30" i="46"/>
  <c r="G24" i="46"/>
  <c r="F31" i="46"/>
  <c r="I44" i="46"/>
  <c r="G36" i="46"/>
  <c r="F13" i="46"/>
  <c r="I42" i="46"/>
  <c r="E3" i="46"/>
  <c r="F5" i="46"/>
  <c r="C25" i="46"/>
  <c r="G28" i="46"/>
  <c r="F18" i="46"/>
  <c r="E48" i="46"/>
  <c r="F41" i="46"/>
  <c r="E19" i="46"/>
  <c r="D2" i="46"/>
  <c r="H44" i="46"/>
  <c r="G5" i="46"/>
  <c r="H24" i="46"/>
  <c r="B31" i="46"/>
  <c r="F37" i="46"/>
  <c r="D28" i="46"/>
  <c r="H2" i="46"/>
  <c r="H45" i="46"/>
  <c r="G16" i="46"/>
  <c r="I48" i="46"/>
  <c r="I3" i="46"/>
  <c r="L29" i="46"/>
  <c r="H35" i="46"/>
  <c r="G4" i="46"/>
  <c r="J48" i="46"/>
  <c r="K13" i="46"/>
  <c r="G14" i="46"/>
  <c r="L16" i="46"/>
  <c r="H27" i="46"/>
  <c r="E18" i="46"/>
  <c r="B45" i="46"/>
  <c r="J44" i="46"/>
  <c r="C39" i="46"/>
  <c r="H22" i="46"/>
  <c r="J14" i="46"/>
  <c r="I8" i="46"/>
  <c r="L3" i="46"/>
  <c r="D31" i="46"/>
  <c r="D20" i="46"/>
  <c r="C34" i="46"/>
  <c r="G37" i="46"/>
  <c r="K40" i="46"/>
  <c r="F44" i="46"/>
  <c r="B7" i="46"/>
  <c r="I5" i="46"/>
  <c r="D8" i="46"/>
  <c r="G27" i="46"/>
  <c r="K30" i="46"/>
  <c r="L18" i="46"/>
  <c r="G45" i="46"/>
  <c r="C44" i="46"/>
  <c r="G3" i="46"/>
  <c r="K37" i="46"/>
  <c r="B9" i="46"/>
  <c r="E9" i="46"/>
  <c r="J11" i="46"/>
  <c r="G31" i="46"/>
  <c r="D21" i="46"/>
  <c r="J25" i="46"/>
  <c r="I39" i="46"/>
  <c r="C48" i="46"/>
  <c r="I20" i="46"/>
  <c r="B2" i="46"/>
  <c r="G6" i="46"/>
  <c r="L8" i="46"/>
  <c r="I28" i="46"/>
  <c r="I31" i="46"/>
  <c r="H20" i="46"/>
  <c r="G34" i="46"/>
  <c r="K44" i="46"/>
  <c r="K9" i="46"/>
  <c r="F26" i="46"/>
  <c r="D34" i="46"/>
  <c r="D16" i="46"/>
  <c r="C43" i="46"/>
  <c r="K7" i="46"/>
  <c r="C11" i="46"/>
  <c r="K47" i="46"/>
  <c r="E43" i="46"/>
  <c r="J5" i="46"/>
  <c r="E29" i="46"/>
  <c r="L6" i="46"/>
  <c r="G43" i="46"/>
  <c r="H13" i="46"/>
  <c r="E6" i="46"/>
  <c r="J2" i="46"/>
  <c r="J30" i="46"/>
  <c r="F19" i="46"/>
  <c r="I47" i="46"/>
  <c r="I35" i="46"/>
  <c r="J37" i="46"/>
  <c r="D13" i="46"/>
  <c r="G42" i="46"/>
  <c r="E10" i="46"/>
  <c r="L15" i="46"/>
  <c r="B19" i="46"/>
  <c r="F20" i="46"/>
  <c r="H26" i="46"/>
  <c r="F39" i="46"/>
  <c r="E37" i="46"/>
  <c r="F14" i="46"/>
  <c r="E46" i="46"/>
  <c r="B8" i="46"/>
  <c r="K8" i="46"/>
  <c r="F11" i="46"/>
  <c r="C31" i="46"/>
  <c r="D19" i="46"/>
  <c r="L24" i="46"/>
  <c r="C37" i="46"/>
  <c r="H47" i="46"/>
  <c r="D10" i="46"/>
  <c r="J36" i="46"/>
  <c r="I4" i="46"/>
  <c r="G12" i="46"/>
  <c r="L14" i="46"/>
  <c r="L23" i="46"/>
  <c r="C22" i="46"/>
  <c r="B40" i="46"/>
  <c r="H38" i="46"/>
  <c r="K45" i="46"/>
  <c r="F30" i="46"/>
  <c r="B10" i="46"/>
  <c r="I9" i="46"/>
  <c r="D12" i="46"/>
  <c r="K31" i="46"/>
  <c r="D23" i="46"/>
  <c r="L28" i="46"/>
  <c r="K41" i="46"/>
  <c r="G48" i="46"/>
  <c r="B25" i="46"/>
  <c r="H5" i="46"/>
  <c r="I15" i="46"/>
  <c r="C7" i="46"/>
  <c r="J28" i="46"/>
  <c r="J18" i="46"/>
  <c r="H36" i="46"/>
  <c r="C47" i="46"/>
  <c r="K43" i="46"/>
  <c r="I29" i="46"/>
  <c r="I6" i="46"/>
  <c r="K12" i="46"/>
  <c r="F15" i="46"/>
  <c r="D25" i="46"/>
  <c r="K22" i="46"/>
  <c r="B41" i="46"/>
  <c r="K39" i="46"/>
  <c r="D48" i="46"/>
  <c r="B3" i="46"/>
  <c r="C32" i="46"/>
  <c r="J9" i="46"/>
  <c r="I36" i="46"/>
  <c r="B11" i="46"/>
  <c r="H28" i="46"/>
  <c r="C9" i="46"/>
  <c r="C24" i="46"/>
  <c r="C18" i="46"/>
  <c r="J26" i="46"/>
  <c r="G35" i="46"/>
  <c r="D41" i="46"/>
  <c r="H29" i="46"/>
  <c r="I34" i="46"/>
  <c r="D3" i="46"/>
  <c r="C4" i="46"/>
  <c r="H21" i="46"/>
  <c r="E26" i="46"/>
  <c r="F6" i="46"/>
  <c r="G13" i="46"/>
  <c r="B26" i="46"/>
  <c r="I21" i="46"/>
  <c r="J29" i="46"/>
  <c r="K42" i="46"/>
  <c r="I45" i="46"/>
  <c r="L2" i="46"/>
  <c r="C35" i="46"/>
  <c r="F16" i="46"/>
  <c r="D4" i="46"/>
  <c r="K19" i="46"/>
  <c r="K26" i="46"/>
  <c r="G19" i="46"/>
  <c r="K46" i="46"/>
  <c r="H39" i="46"/>
  <c r="I16" i="46"/>
  <c r="H3" i="46"/>
  <c r="E15" i="46"/>
  <c r="C5" i="46"/>
  <c r="F28" i="46"/>
  <c r="C23" i="46"/>
  <c r="B47" i="46"/>
  <c r="H46" i="46"/>
  <c r="D42" i="46"/>
  <c r="D27" i="46"/>
  <c r="J16" i="46"/>
  <c r="G15" i="46"/>
  <c r="F8" i="46"/>
  <c r="L31" i="46"/>
  <c r="D22" i="46"/>
  <c r="F35" i="46"/>
  <c r="H40" i="46"/>
  <c r="B13" i="46"/>
  <c r="K18" i="46"/>
  <c r="D7" i="46"/>
  <c r="C16" i="46"/>
  <c r="G9" i="46"/>
  <c r="D29" i="46"/>
  <c r="J20" i="46"/>
  <c r="J38" i="46"/>
  <c r="G47" i="46"/>
  <c r="D46" i="46"/>
  <c r="K27" i="46"/>
  <c r="G26" i="46"/>
  <c r="L32" i="46"/>
  <c r="G46" i="46"/>
  <c r="D39" i="46"/>
  <c r="H16" i="46"/>
  <c r="I38" i="46"/>
  <c r="E5" i="46"/>
  <c r="J7" i="46"/>
  <c r="C27" i="46"/>
  <c r="G30" i="46"/>
  <c r="D18" i="46"/>
  <c r="J42" i="46"/>
  <c r="H43" i="46"/>
  <c r="E20" i="46"/>
  <c r="H15" i="46"/>
  <c r="E14" i="46"/>
  <c r="L5" i="46"/>
  <c r="H31" i="46"/>
  <c r="F21" i="46"/>
  <c r="K34" i="46"/>
  <c r="E39" i="46"/>
  <c r="E22" i="46"/>
  <c r="I12" i="46"/>
  <c r="K3" i="46"/>
  <c r="B20" i="46"/>
  <c r="J24" i="46"/>
  <c r="F27" i="46"/>
  <c r="E40" i="46"/>
  <c r="G39" i="46"/>
  <c r="J4" i="46"/>
  <c r="F29" i="46"/>
  <c r="E2" i="46"/>
  <c r="F4" i="46"/>
  <c r="D11" i="46"/>
  <c r="F32" i="46"/>
  <c r="L22" i="46"/>
  <c r="E36" i="46"/>
  <c r="F42" i="46"/>
  <c r="C20" i="46"/>
  <c r="K4" i="46"/>
  <c r="I26" i="46"/>
  <c r="L25" i="46"/>
  <c r="D43" i="46"/>
  <c r="K29" i="46"/>
  <c r="K36" i="46"/>
  <c r="G8" i="46"/>
  <c r="L10" i="46"/>
  <c r="I30" i="46"/>
  <c r="K21" i="46"/>
  <c r="D24" i="46"/>
  <c r="J34" i="46"/>
  <c r="D47" i="46"/>
  <c r="K32" i="46"/>
  <c r="G11" i="46"/>
  <c r="G2" i="46"/>
  <c r="B21" i="46"/>
  <c r="F22" i="46"/>
  <c r="L26" i="46"/>
  <c r="J39" i="46"/>
  <c r="D38" i="46"/>
  <c r="B5" i="46"/>
  <c r="I27" i="46"/>
  <c r="H11" i="46"/>
  <c r="D5" i="46"/>
  <c r="B29" i="46"/>
  <c r="I23" i="46"/>
  <c r="L30" i="46"/>
  <c r="E44" i="46"/>
  <c r="C36" i="46"/>
  <c r="C14" i="46"/>
  <c r="F46" i="46"/>
  <c r="I14" i="46"/>
  <c r="K5" i="46"/>
  <c r="B22" i="46"/>
  <c r="G18" i="46"/>
  <c r="J27" i="46"/>
  <c r="I40" i="46"/>
  <c r="F40" i="46"/>
  <c r="B8" i="1"/>
  <c r="B7" i="1"/>
  <c r="L3" i="15" l="1"/>
  <c r="L2" i="15"/>
  <c r="G2" i="15" l="1"/>
  <c r="G3" i="15"/>
  <c r="D3" i="24"/>
  <c r="D4" i="24"/>
  <c r="D5" i="24"/>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2" i="24"/>
  <c r="I288" i="45"/>
  <c r="I284" i="45"/>
  <c r="I42" i="45"/>
  <c r="I98" i="45"/>
  <c r="I184" i="45"/>
  <c r="G51" i="7"/>
  <c r="G344" i="7"/>
  <c r="G146" i="7"/>
  <c r="G120" i="7"/>
  <c r="I128" i="45"/>
  <c r="I270" i="45"/>
  <c r="I168" i="45"/>
  <c r="I214" i="45"/>
  <c r="E167" i="4"/>
  <c r="E160" i="4"/>
  <c r="E171" i="4"/>
  <c r="E168" i="4"/>
  <c r="E166" i="4"/>
  <c r="E163" i="4"/>
  <c r="E161" i="4"/>
  <c r="E162" i="4"/>
  <c r="E164" i="4"/>
  <c r="E157" i="4"/>
  <c r="E159" i="4"/>
  <c r="E158" i="4"/>
  <c r="E156" i="4"/>
  <c r="E153" i="4"/>
  <c r="E152" i="4"/>
  <c r="E154" i="4"/>
  <c r="E151" i="4"/>
  <c r="E150" i="4"/>
  <c r="E146" i="4"/>
  <c r="E155" i="4"/>
  <c r="E149" i="4"/>
  <c r="E147" i="4"/>
  <c r="E143" i="4"/>
  <c r="E142" i="4"/>
  <c r="E148" i="4"/>
  <c r="E141" i="4"/>
  <c r="E145" i="4"/>
  <c r="E134" i="4"/>
  <c r="E140" i="4"/>
  <c r="E139" i="4"/>
  <c r="E132" i="4"/>
  <c r="E144" i="4"/>
  <c r="E138" i="4"/>
  <c r="E133" i="4"/>
  <c r="E135" i="4"/>
  <c r="E137" i="4"/>
  <c r="E136" i="4"/>
  <c r="E130" i="4"/>
  <c r="E131" i="4"/>
  <c r="E129" i="4"/>
  <c r="E126" i="4"/>
  <c r="E124" i="4"/>
  <c r="E128" i="4"/>
  <c r="E125" i="4"/>
  <c r="E122" i="4"/>
  <c r="E123" i="4"/>
  <c r="E127" i="4"/>
  <c r="E118" i="4"/>
  <c r="E120" i="4"/>
  <c r="E119" i="4"/>
  <c r="E121" i="4"/>
  <c r="E116" i="4"/>
  <c r="E117" i="4"/>
  <c r="E114" i="4"/>
  <c r="E115" i="4"/>
  <c r="E111" i="4"/>
  <c r="E112" i="4"/>
  <c r="E108" i="4"/>
  <c r="E109" i="4"/>
  <c r="E110" i="4"/>
  <c r="E105" i="4"/>
  <c r="E113" i="4"/>
  <c r="E104" i="4"/>
  <c r="E107" i="4"/>
  <c r="E106" i="4"/>
  <c r="E102" i="4"/>
  <c r="E103" i="4"/>
  <c r="E101" i="4"/>
  <c r="E99" i="4"/>
  <c r="E100" i="4"/>
  <c r="E98" i="4"/>
  <c r="E90" i="4"/>
  <c r="E95" i="4"/>
  <c r="E97" i="4"/>
  <c r="E96" i="4"/>
  <c r="E94" i="4"/>
  <c r="E92" i="4"/>
  <c r="E93" i="4"/>
  <c r="E91" i="4"/>
  <c r="E89" i="4"/>
  <c r="E87" i="4"/>
  <c r="E88" i="4"/>
  <c r="E82" i="4"/>
  <c r="E83" i="4"/>
  <c r="E86" i="4"/>
  <c r="E85" i="4"/>
  <c r="E81" i="4"/>
  <c r="E84" i="4"/>
  <c r="E79" i="4"/>
  <c r="E78" i="4"/>
  <c r="E80" i="4"/>
  <c r="E73" i="4"/>
  <c r="E74" i="4"/>
  <c r="E76" i="4"/>
  <c r="E70" i="4"/>
  <c r="E77" i="4"/>
  <c r="E72" i="4"/>
  <c r="E68" i="4"/>
  <c r="E75" i="4"/>
  <c r="E71" i="4"/>
  <c r="E69" i="4"/>
  <c r="E67" i="4"/>
  <c r="E66" i="4"/>
  <c r="E59" i="4"/>
  <c r="E63" i="4"/>
  <c r="E60" i="4"/>
  <c r="E65" i="4"/>
  <c r="E62" i="4"/>
  <c r="E57" i="4"/>
  <c r="E55" i="4"/>
  <c r="E54" i="4"/>
  <c r="E64" i="4"/>
  <c r="E56" i="4"/>
  <c r="E58" i="4"/>
  <c r="E61" i="4"/>
  <c r="E53" i="4"/>
  <c r="E48" i="4"/>
  <c r="E52" i="4"/>
  <c r="E49" i="4"/>
  <c r="E47" i="4"/>
  <c r="E51" i="4"/>
  <c r="E50" i="4"/>
  <c r="E41" i="4"/>
  <c r="E46" i="4"/>
  <c r="E44" i="4"/>
  <c r="E40" i="4"/>
  <c r="E37" i="4"/>
  <c r="E42" i="4"/>
  <c r="E38" i="4"/>
  <c r="E45" i="4"/>
  <c r="E36" i="4"/>
  <c r="E39" i="4"/>
  <c r="E43" i="4"/>
  <c r="E35" i="4"/>
  <c r="E32" i="4"/>
  <c r="E26" i="4"/>
  <c r="E29" i="4"/>
  <c r="E34" i="4"/>
  <c r="E28" i="4"/>
  <c r="E31" i="4"/>
  <c r="E25" i="4"/>
  <c r="E30" i="4"/>
  <c r="E33" i="4"/>
  <c r="E23" i="4"/>
  <c r="E27" i="4"/>
  <c r="E24" i="4"/>
  <c r="E22" i="4"/>
  <c r="E21" i="4"/>
  <c r="E17" i="4"/>
  <c r="E15" i="4"/>
  <c r="E19" i="4"/>
  <c r="E18" i="4"/>
  <c r="E11" i="4"/>
  <c r="E13" i="4"/>
  <c r="E14" i="4"/>
  <c r="E12" i="4"/>
  <c r="E16" i="4"/>
  <c r="E20" i="4"/>
  <c r="E10" i="4"/>
  <c r="E8" i="4"/>
  <c r="E9" i="4"/>
  <c r="E7" i="4"/>
  <c r="E6" i="4"/>
  <c r="E5" i="4"/>
  <c r="E4" i="4"/>
  <c r="E132" i="5"/>
  <c r="I259" i="45"/>
  <c r="I174" i="45"/>
  <c r="I16" i="45"/>
  <c r="I296" i="45"/>
  <c r="I104" i="45"/>
  <c r="I215" i="45"/>
  <c r="I99" i="45"/>
  <c r="I209" i="45"/>
  <c r="I175" i="45"/>
  <c r="I59" i="45"/>
  <c r="I139" i="45"/>
  <c r="I260" i="45"/>
  <c r="I165" i="45"/>
  <c r="I275" i="45"/>
  <c r="I159" i="45"/>
  <c r="I125" i="45"/>
  <c r="I280" i="45"/>
  <c r="I198" i="45"/>
  <c r="I238" i="45"/>
  <c r="I151" i="45"/>
  <c r="I244" i="45"/>
  <c r="I136" i="45"/>
  <c r="I73" i="45"/>
  <c r="I145" i="45"/>
  <c r="I188" i="45"/>
  <c r="I101" i="45"/>
  <c r="I286" i="45"/>
  <c r="I25" i="45"/>
  <c r="I106" i="45"/>
  <c r="I87" i="45"/>
  <c r="I268" i="45"/>
  <c r="I197" i="45"/>
  <c r="I29" i="45"/>
  <c r="I52" i="45"/>
  <c r="I257" i="45"/>
  <c r="I276" i="45"/>
  <c r="I123" i="45"/>
  <c r="I149" i="45"/>
  <c r="I30" i="45"/>
  <c r="I192" i="45"/>
  <c r="I235" i="45"/>
  <c r="I222" i="45"/>
  <c r="I49" i="45"/>
  <c r="I144" i="45"/>
  <c r="I223" i="45"/>
  <c r="I158" i="45"/>
  <c r="I57" i="45"/>
  <c r="I185" i="45"/>
  <c r="I60" i="45"/>
  <c r="I140" i="45"/>
  <c r="I95" i="45"/>
  <c r="I162" i="45"/>
  <c r="I212" i="45"/>
  <c r="I233" i="45"/>
  <c r="I167" i="45"/>
  <c r="I36" i="45"/>
  <c r="I78" i="45"/>
  <c r="I271" i="45"/>
  <c r="I117" i="45"/>
  <c r="I105" i="45"/>
  <c r="I269" i="45"/>
  <c r="I252" i="45"/>
  <c r="I242" i="45"/>
  <c r="I263" i="45"/>
  <c r="I250" i="45"/>
  <c r="I228" i="45"/>
  <c r="I118" i="45"/>
  <c r="I255" i="45"/>
  <c r="I289" i="45"/>
  <c r="I93" i="45"/>
  <c r="I206" i="45"/>
  <c r="I131" i="45"/>
  <c r="I110" i="45"/>
  <c r="I217" i="45"/>
  <c r="I14" i="45"/>
  <c r="I200" i="45"/>
  <c r="I196" i="45"/>
  <c r="I202" i="45"/>
  <c r="I249" i="45"/>
  <c r="I191" i="45"/>
  <c r="I171" i="45"/>
  <c r="I141" i="45"/>
  <c r="I264" i="45"/>
  <c r="I2" i="45"/>
  <c r="I203" i="45"/>
  <c r="I38" i="45"/>
  <c r="I4" i="45"/>
  <c r="I3" i="45"/>
  <c r="I43" i="45"/>
  <c r="I265" i="45"/>
  <c r="I79" i="45"/>
  <c r="I154" i="45"/>
  <c r="I92" i="45"/>
  <c r="I32" i="45"/>
  <c r="I135" i="45"/>
  <c r="I94" i="45"/>
  <c r="I121" i="45"/>
  <c r="I193" i="45"/>
  <c r="I148" i="45"/>
  <c r="I155" i="45"/>
  <c r="I220" i="45"/>
  <c r="I40" i="45"/>
  <c r="I132" i="45"/>
  <c r="I90" i="45"/>
  <c r="I290" i="45"/>
  <c r="I283" i="45"/>
  <c r="I219" i="45"/>
  <c r="I156" i="45"/>
  <c r="I62" i="45"/>
  <c r="I221" i="45"/>
  <c r="I207" i="45"/>
  <c r="I86" i="45"/>
  <c r="I157" i="45"/>
  <c r="I180" i="45"/>
  <c r="I210" i="45"/>
  <c r="I137" i="45"/>
  <c r="I55" i="45"/>
  <c r="I54" i="45"/>
  <c r="I204" i="45"/>
  <c r="I273" i="45"/>
  <c r="I114" i="45"/>
  <c r="I142" i="45"/>
  <c r="I35" i="45"/>
  <c r="I88" i="45"/>
  <c r="I294" i="45"/>
  <c r="I46" i="45"/>
  <c r="I266" i="45"/>
  <c r="I150" i="45"/>
  <c r="I129" i="45"/>
  <c r="I160" i="45"/>
  <c r="I134" i="45"/>
  <c r="I243" i="45"/>
  <c r="I261" i="45"/>
  <c r="I71" i="45"/>
  <c r="I80" i="45"/>
  <c r="I44" i="45"/>
  <c r="I281" i="45"/>
  <c r="I33" i="45"/>
  <c r="I124" i="45"/>
  <c r="I26" i="45"/>
  <c r="I153" i="45"/>
  <c r="I17" i="45"/>
  <c r="I224" i="45"/>
  <c r="I272" i="45"/>
  <c r="I113" i="45"/>
  <c r="I146" i="45"/>
  <c r="I246" i="45"/>
  <c r="I12" i="45"/>
  <c r="I5" i="45"/>
  <c r="I100" i="45"/>
  <c r="I31" i="45"/>
  <c r="I293" i="45"/>
  <c r="I120" i="45"/>
  <c r="I279" i="45"/>
  <c r="I45" i="45"/>
  <c r="I287" i="45"/>
  <c r="I89" i="45"/>
  <c r="I82" i="45"/>
  <c r="I27" i="45"/>
  <c r="I130" i="45"/>
  <c r="I108" i="45"/>
  <c r="I96" i="45"/>
  <c r="I267" i="45"/>
  <c r="I195" i="45"/>
  <c r="I292" i="45"/>
  <c r="I201" i="45"/>
  <c r="I178" i="45"/>
  <c r="I166" i="45"/>
  <c r="I50" i="45"/>
  <c r="I277" i="45"/>
  <c r="I186" i="45"/>
  <c r="I295" i="45"/>
  <c r="I111" i="45"/>
  <c r="I218" i="45"/>
  <c r="I285" i="45"/>
  <c r="I116" i="45"/>
  <c r="I291" i="45"/>
  <c r="I127" i="45"/>
  <c r="I112" i="45"/>
  <c r="I181" i="45"/>
  <c r="I282" i="45"/>
  <c r="I205" i="45"/>
  <c r="I173" i="45"/>
  <c r="I278" i="45"/>
  <c r="I7" i="45"/>
  <c r="I199" i="45"/>
  <c r="I274" i="45"/>
  <c r="B8" i="7"/>
  <c r="G317" i="7"/>
  <c r="K317" i="7"/>
  <c r="G22" i="7"/>
  <c r="G497" i="7"/>
  <c r="G439" i="7"/>
  <c r="G134" i="7"/>
  <c r="G122" i="7"/>
  <c r="G336" i="7"/>
  <c r="G204" i="7"/>
  <c r="G546" i="7"/>
  <c r="G137" i="7"/>
  <c r="G409" i="7"/>
  <c r="G302" i="7"/>
  <c r="G43" i="7"/>
  <c r="G76" i="7"/>
  <c r="G354" i="7"/>
  <c r="G165" i="7"/>
  <c r="G60" i="7"/>
  <c r="G141" i="7"/>
  <c r="G323" i="7"/>
  <c r="G95" i="7"/>
  <c r="G281" i="7"/>
  <c r="G514" i="7"/>
  <c r="G145" i="7"/>
  <c r="G67" i="7"/>
  <c r="G168" i="7"/>
  <c r="G433" i="7"/>
  <c r="G313" i="7"/>
  <c r="G125" i="7"/>
  <c r="G564" i="7"/>
  <c r="G127" i="7"/>
  <c r="G280" i="7"/>
  <c r="G260" i="7"/>
  <c r="G161" i="7"/>
  <c r="G56" i="7"/>
  <c r="G367" i="7"/>
  <c r="G288" i="7"/>
  <c r="G164" i="7"/>
  <c r="G500" i="7"/>
  <c r="G480" i="7"/>
  <c r="G496" i="7"/>
  <c r="G140" i="7"/>
  <c r="G126" i="7"/>
  <c r="G481" i="7"/>
  <c r="G59" i="7"/>
  <c r="G450" i="7"/>
  <c r="G261" i="7"/>
  <c r="G69" i="7"/>
  <c r="G147" i="7"/>
  <c r="G270" i="7"/>
  <c r="G111" i="7"/>
  <c r="G332" i="7"/>
  <c r="K332" i="7"/>
  <c r="I169" i="31"/>
  <c r="I72" i="31"/>
  <c r="I121" i="31"/>
  <c r="I41" i="31"/>
  <c r="I111" i="31"/>
  <c r="I37" i="31"/>
  <c r="I32" i="31"/>
  <c r="I118" i="31"/>
  <c r="I179" i="31"/>
  <c r="I80" i="31"/>
  <c r="I57" i="31"/>
  <c r="I201" i="31"/>
  <c r="I79" i="31"/>
  <c r="I65" i="31"/>
  <c r="I208" i="31"/>
  <c r="I3" i="31"/>
  <c r="I61" i="31"/>
  <c r="I261" i="31"/>
  <c r="I152" i="31"/>
  <c r="I33" i="31"/>
  <c r="I180" i="31"/>
  <c r="I96" i="31"/>
  <c r="I62" i="31"/>
  <c r="I47" i="31"/>
  <c r="I44" i="31"/>
  <c r="I5" i="31"/>
  <c r="I131" i="31"/>
  <c r="I283" i="31"/>
  <c r="I166" i="31"/>
  <c r="I88" i="31"/>
  <c r="I247" i="31"/>
  <c r="I127" i="31"/>
  <c r="I139" i="31"/>
  <c r="I48" i="31"/>
  <c r="I12" i="31"/>
  <c r="I84" i="31"/>
  <c r="I11" i="31"/>
  <c r="I200" i="31"/>
  <c r="I128" i="31"/>
  <c r="E109" i="3"/>
  <c r="K22" i="7" l="1"/>
  <c r="K111" i="7"/>
  <c r="K497" i="7"/>
  <c r="K76" i="7"/>
  <c r="K354" i="7"/>
  <c r="K165" i="7"/>
  <c r="K60" i="7"/>
  <c r="K141" i="7"/>
  <c r="K323" i="7"/>
  <c r="K95" i="7"/>
  <c r="K281" i="7"/>
  <c r="K514" i="7"/>
  <c r="K145" i="7"/>
  <c r="K67" i="7"/>
  <c r="K168" i="7"/>
  <c r="K467" i="7"/>
  <c r="K433" i="7"/>
  <c r="K313" i="7"/>
  <c r="K535" i="7"/>
  <c r="K125" i="7"/>
  <c r="K564" i="7"/>
  <c r="K127" i="7"/>
  <c r="K280" i="7"/>
  <c r="K260" i="7"/>
  <c r="K47" i="7"/>
  <c r="K161" i="7"/>
  <c r="K56" i="7"/>
  <c r="K367" i="7"/>
  <c r="K288" i="7"/>
  <c r="K164" i="7"/>
  <c r="K500" i="7"/>
  <c r="K480" i="7"/>
  <c r="K496" i="7"/>
  <c r="K140" i="7"/>
  <c r="K126" i="7"/>
  <c r="K481" i="7"/>
  <c r="K59" i="7"/>
  <c r="K450" i="7"/>
  <c r="K261" i="7"/>
  <c r="K69" i="7"/>
  <c r="K147" i="7"/>
  <c r="K270" i="7"/>
  <c r="K302" i="7"/>
  <c r="K409" i="7"/>
  <c r="K137" i="7"/>
  <c r="K546" i="7"/>
  <c r="K204" i="7"/>
  <c r="K336" i="7"/>
  <c r="K122" i="7"/>
  <c r="K134" i="7"/>
  <c r="K439" i="7"/>
  <c r="K51" i="7"/>
  <c r="K344" i="7"/>
  <c r="K43" i="7"/>
  <c r="K120" i="7"/>
  <c r="K146" i="7"/>
  <c r="P44" i="4"/>
  <c r="P142" i="4"/>
  <c r="P132" i="5"/>
  <c r="P9" i="4" l="1"/>
  <c r="P57" i="4"/>
  <c r="P66" i="4"/>
  <c r="P78" i="4"/>
  <c r="P27" i="4"/>
  <c r="P88" i="4"/>
  <c r="P22" i="4"/>
  <c r="P37" i="4"/>
  <c r="P61" i="4"/>
  <c r="P54" i="4"/>
  <c r="P107" i="4"/>
  <c r="P120" i="4"/>
  <c r="P137" i="4"/>
  <c r="P141" i="4"/>
  <c r="P151" i="4"/>
  <c r="P162" i="4"/>
  <c r="P29" i="4"/>
  <c r="P32" i="4"/>
  <c r="P56" i="4"/>
  <c r="P92" i="4"/>
  <c r="P121" i="4"/>
  <c r="P146" i="4"/>
  <c r="P25" i="4"/>
  <c r="P28" i="4"/>
  <c r="P43" i="4"/>
  <c r="P11" i="4"/>
  <c r="P33" i="4"/>
  <c r="P98" i="4"/>
  <c r="P129" i="4"/>
  <c r="P157" i="4"/>
  <c r="P167" i="4"/>
  <c r="P4" i="4"/>
  <c r="P16" i="4"/>
  <c r="P17" i="4"/>
  <c r="P65" i="4"/>
  <c r="P63" i="4"/>
  <c r="P71" i="4"/>
  <c r="P75" i="4"/>
  <c r="P70" i="4"/>
  <c r="P74" i="4"/>
  <c r="P86" i="4"/>
  <c r="P89" i="4"/>
  <c r="P6" i="4"/>
  <c r="P8" i="4"/>
  <c r="P14" i="4"/>
  <c r="P18" i="4"/>
  <c r="P111" i="4"/>
  <c r="P5" i="4"/>
  <c r="P10" i="4"/>
  <c r="P12" i="4"/>
  <c r="P19" i="4"/>
  <c r="P21" i="4"/>
  <c r="P36" i="4"/>
  <c r="P38" i="4"/>
  <c r="P41" i="4"/>
  <c r="P51" i="4"/>
  <c r="P49" i="4"/>
  <c r="P48" i="4"/>
  <c r="P81" i="4"/>
  <c r="P94" i="4"/>
  <c r="P96" i="4"/>
  <c r="P101" i="4"/>
  <c r="P103" i="4"/>
  <c r="P108" i="4"/>
  <c r="P112" i="4"/>
  <c r="P115" i="4"/>
  <c r="P114" i="4"/>
  <c r="P116" i="4"/>
  <c r="P7" i="4"/>
  <c r="P20" i="4"/>
  <c r="P13" i="4"/>
  <c r="P15" i="4"/>
  <c r="P24" i="4"/>
  <c r="P30" i="4"/>
  <c r="P34" i="4"/>
  <c r="P35" i="4"/>
  <c r="P45" i="4"/>
  <c r="P40" i="4"/>
  <c r="P50" i="4"/>
  <c r="P52" i="4"/>
  <c r="P64" i="4"/>
  <c r="P62" i="4"/>
  <c r="P59" i="4"/>
  <c r="P69" i="4"/>
  <c r="P68" i="4"/>
  <c r="P72" i="4"/>
  <c r="P76" i="4"/>
  <c r="P73" i="4"/>
  <c r="P80" i="4"/>
  <c r="P84" i="4"/>
  <c r="P95" i="4"/>
  <c r="P90" i="4"/>
  <c r="P106" i="4"/>
  <c r="P124" i="4"/>
  <c r="P126" i="4"/>
  <c r="P130" i="4"/>
  <c r="P136" i="4"/>
  <c r="P118" i="4"/>
  <c r="P131" i="4"/>
  <c r="P135" i="4"/>
  <c r="P156" i="4"/>
  <c r="P158" i="4"/>
  <c r="P163" i="4"/>
  <c r="P23" i="4"/>
  <c r="P31" i="4"/>
  <c r="P26" i="4"/>
  <c r="P39" i="4"/>
  <c r="P42" i="4"/>
  <c r="P46" i="4"/>
  <c r="P47" i="4"/>
  <c r="P53" i="4"/>
  <c r="P58" i="4"/>
  <c r="P55" i="4"/>
  <c r="P60" i="4"/>
  <c r="P67" i="4"/>
  <c r="P77" i="4"/>
  <c r="P79" i="4"/>
  <c r="P85" i="4"/>
  <c r="P83" i="4"/>
  <c r="P82" i="4"/>
  <c r="P87" i="4"/>
  <c r="P91" i="4"/>
  <c r="P93" i="4"/>
  <c r="P100" i="4"/>
  <c r="P102" i="4"/>
  <c r="P104" i="4"/>
  <c r="P113" i="4"/>
  <c r="P110" i="4"/>
  <c r="P119" i="4"/>
  <c r="P152" i="4"/>
  <c r="P97" i="4"/>
  <c r="P109" i="4"/>
  <c r="P127" i="4"/>
  <c r="P123" i="4"/>
  <c r="P125" i="4"/>
  <c r="P133" i="4"/>
  <c r="P138" i="4"/>
  <c r="P144" i="4"/>
  <c r="P148" i="4"/>
  <c r="P143" i="4"/>
  <c r="P149" i="4"/>
  <c r="P155" i="4"/>
  <c r="P150" i="4"/>
  <c r="P154" i="4"/>
  <c r="P128" i="4"/>
  <c r="P132" i="4"/>
  <c r="P139" i="4"/>
  <c r="P134" i="4"/>
  <c r="P164" i="4"/>
  <c r="P161" i="4"/>
  <c r="P166" i="4"/>
  <c r="P168" i="4"/>
  <c r="P160" i="4"/>
  <c r="P122" i="4"/>
  <c r="P105" i="4"/>
  <c r="P117" i="4"/>
  <c r="P99" i="4"/>
  <c r="P140" i="4"/>
  <c r="P147" i="4"/>
  <c r="P153" i="4"/>
  <c r="P145" i="4"/>
  <c r="P159" i="4"/>
  <c r="P171" i="4"/>
  <c r="P109" i="3"/>
  <c r="G156" i="7" l="1"/>
  <c r="K156" i="7"/>
  <c r="G335" i="7"/>
  <c r="K335" i="7"/>
  <c r="G62" i="7"/>
  <c r="K62" i="7"/>
  <c r="G565" i="7"/>
  <c r="K565" i="7"/>
  <c r="G512" i="7"/>
  <c r="K512" i="7"/>
  <c r="G486" i="7"/>
  <c r="K486" i="7"/>
  <c r="G559" i="7"/>
  <c r="K559" i="7"/>
  <c r="G528" i="7"/>
  <c r="K528" i="7"/>
  <c r="G144" i="7"/>
  <c r="K144" i="7"/>
  <c r="G457" i="7"/>
  <c r="K457" i="7"/>
  <c r="G259" i="7"/>
  <c r="K259" i="7"/>
  <c r="G154" i="7"/>
  <c r="K154" i="7"/>
  <c r="G106" i="7"/>
  <c r="K106" i="7"/>
  <c r="G485" i="7"/>
  <c r="K485" i="7"/>
  <c r="G501" i="7"/>
  <c r="K501" i="7"/>
  <c r="G291" i="7"/>
  <c r="K291" i="7"/>
  <c r="G510" i="7"/>
  <c r="K510" i="7"/>
  <c r="G530" i="7"/>
  <c r="K530" i="7"/>
  <c r="G515" i="7"/>
  <c r="K515" i="7"/>
  <c r="G115" i="7"/>
  <c r="K115" i="7"/>
  <c r="E50" i="2"/>
  <c r="E49" i="2"/>
  <c r="E53" i="2"/>
  <c r="E55" i="2"/>
  <c r="E54" i="2"/>
  <c r="E52" i="2"/>
  <c r="E56" i="2"/>
  <c r="E57" i="2"/>
  <c r="E61" i="2"/>
  <c r="E62" i="2"/>
  <c r="E64" i="2"/>
  <c r="E59" i="2"/>
  <c r="E60" i="2"/>
  <c r="E58" i="2"/>
  <c r="E63" i="2"/>
  <c r="E65" i="2"/>
  <c r="E67" i="2"/>
  <c r="E66" i="2"/>
  <c r="E68" i="2"/>
  <c r="E69" i="2"/>
  <c r="E70" i="2"/>
  <c r="E71" i="2"/>
  <c r="E72" i="2"/>
  <c r="E73" i="2"/>
  <c r="E74" i="2"/>
  <c r="E75" i="2"/>
  <c r="A1" i="29" l="1"/>
  <c r="S3" i="1" l="1"/>
  <c r="G506" i="7" l="1"/>
  <c r="K506" i="7"/>
  <c r="G504" i="7"/>
  <c r="K504" i="7"/>
  <c r="G149" i="7"/>
  <c r="K149" i="7"/>
  <c r="E40" i="2"/>
  <c r="E41" i="2"/>
  <c r="E42" i="2"/>
  <c r="E43" i="2"/>
  <c r="E44" i="2"/>
  <c r="E45" i="2"/>
  <c r="E46" i="2"/>
  <c r="E48" i="2"/>
  <c r="E47" i="2"/>
  <c r="E51" i="2"/>
  <c r="K121" i="7" l="1"/>
  <c r="K537" i="7"/>
  <c r="K430" i="7"/>
  <c r="K522" i="7"/>
  <c r="K346" i="7"/>
  <c r="K88" i="7"/>
  <c r="K91" i="7"/>
  <c r="K53" i="7"/>
  <c r="K553" i="7"/>
  <c r="K447" i="7"/>
  <c r="K363" i="7"/>
  <c r="K364" i="7"/>
  <c r="K383" i="7"/>
  <c r="K143" i="7"/>
  <c r="K37" i="7"/>
  <c r="K68" i="7"/>
  <c r="K551" i="7"/>
  <c r="K526" i="7"/>
  <c r="K418" i="7"/>
  <c r="K81" i="7"/>
  <c r="K341" i="7"/>
  <c r="K159" i="7"/>
  <c r="K250" i="7"/>
  <c r="K319" i="7"/>
  <c r="K353" i="7"/>
  <c r="K533" i="7"/>
  <c r="K100" i="7"/>
  <c r="K199" i="7"/>
  <c r="K331" i="7"/>
  <c r="K25" i="7"/>
  <c r="K310" i="7"/>
  <c r="K255" i="7"/>
  <c r="K52" i="7"/>
  <c r="K287" i="7"/>
  <c r="K296" i="7"/>
  <c r="K389" i="7"/>
  <c r="K162" i="7"/>
  <c r="K306" i="7"/>
  <c r="K569" i="7"/>
  <c r="K61" i="7"/>
  <c r="K491" i="7"/>
  <c r="K316" i="7"/>
  <c r="K483" i="7"/>
  <c r="K289" i="7"/>
  <c r="K463" i="7"/>
  <c r="K309" i="7"/>
  <c r="K75" i="7"/>
  <c r="K554" i="7"/>
  <c r="K17" i="7"/>
  <c r="K256" i="7"/>
  <c r="K40" i="7"/>
  <c r="K36" i="7"/>
  <c r="K298" i="7"/>
  <c r="K466" i="7"/>
  <c r="K304" i="7"/>
  <c r="K24" i="7"/>
  <c r="K489" i="7"/>
  <c r="K297" i="7"/>
  <c r="K110" i="7"/>
  <c r="K446" i="7"/>
  <c r="K48" i="7"/>
  <c r="K423" i="7"/>
  <c r="K153" i="7"/>
  <c r="K478" i="7"/>
  <c r="K407" i="7"/>
  <c r="K493" i="7"/>
  <c r="K45" i="7"/>
  <c r="K277" i="7"/>
  <c r="K327" i="7"/>
  <c r="K465" i="7"/>
  <c r="K86" i="7"/>
  <c r="K451" i="7"/>
  <c r="K116" i="7"/>
  <c r="K356" i="7"/>
  <c r="K276" i="7"/>
  <c r="K513" i="7"/>
  <c r="K552" i="7"/>
  <c r="K550" i="7"/>
  <c r="K253" i="7"/>
  <c r="K254" i="7"/>
  <c r="K160" i="7"/>
  <c r="K152" i="7"/>
  <c r="K99" i="7"/>
  <c r="K301" i="7"/>
  <c r="K42" i="7"/>
  <c r="K328" i="7"/>
  <c r="K414" i="7"/>
  <c r="K475" i="7"/>
  <c r="K369" i="7"/>
  <c r="K459" i="7"/>
  <c r="K350" i="7"/>
  <c r="K273" i="7"/>
  <c r="K23" i="7"/>
  <c r="K33" i="7"/>
  <c r="K130" i="7"/>
  <c r="K272" i="7"/>
  <c r="K403" i="7"/>
  <c r="K282" i="7"/>
  <c r="K251" i="7"/>
  <c r="K449" i="7"/>
  <c r="K542" i="7"/>
  <c r="K361" i="7"/>
  <c r="K285" i="7"/>
  <c r="K468" i="7"/>
  <c r="K368" i="7"/>
  <c r="K157" i="7"/>
  <c r="K295" i="7"/>
  <c r="K200" i="7"/>
  <c r="K322" i="7"/>
  <c r="K44" i="7"/>
  <c r="K520" i="7"/>
  <c r="K340" i="7"/>
  <c r="K171" i="7"/>
  <c r="K30" i="7"/>
  <c r="K487" i="7"/>
  <c r="K202" i="7"/>
  <c r="K448" i="7"/>
  <c r="K274" i="7"/>
  <c r="K158" i="7"/>
  <c r="K284" i="7"/>
  <c r="K84" i="7"/>
  <c r="K103" i="7"/>
  <c r="K508" i="7"/>
  <c r="K558" i="7"/>
  <c r="K79" i="7"/>
  <c r="K196" i="7"/>
  <c r="K94" i="7"/>
  <c r="K268" i="7"/>
  <c r="K303" i="7"/>
  <c r="K334" i="7"/>
  <c r="K150" i="7"/>
  <c r="K492" i="7"/>
  <c r="K479" i="7"/>
  <c r="K166" i="7"/>
  <c r="K82" i="7"/>
  <c r="K266" i="7"/>
  <c r="K18" i="7"/>
  <c r="K379" i="7"/>
  <c r="K342" i="7"/>
  <c r="K138" i="7"/>
  <c r="K19" i="7"/>
  <c r="K124" i="7"/>
  <c r="K252" i="7"/>
  <c r="K169" i="7"/>
  <c r="K72" i="7"/>
  <c r="K378" i="7"/>
  <c r="K567" i="7"/>
  <c r="K97" i="7"/>
  <c r="K262" i="7"/>
  <c r="K132" i="7"/>
  <c r="K283" i="7"/>
  <c r="K109" i="7"/>
  <c r="K521" i="7"/>
  <c r="K312" i="7"/>
  <c r="K13" i="7"/>
  <c r="K201" i="7"/>
  <c r="K321" i="7"/>
  <c r="K98" i="7"/>
  <c r="K507" i="7"/>
  <c r="K26" i="7"/>
  <c r="K505" i="7"/>
  <c r="K484" i="7"/>
  <c r="K326" i="7"/>
  <c r="K314" i="7"/>
  <c r="K536" i="7"/>
  <c r="K311" i="7"/>
  <c r="K96" i="7"/>
  <c r="K518" i="7"/>
  <c r="K390" i="7"/>
  <c r="K377" i="7"/>
  <c r="K545" i="7"/>
  <c r="K265" i="7"/>
  <c r="K139" i="7"/>
  <c r="K473" i="7"/>
  <c r="K392" i="7"/>
  <c r="K568" i="7"/>
  <c r="K248" i="7"/>
  <c r="K136" i="7"/>
  <c r="K556" i="7"/>
  <c r="K135" i="7"/>
  <c r="K113" i="7"/>
  <c r="K400" i="7"/>
  <c r="K539" i="7"/>
  <c r="K163" i="7"/>
  <c r="K488" i="7"/>
  <c r="K117" i="7"/>
  <c r="K258" i="7"/>
  <c r="K548" i="7"/>
  <c r="K352" i="7"/>
  <c r="K167" i="7"/>
  <c r="K405" i="7"/>
  <c r="K275" i="7"/>
  <c r="K472" i="7"/>
  <c r="K519" i="7"/>
  <c r="K292" i="7"/>
  <c r="K307" i="7"/>
  <c r="K198" i="7"/>
  <c r="K77" i="7"/>
  <c r="E39" i="2" l="1"/>
  <c r="E38" i="2"/>
  <c r="E37" i="2"/>
  <c r="E36" i="2"/>
  <c r="E35" i="2"/>
  <c r="E34" i="2"/>
  <c r="E33" i="2"/>
  <c r="E32" i="2"/>
  <c r="E31" i="2"/>
  <c r="E30" i="2"/>
  <c r="E29" i="2"/>
  <c r="E28" i="2"/>
  <c r="E27" i="2"/>
  <c r="E26" i="2"/>
  <c r="E25" i="2"/>
  <c r="E24" i="2"/>
  <c r="E21" i="2"/>
  <c r="E23" i="2"/>
  <c r="E22" i="2"/>
  <c r="E20" i="2"/>
  <c r="E19" i="2"/>
  <c r="E18" i="2"/>
  <c r="E15" i="2"/>
  <c r="E17" i="2"/>
  <c r="E16" i="2"/>
  <c r="E14" i="2"/>
  <c r="E13" i="2"/>
  <c r="E12" i="2"/>
  <c r="E11" i="2"/>
  <c r="E10" i="2"/>
  <c r="E9" i="2"/>
  <c r="E8" i="2"/>
  <c r="E7" i="2"/>
  <c r="E6" i="2"/>
  <c r="E3" i="2"/>
  <c r="E5" i="2"/>
  <c r="E134" i="5"/>
  <c r="E126" i="5"/>
  <c r="E128" i="5"/>
  <c r="E127" i="5"/>
  <c r="E129" i="5"/>
  <c r="E130" i="5"/>
  <c r="E124" i="5"/>
  <c r="E125" i="5"/>
  <c r="E118" i="5"/>
  <c r="E123" i="5"/>
  <c r="E121" i="5"/>
  <c r="E122" i="5"/>
  <c r="E120" i="5"/>
  <c r="E110" i="5"/>
  <c r="E119" i="5"/>
  <c r="E114" i="5"/>
  <c r="E117" i="5"/>
  <c r="E112" i="5"/>
  <c r="E116" i="5"/>
  <c r="E113" i="5"/>
  <c r="E115" i="5"/>
  <c r="E111" i="5"/>
  <c r="E106" i="5"/>
  <c r="E108" i="5"/>
  <c r="E109" i="5"/>
  <c r="E102" i="5"/>
  <c r="E107" i="5"/>
  <c r="E98" i="5"/>
  <c r="E105" i="5"/>
  <c r="E100" i="5"/>
  <c r="E97" i="5"/>
  <c r="E103" i="5"/>
  <c r="E104" i="5"/>
  <c r="E99" i="5"/>
  <c r="E101" i="5"/>
  <c r="E91" i="5"/>
  <c r="E94" i="5"/>
  <c r="E90" i="5"/>
  <c r="E93" i="5"/>
  <c r="E96" i="5"/>
  <c r="E95" i="5"/>
  <c r="E92" i="5"/>
  <c r="E88" i="5"/>
  <c r="E89" i="5"/>
  <c r="E82" i="5"/>
  <c r="E85" i="5"/>
  <c r="E87" i="5"/>
  <c r="E84" i="5"/>
  <c r="E86" i="5"/>
  <c r="E83" i="5"/>
  <c r="E80" i="5"/>
  <c r="E81" i="5"/>
  <c r="E77" i="5"/>
  <c r="E79" i="5"/>
  <c r="E78" i="5"/>
  <c r="E76" i="5"/>
  <c r="E75" i="5"/>
  <c r="E74" i="5"/>
  <c r="E73" i="5"/>
  <c r="E71" i="5"/>
  <c r="E72" i="5"/>
  <c r="E69" i="5"/>
  <c r="E65" i="5"/>
  <c r="E64" i="5"/>
  <c r="E67" i="5"/>
  <c r="E70" i="5"/>
  <c r="E68" i="5"/>
  <c r="E66" i="5"/>
  <c r="E62" i="5"/>
  <c r="E63" i="5"/>
  <c r="E60" i="5"/>
  <c r="E61" i="5"/>
  <c r="E59" i="5"/>
  <c r="E58" i="5"/>
  <c r="E56" i="5"/>
  <c r="E54" i="5"/>
  <c r="E55" i="5"/>
  <c r="E57" i="5"/>
  <c r="E53" i="5"/>
  <c r="E51" i="5"/>
  <c r="E45" i="5"/>
  <c r="E47" i="5"/>
  <c r="E49" i="5"/>
  <c r="E48" i="5"/>
  <c r="E52" i="5"/>
  <c r="E50" i="5"/>
  <c r="E43" i="5"/>
  <c r="E46" i="5"/>
  <c r="E44" i="5"/>
  <c r="E42" i="5"/>
  <c r="E41" i="5"/>
  <c r="E40" i="5"/>
  <c r="E36" i="5"/>
  <c r="E38" i="5"/>
  <c r="E30" i="5"/>
  <c r="E39" i="5"/>
  <c r="E35" i="5"/>
  <c r="E31" i="5"/>
  <c r="E37" i="5"/>
  <c r="E34" i="5"/>
  <c r="E33" i="5"/>
  <c r="E28" i="5"/>
  <c r="E32" i="5"/>
  <c r="E27" i="5"/>
  <c r="E29" i="5"/>
  <c r="E23" i="5"/>
  <c r="E22" i="5"/>
  <c r="E26" i="5"/>
  <c r="E25" i="5"/>
  <c r="E21" i="5"/>
  <c r="E24" i="5"/>
  <c r="E20" i="5"/>
  <c r="E17" i="5"/>
  <c r="E15" i="5"/>
  <c r="E14" i="5"/>
  <c r="E16" i="5"/>
  <c r="E19" i="5"/>
  <c r="E18" i="5"/>
  <c r="E11" i="5"/>
  <c r="E13" i="5"/>
  <c r="E9" i="5"/>
  <c r="E12" i="5"/>
  <c r="E10" i="5"/>
  <c r="E8" i="5"/>
  <c r="E7" i="5"/>
  <c r="E6" i="5"/>
  <c r="E5" i="5"/>
  <c r="E4" i="5"/>
  <c r="O3" i="5"/>
  <c r="N3" i="5"/>
  <c r="M3" i="5"/>
  <c r="L3" i="5"/>
  <c r="K3" i="5"/>
  <c r="J3" i="5"/>
  <c r="I3" i="5"/>
  <c r="F3" i="5"/>
  <c r="E3" i="5" s="1"/>
  <c r="B3" i="5"/>
  <c r="D3" i="5" s="1"/>
  <c r="O3" i="4"/>
  <c r="K3" i="4"/>
  <c r="J3" i="4"/>
  <c r="I3" i="4"/>
  <c r="N3" i="4"/>
  <c r="M3" i="4"/>
  <c r="L3" i="4"/>
  <c r="F3" i="4"/>
  <c r="E3" i="4" s="1"/>
  <c r="B3" i="4"/>
  <c r="O3" i="3"/>
  <c r="N3" i="3"/>
  <c r="L3" i="3"/>
  <c r="M3" i="3"/>
  <c r="E4" i="3"/>
  <c r="E5" i="3"/>
  <c r="E9" i="3"/>
  <c r="E8" i="3"/>
  <c r="E7" i="3"/>
  <c r="E6" i="3"/>
  <c r="E12" i="3"/>
  <c r="E10" i="3"/>
  <c r="E11" i="3"/>
  <c r="E13" i="3"/>
  <c r="E14" i="3"/>
  <c r="E15" i="3"/>
  <c r="E44" i="3"/>
  <c r="E42" i="3"/>
  <c r="E19" i="3"/>
  <c r="E16" i="3"/>
  <c r="E17" i="3"/>
  <c r="E18" i="3"/>
  <c r="E20" i="3"/>
  <c r="E21" i="3"/>
  <c r="E22" i="3"/>
  <c r="E24" i="3"/>
  <c r="E26" i="3"/>
  <c r="E23" i="3"/>
  <c r="E27" i="3"/>
  <c r="E25" i="3"/>
  <c r="E28" i="3"/>
  <c r="E29" i="3"/>
  <c r="E31" i="3"/>
  <c r="E33" i="3"/>
  <c r="E32" i="3"/>
  <c r="E30" i="3"/>
  <c r="E35" i="3"/>
  <c r="E37" i="3"/>
  <c r="E34" i="3"/>
  <c r="E38" i="3"/>
  <c r="E36" i="3"/>
  <c r="E40" i="3"/>
  <c r="E39" i="3"/>
  <c r="E41" i="3"/>
  <c r="E43" i="3"/>
  <c r="E46" i="3"/>
  <c r="E45" i="3"/>
  <c r="E47" i="3"/>
  <c r="E50" i="3"/>
  <c r="E49" i="3"/>
  <c r="E51" i="3"/>
  <c r="E48" i="3"/>
  <c r="E52" i="3"/>
  <c r="E59" i="3"/>
  <c r="E54" i="3"/>
  <c r="E53" i="3"/>
  <c r="E58" i="3"/>
  <c r="E57" i="3"/>
  <c r="E55" i="3"/>
  <c r="E56" i="3"/>
  <c r="E60" i="3"/>
  <c r="E61" i="3"/>
  <c r="E62" i="3"/>
  <c r="E63" i="3"/>
  <c r="E64" i="3"/>
  <c r="E66" i="3"/>
  <c r="E70" i="3"/>
  <c r="E68" i="3"/>
  <c r="E69" i="3"/>
  <c r="E71" i="3"/>
  <c r="E73" i="3"/>
  <c r="E67" i="3"/>
  <c r="E74" i="3"/>
  <c r="E75" i="3"/>
  <c r="E65" i="3"/>
  <c r="E72" i="3"/>
  <c r="E76" i="3"/>
  <c r="E79" i="3"/>
  <c r="E83" i="3"/>
  <c r="E87" i="3"/>
  <c r="E80" i="3"/>
  <c r="E77" i="3"/>
  <c r="E82" i="3"/>
  <c r="E81" i="3"/>
  <c r="E89" i="3"/>
  <c r="E78" i="3"/>
  <c r="E86" i="3"/>
  <c r="E84" i="3"/>
  <c r="E88" i="3"/>
  <c r="E85" i="3"/>
  <c r="E90" i="3"/>
  <c r="E91" i="3"/>
  <c r="E95" i="3"/>
  <c r="E92" i="3"/>
  <c r="E93" i="3"/>
  <c r="E94" i="3"/>
  <c r="E99" i="3"/>
  <c r="E97" i="3"/>
  <c r="E96" i="3"/>
  <c r="E98" i="3"/>
  <c r="E100" i="3"/>
  <c r="E101" i="3"/>
  <c r="E102" i="3"/>
  <c r="E106" i="3"/>
  <c r="E103" i="3"/>
  <c r="E107" i="3"/>
  <c r="E104" i="3"/>
  <c r="E110" i="3"/>
  <c r="E113" i="3"/>
  <c r="E105" i="3"/>
  <c r="E112" i="3"/>
  <c r="E108" i="3"/>
  <c r="E114" i="3"/>
  <c r="E111" i="3"/>
  <c r="F3" i="3"/>
  <c r="E3" i="3" s="1"/>
  <c r="B3" i="3"/>
  <c r="J3" i="18"/>
  <c r="J4" i="18"/>
  <c r="J5" i="18"/>
  <c r="J6" i="18"/>
  <c r="J7" i="18"/>
  <c r="J8" i="18"/>
  <c r="J9" i="18"/>
  <c r="J10" i="18"/>
  <c r="J11" i="18"/>
  <c r="J12" i="18"/>
  <c r="J13" i="18"/>
  <c r="J14" i="18"/>
  <c r="J15" i="18"/>
  <c r="J16" i="18"/>
  <c r="J17" i="18"/>
  <c r="J18" i="18"/>
  <c r="J19" i="18"/>
  <c r="J20" i="18"/>
  <c r="J21" i="18"/>
  <c r="J22" i="18"/>
  <c r="J23" i="18"/>
  <c r="J24" i="18"/>
  <c r="J25" i="18"/>
  <c r="J26" i="18"/>
  <c r="J27" i="18"/>
  <c r="J28" i="18"/>
  <c r="J29" i="18"/>
  <c r="J30" i="18"/>
  <c r="J31" i="18"/>
  <c r="J32" i="18"/>
  <c r="J33" i="18"/>
  <c r="J2" i="18"/>
  <c r="I3" i="18"/>
  <c r="I4" i="18"/>
  <c r="I5" i="18"/>
  <c r="I6" i="18"/>
  <c r="I7" i="18"/>
  <c r="I8" i="18"/>
  <c r="I9" i="18"/>
  <c r="I10" i="18"/>
  <c r="I11" i="18"/>
  <c r="I12" i="18"/>
  <c r="I13" i="18"/>
  <c r="I14" i="18"/>
  <c r="I15" i="18"/>
  <c r="I16" i="18"/>
  <c r="I17" i="18"/>
  <c r="I18" i="18"/>
  <c r="I19" i="18"/>
  <c r="I20" i="18"/>
  <c r="I21" i="18"/>
  <c r="I22" i="18"/>
  <c r="I23" i="18"/>
  <c r="I24" i="18"/>
  <c r="I25" i="18"/>
  <c r="I26" i="18"/>
  <c r="I27" i="18"/>
  <c r="I28" i="18"/>
  <c r="I29" i="18"/>
  <c r="I30" i="18"/>
  <c r="I31" i="18"/>
  <c r="I32" i="18"/>
  <c r="I33" i="18"/>
  <c r="I2" i="18"/>
  <c r="H3" i="18"/>
  <c r="H4" i="18"/>
  <c r="H5" i="18"/>
  <c r="H6" i="18"/>
  <c r="H7" i="18"/>
  <c r="H8" i="18"/>
  <c r="H9" i="18"/>
  <c r="H10" i="18"/>
  <c r="H11" i="18"/>
  <c r="H12" i="18"/>
  <c r="H13" i="18"/>
  <c r="H14" i="18"/>
  <c r="H15" i="18"/>
  <c r="H16" i="18"/>
  <c r="H17" i="18"/>
  <c r="H18" i="18"/>
  <c r="H19" i="18"/>
  <c r="H20" i="18"/>
  <c r="H21" i="18"/>
  <c r="H22" i="18"/>
  <c r="H23" i="18"/>
  <c r="H24" i="18"/>
  <c r="H25" i="18"/>
  <c r="H26" i="18"/>
  <c r="H27" i="18"/>
  <c r="H28" i="18"/>
  <c r="H29" i="18"/>
  <c r="H30" i="18"/>
  <c r="H31" i="18"/>
  <c r="H32" i="18"/>
  <c r="H33" i="18"/>
  <c r="H2" i="18"/>
  <c r="G3" i="18"/>
  <c r="G4" i="18"/>
  <c r="G5" i="18"/>
  <c r="G6" i="18"/>
  <c r="G7" i="18"/>
  <c r="G8" i="18"/>
  <c r="G9" i="18"/>
  <c r="G10" i="18"/>
  <c r="G11" i="18"/>
  <c r="G12" i="18"/>
  <c r="G13" i="18"/>
  <c r="G14" i="18"/>
  <c r="G15" i="18"/>
  <c r="G16" i="18"/>
  <c r="G17" i="18"/>
  <c r="G18" i="18"/>
  <c r="G19" i="18"/>
  <c r="G20" i="18"/>
  <c r="G21" i="18"/>
  <c r="G22" i="18"/>
  <c r="G23" i="18"/>
  <c r="G24" i="18"/>
  <c r="G25" i="18"/>
  <c r="G26" i="18"/>
  <c r="G27" i="18"/>
  <c r="G28" i="18"/>
  <c r="G29" i="18"/>
  <c r="G30" i="18"/>
  <c r="G31" i="18"/>
  <c r="G32" i="18"/>
  <c r="G33" i="18"/>
  <c r="G2" i="18"/>
  <c r="F3" i="18"/>
  <c r="E3" i="18" s="1"/>
  <c r="F4" i="18"/>
  <c r="E4" i="18" s="1"/>
  <c r="F5" i="18"/>
  <c r="E5" i="18" s="1"/>
  <c r="F6" i="18"/>
  <c r="E6" i="18" s="1"/>
  <c r="F7" i="18"/>
  <c r="E7" i="18" s="1"/>
  <c r="F8" i="18"/>
  <c r="E8" i="18" s="1"/>
  <c r="F9" i="18"/>
  <c r="E9" i="18" s="1"/>
  <c r="F10" i="18"/>
  <c r="E10" i="18" s="1"/>
  <c r="F11" i="18"/>
  <c r="E11" i="18" s="1"/>
  <c r="F12" i="18"/>
  <c r="E12" i="18" s="1"/>
  <c r="F13" i="18"/>
  <c r="E13" i="18" s="1"/>
  <c r="F14" i="18"/>
  <c r="E14" i="18" s="1"/>
  <c r="F15" i="18"/>
  <c r="E15" i="18" s="1"/>
  <c r="F16" i="18"/>
  <c r="E16" i="18" s="1"/>
  <c r="F17" i="18"/>
  <c r="E17" i="18" s="1"/>
  <c r="F18" i="18"/>
  <c r="E18" i="18" s="1"/>
  <c r="F19" i="18"/>
  <c r="E19" i="18" s="1"/>
  <c r="F20" i="18"/>
  <c r="E20" i="18" s="1"/>
  <c r="F21" i="18"/>
  <c r="E21" i="18" s="1"/>
  <c r="F22" i="18"/>
  <c r="E22" i="18" s="1"/>
  <c r="F23" i="18"/>
  <c r="E23" i="18" s="1"/>
  <c r="F24" i="18"/>
  <c r="E24" i="18" s="1"/>
  <c r="F25" i="18"/>
  <c r="E25" i="18" s="1"/>
  <c r="F26" i="18"/>
  <c r="E26" i="18" s="1"/>
  <c r="F27" i="18"/>
  <c r="E27" i="18" s="1"/>
  <c r="F28" i="18"/>
  <c r="E28" i="18" s="1"/>
  <c r="F29" i="18"/>
  <c r="E29" i="18" s="1"/>
  <c r="F30" i="18"/>
  <c r="E30" i="18" s="1"/>
  <c r="F31" i="18"/>
  <c r="E31" i="18" s="1"/>
  <c r="F32" i="18"/>
  <c r="E32" i="18" s="1"/>
  <c r="F33" i="18"/>
  <c r="E33" i="18" s="1"/>
  <c r="F2" i="18"/>
  <c r="E2" i="18" s="1"/>
  <c r="B3" i="18"/>
  <c r="D3" i="18" s="1"/>
  <c r="B4" i="18"/>
  <c r="D4" i="18" s="1"/>
  <c r="B5" i="18"/>
  <c r="D5" i="18" s="1"/>
  <c r="B6" i="18"/>
  <c r="D6" i="18" s="1"/>
  <c r="B7" i="18"/>
  <c r="D7" i="18" s="1"/>
  <c r="B8" i="18"/>
  <c r="D8" i="18" s="1"/>
  <c r="B9" i="18"/>
  <c r="D9" i="18" s="1"/>
  <c r="B10" i="18"/>
  <c r="D10" i="18" s="1"/>
  <c r="B11" i="18"/>
  <c r="D11" i="18" s="1"/>
  <c r="B12" i="18"/>
  <c r="D12" i="18" s="1"/>
  <c r="B13" i="18"/>
  <c r="D13" i="18" s="1"/>
  <c r="B14" i="18"/>
  <c r="D14" i="18" s="1"/>
  <c r="B15" i="18"/>
  <c r="D15" i="18" s="1"/>
  <c r="B16" i="18"/>
  <c r="D16" i="18" s="1"/>
  <c r="B17" i="18"/>
  <c r="D17" i="18" s="1"/>
  <c r="B18" i="18"/>
  <c r="D18" i="18" s="1"/>
  <c r="B19" i="18"/>
  <c r="D19" i="18" s="1"/>
  <c r="B20" i="18"/>
  <c r="D20" i="18" s="1"/>
  <c r="B21" i="18"/>
  <c r="D21" i="18" s="1"/>
  <c r="B22" i="18"/>
  <c r="D22" i="18" s="1"/>
  <c r="B23" i="18"/>
  <c r="D23" i="18" s="1"/>
  <c r="B24" i="18"/>
  <c r="D24" i="18" s="1"/>
  <c r="B25" i="18"/>
  <c r="D25" i="18" s="1"/>
  <c r="B26" i="18"/>
  <c r="D26" i="18" s="1"/>
  <c r="B27" i="18"/>
  <c r="D27" i="18" s="1"/>
  <c r="B28" i="18"/>
  <c r="D28" i="18" s="1"/>
  <c r="B29" i="18"/>
  <c r="D29" i="18" s="1"/>
  <c r="B30" i="18"/>
  <c r="D30" i="18" s="1"/>
  <c r="B31" i="18"/>
  <c r="D31" i="18" s="1"/>
  <c r="B32" i="18"/>
  <c r="D32" i="18" s="1"/>
  <c r="B33" i="18"/>
  <c r="D33" i="18" s="1"/>
  <c r="B2" i="18"/>
  <c r="D2" i="18" s="1"/>
  <c r="B3" i="25"/>
  <c r="B4" i="25"/>
  <c r="B5" i="25"/>
  <c r="B6" i="25"/>
  <c r="B7" i="25"/>
  <c r="B8" i="25"/>
  <c r="B9" i="25"/>
  <c r="B10" i="25"/>
  <c r="B11" i="25"/>
  <c r="B12" i="25"/>
  <c r="B13" i="25"/>
  <c r="B14" i="25"/>
  <c r="B15" i="25"/>
  <c r="B16" i="25"/>
  <c r="B17" i="25"/>
  <c r="B18" i="25"/>
  <c r="B19" i="25"/>
  <c r="B20" i="25"/>
  <c r="B21" i="25"/>
  <c r="B22" i="25"/>
  <c r="B23" i="25"/>
  <c r="B24" i="25"/>
  <c r="B25" i="25"/>
  <c r="B26" i="25"/>
  <c r="B27" i="25"/>
  <c r="B28" i="25"/>
  <c r="B29" i="25"/>
  <c r="B30" i="25"/>
  <c r="B31" i="25"/>
  <c r="B32" i="25"/>
  <c r="B33" i="25"/>
  <c r="B2" i="25"/>
  <c r="G568" i="7"/>
  <c r="G451" i="7"/>
  <c r="G491" i="7"/>
  <c r="G162" i="7"/>
  <c r="G545" i="7"/>
  <c r="G202" i="7"/>
  <c r="G327" i="7"/>
  <c r="I264" i="31"/>
  <c r="I125" i="31"/>
  <c r="G130" i="7"/>
  <c r="G289" i="7"/>
  <c r="G196" i="7"/>
  <c r="G389" i="7"/>
  <c r="G392" i="7"/>
  <c r="G554" i="7"/>
  <c r="G353" i="7"/>
  <c r="G37" i="7"/>
  <c r="G521" i="7"/>
  <c r="G150" i="7"/>
  <c r="G24" i="7"/>
  <c r="G522" i="7"/>
  <c r="G94" i="7"/>
  <c r="G277" i="7"/>
  <c r="G322" i="7"/>
  <c r="G272" i="7"/>
  <c r="I94" i="31"/>
  <c r="I173" i="31"/>
  <c r="I265" i="31"/>
  <c r="I36" i="31"/>
  <c r="I70" i="31"/>
  <c r="I210" i="31"/>
  <c r="I23" i="31"/>
  <c r="I35" i="31"/>
  <c r="I278" i="31"/>
  <c r="I244" i="31"/>
  <c r="I263" i="31"/>
  <c r="T30" i="25"/>
  <c r="G334" i="7"/>
  <c r="G265" i="7"/>
  <c r="G379" i="7"/>
  <c r="G309" i="7"/>
  <c r="G160" i="7"/>
  <c r="G487" i="7"/>
  <c r="G36" i="7"/>
  <c r="G97" i="7"/>
  <c r="G75" i="7"/>
  <c r="G23" i="7"/>
  <c r="D15" i="1"/>
  <c r="G484" i="7"/>
  <c r="G200" i="7"/>
  <c r="G103" i="7"/>
  <c r="G297" i="7"/>
  <c r="G157" i="7"/>
  <c r="G350" i="7"/>
  <c r="G414" i="7"/>
  <c r="G533" i="7"/>
  <c r="G328" i="7"/>
  <c r="G539" i="7"/>
  <c r="G283" i="7"/>
  <c r="G100" i="7"/>
  <c r="G483" i="7"/>
  <c r="G340" i="7"/>
  <c r="G116" i="7"/>
  <c r="G326" i="7"/>
  <c r="G158" i="7"/>
  <c r="G82" i="7"/>
  <c r="G266" i="7"/>
  <c r="G113" i="7"/>
  <c r="G159" i="7"/>
  <c r="G61" i="7"/>
  <c r="G520" i="7"/>
  <c r="G505" i="7"/>
  <c r="G33" i="7"/>
  <c r="G199" i="7"/>
  <c r="G363" i="7"/>
  <c r="G201" i="7"/>
  <c r="G519" i="7"/>
  <c r="G478" i="7"/>
  <c r="G403" i="7"/>
  <c r="G556" i="7"/>
  <c r="G342" i="7"/>
  <c r="G81" i="7"/>
  <c r="G507" i="7"/>
  <c r="G274" i="7"/>
  <c r="G314" i="7"/>
  <c r="G268" i="7"/>
  <c r="G356" i="7"/>
  <c r="G492" i="7"/>
  <c r="G552" i="7"/>
  <c r="G198" i="7"/>
  <c r="G537" i="7"/>
  <c r="G84" i="7"/>
  <c r="G42" i="7"/>
  <c r="G171" i="7"/>
  <c r="G152" i="7"/>
  <c r="G321" i="7"/>
  <c r="G390" i="7"/>
  <c r="G121" i="7"/>
  <c r="G52" i="7"/>
  <c r="G285" i="7"/>
  <c r="G48" i="7"/>
  <c r="G400" i="7"/>
  <c r="G446" i="7"/>
  <c r="G383" i="7"/>
  <c r="G98" i="7"/>
  <c r="G276" i="7"/>
  <c r="G143" i="7"/>
  <c r="G459" i="7"/>
  <c r="G167" i="7"/>
  <c r="G346" i="7"/>
  <c r="G488" i="7"/>
  <c r="G252" i="7"/>
  <c r="G251" i="7"/>
  <c r="G479" i="7"/>
  <c r="G364" i="7"/>
  <c r="G282" i="7"/>
  <c r="G44" i="7"/>
  <c r="G18" i="7"/>
  <c r="G567" i="7"/>
  <c r="G304" i="7"/>
  <c r="G307" i="7"/>
  <c r="G253" i="7"/>
  <c r="G319" i="7"/>
  <c r="G569" i="7"/>
  <c r="G72" i="7"/>
  <c r="G86" i="7"/>
  <c r="G550" i="7"/>
  <c r="G542" i="7"/>
  <c r="G558" i="7"/>
  <c r="G311" i="7"/>
  <c r="G169" i="7"/>
  <c r="G472" i="7"/>
  <c r="G310" i="7"/>
  <c r="G298" i="7"/>
  <c r="G250" i="7"/>
  <c r="G256" i="7"/>
  <c r="G292" i="7"/>
  <c r="G40" i="7"/>
  <c r="G45" i="7"/>
  <c r="G109" i="7"/>
  <c r="G316" i="7"/>
  <c r="G548" i="7"/>
  <c r="G135" i="7"/>
  <c r="G368" i="7"/>
  <c r="G254" i="7"/>
  <c r="G489" i="7"/>
  <c r="G553" i="7"/>
  <c r="G255" i="7"/>
  <c r="G96" i="7"/>
  <c r="G284" i="7"/>
  <c r="G331" i="7"/>
  <c r="G551" i="7"/>
  <c r="G448" i="7"/>
  <c r="G352" i="7"/>
  <c r="G79" i="7"/>
  <c r="G377" i="7"/>
  <c r="G132" i="7"/>
  <c r="G518" i="7"/>
  <c r="G303" i="7"/>
  <c r="G449" i="7"/>
  <c r="G378" i="7"/>
  <c r="G166" i="7"/>
  <c r="G306" i="7"/>
  <c r="G473" i="7"/>
  <c r="G493" i="7"/>
  <c r="G447" i="7"/>
  <c r="G466" i="7"/>
  <c r="G91" i="7"/>
  <c r="G136" i="7"/>
  <c r="G53" i="7"/>
  <c r="G273" i="7"/>
  <c r="G536" i="7"/>
  <c r="G418" i="7"/>
  <c r="G513" i="7"/>
  <c r="G301" i="7"/>
  <c r="G407" i="7"/>
  <c r="G312" i="7"/>
  <c r="G361" i="7"/>
  <c r="G139" i="7"/>
  <c r="G30" i="7"/>
  <c r="G423" i="7"/>
  <c r="I6" i="31"/>
  <c r="I108" i="31"/>
  <c r="I144" i="31"/>
  <c r="I134" i="31"/>
  <c r="I76" i="31"/>
  <c r="I114" i="31"/>
  <c r="I197" i="31"/>
  <c r="I258" i="31"/>
  <c r="I55" i="31"/>
  <c r="I113" i="31"/>
  <c r="I73" i="31"/>
  <c r="I90" i="31"/>
  <c r="I160" i="31"/>
  <c r="I276" i="31"/>
  <c r="I28" i="31"/>
  <c r="I277" i="31"/>
  <c r="I116" i="31"/>
  <c r="I25" i="31"/>
  <c r="I112" i="31"/>
  <c r="I199" i="31"/>
  <c r="I226" i="31"/>
  <c r="I129" i="31"/>
  <c r="I49" i="31"/>
  <c r="I206" i="31"/>
  <c r="I64" i="31"/>
  <c r="I26" i="31"/>
  <c r="I40" i="31"/>
  <c r="I4" i="31"/>
  <c r="I95" i="31"/>
  <c r="I97" i="31"/>
  <c r="I142" i="31"/>
  <c r="I133" i="31"/>
  <c r="I56" i="31"/>
  <c r="I31" i="31"/>
  <c r="I272" i="31"/>
  <c r="I146" i="31"/>
  <c r="I196" i="31"/>
  <c r="I39" i="31"/>
  <c r="I92" i="31"/>
  <c r="I119" i="31"/>
  <c r="I143" i="31"/>
  <c r="I159" i="31"/>
  <c r="I106" i="31"/>
  <c r="I150" i="31"/>
  <c r="I22" i="31"/>
  <c r="I132" i="31"/>
  <c r="I2" i="31"/>
  <c r="I78" i="31"/>
  <c r="I136" i="31"/>
  <c r="I161" i="31"/>
  <c r="I15" i="31"/>
  <c r="I58" i="31"/>
  <c r="I29" i="31"/>
  <c r="I273" i="31"/>
  <c r="I68" i="31"/>
  <c r="I51" i="31"/>
  <c r="I77" i="31"/>
  <c r="I117" i="31"/>
  <c r="I260" i="31"/>
  <c r="I257" i="31"/>
  <c r="I20" i="31"/>
  <c r="I156" i="31"/>
  <c r="I66" i="31"/>
  <c r="I82" i="31"/>
  <c r="I110" i="31"/>
  <c r="I99" i="31"/>
  <c r="I69" i="31"/>
  <c r="I75" i="31"/>
  <c r="I236" i="31"/>
  <c r="I60" i="31"/>
  <c r="I50" i="31"/>
  <c r="I135" i="31"/>
  <c r="I285" i="31"/>
  <c r="I280" i="31"/>
  <c r="I101" i="31"/>
  <c r="I266" i="31"/>
  <c r="I9" i="31"/>
  <c r="I93" i="31"/>
  <c r="I21" i="31"/>
  <c r="I259" i="31"/>
  <c r="I138" i="31"/>
  <c r="I162" i="31"/>
  <c r="I83" i="31"/>
  <c r="I269" i="31"/>
  <c r="I104" i="31"/>
  <c r="I238" i="31"/>
  <c r="I240" i="31"/>
  <c r="I115" i="31"/>
  <c r="I176" i="31"/>
  <c r="I10" i="31"/>
  <c r="I282" i="31"/>
  <c r="I98" i="31"/>
  <c r="I85" i="31"/>
  <c r="I275" i="31"/>
  <c r="I124" i="31"/>
  <c r="I54" i="31"/>
  <c r="I123" i="31"/>
  <c r="I59" i="31"/>
  <c r="I13" i="31"/>
  <c r="I155" i="31"/>
  <c r="I107" i="31"/>
  <c r="I86" i="31"/>
  <c r="I67" i="31"/>
  <c r="I218" i="31"/>
  <c r="I74" i="31"/>
  <c r="I81" i="31"/>
  <c r="I147" i="31"/>
  <c r="I256" i="31"/>
  <c r="I151" i="31"/>
  <c r="I24" i="31"/>
  <c r="I91" i="31"/>
  <c r="I17" i="31"/>
  <c r="I157" i="31"/>
  <c r="I214" i="31"/>
  <c r="I122" i="31"/>
  <c r="I7" i="31"/>
  <c r="I38" i="31"/>
  <c r="I164" i="31"/>
  <c r="I183" i="31"/>
  <c r="I19" i="31"/>
  <c r="I284" i="31"/>
  <c r="I42" i="31"/>
  <c r="I154" i="31"/>
  <c r="I102" i="31"/>
  <c r="I198" i="31"/>
  <c r="I8" i="31"/>
  <c r="I186" i="31"/>
  <c r="I120" i="31"/>
  <c r="I43" i="31"/>
  <c r="I158" i="31"/>
  <c r="I140" i="31"/>
  <c r="I187" i="31"/>
  <c r="I100" i="31"/>
  <c r="I18" i="31"/>
  <c r="I46" i="31"/>
  <c r="I109" i="31"/>
  <c r="I126" i="31"/>
  <c r="I52" i="31"/>
  <c r="I211" i="31"/>
  <c r="I16" i="31"/>
  <c r="I87" i="31"/>
  <c r="I148" i="31"/>
  <c r="I53" i="31"/>
  <c r="I192" i="31"/>
  <c r="I103" i="31"/>
  <c r="I71" i="31"/>
  <c r="I281" i="31"/>
  <c r="I27" i="31"/>
  <c r="I63" i="31"/>
  <c r="I270" i="31"/>
  <c r="I14" i="31"/>
  <c r="I105" i="31"/>
  <c r="I191" i="31"/>
  <c r="I149" i="31"/>
  <c r="I137" i="31"/>
  <c r="I153" i="31"/>
  <c r="I130" i="31"/>
  <c r="I267" i="31"/>
  <c r="I45" i="31"/>
  <c r="I279" i="31"/>
  <c r="I145" i="31"/>
  <c r="I30" i="31"/>
  <c r="I34" i="31"/>
  <c r="I141" i="31"/>
  <c r="I193" i="31"/>
  <c r="I89" i="31"/>
  <c r="I242" i="31"/>
  <c r="A243" i="29"/>
  <c r="G219" i="29"/>
  <c r="A219" i="29"/>
  <c r="G195" i="29"/>
  <c r="A195" i="29"/>
  <c r="G171" i="29"/>
  <c r="A171" i="29"/>
  <c r="G147" i="29"/>
  <c r="A147" i="29"/>
  <c r="G123" i="29"/>
  <c r="A123" i="29"/>
  <c r="G99" i="29"/>
  <c r="A99" i="29"/>
  <c r="G75" i="29"/>
  <c r="A75" i="29"/>
  <c r="G51" i="29"/>
  <c r="A51" i="29"/>
  <c r="G27" i="29"/>
  <c r="A27" i="29"/>
  <c r="D10" i="1"/>
  <c r="F4" i="1" s="1"/>
  <c r="H2" i="1"/>
  <c r="D11" i="1" s="1"/>
  <c r="C7" i="1"/>
  <c r="K12" i="7"/>
  <c r="A24" i="29"/>
  <c r="X9" i="29"/>
  <c r="X10" i="29" s="1"/>
  <c r="T23" i="25"/>
  <c r="U23" i="25" s="1"/>
  <c r="T9" i="25"/>
  <c r="U9" i="25" s="1"/>
  <c r="T16" i="25"/>
  <c r="U16" i="25" s="1"/>
  <c r="T8" i="25"/>
  <c r="U8" i="25" s="1"/>
  <c r="T6" i="25"/>
  <c r="U6" i="25" s="1"/>
  <c r="T5" i="25"/>
  <c r="U5" i="25" s="1"/>
  <c r="T11" i="25"/>
  <c r="U11" i="25" s="1"/>
  <c r="T12" i="25"/>
  <c r="U12" i="25" s="1"/>
  <c r="G296" i="7"/>
  <c r="G341" i="7"/>
  <c r="G26" i="7"/>
  <c r="G475" i="7"/>
  <c r="G153" i="7"/>
  <c r="G13" i="7"/>
  <c r="G77" i="7"/>
  <c r="G110" i="7"/>
  <c r="G99" i="7"/>
  <c r="G369" i="7"/>
  <c r="G526" i="7"/>
  <c r="G25" i="7"/>
  <c r="G508" i="7"/>
  <c r="G430" i="7"/>
  <c r="G163" i="7"/>
  <c r="G68" i="7"/>
  <c r="T26" i="25"/>
  <c r="T28" i="25"/>
  <c r="T27" i="25"/>
  <c r="T33" i="25"/>
  <c r="T22" i="25"/>
  <c r="U22" i="25" s="1"/>
  <c r="T24" i="25"/>
  <c r="T3" i="25"/>
  <c r="U3" i="25" s="1"/>
  <c r="T2" i="25"/>
  <c r="U2" i="25" s="1"/>
  <c r="T4" i="25"/>
  <c r="U4" i="25" s="1"/>
  <c r="T21" i="25"/>
  <c r="U21" i="25" s="1"/>
  <c r="T15" i="25"/>
  <c r="U15" i="25" s="1"/>
  <c r="T29" i="25"/>
  <c r="T32" i="25"/>
  <c r="T14" i="25"/>
  <c r="U14" i="25" s="1"/>
  <c r="T19" i="25"/>
  <c r="U19" i="25" s="1"/>
  <c r="T18" i="25"/>
  <c r="U18" i="25" s="1"/>
  <c r="T20" i="25"/>
  <c r="U20" i="25" s="1"/>
  <c r="T13" i="25"/>
  <c r="U13" i="25" s="1"/>
  <c r="T31" i="25"/>
  <c r="T25" i="25"/>
  <c r="T17" i="25"/>
  <c r="U17" i="25" s="1"/>
  <c r="T7" i="25"/>
  <c r="U7" i="25" s="1"/>
  <c r="T10" i="25"/>
  <c r="U10" i="25" s="1"/>
  <c r="O458" i="7"/>
  <c r="O384" i="7"/>
  <c r="D426" i="7"/>
  <c r="D384" i="7"/>
  <c r="O393" i="7"/>
  <c r="O376" i="7"/>
  <c r="D374" i="7"/>
  <c r="D376" i="7"/>
  <c r="O436" i="7"/>
  <c r="O372" i="7"/>
  <c r="D476" i="7"/>
  <c r="D460" i="7"/>
  <c r="O455" i="7"/>
  <c r="O452" i="7"/>
  <c r="D455" i="7"/>
  <c r="D452" i="7"/>
  <c r="D67" i="30"/>
  <c r="O456" i="7"/>
  <c r="D382" i="7"/>
  <c r="D302" i="45"/>
  <c r="D355" i="7"/>
  <c r="O424" i="7"/>
  <c r="D411" i="7"/>
  <c r="O426" i="7"/>
  <c r="O348" i="7"/>
  <c r="D406" i="7"/>
  <c r="D348" i="7"/>
  <c r="O374" i="7"/>
  <c r="O339" i="7"/>
  <c r="D345" i="7"/>
  <c r="D339" i="7"/>
  <c r="O476" i="7"/>
  <c r="O460" i="7"/>
  <c r="D425" i="7"/>
  <c r="D422" i="7"/>
  <c r="O419" i="7"/>
  <c r="O416" i="7"/>
  <c r="D419" i="7"/>
  <c r="D416" i="7"/>
  <c r="O39" i="7"/>
  <c r="D299" i="45"/>
  <c r="O440" i="7"/>
  <c r="O437" i="7"/>
  <c r="D440" i="7"/>
  <c r="D437" i="7"/>
  <c r="O435" i="7"/>
  <c r="O428" i="7"/>
  <c r="D435" i="7"/>
  <c r="D428" i="7"/>
  <c r="O425" i="7"/>
  <c r="O422" i="7"/>
  <c r="D397" i="7"/>
  <c r="D395" i="7"/>
  <c r="O391" i="7"/>
  <c r="O387" i="7"/>
  <c r="D391" i="7"/>
  <c r="D387" i="7"/>
  <c r="D209" i="30"/>
  <c r="O532" i="7"/>
  <c r="O385" i="7"/>
  <c r="D385" i="7"/>
  <c r="O380" i="7"/>
  <c r="O375" i="7"/>
  <c r="D380" i="7"/>
  <c r="D375" i="7"/>
  <c r="O371" i="7"/>
  <c r="D462" i="7"/>
  <c r="O453" i="7"/>
  <c r="D453" i="7"/>
  <c r="D301" i="45"/>
  <c r="O355" i="7"/>
  <c r="D347" i="7"/>
  <c r="O337" i="7"/>
  <c r="D337" i="7"/>
  <c r="D386" i="7"/>
  <c r="O370" i="7"/>
  <c r="O442" i="7"/>
  <c r="O431" i="7"/>
  <c r="D442" i="7"/>
  <c r="O421" i="7"/>
  <c r="D438" i="7"/>
  <c r="O432" i="7"/>
  <c r="D432" i="7"/>
  <c r="D436" i="7"/>
  <c r="O399" i="7"/>
  <c r="O388" i="7"/>
  <c r="D388" i="7"/>
  <c r="O366" i="7"/>
  <c r="D399" i="7"/>
  <c r="O411" i="7"/>
  <c r="O413" i="7"/>
  <c r="O402" i="7"/>
  <c r="D393" i="7"/>
  <c r="O359" i="7"/>
  <c r="D413" i="7"/>
  <c r="O381" i="7"/>
  <c r="D359" i="7"/>
  <c r="D362" i="7"/>
  <c r="O16" i="7"/>
  <c r="O412" i="7"/>
  <c r="O408" i="7"/>
  <c r="D412" i="7"/>
  <c r="D408" i="7"/>
  <c r="O404" i="7"/>
  <c r="O401" i="7"/>
  <c r="D404" i="7"/>
  <c r="D401" i="7"/>
  <c r="O397" i="7"/>
  <c r="O395" i="7"/>
  <c r="D373" i="7"/>
  <c r="D371" i="7"/>
  <c r="O365" i="7"/>
  <c r="O360" i="7"/>
  <c r="D365" i="7"/>
  <c r="D360" i="7"/>
  <c r="D298" i="45"/>
  <c r="D398" i="30"/>
  <c r="O382" i="7"/>
  <c r="O373" i="7"/>
  <c r="D370" i="7"/>
  <c r="O406" i="7"/>
  <c r="D297" i="45"/>
  <c r="O347" i="7"/>
  <c r="O343" i="7"/>
  <c r="D343" i="7"/>
  <c r="O462" i="7"/>
  <c r="D424" i="7"/>
  <c r="O417" i="7"/>
  <c r="D417" i="7"/>
  <c r="O102" i="7"/>
  <c r="O438" i="7"/>
  <c r="O386" i="7"/>
  <c r="O345" i="7"/>
  <c r="D421" i="7"/>
  <c r="D396" i="7"/>
  <c r="D381" i="7"/>
  <c r="D300" i="45"/>
  <c r="D458" i="7"/>
  <c r="D402" i="7"/>
  <c r="O396" i="7"/>
  <c r="D372" i="7"/>
  <c r="O362" i="7"/>
  <c r="D27" i="30"/>
  <c r="C337" i="7" l="1"/>
  <c r="C347" i="7"/>
  <c r="C360" i="7"/>
  <c r="C371" i="7"/>
  <c r="C375" i="7"/>
  <c r="C382" i="7"/>
  <c r="C387" i="7"/>
  <c r="C395" i="7"/>
  <c r="C401" i="7"/>
  <c r="C408" i="7"/>
  <c r="C416" i="7"/>
  <c r="C422" i="7"/>
  <c r="C428" i="7"/>
  <c r="C437" i="7"/>
  <c r="C452" i="7"/>
  <c r="C460" i="7"/>
  <c r="C339" i="7"/>
  <c r="C348" i="7"/>
  <c r="C362" i="7"/>
  <c r="C372" i="7"/>
  <c r="C376" i="7"/>
  <c r="C384" i="7"/>
  <c r="C388" i="7"/>
  <c r="C396" i="7"/>
  <c r="C402" i="7"/>
  <c r="C411" i="7"/>
  <c r="C417" i="7"/>
  <c r="C424" i="7"/>
  <c r="C432" i="7"/>
  <c r="C438" i="7"/>
  <c r="C453" i="7"/>
  <c r="C462" i="7"/>
  <c r="C343" i="7"/>
  <c r="C355" i="7"/>
  <c r="C365" i="7"/>
  <c r="C373" i="7"/>
  <c r="C380" i="7"/>
  <c r="C385" i="7"/>
  <c r="C391" i="7"/>
  <c r="C397" i="7"/>
  <c r="C404" i="7"/>
  <c r="C412" i="7"/>
  <c r="C419" i="7"/>
  <c r="C425" i="7"/>
  <c r="C435" i="7"/>
  <c r="C440" i="7"/>
  <c r="C455" i="7"/>
  <c r="C476" i="7"/>
  <c r="C345" i="7"/>
  <c r="C406" i="7"/>
  <c r="C359" i="7"/>
  <c r="C413" i="7"/>
  <c r="C374" i="7"/>
  <c r="C426" i="7"/>
  <c r="C381" i="7"/>
  <c r="C436" i="7"/>
  <c r="C393" i="7"/>
  <c r="C458" i="7"/>
  <c r="C399" i="7"/>
  <c r="C386" i="7"/>
  <c r="C421" i="7"/>
  <c r="C442" i="7"/>
  <c r="C370" i="7"/>
  <c r="J15" i="29"/>
  <c r="J9" i="29"/>
  <c r="J21" i="29"/>
  <c r="J3" i="29"/>
  <c r="J6" i="29"/>
  <c r="J4" i="29"/>
  <c r="J18" i="29"/>
  <c r="J17" i="29"/>
  <c r="J7" i="29"/>
  <c r="J5" i="29"/>
  <c r="J16" i="29"/>
  <c r="J8" i="29"/>
  <c r="J20" i="29"/>
  <c r="J12" i="29"/>
  <c r="J19" i="29"/>
  <c r="J11" i="29"/>
  <c r="J22" i="29"/>
  <c r="J10" i="29"/>
  <c r="J13" i="29"/>
  <c r="J14" i="29"/>
  <c r="D3" i="4"/>
  <c r="L8" i="15" s="1"/>
  <c r="D3" i="3"/>
  <c r="AA3" i="18"/>
  <c r="AA4" i="18"/>
  <c r="AA5" i="18"/>
  <c r="AA6" i="18"/>
  <c r="AA7" i="18"/>
  <c r="AA8" i="18"/>
  <c r="AA9" i="18"/>
  <c r="AA10" i="18"/>
  <c r="AA11" i="18"/>
  <c r="AA12" i="18"/>
  <c r="AA13" i="18"/>
  <c r="AA14" i="18"/>
  <c r="AA15" i="18"/>
  <c r="AA16" i="18"/>
  <c r="AA17" i="18"/>
  <c r="AA18" i="18"/>
  <c r="AA19" i="18"/>
  <c r="AA20" i="18"/>
  <c r="AA21" i="18"/>
  <c r="AA22" i="18"/>
  <c r="AA23" i="18"/>
  <c r="AA24" i="18"/>
  <c r="AA25" i="18"/>
  <c r="AA26" i="18"/>
  <c r="AA27" i="18"/>
  <c r="AA28" i="18"/>
  <c r="AA29" i="18"/>
  <c r="AA30" i="18"/>
  <c r="AA31" i="18"/>
  <c r="AA32" i="18"/>
  <c r="AA33" i="18"/>
  <c r="AA2" i="18"/>
  <c r="D5" i="2"/>
  <c r="A2"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D2" i="25"/>
  <c r="D28" i="25"/>
  <c r="D20" i="25"/>
  <c r="D12" i="25"/>
  <c r="D4" i="25"/>
  <c r="D27" i="25"/>
  <c r="D19" i="25"/>
  <c r="D11" i="25"/>
  <c r="D3" i="25"/>
  <c r="D26" i="25"/>
  <c r="D33" i="25"/>
  <c r="D25" i="25"/>
  <c r="D17" i="25"/>
  <c r="D9" i="25"/>
  <c r="D10" i="25"/>
  <c r="D32" i="25"/>
  <c r="D24" i="25"/>
  <c r="D16" i="25"/>
  <c r="D8" i="25"/>
  <c r="D18" i="25"/>
  <c r="D31" i="25"/>
  <c r="D23" i="25"/>
  <c r="D15" i="25"/>
  <c r="D7" i="25"/>
  <c r="D30" i="25"/>
  <c r="D22" i="25"/>
  <c r="D14" i="25"/>
  <c r="D6" i="25"/>
  <c r="D29" i="25"/>
  <c r="D21" i="25"/>
  <c r="D13" i="25"/>
  <c r="D5" i="25"/>
  <c r="P52" i="2"/>
  <c r="P71" i="2"/>
  <c r="P54" i="2"/>
  <c r="P59" i="2"/>
  <c r="P55" i="2"/>
  <c r="P58" i="2"/>
  <c r="P75" i="2"/>
  <c r="P49" i="2"/>
  <c r="P50" i="2"/>
  <c r="P74" i="2"/>
  <c r="P56" i="2"/>
  <c r="P73" i="2"/>
  <c r="P61" i="2"/>
  <c r="P69" i="2"/>
  <c r="P66" i="2"/>
  <c r="P72" i="2"/>
  <c r="P57" i="2"/>
  <c r="P63" i="2"/>
  <c r="P68" i="2"/>
  <c r="P67" i="2"/>
  <c r="P70" i="2"/>
  <c r="P65" i="2"/>
  <c r="P62" i="2"/>
  <c r="P64" i="2"/>
  <c r="P60" i="2"/>
  <c r="P53" i="2"/>
  <c r="P46" i="2"/>
  <c r="P45" i="2"/>
  <c r="P47" i="2"/>
  <c r="P42" i="2"/>
  <c r="P41" i="2"/>
  <c r="P43" i="2"/>
  <c r="P44" i="2"/>
  <c r="P51" i="2"/>
  <c r="P40" i="2"/>
  <c r="P48" i="2"/>
  <c r="D246" i="31"/>
  <c r="O482" i="7"/>
  <c r="O170" i="7"/>
  <c r="D329" i="7"/>
  <c r="O358" i="7"/>
  <c r="D202" i="31"/>
  <c r="O562" i="7"/>
  <c r="D205" i="31"/>
  <c r="D469" i="7"/>
  <c r="D299" i="31"/>
  <c r="D487" i="32"/>
  <c r="D415" i="7"/>
  <c r="O477" i="7"/>
  <c r="O87" i="7"/>
  <c r="D248" i="32"/>
  <c r="D304" i="31"/>
  <c r="O315" i="7"/>
  <c r="D471" i="32"/>
  <c r="D323" i="31"/>
  <c r="O108" i="7"/>
  <c r="D497" i="32"/>
  <c r="O58" i="7"/>
  <c r="D230" i="31"/>
  <c r="O547" i="7"/>
  <c r="D178" i="31"/>
  <c r="D325" i="31"/>
  <c r="D163" i="31"/>
  <c r="D244" i="32"/>
  <c r="D322" i="31"/>
  <c r="D299" i="7"/>
  <c r="O333" i="7"/>
  <c r="D221" i="31"/>
  <c r="D287" i="31"/>
  <c r="O490" i="7"/>
  <c r="D398" i="7"/>
  <c r="D279" i="7"/>
  <c r="D293" i="7"/>
  <c r="O63" i="7"/>
  <c r="D459" i="32"/>
  <c r="D362" i="32"/>
  <c r="O534" i="7"/>
  <c r="D235" i="31"/>
  <c r="D308" i="31"/>
  <c r="D511" i="7"/>
  <c r="D229" i="31"/>
  <c r="D182" i="32"/>
  <c r="D181" i="31"/>
  <c r="O394" i="7"/>
  <c r="D305" i="31"/>
  <c r="D267" i="7"/>
  <c r="D248" i="31"/>
  <c r="O197" i="7"/>
  <c r="O471" i="7"/>
  <c r="D471" i="7"/>
  <c r="D472" i="32"/>
  <c r="D112" i="7"/>
  <c r="D289" i="31"/>
  <c r="O427" i="7"/>
  <c r="D433" i="32"/>
  <c r="D429" i="30"/>
  <c r="O320" i="7"/>
  <c r="O290" i="7"/>
  <c r="O415" i="7"/>
  <c r="D64" i="7"/>
  <c r="D182" i="31"/>
  <c r="O293" i="7"/>
  <c r="D227" i="31"/>
  <c r="D541" i="7"/>
  <c r="O469" i="7"/>
  <c r="D432" i="32"/>
  <c r="D252" i="31"/>
  <c r="D327" i="32"/>
  <c r="D177" i="32"/>
  <c r="D482" i="7"/>
  <c r="O429" i="7"/>
  <c r="D321" i="31"/>
  <c r="D70" i="32"/>
  <c r="O454" i="7"/>
  <c r="D165" i="31"/>
  <c r="O35" i="7"/>
  <c r="D562" i="7"/>
  <c r="D189" i="31"/>
  <c r="D493" i="32"/>
  <c r="O318" i="7"/>
  <c r="O444" i="7"/>
  <c r="D83" i="45"/>
  <c r="O133" i="7"/>
  <c r="D216" i="31"/>
  <c r="D508" i="32"/>
  <c r="D353" i="32"/>
  <c r="O524" i="7"/>
  <c r="D300" i="31"/>
  <c r="D170" i="31"/>
  <c r="O249" i="7"/>
  <c r="D233" i="31"/>
  <c r="O246" i="7"/>
  <c r="D286" i="7"/>
  <c r="O441" i="7"/>
  <c r="D494" i="7"/>
  <c r="D361" i="32"/>
  <c r="D89" i="7"/>
  <c r="D59" i="32"/>
  <c r="O398" i="7"/>
  <c r="O279" i="7"/>
  <c r="O529" i="7"/>
  <c r="D486" i="32"/>
  <c r="D303" i="31"/>
  <c r="D250" i="31"/>
  <c r="D347" i="32"/>
  <c r="D319" i="32"/>
  <c r="D183" i="32"/>
  <c r="D410" i="7"/>
  <c r="O498" i="7"/>
  <c r="D517" i="7"/>
  <c r="D129" i="32"/>
  <c r="O464" i="7"/>
  <c r="O540" i="7"/>
  <c r="D184" i="31"/>
  <c r="O286" i="7"/>
  <c r="O527" i="7"/>
  <c r="D317" i="31"/>
  <c r="D174" i="31"/>
  <c r="D292" i="31"/>
  <c r="D213" i="31"/>
  <c r="D68" i="32"/>
  <c r="O543" i="7"/>
  <c r="O445" i="7"/>
  <c r="D228" i="31"/>
  <c r="D66" i="7"/>
  <c r="D327" i="31"/>
  <c r="D454" i="7"/>
  <c r="D140" i="32"/>
  <c r="O263" i="7"/>
  <c r="D494" i="32"/>
  <c r="D357" i="32"/>
  <c r="O329" i="7"/>
  <c r="O495" i="7"/>
  <c r="D444" i="7"/>
  <c r="O308" i="7"/>
  <c r="D302" i="31"/>
  <c r="D324" i="7"/>
  <c r="O43" i="7"/>
  <c r="D293" i="31"/>
  <c r="D177" i="31"/>
  <c r="D540" i="7"/>
  <c r="O90" i="7"/>
  <c r="O128" i="7"/>
  <c r="D499" i="7"/>
  <c r="D307" i="31"/>
  <c r="D301" i="31"/>
  <c r="D264" i="7"/>
  <c r="D366" i="32"/>
  <c r="O92" i="7"/>
  <c r="O64" i="7"/>
  <c r="O503" i="7"/>
  <c r="D246" i="32"/>
  <c r="O523" i="7"/>
  <c r="O264" i="7"/>
  <c r="O511" i="7"/>
  <c r="O549" i="7"/>
  <c r="O461" i="7"/>
  <c r="D188" i="31"/>
  <c r="D470" i="7"/>
  <c r="O269" i="7"/>
  <c r="O267" i="7"/>
  <c r="D531" i="7"/>
  <c r="O555" i="7"/>
  <c r="O560" i="7"/>
  <c r="D464" i="32"/>
  <c r="D312" i="31"/>
  <c r="D190" i="31"/>
  <c r="D351" i="7"/>
  <c r="D330" i="7"/>
  <c r="D35" i="7"/>
  <c r="O278" i="7"/>
  <c r="D555" i="7"/>
  <c r="O499" i="7"/>
  <c r="O66" i="7"/>
  <c r="O325" i="7"/>
  <c r="D62" i="32"/>
  <c r="D320" i="31"/>
  <c r="D254" i="31"/>
  <c r="D344" i="32"/>
  <c r="O494" i="7"/>
  <c r="O89" i="7"/>
  <c r="D291" i="31"/>
  <c r="O357" i="7"/>
  <c r="D298" i="31"/>
  <c r="O531" i="7"/>
  <c r="D314" i="31"/>
  <c r="O112" i="7"/>
  <c r="D429" i="32"/>
  <c r="D171" i="31"/>
  <c r="D197" i="7"/>
  <c r="D185" i="31"/>
  <c r="D288" i="31"/>
  <c r="D302" i="32"/>
  <c r="D434" i="7"/>
  <c r="D237" i="31"/>
  <c r="D297" i="31"/>
  <c r="D151" i="7"/>
  <c r="O142" i="7"/>
  <c r="D219" i="31"/>
  <c r="D509" i="7"/>
  <c r="D318" i="31"/>
  <c r="D431" i="32"/>
  <c r="D357" i="7"/>
  <c r="D170" i="32"/>
  <c r="D498" i="7"/>
  <c r="D310" i="31"/>
  <c r="O93" i="7"/>
  <c r="D220" i="31"/>
  <c r="D195" i="31"/>
  <c r="O247" i="7"/>
  <c r="D203" i="7"/>
  <c r="D85" i="7"/>
  <c r="D435" i="32"/>
  <c r="D92" i="7"/>
  <c r="D269" i="7"/>
  <c r="O420" i="7"/>
  <c r="D175" i="31"/>
  <c r="D31" i="7"/>
  <c r="D394" i="7"/>
  <c r="O349" i="7"/>
  <c r="D477" i="32"/>
  <c r="D202" i="32"/>
  <c r="D203" i="31"/>
  <c r="O434" i="7"/>
  <c r="D204" i="31"/>
  <c r="D133" i="7"/>
  <c r="D245" i="31"/>
  <c r="O470" i="7"/>
  <c r="D209" i="31"/>
  <c r="O474" i="7"/>
  <c r="O509" i="7"/>
  <c r="O367" i="7"/>
  <c r="D495" i="32"/>
  <c r="D114" i="7"/>
  <c r="D239" i="31"/>
  <c r="D304" i="45"/>
  <c r="O74" i="7"/>
  <c r="O324" i="7"/>
  <c r="D445" i="7"/>
  <c r="D503" i="7"/>
  <c r="D311" i="31"/>
  <c r="D56" i="32"/>
  <c r="D523" i="7"/>
  <c r="D212" i="31"/>
  <c r="D222" i="31"/>
  <c r="D74" i="7"/>
  <c r="D498" i="32"/>
  <c r="D58" i="7"/>
  <c r="D300" i="7"/>
  <c r="O517" i="7"/>
  <c r="O516" i="7"/>
  <c r="D462" i="32"/>
  <c r="D385" i="32"/>
  <c r="D560" i="7"/>
  <c r="D372" i="32"/>
  <c r="O502" i="7"/>
  <c r="D474" i="7"/>
  <c r="D131" i="7"/>
  <c r="O557" i="7"/>
  <c r="D225" i="31"/>
  <c r="O151" i="7"/>
  <c r="O131" i="7"/>
  <c r="D544" i="7"/>
  <c r="D231" i="31"/>
  <c r="O31" i="7"/>
  <c r="D326" i="31"/>
  <c r="D246" i="7"/>
  <c r="D294" i="31"/>
  <c r="O330" i="7"/>
  <c r="D224" i="31"/>
  <c r="D502" i="7"/>
  <c r="O257" i="7"/>
  <c r="D313" i="31"/>
  <c r="D315" i="31"/>
  <c r="O561" i="7"/>
  <c r="D427" i="7"/>
  <c r="O155" i="7"/>
  <c r="D295" i="31"/>
  <c r="D168" i="31"/>
  <c r="D167" i="31"/>
  <c r="D63" i="7"/>
  <c r="D98" i="32"/>
  <c r="O203" i="7"/>
  <c r="D324" i="31"/>
  <c r="O85" i="7"/>
  <c r="D529" i="7"/>
  <c r="D243" i="32"/>
  <c r="D234" i="31"/>
  <c r="O351" i="7"/>
  <c r="O114" i="7"/>
  <c r="O299" i="7"/>
  <c r="O338" i="7"/>
  <c r="D271" i="7"/>
  <c r="O525" i="7"/>
  <c r="D290" i="7"/>
  <c r="D263" i="7"/>
  <c r="O80" i="7"/>
  <c r="D41" i="32"/>
  <c r="D296" i="31"/>
  <c r="D561" i="7"/>
  <c r="D290" i="31"/>
  <c r="D215" i="31"/>
  <c r="D217" i="31"/>
  <c r="O544" i="7"/>
  <c r="O123" i="7"/>
  <c r="D223" i="31"/>
  <c r="D306" i="31"/>
  <c r="O300" i="7"/>
  <c r="D543" i="7"/>
  <c r="O443" i="7"/>
  <c r="D420" i="7"/>
  <c r="D358" i="7"/>
  <c r="D194" i="31"/>
  <c r="D286" i="31"/>
  <c r="D437" i="32"/>
  <c r="D253" i="31"/>
  <c r="D441" i="7"/>
  <c r="D316" i="31"/>
  <c r="D478" i="32"/>
  <c r="D319" i="31"/>
  <c r="D87" i="7"/>
  <c r="O541" i="7"/>
  <c r="D303" i="45"/>
  <c r="O271" i="7"/>
  <c r="D232" i="31"/>
  <c r="D534" i="7"/>
  <c r="D168" i="32"/>
  <c r="D547" i="7"/>
  <c r="O305" i="7"/>
  <c r="D51" i="7"/>
  <c r="D315" i="7"/>
  <c r="D538" i="7"/>
  <c r="D309" i="31"/>
  <c r="D96" i="32"/>
  <c r="D318" i="7"/>
  <c r="D172" i="31"/>
  <c r="D243" i="31"/>
  <c r="D48" i="32"/>
  <c r="D128" i="7"/>
  <c r="D207" i="31"/>
  <c r="C89" i="7" l="1"/>
  <c r="C63" i="7"/>
  <c r="C318" i="7"/>
  <c r="C357" i="7"/>
  <c r="C358" i="7"/>
  <c r="C398" i="7"/>
  <c r="C394" i="7"/>
  <c r="C503" i="7"/>
  <c r="C271" i="7"/>
  <c r="C330" i="7"/>
  <c r="C151" i="7"/>
  <c r="C351" i="7"/>
  <c r="C299" i="7"/>
  <c r="C197" i="7"/>
  <c r="C246" i="7"/>
  <c r="C444" i="7"/>
  <c r="C427" i="7"/>
  <c r="C502" i="7"/>
  <c r="C324" i="7"/>
  <c r="C471" i="7"/>
  <c r="C290" i="7"/>
  <c r="C561" i="7"/>
  <c r="C509" i="7"/>
  <c r="C538" i="7"/>
  <c r="C300" i="7"/>
  <c r="C35" i="7"/>
  <c r="C470" i="7"/>
  <c r="C454" i="7"/>
  <c r="C555" i="7"/>
  <c r="C410" i="7"/>
  <c r="C58" i="7"/>
  <c r="C415" i="7"/>
  <c r="C494" i="7"/>
  <c r="C267" i="7"/>
  <c r="C133" i="7"/>
  <c r="C562" i="7"/>
  <c r="C203" i="7"/>
  <c r="C279" i="7"/>
  <c r="C263" i="7"/>
  <c r="C560" i="7"/>
  <c r="C66" i="7"/>
  <c r="C420" i="7"/>
  <c r="C531" i="7"/>
  <c r="C543" i="7"/>
  <c r="C499" i="7"/>
  <c r="C74" i="7"/>
  <c r="C517" i="7"/>
  <c r="C523" i="7"/>
  <c r="C85" i="7"/>
  <c r="C474" i="7"/>
  <c r="C87" i="7"/>
  <c r="C540" i="7"/>
  <c r="C329" i="7"/>
  <c r="C469" i="7"/>
  <c r="C114" i="7"/>
  <c r="C498" i="7"/>
  <c r="C315" i="7"/>
  <c r="C529" i="7"/>
  <c r="C31" i="7"/>
  <c r="C547" i="7"/>
  <c r="C64" i="7"/>
  <c r="C264" i="7"/>
  <c r="C128" i="7"/>
  <c r="C441" i="7"/>
  <c r="C541" i="7"/>
  <c r="C269" i="7"/>
  <c r="C544" i="7"/>
  <c r="C286" i="7"/>
  <c r="C534" i="7"/>
  <c r="C482" i="7"/>
  <c r="C112" i="7"/>
  <c r="C131" i="7"/>
  <c r="C511" i="7"/>
  <c r="C434" i="7"/>
  <c r="C293" i="7"/>
  <c r="C445" i="7"/>
  <c r="C92" i="7"/>
  <c r="L10" i="15"/>
  <c r="L6" i="15"/>
  <c r="L5" i="15"/>
  <c r="L4" i="15"/>
  <c r="D426" i="32"/>
  <c r="D300" i="32"/>
  <c r="O410" i="7"/>
  <c r="D356" i="32"/>
  <c r="D476" i="32"/>
  <c r="D427" i="32"/>
  <c r="O294" i="7"/>
  <c r="D496" i="32"/>
  <c r="D315" i="32"/>
  <c r="D374" i="32"/>
  <c r="D343" i="32"/>
  <c r="D490" i="32"/>
  <c r="D290" i="32"/>
  <c r="D323" i="32"/>
  <c r="O538" i="7"/>
  <c r="D482" i="32"/>
  <c r="D464" i="7"/>
  <c r="D354" i="32"/>
  <c r="C464" i="7" l="1"/>
  <c r="C51" i="7"/>
  <c r="O450" i="7"/>
  <c r="O481" i="7"/>
  <c r="U25" i="25" l="1"/>
  <c r="U24" i="25"/>
  <c r="U28" i="25"/>
  <c r="U32" i="25"/>
  <c r="U26" i="25"/>
  <c r="U29" i="25"/>
  <c r="U33" i="25"/>
  <c r="U31" i="25"/>
  <c r="U27" i="25"/>
  <c r="U30" i="25"/>
  <c r="U39" i="28"/>
  <c r="L10" i="28"/>
  <c r="P120" i="5"/>
  <c r="U31" i="28"/>
  <c r="T52" i="28"/>
  <c r="U35" i="28"/>
  <c r="T8" i="28"/>
  <c r="B7" i="28"/>
  <c r="P56" i="3"/>
  <c r="P98" i="3"/>
  <c r="P27" i="3"/>
  <c r="C49" i="28"/>
  <c r="U46" i="28"/>
  <c r="U21" i="28"/>
  <c r="U32" i="28"/>
  <c r="C44" i="28"/>
  <c r="T41" i="28"/>
  <c r="A6" i="7"/>
  <c r="T15" i="28"/>
  <c r="T58" i="28"/>
  <c r="P17" i="3"/>
  <c r="P76" i="3"/>
  <c r="P100" i="3"/>
  <c r="P103" i="3"/>
  <c r="P42" i="3"/>
  <c r="P78" i="3"/>
  <c r="P95" i="5"/>
  <c r="T31" i="28"/>
  <c r="T54" i="28"/>
  <c r="P51" i="3"/>
  <c r="P62" i="3"/>
  <c r="P8" i="3"/>
  <c r="P38" i="3"/>
  <c r="P72" i="3"/>
  <c r="C5" i="28"/>
  <c r="P13" i="2"/>
  <c r="P14" i="2"/>
  <c r="P19" i="2"/>
  <c r="P21" i="2"/>
  <c r="P44" i="3"/>
  <c r="P35" i="3"/>
  <c r="P43" i="3"/>
  <c r="P50" i="3"/>
  <c r="P58" i="3"/>
  <c r="P80" i="3"/>
  <c r="P88" i="3"/>
  <c r="P99" i="3"/>
  <c r="P113" i="3"/>
  <c r="P6" i="3"/>
  <c r="P13" i="3"/>
  <c r="P18" i="3"/>
  <c r="P24" i="3"/>
  <c r="P33" i="3"/>
  <c r="P49" i="3"/>
  <c r="P66" i="3"/>
  <c r="P71" i="3"/>
  <c r="P97" i="3"/>
  <c r="P105" i="3"/>
  <c r="P111" i="3"/>
  <c r="P114" i="5"/>
  <c r="P9" i="3"/>
  <c r="P26" i="3"/>
  <c r="P54" i="3"/>
  <c r="P55" i="3"/>
  <c r="P65" i="3"/>
  <c r="P96" i="3"/>
  <c r="P29" i="3"/>
  <c r="P48" i="3"/>
  <c r="P108" i="3"/>
  <c r="P43" i="5"/>
  <c r="D19" i="1"/>
  <c r="P74" i="5"/>
  <c r="P35" i="2"/>
  <c r="F32" i="25"/>
  <c r="F28" i="25"/>
  <c r="F24" i="25"/>
  <c r="F20" i="25"/>
  <c r="F16" i="25"/>
  <c r="F12" i="25"/>
  <c r="F8" i="25"/>
  <c r="F4" i="25"/>
  <c r="C37" i="28"/>
  <c r="T51" i="28"/>
  <c r="F31" i="25"/>
  <c r="F23" i="25"/>
  <c r="F19" i="25"/>
  <c r="F15" i="25"/>
  <c r="F11" i="25"/>
  <c r="F7" i="25"/>
  <c r="F3" i="25"/>
  <c r="P39" i="3"/>
  <c r="P73" i="3"/>
  <c r="P82" i="3"/>
  <c r="P86" i="3"/>
  <c r="P3" i="3"/>
  <c r="P15" i="3"/>
  <c r="P23" i="3"/>
  <c r="P30" i="3"/>
  <c r="P63" i="3"/>
  <c r="P68" i="3"/>
  <c r="P106" i="3"/>
  <c r="P110" i="3"/>
  <c r="P134" i="5"/>
  <c r="B61" i="28"/>
  <c r="F2" i="25"/>
  <c r="F30" i="25"/>
  <c r="F26" i="25"/>
  <c r="F22" i="25"/>
  <c r="F18" i="25"/>
  <c r="F14" i="25"/>
  <c r="F10" i="25"/>
  <c r="F6" i="25"/>
  <c r="F33" i="25"/>
  <c r="F29" i="25"/>
  <c r="F25" i="25"/>
  <c r="F21" i="25"/>
  <c r="F17" i="25"/>
  <c r="F13" i="25"/>
  <c r="F9" i="25"/>
  <c r="F5" i="25"/>
  <c r="B51" i="28"/>
  <c r="B62" i="28"/>
  <c r="C60" i="28"/>
  <c r="B45" i="28"/>
  <c r="B58" i="28"/>
  <c r="B41" i="28"/>
  <c r="C46" i="28"/>
  <c r="B38" i="28"/>
  <c r="B46" i="28"/>
  <c r="U55" i="28"/>
  <c r="U25" i="28"/>
  <c r="U41" i="28"/>
  <c r="U19" i="28"/>
  <c r="U11" i="28"/>
  <c r="U60" i="28"/>
  <c r="U52" i="28"/>
  <c r="U40" i="28"/>
  <c r="U59" i="28"/>
  <c r="U50" i="28"/>
  <c r="U54" i="28"/>
  <c r="U56" i="28"/>
  <c r="U28" i="28"/>
  <c r="U17" i="28"/>
  <c r="T13" i="28"/>
  <c r="T23" i="28"/>
  <c r="T36" i="28"/>
  <c r="T43" i="28"/>
  <c r="T42" i="28"/>
  <c r="U8" i="28"/>
  <c r="T57" i="28"/>
  <c r="T63" i="28"/>
  <c r="T64" i="28"/>
  <c r="T49" i="28"/>
  <c r="T48" i="28"/>
  <c r="T45" i="28"/>
  <c r="T40" i="28"/>
  <c r="T39" i="28"/>
  <c r="T38" i="28"/>
  <c r="T33" i="28"/>
  <c r="T28" i="28"/>
  <c r="T24" i="28"/>
  <c r="T20" i="28"/>
  <c r="T17" i="28"/>
  <c r="T12" i="28"/>
  <c r="T7" i="28"/>
  <c r="U30" i="28"/>
  <c r="U16" i="28"/>
  <c r="T56" i="28"/>
  <c r="T59" i="28"/>
  <c r="T55" i="28"/>
  <c r="T50" i="28"/>
  <c r="T44" i="28"/>
  <c r="T37" i="28"/>
  <c r="T35" i="28"/>
  <c r="T32" i="28"/>
  <c r="T29" i="28"/>
  <c r="T21" i="28"/>
  <c r="T16" i="28"/>
  <c r="T10" i="28"/>
  <c r="T6" i="28"/>
  <c r="U6" i="28"/>
  <c r="T61" i="28"/>
  <c r="T60" i="28"/>
  <c r="T47" i="28"/>
  <c r="T34" i="28"/>
  <c r="T30" i="28"/>
  <c r="T25" i="28"/>
  <c r="T18" i="28"/>
  <c r="T14" i="28"/>
  <c r="T9" i="28"/>
  <c r="U9" i="28"/>
  <c r="U13" i="28"/>
  <c r="U44" i="28"/>
  <c r="U48" i="28"/>
  <c r="U33" i="28"/>
  <c r="U64" i="28"/>
  <c r="U24" i="28"/>
  <c r="U7" i="28"/>
  <c r="U20" i="28"/>
  <c r="U23" i="28"/>
  <c r="U45" i="28"/>
  <c r="U42" i="28"/>
  <c r="U47" i="28"/>
  <c r="U63" i="28"/>
  <c r="U58" i="28"/>
  <c r="T11" i="28"/>
  <c r="T22" i="28"/>
  <c r="T27" i="28"/>
  <c r="T62" i="28"/>
  <c r="P3" i="4"/>
  <c r="U26" i="28"/>
  <c r="U14" i="28"/>
  <c r="U27" i="28"/>
  <c r="U22" i="28"/>
  <c r="U57" i="28"/>
  <c r="U51" i="28"/>
  <c r="U61" i="28"/>
  <c r="U18" i="28"/>
  <c r="U36" i="28"/>
  <c r="T5" i="28"/>
  <c r="T19" i="28"/>
  <c r="T26" i="28"/>
  <c r="T46" i="28"/>
  <c r="T53" i="28"/>
  <c r="U5" i="28"/>
  <c r="P6" i="5"/>
  <c r="P20" i="5"/>
  <c r="P29" i="5"/>
  <c r="P33" i="5"/>
  <c r="P31" i="5"/>
  <c r="P38" i="5"/>
  <c r="P36" i="5"/>
  <c r="P42" i="5"/>
  <c r="P46" i="5"/>
  <c r="P52" i="5"/>
  <c r="P51" i="5"/>
  <c r="P57" i="5"/>
  <c r="P55" i="5"/>
  <c r="P58" i="5"/>
  <c r="P63" i="5"/>
  <c r="P62" i="5"/>
  <c r="P67" i="5"/>
  <c r="C43" i="28"/>
  <c r="P69" i="5"/>
  <c r="P71" i="5"/>
  <c r="P75" i="5"/>
  <c r="P77" i="5"/>
  <c r="P83" i="5"/>
  <c r="P84" i="5"/>
  <c r="P85" i="5"/>
  <c r="P82" i="5"/>
  <c r="P92" i="5"/>
  <c r="P96" i="5"/>
  <c r="P90" i="5"/>
  <c r="P94" i="5"/>
  <c r="P91" i="5"/>
  <c r="P99" i="5"/>
  <c r="P104" i="5"/>
  <c r="P103" i="5"/>
  <c r="P100" i="5"/>
  <c r="P105" i="5"/>
  <c r="P98" i="5"/>
  <c r="P102" i="5"/>
  <c r="P109" i="5"/>
  <c r="P106" i="5"/>
  <c r="P111" i="5"/>
  <c r="P115" i="5"/>
  <c r="P116" i="5"/>
  <c r="P112" i="5"/>
  <c r="P117" i="5"/>
  <c r="P119" i="5"/>
  <c r="P110" i="5"/>
  <c r="P121" i="5"/>
  <c r="P123" i="5"/>
  <c r="P118" i="5"/>
  <c r="P124" i="5"/>
  <c r="P130" i="5"/>
  <c r="P129" i="5"/>
  <c r="P128" i="5"/>
  <c r="P126" i="5"/>
  <c r="P5" i="2"/>
  <c r="P3" i="2"/>
  <c r="P6" i="2"/>
  <c r="B33" i="28"/>
  <c r="P7" i="2"/>
  <c r="P8" i="2"/>
  <c r="P9" i="2"/>
  <c r="P10" i="2"/>
  <c r="P11" i="2"/>
  <c r="P12" i="2"/>
  <c r="P16" i="2"/>
  <c r="P17" i="2"/>
  <c r="P15" i="2"/>
  <c r="P18" i="2"/>
  <c r="P20" i="2"/>
  <c r="P22" i="2"/>
  <c r="P24" i="2"/>
  <c r="P25" i="2"/>
  <c r="P26" i="2"/>
  <c r="P27" i="2"/>
  <c r="P28" i="2"/>
  <c r="P29" i="2"/>
  <c r="P30" i="2"/>
  <c r="P31" i="2"/>
  <c r="P32" i="2"/>
  <c r="P33" i="2"/>
  <c r="P34" i="2"/>
  <c r="P36" i="2"/>
  <c r="P37" i="2"/>
  <c r="P38" i="2"/>
  <c r="P39" i="2"/>
  <c r="P12" i="3"/>
  <c r="P14" i="3"/>
  <c r="P19" i="3"/>
  <c r="P20" i="3"/>
  <c r="P28" i="3"/>
  <c r="P32" i="3"/>
  <c r="P34" i="3"/>
  <c r="P45" i="3"/>
  <c r="P70" i="3"/>
  <c r="P83" i="3"/>
  <c r="P90" i="3"/>
  <c r="P93" i="3"/>
  <c r="P102" i="3"/>
  <c r="P104" i="3"/>
  <c r="P112" i="3"/>
  <c r="P10" i="3"/>
  <c r="P16" i="3"/>
  <c r="P21" i="3"/>
  <c r="P41" i="3"/>
  <c r="P47" i="3"/>
  <c r="P53" i="3"/>
  <c r="P67" i="3"/>
  <c r="P87" i="3"/>
  <c r="P81" i="3"/>
  <c r="P84" i="3"/>
  <c r="P91" i="3"/>
  <c r="P94" i="3"/>
  <c r="S24" i="18"/>
  <c r="T24" i="18" s="1"/>
  <c r="B63" i="28"/>
  <c r="C38" i="28"/>
  <c r="P4" i="3"/>
  <c r="P7" i="3"/>
  <c r="P11" i="3"/>
  <c r="P22" i="3"/>
  <c r="P31" i="3"/>
  <c r="P36" i="3"/>
  <c r="P52" i="3"/>
  <c r="P60" i="3"/>
  <c r="P64" i="3"/>
  <c r="P69" i="3"/>
  <c r="P74" i="3"/>
  <c r="P89" i="3"/>
  <c r="P95" i="3"/>
  <c r="P114" i="3"/>
  <c r="P5" i="3"/>
  <c r="P25" i="3"/>
  <c r="P37" i="3"/>
  <c r="P40" i="3"/>
  <c r="P46" i="3"/>
  <c r="P59" i="3"/>
  <c r="P57" i="3"/>
  <c r="P61" i="3"/>
  <c r="P75" i="3"/>
  <c r="P79" i="3"/>
  <c r="P77" i="3"/>
  <c r="P85" i="3"/>
  <c r="P92" i="3"/>
  <c r="P101" i="3"/>
  <c r="P107" i="3"/>
  <c r="P87" i="5"/>
  <c r="P88" i="5"/>
  <c r="P101" i="5"/>
  <c r="P97" i="5"/>
  <c r="P122" i="5"/>
  <c r="P14" i="5"/>
  <c r="P49" i="5"/>
  <c r="P56" i="5"/>
  <c r="P68" i="5"/>
  <c r="L44" i="28"/>
  <c r="B19" i="28"/>
  <c r="C50" i="28"/>
  <c r="C59" i="28"/>
  <c r="B42" i="28"/>
  <c r="B53" i="28"/>
  <c r="B54" i="28"/>
  <c r="C54" i="28"/>
  <c r="B47" i="28"/>
  <c r="B52" i="28"/>
  <c r="P80" i="5"/>
  <c r="P93" i="5"/>
  <c r="P107" i="5"/>
  <c r="P108" i="5"/>
  <c r="P113" i="5"/>
  <c r="P125" i="5"/>
  <c r="P127" i="5"/>
  <c r="L5" i="28"/>
  <c r="P89" i="5"/>
  <c r="L25" i="28"/>
  <c r="L34" i="28"/>
  <c r="K36" i="28"/>
  <c r="K33" i="28"/>
  <c r="K41" i="28"/>
  <c r="K54" i="28"/>
  <c r="K55" i="28"/>
  <c r="K61" i="28"/>
  <c r="K58" i="28"/>
  <c r="K64" i="28"/>
  <c r="K60" i="28"/>
  <c r="K48" i="28"/>
  <c r="K56" i="28"/>
  <c r="K39" i="28"/>
  <c r="K34" i="28"/>
  <c r="K37" i="28"/>
  <c r="K30" i="28"/>
  <c r="K10" i="28"/>
  <c r="K29" i="28"/>
  <c r="K32" i="28"/>
  <c r="K21" i="28"/>
  <c r="K23" i="28"/>
  <c r="K17" i="28"/>
  <c r="K25" i="28"/>
  <c r="K14" i="28"/>
  <c r="K13" i="28"/>
  <c r="K8" i="28"/>
  <c r="K16" i="28"/>
  <c r="K11" i="28"/>
  <c r="K19" i="28"/>
  <c r="K62" i="28"/>
  <c r="L16" i="28"/>
  <c r="L49" i="28"/>
  <c r="L37" i="28"/>
  <c r="L62" i="28"/>
  <c r="L15" i="28"/>
  <c r="L64" i="28"/>
  <c r="L46" i="28"/>
  <c r="L36" i="28"/>
  <c r="L7" i="28"/>
  <c r="L24" i="28"/>
  <c r="L57" i="28"/>
  <c r="L6" i="28"/>
  <c r="K59" i="28"/>
  <c r="K51" i="28"/>
  <c r="K5" i="28"/>
  <c r="K52" i="28"/>
  <c r="K43" i="28"/>
  <c r="K63" i="28"/>
  <c r="K38" i="28"/>
  <c r="K45" i="28"/>
  <c r="K31" i="28"/>
  <c r="K27" i="28"/>
  <c r="K50" i="28"/>
  <c r="K35" i="28"/>
  <c r="K24" i="28"/>
  <c r="K22" i="28"/>
  <c r="K26" i="28"/>
  <c r="K18" i="28"/>
  <c r="K7" i="28"/>
  <c r="K20" i="28"/>
  <c r="K15" i="28"/>
  <c r="K12" i="28"/>
  <c r="K28" i="28"/>
  <c r="K6" i="28"/>
  <c r="K9" i="28"/>
  <c r="K44" i="28"/>
  <c r="L17" i="28"/>
  <c r="L61" i="28"/>
  <c r="L21" i="28"/>
  <c r="L60" i="28"/>
  <c r="L19" i="28"/>
  <c r="P37" i="5"/>
  <c r="L27" i="28"/>
  <c r="L31" i="28"/>
  <c r="L39" i="28"/>
  <c r="L41" i="28"/>
  <c r="L14" i="28"/>
  <c r="L13" i="28"/>
  <c r="L32" i="28"/>
  <c r="L51" i="28"/>
  <c r="L38" i="28"/>
  <c r="L28" i="28"/>
  <c r="K42" i="28"/>
  <c r="K40" i="28"/>
  <c r="K46" i="28"/>
  <c r="K49" i="28"/>
  <c r="K47" i="28"/>
  <c r="K57" i="28"/>
  <c r="K53" i="28"/>
  <c r="B27" i="28"/>
  <c r="S32" i="18"/>
  <c r="T32" i="18" s="1"/>
  <c r="L53" i="28"/>
  <c r="C28" i="28"/>
  <c r="B20" i="28"/>
  <c r="B32" i="28"/>
  <c r="C18" i="28"/>
  <c r="B21" i="28"/>
  <c r="B28" i="28"/>
  <c r="B31" i="28"/>
  <c r="U62" i="28"/>
  <c r="C53" i="28"/>
  <c r="C51" i="28"/>
  <c r="C62" i="28"/>
  <c r="C48" i="28"/>
  <c r="C40" i="28"/>
  <c r="B39" i="28"/>
  <c r="B43" i="28"/>
  <c r="B48" i="28"/>
  <c r="B57" i="28"/>
  <c r="B50" i="28"/>
  <c r="B64" i="28"/>
  <c r="B59" i="28"/>
  <c r="C45" i="28"/>
  <c r="C56" i="28"/>
  <c r="C52" i="28"/>
  <c r="C64" i="28"/>
  <c r="C61" i="28"/>
  <c r="B37" i="28"/>
  <c r="B40" i="28"/>
  <c r="B56" i="28"/>
  <c r="B44" i="28"/>
  <c r="B49" i="28"/>
  <c r="B55" i="28"/>
  <c r="B60" i="28"/>
  <c r="C39" i="28"/>
  <c r="P28" i="5"/>
  <c r="P34" i="5"/>
  <c r="P39" i="5"/>
  <c r="P40" i="5"/>
  <c r="P50" i="5"/>
  <c r="P47" i="5"/>
  <c r="P45" i="5"/>
  <c r="P53" i="5"/>
  <c r="P59" i="5"/>
  <c r="P60" i="5"/>
  <c r="P66" i="5"/>
  <c r="P70" i="5"/>
  <c r="P64" i="5"/>
  <c r="P65" i="5"/>
  <c r="P73" i="5"/>
  <c r="P76" i="5"/>
  <c r="P78" i="5"/>
  <c r="B8" i="28"/>
  <c r="B11" i="28"/>
  <c r="B14" i="28"/>
  <c r="B17" i="28"/>
  <c r="B24" i="28"/>
  <c r="B29" i="28"/>
  <c r="B34" i="28"/>
  <c r="C30" i="28"/>
  <c r="C25" i="28"/>
  <c r="C32" i="28"/>
  <c r="B10" i="28"/>
  <c r="B12" i="28"/>
  <c r="B15" i="28"/>
  <c r="B23" i="28"/>
  <c r="B22" i="28"/>
  <c r="B25" i="28"/>
  <c r="B6" i="28"/>
  <c r="C6" i="28"/>
  <c r="B5" i="28"/>
  <c r="B9" i="28"/>
  <c r="B13" i="28"/>
  <c r="B16" i="28"/>
  <c r="B18" i="28"/>
  <c r="B26" i="28"/>
  <c r="B30" i="28"/>
  <c r="S16" i="18"/>
  <c r="T16" i="18" s="1"/>
  <c r="S8" i="18"/>
  <c r="T8" i="18" s="1"/>
  <c r="C41" i="28"/>
  <c r="C57" i="28"/>
  <c r="C42" i="28"/>
  <c r="L50" i="28"/>
  <c r="P41" i="5"/>
  <c r="P48" i="5"/>
  <c r="P54" i="5"/>
  <c r="P61" i="5"/>
  <c r="P72" i="5"/>
  <c r="P16" i="5"/>
  <c r="P17" i="5"/>
  <c r="P24" i="5"/>
  <c r="P32" i="5"/>
  <c r="P3" i="5"/>
  <c r="P8" i="5"/>
  <c r="P10" i="5"/>
  <c r="P13" i="5"/>
  <c r="P79" i="5"/>
  <c r="P81" i="5"/>
  <c r="P86" i="5"/>
  <c r="U15" i="28"/>
  <c r="U37" i="28"/>
  <c r="U10" i="28"/>
  <c r="C55" i="28"/>
  <c r="C63" i="28"/>
  <c r="L40" i="28"/>
  <c r="L54" i="28"/>
  <c r="L11" i="28"/>
  <c r="L26" i="28"/>
  <c r="P27" i="5"/>
  <c r="S30" i="18"/>
  <c r="T30" i="18" s="1"/>
  <c r="S26" i="18"/>
  <c r="T26" i="18" s="1"/>
  <c r="S22" i="18"/>
  <c r="T22" i="18" s="1"/>
  <c r="S18" i="18"/>
  <c r="T18" i="18" s="1"/>
  <c r="S14" i="18"/>
  <c r="T14" i="18" s="1"/>
  <c r="S10" i="18"/>
  <c r="T10" i="18" s="1"/>
  <c r="S6" i="18"/>
  <c r="T6" i="18" s="1"/>
  <c r="S31" i="18"/>
  <c r="T31" i="18" s="1"/>
  <c r="S23" i="18"/>
  <c r="T23" i="18" s="1"/>
  <c r="S15" i="18"/>
  <c r="T15" i="18" s="1"/>
  <c r="S7" i="18"/>
  <c r="T7" i="18" s="1"/>
  <c r="S28" i="18"/>
  <c r="T28" i="18" s="1"/>
  <c r="S20" i="18"/>
  <c r="T20" i="18" s="1"/>
  <c r="S12" i="18"/>
  <c r="T12" i="18" s="1"/>
  <c r="S4" i="18"/>
  <c r="T4" i="18" s="1"/>
  <c r="S27" i="18"/>
  <c r="T27" i="18" s="1"/>
  <c r="S19" i="18"/>
  <c r="T19" i="18" s="1"/>
  <c r="S11" i="18"/>
  <c r="T11" i="18" s="1"/>
  <c r="S3" i="18"/>
  <c r="T3" i="18" s="1"/>
  <c r="S5" i="18"/>
  <c r="T5" i="18" s="1"/>
  <c r="F27" i="25"/>
  <c r="O23" i="29"/>
  <c r="M23" i="29"/>
  <c r="Q23" i="29"/>
  <c r="U23" i="29"/>
  <c r="N23" i="29"/>
  <c r="R23" i="29"/>
  <c r="K6" i="29"/>
  <c r="K7" i="29"/>
  <c r="K9" i="29"/>
  <c r="S23" i="29"/>
  <c r="K13" i="29"/>
  <c r="T23" i="29"/>
  <c r="K17" i="29"/>
  <c r="K18" i="29"/>
  <c r="K20" i="29"/>
  <c r="K14" i="29"/>
  <c r="K15" i="29"/>
  <c r="K16" i="29"/>
  <c r="K10" i="29"/>
  <c r="K11" i="29"/>
  <c r="K12" i="29"/>
  <c r="K21" i="29"/>
  <c r="L23" i="29"/>
  <c r="P23" i="29"/>
  <c r="K4" i="29"/>
  <c r="K5" i="29"/>
  <c r="K8" i="29"/>
  <c r="K19" i="29"/>
  <c r="K3" i="29"/>
  <c r="K22" i="29"/>
  <c r="C58" i="28"/>
  <c r="C47" i="28"/>
  <c r="U12" i="28"/>
  <c r="U43" i="28"/>
  <c r="U49" i="28"/>
  <c r="U29" i="28"/>
  <c r="U34" i="28"/>
  <c r="U53" i="28"/>
  <c r="U38" i="28"/>
  <c r="L9" i="28"/>
  <c r="P12" i="5"/>
  <c r="P9" i="5"/>
  <c r="L22" i="28"/>
  <c r="P21" i="5"/>
  <c r="P25" i="5"/>
  <c r="L45" i="28"/>
  <c r="L33" i="28"/>
  <c r="P44" i="5"/>
  <c r="L56" i="28"/>
  <c r="L12" i="28"/>
  <c r="L20" i="28"/>
  <c r="P15" i="5"/>
  <c r="L35" i="28"/>
  <c r="L63" i="28"/>
  <c r="L43" i="28"/>
  <c r="L58" i="28"/>
  <c r="P4" i="5"/>
  <c r="P5" i="5"/>
  <c r="P7" i="5"/>
  <c r="L18" i="28"/>
  <c r="L23" i="28"/>
  <c r="P23" i="5"/>
  <c r="L42" i="28"/>
  <c r="P30" i="5"/>
  <c r="L55" i="28"/>
  <c r="L47" i="28"/>
  <c r="L8" i="28"/>
  <c r="P11" i="5"/>
  <c r="P18" i="5"/>
  <c r="P19" i="5"/>
  <c r="L29" i="28"/>
  <c r="P26" i="5"/>
  <c r="P22" i="5"/>
  <c r="L30" i="28"/>
  <c r="P35" i="5"/>
  <c r="L52" i="28"/>
  <c r="L48" i="28"/>
  <c r="L59" i="28"/>
  <c r="C8" i="28"/>
  <c r="C11" i="28"/>
  <c r="C20" i="28"/>
  <c r="C23" i="28"/>
  <c r="C22" i="28"/>
  <c r="C10" i="28"/>
  <c r="C19" i="28"/>
  <c r="C16" i="28"/>
  <c r="C17" i="28"/>
  <c r="C24" i="28"/>
  <c r="C29" i="28"/>
  <c r="C34" i="28"/>
  <c r="C7" i="28"/>
  <c r="C9" i="28"/>
  <c r="C13" i="28"/>
  <c r="C12" i="28"/>
  <c r="C21" i="28"/>
  <c r="C31" i="28"/>
  <c r="C27" i="28"/>
  <c r="C14" i="28"/>
  <c r="C15" i="28"/>
  <c r="C26" i="28"/>
  <c r="C33" i="28"/>
  <c r="S2" i="18"/>
  <c r="T2" i="18" s="1"/>
  <c r="S33" i="18"/>
  <c r="T33" i="18" s="1"/>
  <c r="S29" i="18"/>
  <c r="T29" i="18" s="1"/>
  <c r="S25" i="18"/>
  <c r="T25" i="18" s="1"/>
  <c r="S21" i="18"/>
  <c r="T21" i="18" s="1"/>
  <c r="S17" i="18"/>
  <c r="T17" i="18" s="1"/>
  <c r="S13" i="18"/>
  <c r="T13" i="18" s="1"/>
  <c r="S9" i="18"/>
  <c r="T9" i="18" s="1"/>
  <c r="F6" i="1"/>
  <c r="P23" i="2"/>
  <c r="D431" i="30"/>
  <c r="D264" i="32"/>
  <c r="D524" i="7"/>
  <c r="D422" i="32"/>
  <c r="D142" i="7"/>
  <c r="D503" i="32"/>
  <c r="D281" i="32"/>
  <c r="D333" i="30"/>
  <c r="D15" i="32"/>
  <c r="D402" i="32"/>
  <c r="D108" i="32"/>
  <c r="D272" i="32"/>
  <c r="D355" i="30"/>
  <c r="D274" i="30"/>
  <c r="D282" i="32"/>
  <c r="D507" i="32"/>
  <c r="D428" i="30"/>
  <c r="D265" i="30"/>
  <c r="D223" i="32"/>
  <c r="D65" i="30"/>
  <c r="D294" i="7"/>
  <c r="D320" i="7"/>
  <c r="D38" i="30"/>
  <c r="D123" i="7"/>
  <c r="D516" i="7"/>
  <c r="D84" i="32"/>
  <c r="D308" i="7"/>
  <c r="D443" i="7"/>
  <c r="D291" i="30"/>
  <c r="D423" i="30"/>
  <c r="D117" i="32"/>
  <c r="D281" i="30"/>
  <c r="D220" i="32"/>
  <c r="D380" i="30"/>
  <c r="D260" i="30"/>
  <c r="D333" i="7"/>
  <c r="D430" i="30"/>
  <c r="D427" i="30"/>
  <c r="D426" i="30"/>
  <c r="D226" i="32"/>
  <c r="D106" i="32"/>
  <c r="D273" i="32"/>
  <c r="D495" i="7"/>
  <c r="D448" i="32"/>
  <c r="D122" i="32"/>
  <c r="D280" i="30"/>
  <c r="D422" i="30"/>
  <c r="D432" i="30"/>
  <c r="D417" i="30"/>
  <c r="D267" i="32"/>
  <c r="D490" i="7"/>
  <c r="D405" i="30"/>
  <c r="D325" i="7"/>
  <c r="D424" i="30"/>
  <c r="D429" i="7"/>
  <c r="D148" i="32"/>
  <c r="D350" i="30"/>
  <c r="D186" i="30"/>
  <c r="D128" i="32"/>
  <c r="D374" i="30"/>
  <c r="D271" i="31"/>
  <c r="D377" i="30"/>
  <c r="D214" i="32"/>
  <c r="D131" i="30"/>
  <c r="D247" i="7"/>
  <c r="D93" i="7"/>
  <c r="D3" i="32"/>
  <c r="D155" i="7"/>
  <c r="D54" i="30"/>
  <c r="D200" i="32"/>
  <c r="D264" i="30"/>
  <c r="D257" i="7"/>
  <c r="D90" i="7"/>
  <c r="D270" i="7"/>
  <c r="D66" i="30"/>
  <c r="D305" i="7"/>
  <c r="D501" i="32"/>
  <c r="D182" i="30"/>
  <c r="D338" i="7"/>
  <c r="D267" i="30"/>
  <c r="D196" i="32"/>
  <c r="D549" i="7"/>
  <c r="D320" i="30"/>
  <c r="D420" i="32"/>
  <c r="D233" i="32"/>
  <c r="D170" i="7"/>
  <c r="D260" i="32"/>
  <c r="D10" i="30"/>
  <c r="D219" i="32"/>
  <c r="D208" i="32"/>
  <c r="D213" i="30"/>
  <c r="D299" i="30"/>
  <c r="D93" i="32"/>
  <c r="D275" i="32"/>
  <c r="D242" i="30"/>
  <c r="D101" i="30"/>
  <c r="D278" i="7"/>
  <c r="D237" i="32"/>
  <c r="D255" i="31"/>
  <c r="D527" i="7"/>
  <c r="D20" i="32"/>
  <c r="D274" i="31"/>
  <c r="C294" i="7" l="1"/>
  <c r="C338" i="7"/>
  <c r="C305" i="7"/>
  <c r="C524" i="7"/>
  <c r="C123" i="7"/>
  <c r="A212" i="4"/>
  <c r="A213" i="4"/>
  <c r="C495" i="7"/>
  <c r="C308" i="7"/>
  <c r="C325" i="7"/>
  <c r="C490" i="7"/>
  <c r="C247" i="7"/>
  <c r="C170" i="7"/>
  <c r="C270" i="7"/>
  <c r="C527" i="7"/>
  <c r="C93" i="7"/>
  <c r="C155" i="7"/>
  <c r="C278" i="7"/>
  <c r="C429" i="7"/>
  <c r="C516" i="7"/>
  <c r="C443" i="7"/>
  <c r="C257" i="7"/>
  <c r="C142" i="7"/>
  <c r="C333" i="7"/>
  <c r="C320" i="7"/>
  <c r="C90" i="7"/>
  <c r="C549" i="7"/>
  <c r="A4" i="2"/>
  <c r="A23" i="2"/>
  <c r="A35" i="5"/>
  <c r="A107" i="3"/>
  <c r="A115" i="3"/>
  <c r="A101" i="3"/>
  <c r="A92" i="3"/>
  <c r="A85" i="3"/>
  <c r="A77" i="3"/>
  <c r="A79" i="3"/>
  <c r="A75" i="3"/>
  <c r="A61" i="3"/>
  <c r="A57" i="3"/>
  <c r="A59" i="3"/>
  <c r="A46" i="3"/>
  <c r="A40" i="3"/>
  <c r="A37" i="3"/>
  <c r="A25" i="3"/>
  <c r="A5" i="3"/>
  <c r="A114" i="3"/>
  <c r="A95" i="3"/>
  <c r="A89" i="3"/>
  <c r="A74" i="3"/>
  <c r="A69" i="3"/>
  <c r="A64" i="3"/>
  <c r="A60" i="3"/>
  <c r="A52" i="3"/>
  <c r="A36" i="3"/>
  <c r="A31" i="3"/>
  <c r="A22" i="3"/>
  <c r="A11" i="3"/>
  <c r="A7" i="3"/>
  <c r="A4" i="3"/>
  <c r="A94" i="3"/>
  <c r="A91" i="3"/>
  <c r="A84" i="3"/>
  <c r="A81" i="3"/>
  <c r="A87" i="3"/>
  <c r="A67" i="3"/>
  <c r="A53" i="3"/>
  <c r="A47" i="3"/>
  <c r="A41" i="3"/>
  <c r="A21" i="3"/>
  <c r="A16" i="3"/>
  <c r="A10" i="3"/>
  <c r="A112" i="3"/>
  <c r="A104" i="3"/>
  <c r="A102" i="3"/>
  <c r="A93" i="3"/>
  <c r="A90" i="3"/>
  <c r="A83" i="3"/>
  <c r="A70" i="3"/>
  <c r="A45" i="3"/>
  <c r="A34" i="3"/>
  <c r="A32" i="3"/>
  <c r="A28" i="3"/>
  <c r="A20" i="3"/>
  <c r="A19" i="3"/>
  <c r="A14" i="3"/>
  <c r="A12" i="3"/>
  <c r="A110" i="3"/>
  <c r="A106" i="3"/>
  <c r="A68" i="3"/>
  <c r="A63" i="3"/>
  <c r="A30" i="3"/>
  <c r="A23" i="3"/>
  <c r="A15" i="3"/>
  <c r="A3" i="3"/>
  <c r="A109" i="3"/>
  <c r="A86" i="3"/>
  <c r="A82" i="3"/>
  <c r="A73" i="3"/>
  <c r="A39" i="3"/>
  <c r="A108" i="3"/>
  <c r="A48" i="3"/>
  <c r="A29" i="3"/>
  <c r="A96" i="3"/>
  <c r="A65" i="3"/>
  <c r="A55" i="3"/>
  <c r="A54" i="3"/>
  <c r="A26" i="3"/>
  <c r="A9" i="3"/>
  <c r="A111" i="3"/>
  <c r="A105" i="3"/>
  <c r="A97" i="3"/>
  <c r="A71" i="3"/>
  <c r="A66" i="3"/>
  <c r="A49" i="3"/>
  <c r="A33" i="3"/>
  <c r="A24" i="3"/>
  <c r="A18" i="3"/>
  <c r="A13" i="3"/>
  <c r="A6" i="3"/>
  <c r="A113" i="3"/>
  <c r="A99" i="3"/>
  <c r="A88" i="3"/>
  <c r="A80" i="3"/>
  <c r="A58" i="3"/>
  <c r="A50" i="3"/>
  <c r="A43" i="3"/>
  <c r="A35" i="3"/>
  <c r="A44" i="3"/>
  <c r="A72" i="3"/>
  <c r="A38" i="3"/>
  <c r="A8" i="3"/>
  <c r="A62" i="3"/>
  <c r="A51" i="3"/>
  <c r="A78" i="3"/>
  <c r="A42" i="3"/>
  <c r="A103" i="3"/>
  <c r="A100" i="3"/>
  <c r="A76" i="3"/>
  <c r="A17" i="3"/>
  <c r="A27" i="3"/>
  <c r="A98" i="3"/>
  <c r="A56" i="3"/>
  <c r="A165" i="4"/>
  <c r="A169" i="4"/>
  <c r="A170" i="4"/>
  <c r="A172" i="4"/>
  <c r="A173" i="4"/>
  <c r="A174" i="4"/>
  <c r="A176" i="4"/>
  <c r="A175" i="4"/>
  <c r="A177" i="4"/>
  <c r="A178" i="4"/>
  <c r="A179" i="4"/>
  <c r="A184" i="4"/>
  <c r="A182" i="4"/>
  <c r="A180" i="4"/>
  <c r="A181" i="4"/>
  <c r="A183" i="4"/>
  <c r="A186" i="4"/>
  <c r="A185" i="4"/>
  <c r="A187" i="4"/>
  <c r="A188" i="4"/>
  <c r="A191" i="4"/>
  <c r="A192" i="4"/>
  <c r="A193" i="4"/>
  <c r="A190" i="4"/>
  <c r="A189" i="4"/>
  <c r="A195" i="4"/>
  <c r="A197" i="4"/>
  <c r="A196" i="4"/>
  <c r="A198" i="4"/>
  <c r="A199" i="4"/>
  <c r="A194" i="4"/>
  <c r="A200" i="4"/>
  <c r="A201" i="4"/>
  <c r="A202" i="4"/>
  <c r="A204" i="4"/>
  <c r="A203" i="4"/>
  <c r="A205" i="4"/>
  <c r="A207" i="4"/>
  <c r="A206" i="4"/>
  <c r="A209" i="4"/>
  <c r="A210" i="4"/>
  <c r="A208" i="4"/>
  <c r="A211" i="4"/>
  <c r="A3" i="4"/>
  <c r="A142" i="4"/>
  <c r="A44" i="4"/>
  <c r="A171" i="4"/>
  <c r="A159" i="4"/>
  <c r="A145" i="4"/>
  <c r="A153" i="4"/>
  <c r="A147" i="4"/>
  <c r="A140" i="4"/>
  <c r="A99" i="4"/>
  <c r="A117" i="4"/>
  <c r="A105" i="4"/>
  <c r="A122" i="4"/>
  <c r="A160" i="4"/>
  <c r="A168" i="4"/>
  <c r="A166" i="4"/>
  <c r="A161" i="4"/>
  <c r="A164" i="4"/>
  <c r="A134" i="4"/>
  <c r="A139" i="4"/>
  <c r="A132" i="4"/>
  <c r="A128" i="4"/>
  <c r="A154" i="4"/>
  <c r="A150" i="4"/>
  <c r="A155" i="4"/>
  <c r="A149" i="4"/>
  <c r="A143" i="4"/>
  <c r="A148" i="4"/>
  <c r="A144" i="4"/>
  <c r="A138" i="4"/>
  <c r="A133" i="4"/>
  <c r="A125" i="4"/>
  <c r="A123" i="4"/>
  <c r="A127" i="4"/>
  <c r="A109" i="4"/>
  <c r="A97" i="4"/>
  <c r="A152" i="4"/>
  <c r="A119" i="4"/>
  <c r="A110" i="4"/>
  <c r="A113" i="4"/>
  <c r="A104" i="4"/>
  <c r="A102" i="4"/>
  <c r="A100" i="4"/>
  <c r="A93" i="4"/>
  <c r="A91" i="4"/>
  <c r="A87" i="4"/>
  <c r="A82" i="4"/>
  <c r="A83" i="4"/>
  <c r="A85" i="4"/>
  <c r="A79" i="4"/>
  <c r="A77" i="4"/>
  <c r="A67" i="4"/>
  <c r="A60" i="4"/>
  <c r="A55" i="4"/>
  <c r="A58" i="4"/>
  <c r="A53" i="4"/>
  <c r="A47" i="4"/>
  <c r="A46" i="4"/>
  <c r="A42" i="4"/>
  <c r="A39" i="4"/>
  <c r="A26" i="4"/>
  <c r="A31" i="4"/>
  <c r="A23" i="4"/>
  <c r="A163" i="4"/>
  <c r="A158" i="4"/>
  <c r="A156" i="4"/>
  <c r="A135" i="4"/>
  <c r="A131" i="4"/>
  <c r="A118" i="4"/>
  <c r="A136" i="4"/>
  <c r="A130" i="4"/>
  <c r="A126" i="4"/>
  <c r="A124" i="4"/>
  <c r="A106" i="4"/>
  <c r="A90" i="4"/>
  <c r="A95" i="4"/>
  <c r="A84" i="4"/>
  <c r="A80" i="4"/>
  <c r="A73" i="4"/>
  <c r="A76" i="4"/>
  <c r="A72" i="4"/>
  <c r="A68" i="4"/>
  <c r="A69" i="4"/>
  <c r="A59" i="4"/>
  <c r="A62" i="4"/>
  <c r="A64" i="4"/>
  <c r="A52" i="4"/>
  <c r="A50" i="4"/>
  <c r="A40" i="4"/>
  <c r="A45" i="4"/>
  <c r="A35" i="4"/>
  <c r="A34" i="4"/>
  <c r="A30" i="4"/>
  <c r="A24" i="4"/>
  <c r="A15" i="4"/>
  <c r="A13" i="4"/>
  <c r="A20" i="4"/>
  <c r="A7" i="4"/>
  <c r="A116" i="4"/>
  <c r="A114" i="4"/>
  <c r="A115" i="4"/>
  <c r="A112" i="4"/>
  <c r="A108" i="4"/>
  <c r="A103" i="4"/>
  <c r="A101" i="4"/>
  <c r="A96" i="4"/>
  <c r="A94" i="4"/>
  <c r="A81" i="4"/>
  <c r="A48" i="4"/>
  <c r="A49" i="4"/>
  <c r="A51" i="4"/>
  <c r="A41" i="4"/>
  <c r="A38" i="4"/>
  <c r="A36" i="4"/>
  <c r="A21" i="4"/>
  <c r="A19" i="4"/>
  <c r="A12" i="4"/>
  <c r="A10" i="4"/>
  <c r="A5" i="4"/>
  <c r="A111" i="4"/>
  <c r="A18" i="4"/>
  <c r="A14" i="4"/>
  <c r="A8" i="4"/>
  <c r="A6" i="4"/>
  <c r="A89" i="4"/>
  <c r="A86" i="4"/>
  <c r="A74" i="4"/>
  <c r="A70" i="4"/>
  <c r="A75" i="4"/>
  <c r="A71" i="4"/>
  <c r="A63" i="4"/>
  <c r="A65" i="4"/>
  <c r="A17" i="4"/>
  <c r="A16" i="4"/>
  <c r="A4" i="4"/>
  <c r="A167" i="4"/>
  <c r="A157" i="4"/>
  <c r="A129" i="4"/>
  <c r="A98" i="4"/>
  <c r="A33" i="4"/>
  <c r="A11" i="4"/>
  <c r="A43" i="4"/>
  <c r="A28" i="4"/>
  <c r="A25" i="4"/>
  <c r="A146" i="4"/>
  <c r="A121" i="4"/>
  <c r="A92" i="4"/>
  <c r="A56" i="4"/>
  <c r="A32" i="4"/>
  <c r="A29" i="4"/>
  <c r="A162" i="4"/>
  <c r="A151" i="4"/>
  <c r="A141" i="4"/>
  <c r="A137" i="4"/>
  <c r="A120" i="4"/>
  <c r="A107" i="4"/>
  <c r="A54" i="4"/>
  <c r="A61" i="4"/>
  <c r="A37" i="4"/>
  <c r="A22" i="4"/>
  <c r="A88" i="4"/>
  <c r="A27" i="4"/>
  <c r="A78" i="4"/>
  <c r="A66" i="4"/>
  <c r="A57" i="4"/>
  <c r="A9" i="4"/>
  <c r="A22" i="5"/>
  <c r="A26" i="5"/>
  <c r="A19" i="5"/>
  <c r="A18" i="5"/>
  <c r="A11" i="5"/>
  <c r="A30" i="5"/>
  <c r="A23" i="5"/>
  <c r="A7" i="5"/>
  <c r="A5" i="5"/>
  <c r="A4" i="5"/>
  <c r="A15" i="5"/>
  <c r="A44" i="5"/>
  <c r="A25" i="5"/>
  <c r="A21" i="5"/>
  <c r="A9" i="5"/>
  <c r="A12" i="5"/>
  <c r="A27" i="5"/>
  <c r="A86" i="5"/>
  <c r="A81" i="5"/>
  <c r="A79" i="5"/>
  <c r="A13" i="5"/>
  <c r="A10" i="5"/>
  <c r="A8" i="5"/>
  <c r="A131" i="5"/>
  <c r="A133" i="5"/>
  <c r="A135" i="5"/>
  <c r="A136" i="5"/>
  <c r="A137" i="5"/>
  <c r="A3" i="5"/>
  <c r="A132" i="5"/>
  <c r="A32" i="5"/>
  <c r="A24" i="5"/>
  <c r="A17" i="5"/>
  <c r="A16" i="5"/>
  <c r="A72" i="5"/>
  <c r="A61" i="5"/>
  <c r="A54" i="5"/>
  <c r="A48" i="5"/>
  <c r="A41" i="5"/>
  <c r="A78" i="5"/>
  <c r="A76" i="5"/>
  <c r="A73" i="5"/>
  <c r="A65" i="5"/>
  <c r="A64" i="5"/>
  <c r="A70" i="5"/>
  <c r="A66" i="5"/>
  <c r="A60" i="5"/>
  <c r="A59" i="5"/>
  <c r="A53" i="5"/>
  <c r="A45" i="5"/>
  <c r="A47" i="5"/>
  <c r="A50" i="5"/>
  <c r="A40" i="5"/>
  <c r="A39" i="5"/>
  <c r="A34" i="5"/>
  <c r="A28" i="5"/>
  <c r="A37" i="5"/>
  <c r="A89" i="5"/>
  <c r="A127" i="5"/>
  <c r="A125" i="5"/>
  <c r="A113" i="5"/>
  <c r="A108" i="5"/>
  <c r="A107" i="5"/>
  <c r="A93" i="5"/>
  <c r="A80" i="5"/>
  <c r="A68" i="5"/>
  <c r="A56" i="5"/>
  <c r="A49" i="5"/>
  <c r="A14" i="5"/>
  <c r="A122" i="5"/>
  <c r="A97" i="5"/>
  <c r="A101" i="5"/>
  <c r="A88" i="5"/>
  <c r="A87" i="5"/>
  <c r="A126" i="5"/>
  <c r="A128" i="5"/>
  <c r="A129" i="5"/>
  <c r="A130" i="5"/>
  <c r="A124" i="5"/>
  <c r="A118" i="5"/>
  <c r="A123" i="5"/>
  <c r="A121" i="5"/>
  <c r="A110" i="5"/>
  <c r="A119" i="5"/>
  <c r="A117" i="5"/>
  <c r="A112" i="5"/>
  <c r="A116" i="5"/>
  <c r="A115" i="5"/>
  <c r="A111" i="5"/>
  <c r="A106" i="5"/>
  <c r="A109" i="5"/>
  <c r="A102" i="5"/>
  <c r="A98" i="5"/>
  <c r="A105" i="5"/>
  <c r="A100" i="5"/>
  <c r="A103" i="5"/>
  <c r="A104" i="5"/>
  <c r="A99" i="5"/>
  <c r="A91" i="5"/>
  <c r="A94" i="5"/>
  <c r="A90" i="5"/>
  <c r="A96" i="5"/>
  <c r="A92" i="5"/>
  <c r="A82" i="5"/>
  <c r="A85" i="5"/>
  <c r="A84" i="5"/>
  <c r="A83" i="5"/>
  <c r="A77" i="5"/>
  <c r="A75" i="5"/>
  <c r="A71" i="5"/>
  <c r="A69" i="5"/>
  <c r="A67" i="5"/>
  <c r="A62" i="5"/>
  <c r="A63" i="5"/>
  <c r="A58" i="5"/>
  <c r="A55" i="5"/>
  <c r="A57" i="5"/>
  <c r="A51" i="5"/>
  <c r="A52" i="5"/>
  <c r="A46" i="5"/>
  <c r="A42" i="5"/>
  <c r="A36" i="5"/>
  <c r="A38" i="5"/>
  <c r="A31" i="5"/>
  <c r="A33" i="5"/>
  <c r="A29" i="5"/>
  <c r="A20" i="5"/>
  <c r="A6" i="5"/>
  <c r="A134" i="5"/>
  <c r="A74" i="5"/>
  <c r="A43" i="5"/>
  <c r="A114" i="5"/>
  <c r="A95" i="5"/>
  <c r="A120" i="5"/>
  <c r="A39" i="2"/>
  <c r="A38" i="2"/>
  <c r="A37" i="2"/>
  <c r="A36" i="2"/>
  <c r="A34" i="2"/>
  <c r="A33" i="2"/>
  <c r="A32" i="2"/>
  <c r="A31" i="2"/>
  <c r="A30" i="2"/>
  <c r="A29" i="2"/>
  <c r="A28" i="2"/>
  <c r="A27" i="2"/>
  <c r="A26" i="2"/>
  <c r="A25" i="2"/>
  <c r="A24" i="2"/>
  <c r="A22" i="2"/>
  <c r="A20" i="2"/>
  <c r="A18" i="2"/>
  <c r="A15" i="2"/>
  <c r="A17" i="2"/>
  <c r="A16" i="2"/>
  <c r="A12" i="2"/>
  <c r="A11" i="2"/>
  <c r="A10" i="2"/>
  <c r="A9" i="2"/>
  <c r="A8" i="2"/>
  <c r="A7" i="2"/>
  <c r="A6" i="2"/>
  <c r="A3" i="2"/>
  <c r="A5" i="2"/>
  <c r="A76" i="2"/>
  <c r="A77" i="2"/>
  <c r="A78" i="2"/>
  <c r="A79" i="2"/>
  <c r="A80" i="2"/>
  <c r="A81" i="2"/>
  <c r="A82" i="2"/>
  <c r="A83" i="2"/>
  <c r="A84" i="2"/>
  <c r="A85" i="2"/>
  <c r="A86" i="2"/>
  <c r="A48" i="2"/>
  <c r="A40" i="2"/>
  <c r="A51" i="2"/>
  <c r="A44" i="2"/>
  <c r="A43" i="2"/>
  <c r="A41" i="2"/>
  <c r="A42" i="2"/>
  <c r="A47" i="2"/>
  <c r="A45" i="2"/>
  <c r="A46" i="2"/>
  <c r="A53" i="2"/>
  <c r="A60" i="2"/>
  <c r="A64" i="2"/>
  <c r="A62" i="2"/>
  <c r="A65" i="2"/>
  <c r="A70" i="2"/>
  <c r="A67" i="2"/>
  <c r="A68" i="2"/>
  <c r="A63" i="2"/>
  <c r="A57" i="2"/>
  <c r="A72" i="2"/>
  <c r="A66" i="2"/>
  <c r="A69" i="2"/>
  <c r="A61" i="2"/>
  <c r="A73" i="2"/>
  <c r="A56" i="2"/>
  <c r="A74" i="2"/>
  <c r="A50" i="2"/>
  <c r="A49" i="2"/>
  <c r="A75" i="2"/>
  <c r="A58" i="2"/>
  <c r="A55" i="2"/>
  <c r="A59" i="2"/>
  <c r="A54" i="2"/>
  <c r="A71" i="2"/>
  <c r="A52" i="2"/>
  <c r="A35" i="2"/>
  <c r="A21" i="2"/>
  <c r="A19" i="2"/>
  <c r="A14" i="2"/>
  <c r="A13" i="2"/>
  <c r="D249" i="7"/>
  <c r="C249" i="7" l="1"/>
  <c r="E5" i="25"/>
  <c r="E13" i="25"/>
  <c r="E21" i="25"/>
  <c r="E29" i="25"/>
  <c r="E3" i="25"/>
  <c r="E11" i="25"/>
  <c r="E19" i="25"/>
  <c r="E31" i="25"/>
  <c r="E6" i="25"/>
  <c r="E14" i="25"/>
  <c r="E22" i="25"/>
  <c r="E30" i="25"/>
  <c r="E4" i="25"/>
  <c r="E12" i="25"/>
  <c r="E20" i="25"/>
  <c r="E28" i="25"/>
  <c r="E9" i="25"/>
  <c r="E17" i="25"/>
  <c r="E25" i="25"/>
  <c r="E33" i="25"/>
  <c r="E7" i="25"/>
  <c r="E15" i="25"/>
  <c r="E23" i="25"/>
  <c r="E27" i="25"/>
  <c r="E10" i="25"/>
  <c r="E18" i="25"/>
  <c r="E26" i="25"/>
  <c r="E2" i="25"/>
  <c r="E8" i="25"/>
  <c r="E16" i="25"/>
  <c r="E24" i="25"/>
  <c r="E32" i="25"/>
  <c r="D313" i="30"/>
  <c r="H344" i="32"/>
  <c r="D270" i="30"/>
  <c r="D310" i="30"/>
  <c r="H155" i="32"/>
  <c r="D128" i="30"/>
  <c r="H374" i="30"/>
  <c r="H125" i="32"/>
  <c r="D337" i="30"/>
  <c r="D321" i="30"/>
  <c r="D312" i="30"/>
  <c r="H457" i="32"/>
  <c r="H209" i="30"/>
  <c r="H278" i="32"/>
  <c r="D152" i="45"/>
  <c r="H207" i="31"/>
  <c r="D287" i="32"/>
  <c r="D450" i="32"/>
  <c r="D16" i="30"/>
  <c r="H110" i="32"/>
  <c r="D15" i="30"/>
  <c r="H75" i="32"/>
  <c r="H507" i="32"/>
  <c r="D60" i="7"/>
  <c r="D366" i="7"/>
  <c r="D172" i="30"/>
  <c r="D153" i="30"/>
  <c r="D234" i="30"/>
  <c r="H268" i="32"/>
  <c r="H312" i="32"/>
  <c r="D352" i="32"/>
  <c r="H133" i="30"/>
  <c r="D53" i="45"/>
  <c r="D461" i="7"/>
  <c r="D46" i="30"/>
  <c r="D266" i="30"/>
  <c r="H222" i="31"/>
  <c r="H46" i="32"/>
  <c r="H38" i="32"/>
  <c r="D225" i="45"/>
  <c r="H25" i="30"/>
  <c r="O313" i="7"/>
  <c r="H69" i="32"/>
  <c r="H124" i="32"/>
  <c r="H322" i="31"/>
  <c r="D46" i="32"/>
  <c r="H178" i="32"/>
  <c r="H197" i="30"/>
  <c r="D61" i="30"/>
  <c r="H194" i="32"/>
  <c r="H248" i="32"/>
  <c r="D138" i="45"/>
  <c r="D27" i="32"/>
  <c r="H347" i="32"/>
  <c r="H271" i="30"/>
  <c r="D126" i="7"/>
  <c r="D72" i="30"/>
  <c r="D70" i="45"/>
  <c r="D58" i="45"/>
  <c r="H336" i="32"/>
  <c r="O564" i="7"/>
  <c r="D42" i="45"/>
  <c r="D202" i="30"/>
  <c r="D140" i="30"/>
  <c r="H40" i="30"/>
  <c r="H143" i="45"/>
  <c r="H24" i="30"/>
  <c r="H339" i="32"/>
  <c r="H76" i="45"/>
  <c r="D348" i="30"/>
  <c r="D407" i="30"/>
  <c r="D85" i="32"/>
  <c r="D148" i="30"/>
  <c r="D120" i="30"/>
  <c r="D419" i="30"/>
  <c r="H405" i="32"/>
  <c r="D80" i="30"/>
  <c r="H266" i="32"/>
  <c r="D7" i="32"/>
  <c r="D103" i="32"/>
  <c r="D393" i="32"/>
  <c r="H217" i="30"/>
  <c r="H223" i="31"/>
  <c r="D10" i="45"/>
  <c r="H308" i="31"/>
  <c r="H471" i="32"/>
  <c r="D6" i="30"/>
  <c r="D279" i="30"/>
  <c r="D450" i="7"/>
  <c r="D247" i="45"/>
  <c r="D45" i="32"/>
  <c r="D364" i="30"/>
  <c r="H307" i="32"/>
  <c r="D249" i="32"/>
  <c r="D182" i="45"/>
  <c r="H368" i="32"/>
  <c r="H400" i="30"/>
  <c r="O280" i="7"/>
  <c r="H144" i="32"/>
  <c r="H281" i="32"/>
  <c r="H250" i="30"/>
  <c r="H53" i="32"/>
  <c r="D302" i="30"/>
  <c r="H56" i="45"/>
  <c r="D251" i="30"/>
  <c r="H176" i="45"/>
  <c r="H311" i="31"/>
  <c r="H11" i="32"/>
  <c r="H85" i="32"/>
  <c r="H254" i="45"/>
  <c r="H195" i="30"/>
  <c r="H233" i="30"/>
  <c r="H328" i="30"/>
  <c r="H157" i="30"/>
  <c r="H17" i="30"/>
  <c r="H301" i="30"/>
  <c r="H239" i="45"/>
  <c r="H286" i="31"/>
  <c r="D256" i="45"/>
  <c r="H77" i="45"/>
  <c r="H246" i="32"/>
  <c r="D37" i="30"/>
  <c r="H30" i="30"/>
  <c r="H182" i="31"/>
  <c r="D73" i="30"/>
  <c r="D311" i="30"/>
  <c r="D67" i="45"/>
  <c r="D132" i="32"/>
  <c r="H312" i="30"/>
  <c r="H158" i="32"/>
  <c r="H384" i="32"/>
  <c r="H420" i="30"/>
  <c r="H359" i="32"/>
  <c r="D265" i="32"/>
  <c r="D195" i="32"/>
  <c r="D84" i="45"/>
  <c r="D183" i="30"/>
  <c r="H198" i="32"/>
  <c r="D161" i="30"/>
  <c r="O76" i="7"/>
  <c r="H189" i="32"/>
  <c r="H418" i="32"/>
  <c r="H265" i="30"/>
  <c r="D88" i="30"/>
  <c r="D23" i="30"/>
  <c r="D158" i="30"/>
  <c r="D234" i="45"/>
  <c r="H78" i="30"/>
  <c r="H192" i="32"/>
  <c r="H61" i="45"/>
  <c r="H28" i="32"/>
  <c r="H423" i="30"/>
  <c r="D288" i="30"/>
  <c r="H450" i="32"/>
  <c r="D227" i="45"/>
  <c r="H514" i="32"/>
  <c r="D192" i="30"/>
  <c r="D481" i="7"/>
  <c r="D165" i="7"/>
  <c r="O51" i="7"/>
  <c r="H424" i="32"/>
  <c r="D306" i="30"/>
  <c r="D357" i="30"/>
  <c r="D474" i="32"/>
  <c r="D179" i="30"/>
  <c r="H193" i="32"/>
  <c r="H20" i="30"/>
  <c r="D376" i="30"/>
  <c r="D309" i="30"/>
  <c r="H186" i="32"/>
  <c r="D231" i="45"/>
  <c r="D118" i="30"/>
  <c r="D28" i="45"/>
  <c r="H421" i="32"/>
  <c r="D349" i="32"/>
  <c r="H423" i="32"/>
  <c r="D81" i="32"/>
  <c r="D226" i="45"/>
  <c r="D177" i="30"/>
  <c r="H52" i="32"/>
  <c r="H370" i="32"/>
  <c r="H315" i="31"/>
  <c r="H335" i="30"/>
  <c r="O480" i="7"/>
  <c r="H357" i="30"/>
  <c r="D52" i="30"/>
  <c r="D54" i="32"/>
  <c r="D236" i="45"/>
  <c r="D56" i="7"/>
  <c r="H184" i="30"/>
  <c r="H512" i="32"/>
  <c r="D355" i="32"/>
  <c r="H208" i="32"/>
  <c r="H101" i="30"/>
  <c r="H316" i="30"/>
  <c r="H211" i="32"/>
  <c r="D93" i="30"/>
  <c r="H224" i="30"/>
  <c r="H138" i="30"/>
  <c r="D76" i="30"/>
  <c r="D229" i="32"/>
  <c r="H77" i="32"/>
  <c r="D161" i="45"/>
  <c r="D409" i="32"/>
  <c r="H230" i="30"/>
  <c r="H103" i="30"/>
  <c r="D64" i="30"/>
  <c r="D122" i="45"/>
  <c r="D181" i="30"/>
  <c r="H371" i="32"/>
  <c r="D254" i="45"/>
  <c r="D262" i="45"/>
  <c r="D307" i="30"/>
  <c r="D14" i="32"/>
  <c r="H35" i="32"/>
  <c r="D241" i="31"/>
  <c r="D76" i="7"/>
  <c r="D253" i="30"/>
  <c r="H268" i="31"/>
  <c r="H257" i="30"/>
  <c r="H119" i="30"/>
  <c r="H298" i="45"/>
  <c r="D36" i="32"/>
  <c r="O497" i="7"/>
  <c r="H280" i="32"/>
  <c r="D190" i="30"/>
  <c r="D335" i="30"/>
  <c r="H279" i="30"/>
  <c r="D366" i="30"/>
  <c r="D3" i="30"/>
  <c r="H16" i="30"/>
  <c r="H359" i="30"/>
  <c r="H421" i="30"/>
  <c r="H71" i="30"/>
  <c r="H231" i="45"/>
  <c r="D101" i="32"/>
  <c r="H49" i="30"/>
  <c r="D284" i="30"/>
  <c r="H89" i="32"/>
  <c r="H2" i="30"/>
  <c r="H396" i="32"/>
  <c r="D201" i="30"/>
  <c r="D532" i="7"/>
  <c r="H118" i="30"/>
  <c r="H394" i="30"/>
  <c r="D248" i="45"/>
  <c r="D417" i="32"/>
  <c r="H249" i="31"/>
  <c r="H67" i="32"/>
  <c r="D294" i="30"/>
  <c r="D244" i="30"/>
  <c r="H232" i="31"/>
  <c r="D151" i="30"/>
  <c r="H50" i="30"/>
  <c r="D75" i="45"/>
  <c r="H200" i="32"/>
  <c r="D313" i="32"/>
  <c r="D286" i="30"/>
  <c r="H54" i="30"/>
  <c r="D142" i="30"/>
  <c r="H321" i="30"/>
  <c r="D412" i="32"/>
  <c r="H245" i="45"/>
  <c r="H427" i="32"/>
  <c r="H468" i="32"/>
  <c r="D221" i="30"/>
  <c r="D288" i="45"/>
  <c r="H463" i="32"/>
  <c r="D69" i="30"/>
  <c r="H58" i="45"/>
  <c r="D107" i="45"/>
  <c r="D140" i="7"/>
  <c r="D415" i="32"/>
  <c r="D2" i="30"/>
  <c r="D369" i="32"/>
  <c r="D212" i="30"/>
  <c r="D152" i="30"/>
  <c r="H32" i="30"/>
  <c r="D117" i="30"/>
  <c r="D390" i="32"/>
  <c r="D251" i="31"/>
  <c r="H488" i="32"/>
  <c r="H340" i="32"/>
  <c r="D44" i="32"/>
  <c r="H363" i="32"/>
  <c r="H438" i="32"/>
  <c r="H179" i="45"/>
  <c r="D213" i="45"/>
  <c r="D24" i="45"/>
  <c r="D314" i="30"/>
  <c r="D143" i="32"/>
  <c r="H59" i="32"/>
  <c r="D47" i="45"/>
  <c r="D294" i="32"/>
  <c r="H162" i="32"/>
  <c r="H109" i="32"/>
  <c r="D369" i="30"/>
  <c r="D330" i="30"/>
  <c r="H97" i="32"/>
  <c r="H83" i="30"/>
  <c r="H254" i="31"/>
  <c r="D19" i="32"/>
  <c r="H247" i="45"/>
  <c r="D249" i="31"/>
  <c r="H274" i="31"/>
  <c r="D346" i="30"/>
  <c r="H370" i="30"/>
  <c r="D191" i="30"/>
  <c r="H256" i="45"/>
  <c r="D170" i="30"/>
  <c r="D19" i="45"/>
  <c r="D56" i="45"/>
  <c r="D305" i="32"/>
  <c r="D183" i="45"/>
  <c r="D257" i="32"/>
  <c r="H307" i="31"/>
  <c r="D39" i="7"/>
  <c r="H82" i="32"/>
  <c r="D166" i="30"/>
  <c r="O56" i="7"/>
  <c r="D110" i="30"/>
  <c r="D15" i="45"/>
  <c r="D402" i="30"/>
  <c r="D232" i="45"/>
  <c r="D215" i="32"/>
  <c r="D236" i="32"/>
  <c r="H132" i="32"/>
  <c r="D176" i="45"/>
  <c r="H80" i="30"/>
  <c r="H165" i="30"/>
  <c r="H167" i="31"/>
  <c r="H188" i="32"/>
  <c r="D332" i="7"/>
  <c r="H353" i="30"/>
  <c r="H472" i="32"/>
  <c r="H113" i="30"/>
  <c r="H254" i="32"/>
  <c r="H308" i="30"/>
  <c r="D126" i="30"/>
  <c r="D53" i="30"/>
  <c r="D412" i="30"/>
  <c r="H354" i="30"/>
  <c r="H26" i="32"/>
  <c r="H55" i="32"/>
  <c r="H303" i="30"/>
  <c r="H92" i="30"/>
  <c r="H288" i="30"/>
  <c r="H319" i="31"/>
  <c r="H193" i="30"/>
  <c r="H241" i="32"/>
  <c r="H132" i="30"/>
  <c r="H80" i="32"/>
  <c r="D235" i="32"/>
  <c r="H382" i="32"/>
  <c r="H204" i="31"/>
  <c r="O47" i="7"/>
  <c r="H211" i="30"/>
  <c r="H460" i="32"/>
  <c r="H88" i="30"/>
  <c r="H430" i="32"/>
  <c r="H395" i="30"/>
  <c r="H45" i="32"/>
  <c r="H351" i="32"/>
  <c r="D235" i="30"/>
  <c r="D359" i="32"/>
  <c r="H337" i="32"/>
  <c r="D94" i="30"/>
  <c r="D173" i="30"/>
  <c r="H291" i="31"/>
  <c r="D121" i="30"/>
  <c r="D104" i="32"/>
  <c r="D320" i="32"/>
  <c r="D400" i="30"/>
  <c r="D275" i="30"/>
  <c r="H300" i="45"/>
  <c r="H508" i="32"/>
  <c r="H346" i="32"/>
  <c r="D94" i="32"/>
  <c r="H444" i="32"/>
  <c r="D116" i="30"/>
  <c r="H271" i="32"/>
  <c r="H91" i="30"/>
  <c r="D84" i="30"/>
  <c r="H68" i="30"/>
  <c r="H245" i="30"/>
  <c r="D247" i="30"/>
  <c r="H18" i="30"/>
  <c r="D284" i="45"/>
  <c r="D158" i="32"/>
  <c r="D240" i="45"/>
  <c r="D347" i="30"/>
  <c r="H11" i="45"/>
  <c r="D197" i="32"/>
  <c r="H326" i="32"/>
  <c r="D125" i="30"/>
  <c r="H107" i="45"/>
  <c r="H443" i="32"/>
  <c r="D168" i="45"/>
  <c r="D20" i="30"/>
  <c r="H342" i="32"/>
  <c r="D392" i="30"/>
  <c r="H477" i="32"/>
  <c r="D205" i="32"/>
  <c r="D243" i="30"/>
  <c r="D214" i="30"/>
  <c r="H23" i="32"/>
  <c r="D91" i="30"/>
  <c r="D137" i="32"/>
  <c r="H456" i="32"/>
  <c r="D64" i="32"/>
  <c r="H70" i="30"/>
  <c r="D40" i="30"/>
  <c r="D232" i="30"/>
  <c r="D68" i="30"/>
  <c r="H437" i="32"/>
  <c r="D123" i="30"/>
  <c r="D63" i="32"/>
  <c r="H311" i="32"/>
  <c r="H117" i="30"/>
  <c r="D371" i="32"/>
  <c r="H238" i="32"/>
  <c r="H139" i="30"/>
  <c r="D87" i="32"/>
  <c r="H239" i="31"/>
  <c r="H21" i="32"/>
  <c r="H342" i="30"/>
  <c r="D174" i="30"/>
  <c r="D6" i="45"/>
  <c r="D7" i="30"/>
  <c r="D154" i="30"/>
  <c r="H92" i="32"/>
  <c r="H225" i="32"/>
  <c r="H459" i="32"/>
  <c r="H71" i="32"/>
  <c r="H301" i="32"/>
  <c r="D111" i="30"/>
  <c r="D167" i="30"/>
  <c r="D75" i="32"/>
  <c r="H410" i="32"/>
  <c r="H257" i="32"/>
  <c r="D92" i="30"/>
  <c r="D11" i="45"/>
  <c r="H408" i="32"/>
  <c r="H309" i="32"/>
  <c r="H12" i="30"/>
  <c r="H226" i="32"/>
  <c r="H334" i="32"/>
  <c r="D163" i="45"/>
  <c r="D404" i="30"/>
  <c r="D147" i="30"/>
  <c r="H343" i="30"/>
  <c r="H161" i="45"/>
  <c r="H32" i="32"/>
  <c r="H106" i="30"/>
  <c r="D50" i="30"/>
  <c r="H167" i="32"/>
  <c r="D421" i="32"/>
  <c r="H74" i="30"/>
  <c r="D10" i="32"/>
  <c r="H288" i="31"/>
  <c r="H391" i="30"/>
  <c r="H111" i="32"/>
  <c r="H56" i="32"/>
  <c r="H504" i="32"/>
  <c r="H230" i="32"/>
  <c r="H175" i="30"/>
  <c r="H379" i="32"/>
  <c r="H497" i="32"/>
  <c r="H126" i="32"/>
  <c r="D102" i="7"/>
  <c r="H306" i="30"/>
  <c r="H467" i="32"/>
  <c r="D336" i="30"/>
  <c r="H146" i="32"/>
  <c r="H192" i="30"/>
  <c r="H316" i="32"/>
  <c r="H86" i="30"/>
  <c r="O317" i="7"/>
  <c r="D164" i="45"/>
  <c r="H171" i="32"/>
  <c r="H505" i="32"/>
  <c r="H251" i="31"/>
  <c r="D261" i="30"/>
  <c r="D162" i="30"/>
  <c r="D5" i="30"/>
  <c r="D115" i="45"/>
  <c r="D431" i="7"/>
  <c r="D175" i="30"/>
  <c r="H329" i="30"/>
  <c r="H315" i="32"/>
  <c r="D271" i="30"/>
  <c r="D135" i="32"/>
  <c r="D11" i="32"/>
  <c r="D319" i="30"/>
  <c r="D393" i="30"/>
  <c r="D9" i="45"/>
  <c r="D239" i="45"/>
  <c r="D323" i="30"/>
  <c r="H499" i="32"/>
  <c r="D28" i="30"/>
  <c r="H411" i="32"/>
  <c r="D16" i="32"/>
  <c r="D24" i="30"/>
  <c r="D87" i="30"/>
  <c r="D7" i="45"/>
  <c r="H389" i="32"/>
  <c r="D157" i="30"/>
  <c r="O111" i="7"/>
  <c r="D21" i="32"/>
  <c r="D39" i="32"/>
  <c r="O288" i="7"/>
  <c r="D410" i="32"/>
  <c r="H159" i="32"/>
  <c r="D368" i="30"/>
  <c r="D146" i="30"/>
  <c r="H120" i="32"/>
  <c r="D262" i="30"/>
  <c r="D171" i="30"/>
  <c r="D103" i="45"/>
  <c r="D477" i="7"/>
  <c r="D259" i="30"/>
  <c r="O146" i="7"/>
  <c r="D329" i="32"/>
  <c r="H511" i="32"/>
  <c r="D33" i="32"/>
  <c r="H184" i="31"/>
  <c r="H87" i="32"/>
  <c r="D77" i="45"/>
  <c r="D166" i="32"/>
  <c r="D285" i="45"/>
  <c r="D22" i="45"/>
  <c r="H453" i="32"/>
  <c r="D382" i="30"/>
  <c r="D115" i="30"/>
  <c r="H218" i="30"/>
  <c r="H130" i="30"/>
  <c r="H264" i="32"/>
  <c r="H317" i="30"/>
  <c r="H258" i="30"/>
  <c r="H295" i="30"/>
  <c r="H18" i="45"/>
  <c r="D245" i="45"/>
  <c r="H147" i="30"/>
  <c r="H102" i="45"/>
  <c r="H356" i="32"/>
  <c r="H73" i="30"/>
  <c r="D434" i="32"/>
  <c r="D303" i="30"/>
  <c r="H299" i="31"/>
  <c r="D263" i="30"/>
  <c r="H242" i="32"/>
  <c r="H269" i="30"/>
  <c r="H166" i="30"/>
  <c r="H196" i="30"/>
  <c r="O22" i="7"/>
  <c r="D258" i="30"/>
  <c r="H322" i="30"/>
  <c r="H36" i="32"/>
  <c r="H288" i="32"/>
  <c r="H235" i="30"/>
  <c r="H377" i="32"/>
  <c r="H16" i="32"/>
  <c r="H48" i="45"/>
  <c r="H76" i="32"/>
  <c r="H213" i="32"/>
  <c r="D329" i="30"/>
  <c r="H186" i="30"/>
  <c r="H233" i="32"/>
  <c r="D126" i="45"/>
  <c r="H47" i="30"/>
  <c r="D137" i="30"/>
  <c r="H72" i="45"/>
  <c r="D200" i="30"/>
  <c r="H338" i="32"/>
  <c r="D34" i="30"/>
  <c r="O164" i="7"/>
  <c r="D63" i="45"/>
  <c r="H178" i="31"/>
  <c r="H272" i="30"/>
  <c r="H112" i="32"/>
  <c r="H37" i="30"/>
  <c r="H282" i="32"/>
  <c r="H430" i="30"/>
  <c r="D397" i="30"/>
  <c r="H64" i="45"/>
  <c r="H42" i="32"/>
  <c r="H243" i="32"/>
  <c r="H95" i="32"/>
  <c r="H317" i="32"/>
  <c r="H493" i="32"/>
  <c r="H303" i="45"/>
  <c r="H314" i="32"/>
  <c r="H187" i="30"/>
  <c r="D170" i="45"/>
  <c r="H510" i="32"/>
  <c r="D317" i="32"/>
  <c r="H160" i="30"/>
  <c r="H138" i="32"/>
  <c r="H68" i="32"/>
  <c r="D204" i="32"/>
  <c r="H232" i="45"/>
  <c r="H344" i="30"/>
  <c r="H167" i="30"/>
  <c r="H367" i="30"/>
  <c r="H265" i="32"/>
  <c r="H67" i="30"/>
  <c r="H498" i="32"/>
  <c r="H255" i="31"/>
  <c r="H229" i="45"/>
  <c r="D317" i="30"/>
  <c r="D138" i="30"/>
  <c r="D360" i="30"/>
  <c r="D30" i="30"/>
  <c r="H231" i="30"/>
  <c r="H48" i="30"/>
  <c r="H85" i="30"/>
  <c r="H119" i="32"/>
  <c r="D8" i="30"/>
  <c r="D18" i="45"/>
  <c r="H76" i="30"/>
  <c r="D190" i="45"/>
  <c r="H513" i="32"/>
  <c r="D44" i="30"/>
  <c r="H251" i="32"/>
  <c r="H116" i="30"/>
  <c r="H133" i="45"/>
  <c r="H322" i="32"/>
  <c r="D236" i="30"/>
  <c r="D32" i="30"/>
  <c r="D97" i="45"/>
  <c r="D258" i="45"/>
  <c r="O433" i="7"/>
  <c r="D163" i="30"/>
  <c r="H476" i="32"/>
  <c r="D301" i="30"/>
  <c r="D104" i="30"/>
  <c r="D525" i="7"/>
  <c r="H386" i="30"/>
  <c r="D381" i="30"/>
  <c r="D14" i="30"/>
  <c r="H234" i="32"/>
  <c r="D324" i="30"/>
  <c r="H274" i="30"/>
  <c r="H188" i="31"/>
  <c r="O147" i="7"/>
  <c r="O467" i="7"/>
  <c r="D95" i="32"/>
  <c r="D102" i="32"/>
  <c r="D245" i="30"/>
  <c r="D248" i="30"/>
  <c r="D20" i="45"/>
  <c r="D198" i="30"/>
  <c r="H323" i="32"/>
  <c r="H220" i="31"/>
  <c r="D51" i="32"/>
  <c r="D5" i="32"/>
  <c r="H151" i="32"/>
  <c r="D155" i="32"/>
  <c r="D292" i="30"/>
  <c r="H156" i="32"/>
  <c r="D304" i="30"/>
  <c r="H224" i="32"/>
  <c r="D18" i="30"/>
  <c r="H286" i="30"/>
  <c r="H345" i="30"/>
  <c r="D268" i="30"/>
  <c r="H291" i="30"/>
  <c r="H351" i="30"/>
  <c r="H299" i="30"/>
  <c r="H323" i="30"/>
  <c r="H125" i="30"/>
  <c r="D338" i="30"/>
  <c r="H206" i="32"/>
  <c r="H380" i="32"/>
  <c r="D26" i="32"/>
  <c r="H165" i="31"/>
  <c r="H496" i="32"/>
  <c r="H84" i="32"/>
  <c r="H325" i="32"/>
  <c r="D349" i="7"/>
  <c r="H5" i="32"/>
  <c r="H14" i="30"/>
  <c r="D353" i="30"/>
  <c r="D74" i="45"/>
  <c r="H280" i="30"/>
  <c r="H327" i="30"/>
  <c r="H173" i="32"/>
  <c r="H163" i="45"/>
  <c r="H245" i="31"/>
  <c r="D53" i="32"/>
  <c r="H109" i="45"/>
  <c r="H112" i="30"/>
  <c r="H108" i="32"/>
  <c r="H194" i="31"/>
  <c r="D75" i="30"/>
  <c r="H386" i="32"/>
  <c r="H249" i="32"/>
  <c r="H419" i="32"/>
  <c r="H67" i="45"/>
  <c r="D300" i="30"/>
  <c r="H372" i="30"/>
  <c r="H74" i="45"/>
  <c r="D231" i="30"/>
  <c r="D225" i="30"/>
  <c r="H404" i="32"/>
  <c r="H424" i="30"/>
  <c r="H46" i="30"/>
  <c r="D337" i="32"/>
  <c r="H304" i="45"/>
  <c r="H409" i="32"/>
  <c r="O126" i="7"/>
  <c r="H502" i="32"/>
  <c r="D11" i="30"/>
  <c r="H302" i="32"/>
  <c r="H297" i="30"/>
  <c r="D18" i="32"/>
  <c r="H407" i="32"/>
  <c r="H251" i="30"/>
  <c r="H190" i="30"/>
  <c r="D71" i="30"/>
  <c r="D22" i="30"/>
  <c r="D28" i="32"/>
  <c r="H422" i="32"/>
  <c r="H176" i="32"/>
  <c r="H262" i="30"/>
  <c r="H289" i="30"/>
  <c r="H138" i="45"/>
  <c r="H244" i="32"/>
  <c r="H150" i="32"/>
  <c r="H433" i="32"/>
  <c r="H47" i="32"/>
  <c r="H149" i="30"/>
  <c r="H389" i="30"/>
  <c r="H42" i="30"/>
  <c r="H479" i="32"/>
  <c r="H181" i="30"/>
  <c r="H208" i="30"/>
  <c r="H6" i="30"/>
  <c r="D272" i="30"/>
  <c r="D35" i="30"/>
  <c r="D194" i="45"/>
  <c r="D160" i="30"/>
  <c r="D389" i="30"/>
  <c r="D188" i="30"/>
  <c r="H377" i="30"/>
  <c r="H6" i="32"/>
  <c r="H357" i="32"/>
  <c r="D189" i="30"/>
  <c r="D418" i="30"/>
  <c r="H98" i="30"/>
  <c r="D41" i="30"/>
  <c r="D99" i="30"/>
  <c r="D342" i="30"/>
  <c r="H109" i="30"/>
  <c r="D146" i="7"/>
  <c r="H143" i="32"/>
  <c r="H169" i="45"/>
  <c r="H306" i="31"/>
  <c r="D119" i="45"/>
  <c r="D276" i="30"/>
  <c r="D188" i="32"/>
  <c r="D339" i="30"/>
  <c r="H381" i="32"/>
  <c r="H376" i="32"/>
  <c r="H360" i="30"/>
  <c r="D12" i="30"/>
  <c r="D425" i="30"/>
  <c r="D408" i="30"/>
  <c r="H366" i="32"/>
  <c r="D195" i="30"/>
  <c r="H110" i="30"/>
  <c r="H352" i="32"/>
  <c r="H41" i="30"/>
  <c r="H313" i="31"/>
  <c r="D97" i="30"/>
  <c r="H65" i="30"/>
  <c r="D56" i="30"/>
  <c r="H27" i="32"/>
  <c r="H81" i="45"/>
  <c r="H276" i="32"/>
  <c r="H154" i="32"/>
  <c r="H177" i="30"/>
  <c r="D172" i="45"/>
  <c r="D86" i="30"/>
  <c r="H153" i="30"/>
  <c r="H383" i="30"/>
  <c r="D193" i="30"/>
  <c r="H234" i="30"/>
  <c r="H172" i="45"/>
  <c r="D241" i="30"/>
  <c r="H124" i="30"/>
  <c r="H298" i="32"/>
  <c r="H126" i="30"/>
  <c r="D362" i="30"/>
  <c r="D62" i="30"/>
  <c r="H241" i="30"/>
  <c r="H475" i="32"/>
  <c r="D39" i="30"/>
  <c r="H89" i="30"/>
  <c r="D241" i="45"/>
  <c r="H319" i="32"/>
  <c r="H397" i="30"/>
  <c r="H172" i="32"/>
  <c r="O261" i="7"/>
  <c r="H228" i="32"/>
  <c r="H336" i="30"/>
  <c r="H234" i="45"/>
  <c r="H267" i="32"/>
  <c r="H94" i="32"/>
  <c r="O496" i="7"/>
  <c r="H179" i="30"/>
  <c r="D155" i="30"/>
  <c r="H43" i="30"/>
  <c r="H74" i="32"/>
  <c r="H251" i="45"/>
  <c r="D325" i="30"/>
  <c r="H38" i="30"/>
  <c r="H93" i="32"/>
  <c r="H253" i="32"/>
  <c r="H136" i="32"/>
  <c r="H211" i="45"/>
  <c r="D367" i="7"/>
  <c r="H72" i="30"/>
  <c r="H305" i="31"/>
  <c r="D318" i="30"/>
  <c r="H304" i="32"/>
  <c r="D143" i="30"/>
  <c r="H98" i="32"/>
  <c r="H298" i="31"/>
  <c r="H78" i="32"/>
  <c r="H452" i="32"/>
  <c r="H13" i="30"/>
  <c r="H348" i="30"/>
  <c r="D95" i="30"/>
  <c r="D258" i="32"/>
  <c r="D66" i="45"/>
  <c r="H368" i="30"/>
  <c r="H356" i="30"/>
  <c r="H6" i="45"/>
  <c r="H140" i="32"/>
  <c r="H70" i="32"/>
  <c r="H275" i="32"/>
  <c r="H426" i="32"/>
  <c r="H287" i="31"/>
  <c r="H323" i="31"/>
  <c r="H154" i="30"/>
  <c r="H208" i="45"/>
  <c r="H63" i="32"/>
  <c r="H355" i="30"/>
  <c r="H140" i="30"/>
  <c r="H392" i="30"/>
  <c r="H294" i="32"/>
  <c r="H53" i="45"/>
  <c r="H441" i="32"/>
  <c r="H403" i="32"/>
  <c r="H87" i="30"/>
  <c r="H379" i="30"/>
  <c r="H84" i="30"/>
  <c r="H99" i="32"/>
  <c r="H60" i="30"/>
  <c r="H262" i="32"/>
  <c r="H212" i="30"/>
  <c r="H402" i="30"/>
  <c r="H39" i="30"/>
  <c r="H315" i="30"/>
  <c r="D358" i="30"/>
  <c r="H483" i="32"/>
  <c r="H232" i="30"/>
  <c r="H177" i="45"/>
  <c r="H292" i="31"/>
  <c r="H50" i="32"/>
  <c r="H294" i="31"/>
  <c r="H289" i="31"/>
  <c r="H431" i="32"/>
  <c r="D109" i="45"/>
  <c r="H91" i="32"/>
  <c r="H215" i="31"/>
  <c r="H209" i="31"/>
  <c r="D328" i="32"/>
  <c r="D415" i="30"/>
  <c r="H228" i="30"/>
  <c r="H273" i="32"/>
  <c r="D119" i="30"/>
  <c r="H337" i="30"/>
  <c r="D237" i="30"/>
  <c r="H299" i="32"/>
  <c r="D100" i="32"/>
  <c r="D89" i="30"/>
  <c r="H190" i="32"/>
  <c r="H57" i="30"/>
  <c r="D81" i="30"/>
  <c r="D50" i="32"/>
  <c r="D49" i="30"/>
  <c r="D386" i="30"/>
  <c r="D134" i="30"/>
  <c r="D406" i="30"/>
  <c r="H121" i="32"/>
  <c r="H158" i="30"/>
  <c r="D149" i="30"/>
  <c r="H200" i="30"/>
  <c r="D370" i="32"/>
  <c r="H164" i="45"/>
  <c r="H187" i="32"/>
  <c r="H272" i="32"/>
  <c r="H191" i="32"/>
  <c r="D326" i="30"/>
  <c r="H334" i="30"/>
  <c r="H189" i="30"/>
  <c r="H204" i="30"/>
  <c r="H8" i="32"/>
  <c r="H230" i="31"/>
  <c r="H34" i="32"/>
  <c r="O535" i="7"/>
  <c r="D230" i="30"/>
  <c r="H39" i="32"/>
  <c r="D365" i="32"/>
  <c r="H28" i="45"/>
  <c r="H290" i="32"/>
  <c r="D58" i="30"/>
  <c r="H29" i="32"/>
  <c r="H195" i="31"/>
  <c r="H331" i="30"/>
  <c r="H20" i="45"/>
  <c r="H75" i="45"/>
  <c r="H54" i="32"/>
  <c r="H163" i="30"/>
  <c r="H238" i="30"/>
  <c r="H374" i="32"/>
  <c r="H445" i="32"/>
  <c r="H81" i="32"/>
  <c r="H253" i="30"/>
  <c r="D31" i="32"/>
  <c r="D557" i="7"/>
  <c r="D335" i="32"/>
  <c r="D410" i="30"/>
  <c r="H100" i="32"/>
  <c r="H161" i="30"/>
  <c r="H96" i="32"/>
  <c r="H404" i="30"/>
  <c r="H369" i="30"/>
  <c r="H403" i="30"/>
  <c r="D136" i="30"/>
  <c r="H300" i="31"/>
  <c r="D72" i="45"/>
  <c r="H486" i="32"/>
  <c r="H114" i="32"/>
  <c r="H435" i="32"/>
  <c r="H216" i="30"/>
  <c r="H266" i="30"/>
  <c r="H495" i="32"/>
  <c r="H145" i="32"/>
  <c r="D356" i="30"/>
  <c r="H398" i="32"/>
  <c r="H415" i="32"/>
  <c r="D129" i="30"/>
  <c r="D100" i="30"/>
  <c r="D371" i="30"/>
  <c r="H244" i="30"/>
  <c r="D370" i="30"/>
  <c r="O344" i="7"/>
  <c r="D253" i="45"/>
  <c r="H86" i="32"/>
  <c r="H215" i="32"/>
  <c r="H19" i="32"/>
  <c r="H353" i="32"/>
  <c r="O120" i="7"/>
  <c r="D206" i="30"/>
  <c r="D348" i="32"/>
  <c r="D37" i="45"/>
  <c r="O59" i="7"/>
  <c r="D74" i="32"/>
  <c r="D108" i="30"/>
  <c r="D216" i="30"/>
  <c r="D349" i="30"/>
  <c r="D334" i="32"/>
  <c r="O69" i="7"/>
  <c r="D390" i="30"/>
  <c r="D8" i="45"/>
  <c r="H349" i="30"/>
  <c r="H360" i="32"/>
  <c r="H155" i="30"/>
  <c r="D316" i="30"/>
  <c r="D51" i="45"/>
  <c r="H66" i="30"/>
  <c r="D297" i="32"/>
  <c r="H33" i="30"/>
  <c r="H65" i="32"/>
  <c r="H202" i="31"/>
  <c r="H310" i="31"/>
  <c r="H410" i="30"/>
  <c r="H300" i="30"/>
  <c r="H417" i="32"/>
  <c r="D45" i="30"/>
  <c r="H194" i="30"/>
  <c r="D222" i="30"/>
  <c r="D204" i="30"/>
  <c r="H23" i="45"/>
  <c r="H227" i="32"/>
  <c r="D269" i="32"/>
  <c r="H319" i="30"/>
  <c r="D254" i="30"/>
  <c r="D4" i="30"/>
  <c r="H28" i="30"/>
  <c r="H254" i="30"/>
  <c r="H366" i="30"/>
  <c r="D218" i="30"/>
  <c r="H262" i="31"/>
  <c r="D377" i="32"/>
  <c r="H52" i="30"/>
  <c r="H367" i="32"/>
  <c r="D185" i="30"/>
  <c r="H283" i="30"/>
  <c r="D404" i="32"/>
  <c r="H33" i="32"/>
  <c r="H341" i="30"/>
  <c r="D361" i="30"/>
  <c r="H506" i="32"/>
  <c r="H365" i="30"/>
  <c r="H199" i="32"/>
  <c r="D106" i="30"/>
  <c r="D220" i="30"/>
  <c r="D256" i="30"/>
  <c r="H213" i="31"/>
  <c r="D352" i="30"/>
  <c r="H327" i="32"/>
  <c r="H142" i="32"/>
  <c r="H119" i="45"/>
  <c r="D69" i="45"/>
  <c r="H246" i="31"/>
  <c r="H276" i="30"/>
  <c r="H285" i="32"/>
  <c r="H148" i="32"/>
  <c r="H250" i="31"/>
  <c r="H429" i="30"/>
  <c r="H364" i="30"/>
  <c r="H206" i="30"/>
  <c r="H212" i="32"/>
  <c r="D332" i="30"/>
  <c r="H180" i="32"/>
  <c r="H229" i="30"/>
  <c r="H413" i="32"/>
  <c r="H13" i="45"/>
  <c r="H252" i="31"/>
  <c r="D344" i="7"/>
  <c r="H131" i="32"/>
  <c r="H63" i="30"/>
  <c r="H170" i="32"/>
  <c r="H189" i="31"/>
  <c r="H91" i="45"/>
  <c r="O140" i="7"/>
  <c r="H305" i="32"/>
  <c r="H60" i="32"/>
  <c r="H326" i="30"/>
  <c r="H361" i="32"/>
  <c r="H401" i="30"/>
  <c r="H494" i="32"/>
  <c r="H393" i="30"/>
  <c r="H61" i="30"/>
  <c r="H293" i="31"/>
  <c r="H45" i="30"/>
  <c r="H163" i="31"/>
  <c r="H262" i="45"/>
  <c r="H330" i="30"/>
  <c r="H264" i="30"/>
  <c r="H234" i="31"/>
  <c r="H4" i="30"/>
  <c r="H261" i="32"/>
  <c r="H197" i="32"/>
  <c r="H313" i="30"/>
  <c r="H245" i="32"/>
  <c r="H190" i="31"/>
  <c r="H29" i="30"/>
  <c r="H222" i="30"/>
  <c r="H316" i="31"/>
  <c r="H268" i="30"/>
  <c r="H480" i="32"/>
  <c r="H470" i="32"/>
  <c r="H350" i="30"/>
  <c r="H346" i="30"/>
  <c r="D249" i="30"/>
  <c r="H358" i="30"/>
  <c r="H277" i="32"/>
  <c r="D34" i="32"/>
  <c r="D42" i="30"/>
  <c r="H107" i="30"/>
  <c r="H203" i="32"/>
  <c r="H18" i="32"/>
  <c r="D133" i="30"/>
  <c r="H324" i="30"/>
  <c r="D334" i="30"/>
  <c r="H221" i="31"/>
  <c r="H271" i="31"/>
  <c r="H55" i="30"/>
  <c r="H426" i="30"/>
  <c r="H295" i="31"/>
  <c r="D290" i="30"/>
  <c r="H422" i="30"/>
  <c r="D226" i="30"/>
  <c r="D178" i="30"/>
  <c r="D207" i="30"/>
  <c r="H248" i="31"/>
  <c r="D55" i="30"/>
  <c r="H372" i="32"/>
  <c r="D375" i="30"/>
  <c r="D287" i="30"/>
  <c r="D280" i="32"/>
  <c r="D55" i="32"/>
  <c r="D48" i="45"/>
  <c r="H36" i="30"/>
  <c r="D414" i="30"/>
  <c r="D6" i="32"/>
  <c r="D109" i="30"/>
  <c r="H228" i="31"/>
  <c r="D297" i="30"/>
  <c r="H182" i="30"/>
  <c r="H66" i="32"/>
  <c r="H335" i="32"/>
  <c r="D23" i="45"/>
  <c r="D237" i="45"/>
  <c r="H43" i="32"/>
  <c r="H22" i="45"/>
  <c r="H199" i="30"/>
  <c r="H224" i="31"/>
  <c r="H56" i="30"/>
  <c r="H320" i="32"/>
  <c r="H378" i="32"/>
  <c r="H313" i="32"/>
  <c r="H51" i="32"/>
  <c r="D122" i="30"/>
  <c r="O127" i="7"/>
  <c r="D273" i="30"/>
  <c r="H144" i="30"/>
  <c r="H185" i="32"/>
  <c r="H380" i="30"/>
  <c r="D63" i="30"/>
  <c r="H247" i="30"/>
  <c r="H237" i="45"/>
  <c r="H203" i="31"/>
  <c r="H465" i="32"/>
  <c r="H303" i="31"/>
  <c r="H14" i="32"/>
  <c r="H201" i="32"/>
  <c r="H207" i="32"/>
  <c r="H449" i="32"/>
  <c r="H21" i="30"/>
  <c r="H332" i="32"/>
  <c r="H373" i="30"/>
  <c r="H247" i="32"/>
  <c r="H31" i="32"/>
  <c r="H256" i="30"/>
  <c r="H69" i="30"/>
  <c r="H108" i="30"/>
  <c r="H19" i="30"/>
  <c r="H448" i="32"/>
  <c r="H387" i="32"/>
  <c r="H296" i="32"/>
  <c r="H348" i="32"/>
  <c r="D57" i="30"/>
  <c r="H221" i="30"/>
  <c r="H190" i="45"/>
  <c r="H123" i="32"/>
  <c r="H194" i="45"/>
  <c r="H107" i="32"/>
  <c r="H10" i="30"/>
  <c r="H147" i="45"/>
  <c r="D127" i="30"/>
  <c r="H49" i="32"/>
  <c r="H207" i="30"/>
  <c r="H500" i="32"/>
  <c r="H97" i="30"/>
  <c r="H168" i="31"/>
  <c r="D96" i="30"/>
  <c r="H150" i="30"/>
  <c r="D43" i="30"/>
  <c r="D385" i="30"/>
  <c r="D128" i="45"/>
  <c r="H134" i="30"/>
  <c r="D74" i="30"/>
  <c r="D233" i="30"/>
  <c r="H196" i="32"/>
  <c r="D197" i="30"/>
  <c r="D159" i="30"/>
  <c r="D29" i="30"/>
  <c r="H73" i="32"/>
  <c r="H215" i="30"/>
  <c r="D238" i="30"/>
  <c r="H310" i="30"/>
  <c r="H164" i="30"/>
  <c r="D421" i="30"/>
  <c r="H233" i="31"/>
  <c r="H349" i="32"/>
  <c r="H104" i="32"/>
  <c r="H209" i="32"/>
  <c r="H216" i="32"/>
  <c r="H182" i="32"/>
  <c r="H384" i="30"/>
  <c r="D317" i="7"/>
  <c r="D219" i="30"/>
  <c r="H223" i="30"/>
  <c r="H464" i="32"/>
  <c r="H293" i="30"/>
  <c r="D203" i="30"/>
  <c r="H345" i="32"/>
  <c r="D296" i="30"/>
  <c r="D103" i="30"/>
  <c r="H490" i="32"/>
  <c r="H99" i="30"/>
  <c r="H188" i="30"/>
  <c r="D255" i="30"/>
  <c r="D147" i="45"/>
  <c r="D124" i="30"/>
  <c r="H416" i="30"/>
  <c r="D388" i="30"/>
  <c r="D51" i="30"/>
  <c r="H7" i="30"/>
  <c r="H236" i="30"/>
  <c r="H225" i="31"/>
  <c r="H41" i="45"/>
  <c r="D216" i="45"/>
  <c r="D31" i="30"/>
  <c r="H83" i="32"/>
  <c r="H4" i="32"/>
  <c r="D344" i="30"/>
  <c r="D214" i="45"/>
  <c r="D78" i="30"/>
  <c r="D85" i="30"/>
  <c r="D113" i="30"/>
  <c r="D215" i="30"/>
  <c r="D343" i="30"/>
  <c r="D305" i="30"/>
  <c r="H331" i="32"/>
  <c r="O161" i="7"/>
  <c r="D378" i="30"/>
  <c r="D64" i="45"/>
  <c r="D302" i="7"/>
  <c r="D327" i="30"/>
  <c r="D276" i="32"/>
  <c r="H137" i="30"/>
  <c r="D241" i="32"/>
  <c r="D83" i="30"/>
  <c r="D60" i="30"/>
  <c r="H172" i="30"/>
  <c r="H425" i="30"/>
  <c r="H296" i="30"/>
  <c r="D291" i="32"/>
  <c r="H466" i="32"/>
  <c r="H166" i="32"/>
  <c r="D112" i="30"/>
  <c r="H122" i="32"/>
  <c r="H281" i="30"/>
  <c r="D16" i="7"/>
  <c r="D205" i="30"/>
  <c r="H7" i="32"/>
  <c r="H216" i="31"/>
  <c r="H48" i="32"/>
  <c r="H446" i="32"/>
  <c r="H237" i="32"/>
  <c r="D70" i="30"/>
  <c r="H339" i="30"/>
  <c r="H332" i="30"/>
  <c r="H131" i="30"/>
  <c r="D130" i="32"/>
  <c r="D77" i="30"/>
  <c r="D47" i="32"/>
  <c r="H328" i="32"/>
  <c r="D180" i="30"/>
  <c r="H388" i="32"/>
  <c r="H5" i="30"/>
  <c r="O500" i="7"/>
  <c r="H413" i="30"/>
  <c r="D141" i="7"/>
  <c r="D132" i="30"/>
  <c r="H473" i="32"/>
  <c r="H275" i="30"/>
  <c r="H434" i="32"/>
  <c r="H350" i="32"/>
  <c r="D21" i="30"/>
  <c r="H39" i="45"/>
  <c r="H83" i="45"/>
  <c r="D187" i="30"/>
  <c r="H396" i="30"/>
  <c r="H100" i="30"/>
  <c r="D341" i="32"/>
  <c r="H237" i="30"/>
  <c r="H395" i="32"/>
  <c r="H185" i="30"/>
  <c r="D288" i="7"/>
  <c r="H127" i="32"/>
  <c r="H24" i="32"/>
  <c r="H310" i="32"/>
  <c r="H53" i="30"/>
  <c r="H72" i="32"/>
  <c r="H416" i="32"/>
  <c r="H139" i="32"/>
  <c r="H22" i="30"/>
  <c r="D261" i="7"/>
  <c r="H88" i="32"/>
  <c r="H153" i="32"/>
  <c r="H205" i="31"/>
  <c r="H217" i="31"/>
  <c r="H375" i="32"/>
  <c r="H398" i="30"/>
  <c r="H340" i="30"/>
  <c r="H177" i="32"/>
  <c r="H478" i="32"/>
  <c r="H70" i="45"/>
  <c r="H301" i="31"/>
  <c r="H393" i="32"/>
  <c r="H227" i="30"/>
  <c r="H318" i="30"/>
  <c r="H237" i="31"/>
  <c r="H175" i="32"/>
  <c r="H179" i="32"/>
  <c r="H455" i="32"/>
  <c r="D90" i="30"/>
  <c r="H300" i="32"/>
  <c r="H375" i="30"/>
  <c r="H203" i="30"/>
  <c r="H369" i="32"/>
  <c r="H324" i="31"/>
  <c r="H425" i="32"/>
  <c r="H385" i="32"/>
  <c r="H90" i="30"/>
  <c r="D135" i="30"/>
  <c r="H338" i="30"/>
  <c r="H278" i="30"/>
  <c r="D210" i="30"/>
  <c r="H318" i="32"/>
  <c r="H252" i="30"/>
  <c r="H333" i="32"/>
  <c r="H246" i="30"/>
  <c r="H306" i="32"/>
  <c r="H62" i="32"/>
  <c r="H258" i="32"/>
  <c r="D278" i="45"/>
  <c r="D2" i="32"/>
  <c r="D21" i="45"/>
  <c r="H399" i="32"/>
  <c r="H302" i="45"/>
  <c r="H311" i="30"/>
  <c r="D227" i="30"/>
  <c r="H304" i="30"/>
  <c r="H439" i="32"/>
  <c r="H406" i="32"/>
  <c r="D143" i="45"/>
  <c r="H236" i="32"/>
  <c r="D184" i="45"/>
  <c r="D36" i="30"/>
  <c r="D184" i="30"/>
  <c r="H236" i="45"/>
  <c r="D164" i="30"/>
  <c r="D351" i="30"/>
  <c r="D61" i="45"/>
  <c r="D298" i="30"/>
  <c r="D340" i="30"/>
  <c r="D308" i="30"/>
  <c r="D59" i="7"/>
  <c r="D397" i="32"/>
  <c r="D221" i="32"/>
  <c r="D19" i="30"/>
  <c r="H491" i="32"/>
  <c r="D240" i="30"/>
  <c r="D177" i="45"/>
  <c r="H383" i="32"/>
  <c r="H145" i="30"/>
  <c r="D394" i="30"/>
  <c r="D285" i="30"/>
  <c r="H232" i="32"/>
  <c r="D365" i="30"/>
  <c r="H57" i="32"/>
  <c r="D254" i="32"/>
  <c r="H136" i="30"/>
  <c r="O125" i="7"/>
  <c r="H44" i="30"/>
  <c r="H263" i="32"/>
  <c r="D328" i="30"/>
  <c r="H181" i="32"/>
  <c r="H347" i="30"/>
  <c r="H129" i="30"/>
  <c r="H214" i="32"/>
  <c r="H137" i="32"/>
  <c r="H392" i="32"/>
  <c r="H118" i="32"/>
  <c r="H431" i="30"/>
  <c r="H171" i="30"/>
  <c r="H442" i="32"/>
  <c r="H147" i="32"/>
  <c r="D189" i="45"/>
  <c r="H162" i="30"/>
  <c r="H428" i="32"/>
  <c r="H461" i="32"/>
  <c r="H333" i="30"/>
  <c r="D98" i="45"/>
  <c r="H141" i="30"/>
  <c r="H399" i="30"/>
  <c r="H400" i="32"/>
  <c r="H283" i="32"/>
  <c r="H330" i="32"/>
  <c r="D403" i="30"/>
  <c r="D42" i="32"/>
  <c r="D114" i="30"/>
  <c r="H327" i="31"/>
  <c r="H19" i="45"/>
  <c r="H419" i="30"/>
  <c r="H127" i="30"/>
  <c r="H47" i="45"/>
  <c r="H17" i="32"/>
  <c r="H122" i="45"/>
  <c r="H414" i="30"/>
  <c r="D33" i="30"/>
  <c r="H198" i="30"/>
  <c r="H219" i="32"/>
  <c r="D39" i="45"/>
  <c r="H3" i="30"/>
  <c r="H58" i="30"/>
  <c r="O409" i="7"/>
  <c r="D282" i="30"/>
  <c r="H135" i="32"/>
  <c r="H187" i="45"/>
  <c r="D13" i="30"/>
  <c r="H482" i="32"/>
  <c r="H294" i="30"/>
  <c r="H229" i="31"/>
  <c r="H165" i="32"/>
  <c r="H312" i="31"/>
  <c r="H408" i="30"/>
  <c r="H235" i="32"/>
  <c r="H15" i="32"/>
  <c r="H174" i="30"/>
  <c r="H259" i="30"/>
  <c r="H388" i="30"/>
  <c r="D69" i="32"/>
  <c r="H106" i="32"/>
  <c r="D98" i="30"/>
  <c r="H242" i="30"/>
  <c r="H381" i="30"/>
  <c r="H229" i="32"/>
  <c r="D384" i="30"/>
  <c r="H15" i="45"/>
  <c r="D169" i="30"/>
  <c r="D13" i="45"/>
  <c r="H169" i="32"/>
  <c r="H417" i="30"/>
  <c r="H135" i="30"/>
  <c r="D391" i="30"/>
  <c r="D17" i="30"/>
  <c r="D420" i="30"/>
  <c r="D416" i="30"/>
  <c r="H148" i="30"/>
  <c r="H121" i="30"/>
  <c r="H64" i="30"/>
  <c r="D268" i="31"/>
  <c r="H10" i="32"/>
  <c r="H159" i="30"/>
  <c r="H297" i="32"/>
  <c r="D246" i="30"/>
  <c r="H287" i="30"/>
  <c r="H362" i="32"/>
  <c r="H84" i="45"/>
  <c r="H292" i="32"/>
  <c r="D108" i="7"/>
  <c r="D396" i="30"/>
  <c r="H142" i="30"/>
  <c r="D318" i="32"/>
  <c r="H297" i="31"/>
  <c r="H307" i="30"/>
  <c r="H290" i="31"/>
  <c r="H172" i="31"/>
  <c r="H115" i="32"/>
  <c r="H174" i="31"/>
  <c r="H390" i="32"/>
  <c r="H79" i="32"/>
  <c r="H104" i="30"/>
  <c r="D332" i="32"/>
  <c r="D139" i="30"/>
  <c r="H401" i="32"/>
  <c r="H320" i="30"/>
  <c r="H239" i="30"/>
  <c r="H66" i="45"/>
  <c r="H168" i="30"/>
  <c r="D223" i="30"/>
  <c r="H105" i="32"/>
  <c r="H385" i="30"/>
  <c r="D67" i="32"/>
  <c r="H235" i="31"/>
  <c r="H101" i="32"/>
  <c r="H269" i="32"/>
  <c r="H143" i="30"/>
  <c r="H182" i="45"/>
  <c r="D169" i="45"/>
  <c r="H22" i="32"/>
  <c r="H321" i="32"/>
  <c r="H411" i="30"/>
  <c r="H240" i="32"/>
  <c r="H8" i="45"/>
  <c r="D296" i="32"/>
  <c r="D351" i="32"/>
  <c r="D91" i="45"/>
  <c r="D224" i="30"/>
  <c r="H451" i="32"/>
  <c r="H114" i="30"/>
  <c r="D428" i="32"/>
  <c r="H354" i="32"/>
  <c r="H181" i="31"/>
  <c r="D65" i="45"/>
  <c r="D295" i="32"/>
  <c r="H164" i="32"/>
  <c r="D176" i="30"/>
  <c r="H240" i="45"/>
  <c r="H173" i="30"/>
  <c r="H8" i="30"/>
  <c r="H113" i="32"/>
  <c r="D111" i="7"/>
  <c r="H130" i="32"/>
  <c r="H260" i="32"/>
  <c r="D115" i="32"/>
  <c r="D52" i="32"/>
  <c r="H263" i="30"/>
  <c r="H9" i="30"/>
  <c r="H205" i="30"/>
  <c r="H222" i="32"/>
  <c r="D157" i="32"/>
  <c r="D102" i="30"/>
  <c r="H210" i="30"/>
  <c r="H428" i="30"/>
  <c r="H373" i="32"/>
  <c r="H318" i="31"/>
  <c r="H243" i="31"/>
  <c r="H287" i="32"/>
  <c r="H183" i="30"/>
  <c r="D194" i="30"/>
  <c r="D338" i="32"/>
  <c r="H82" i="30"/>
  <c r="H35" i="30"/>
  <c r="H412" i="32"/>
  <c r="H180" i="30"/>
  <c r="D145" i="32"/>
  <c r="O514" i="7"/>
  <c r="H387" i="30"/>
  <c r="H390" i="30"/>
  <c r="H274" i="32"/>
  <c r="H44" i="32"/>
  <c r="D120" i="7"/>
  <c r="H320" i="31"/>
  <c r="H184" i="32"/>
  <c r="H152" i="30"/>
  <c r="D184" i="32"/>
  <c r="H115" i="45"/>
  <c r="D130" i="30"/>
  <c r="D252" i="30"/>
  <c r="D208" i="45"/>
  <c r="D293" i="30"/>
  <c r="H321" i="31"/>
  <c r="H509" i="32"/>
  <c r="D322" i="30"/>
  <c r="H286" i="32"/>
  <c r="D25" i="30"/>
  <c r="D456" i="7"/>
  <c r="D409" i="30"/>
  <c r="H204" i="32"/>
  <c r="H255" i="30"/>
  <c r="D59" i="30"/>
  <c r="H258" i="45"/>
  <c r="H326" i="31"/>
  <c r="D49" i="32"/>
  <c r="H65" i="45"/>
  <c r="H58" i="32"/>
  <c r="H363" i="30"/>
  <c r="H134" i="32"/>
  <c r="H195" i="32"/>
  <c r="H487" i="32"/>
  <c r="D47" i="30"/>
  <c r="D262" i="31"/>
  <c r="H9" i="45"/>
  <c r="H93" i="30"/>
  <c r="H141" i="32"/>
  <c r="D9" i="30"/>
  <c r="D411" i="30"/>
  <c r="H378" i="30"/>
  <c r="H298" i="30"/>
  <c r="D251" i="45"/>
  <c r="H291" i="32"/>
  <c r="H41" i="32"/>
  <c r="H221" i="32"/>
  <c r="H484" i="32"/>
  <c r="H282" i="30"/>
  <c r="H96" i="30"/>
  <c r="H462" i="32"/>
  <c r="D467" i="32"/>
  <c r="H341" i="32"/>
  <c r="H427" i="30"/>
  <c r="H11" i="30"/>
  <c r="H123" i="30"/>
  <c r="H231" i="32"/>
  <c r="H308" i="32"/>
  <c r="H85" i="45"/>
  <c r="H183" i="45"/>
  <c r="H284" i="32"/>
  <c r="H10" i="45"/>
  <c r="H103" i="45"/>
  <c r="O260" i="7"/>
  <c r="H37" i="45"/>
  <c r="H227" i="45"/>
  <c r="H37" i="32"/>
  <c r="H9" i="32"/>
  <c r="D372" i="30"/>
  <c r="H415" i="30"/>
  <c r="H429" i="32"/>
  <c r="H355" i="32"/>
  <c r="H191" i="30"/>
  <c r="H231" i="31"/>
  <c r="H226" i="45"/>
  <c r="D230" i="45"/>
  <c r="D283" i="30"/>
  <c r="D85" i="45"/>
  <c r="D41" i="45"/>
  <c r="H105" i="30"/>
  <c r="H218" i="32"/>
  <c r="D240" i="32"/>
  <c r="D367" i="30"/>
  <c r="H3" i="32"/>
  <c r="H248" i="30"/>
  <c r="D24" i="32"/>
  <c r="H170" i="45"/>
  <c r="D208" i="30"/>
  <c r="D144" i="30"/>
  <c r="D376" i="32"/>
  <c r="D179" i="45"/>
  <c r="D413" i="30"/>
  <c r="H216" i="45"/>
  <c r="D379" i="30"/>
  <c r="H79" i="30"/>
  <c r="H146" i="30"/>
  <c r="D102" i="45"/>
  <c r="H213" i="45"/>
  <c r="D187" i="32"/>
  <c r="H59" i="30"/>
  <c r="H314" i="31"/>
  <c r="H152" i="32"/>
  <c r="H253" i="31"/>
  <c r="D341" i="30"/>
  <c r="H51" i="30"/>
  <c r="H270" i="32"/>
  <c r="O95" i="7"/>
  <c r="H412" i="30"/>
  <c r="H253" i="45"/>
  <c r="O270" i="7"/>
  <c r="H174" i="32"/>
  <c r="H226" i="30"/>
  <c r="H402" i="32"/>
  <c r="H77" i="30"/>
  <c r="O204" i="7"/>
  <c r="H24" i="45"/>
  <c r="H62" i="30"/>
  <c r="D277" i="30"/>
  <c r="D480" i="7"/>
  <c r="H168" i="32"/>
  <c r="H273" i="30"/>
  <c r="H20" i="32"/>
  <c r="H325" i="30"/>
  <c r="H61" i="32"/>
  <c r="D162" i="32"/>
  <c r="H225" i="45"/>
  <c r="H432" i="32"/>
  <c r="H31" i="30"/>
  <c r="H175" i="31"/>
  <c r="H133" i="32"/>
  <c r="H128" i="30"/>
  <c r="H34" i="30"/>
  <c r="H296" i="31"/>
  <c r="H227" i="31"/>
  <c r="H129" i="32"/>
  <c r="H97" i="45"/>
  <c r="H270" i="30"/>
  <c r="H151" i="30"/>
  <c r="H230" i="45"/>
  <c r="H170" i="30"/>
  <c r="D345" i="30"/>
  <c r="D80" i="7"/>
  <c r="D145" i="30"/>
  <c r="D239" i="30"/>
  <c r="D141" i="30"/>
  <c r="O122" i="7"/>
  <c r="H299" i="45"/>
  <c r="H183" i="32"/>
  <c r="H267" i="30"/>
  <c r="D168" i="30"/>
  <c r="H126" i="45"/>
  <c r="H503" i="32"/>
  <c r="H220" i="30"/>
  <c r="H394" i="32"/>
  <c r="H469" i="32"/>
  <c r="H64" i="32"/>
  <c r="H152" i="45"/>
  <c r="D66" i="32"/>
  <c r="D199" i="30"/>
  <c r="H302" i="30"/>
  <c r="D156" i="30"/>
  <c r="H176" i="30"/>
  <c r="H255" i="32"/>
  <c r="D165" i="30"/>
  <c r="H34" i="45"/>
  <c r="H409" i="30"/>
  <c r="D211" i="45"/>
  <c r="H458" i="32"/>
  <c r="H212" i="31"/>
  <c r="D336" i="7"/>
  <c r="H23" i="30"/>
  <c r="H102" i="30"/>
  <c r="H361" i="30"/>
  <c r="D401" i="30"/>
  <c r="H240" i="30"/>
  <c r="H68" i="45"/>
  <c r="H418" i="30"/>
  <c r="H407" i="30"/>
  <c r="H201" i="30"/>
  <c r="D395" i="30"/>
  <c r="H309" i="31"/>
  <c r="D79" i="30"/>
  <c r="H362" i="30"/>
  <c r="H81" i="30"/>
  <c r="D205" i="45"/>
  <c r="H314" i="30"/>
  <c r="H171" i="31"/>
  <c r="H297" i="45"/>
  <c r="H115" i="30"/>
  <c r="H382" i="30"/>
  <c r="D399" i="30"/>
  <c r="H75" i="30"/>
  <c r="H128" i="32"/>
  <c r="H285" i="30"/>
  <c r="H309" i="30"/>
  <c r="H13" i="32"/>
  <c r="H302" i="31"/>
  <c r="H243" i="30"/>
  <c r="D278" i="30"/>
  <c r="H116" i="32"/>
  <c r="H214" i="30"/>
  <c r="H364" i="32"/>
  <c r="D105" i="30"/>
  <c r="H160" i="32"/>
  <c r="H202" i="32"/>
  <c r="D250" i="30"/>
  <c r="D315" i="30"/>
  <c r="D150" i="30"/>
  <c r="H352" i="30"/>
  <c r="D331" i="30"/>
  <c r="D68" i="45"/>
  <c r="D229" i="45"/>
  <c r="H405" i="30"/>
  <c r="D564" i="7"/>
  <c r="H376" i="30"/>
  <c r="D81" i="45"/>
  <c r="O332" i="7"/>
  <c r="H30" i="32"/>
  <c r="H492" i="32"/>
  <c r="H391" i="32"/>
  <c r="H365" i="32"/>
  <c r="D187" i="45"/>
  <c r="H279" i="32"/>
  <c r="D199" i="45"/>
  <c r="D34" i="45"/>
  <c r="H205" i="32"/>
  <c r="D26" i="30"/>
  <c r="H185" i="31"/>
  <c r="D326" i="32"/>
  <c r="D295" i="30"/>
  <c r="H371" i="30"/>
  <c r="H102" i="32"/>
  <c r="H489" i="32"/>
  <c r="H111" i="30"/>
  <c r="H169" i="30"/>
  <c r="H241" i="31"/>
  <c r="H2" i="32"/>
  <c r="H329" i="32"/>
  <c r="H202" i="30"/>
  <c r="H481" i="32"/>
  <c r="H95" i="30"/>
  <c r="H436" i="32"/>
  <c r="H248" i="45"/>
  <c r="H293" i="32"/>
  <c r="H63" i="45"/>
  <c r="O336" i="7"/>
  <c r="H260" i="30"/>
  <c r="H40" i="32"/>
  <c r="H117" i="32"/>
  <c r="H156" i="30"/>
  <c r="H210" i="32"/>
  <c r="H241" i="45"/>
  <c r="H292" i="30"/>
  <c r="H122" i="30"/>
  <c r="H289" i="32"/>
  <c r="D229" i="30"/>
  <c r="H447" i="32"/>
  <c r="H256" i="32"/>
  <c r="H259" i="32"/>
  <c r="H406" i="30"/>
  <c r="H277" i="30"/>
  <c r="D363" i="30"/>
  <c r="H485" i="32"/>
  <c r="D107" i="30"/>
  <c r="H103" i="32"/>
  <c r="D217" i="30"/>
  <c r="H225" i="30"/>
  <c r="H149" i="32"/>
  <c r="D270" i="45"/>
  <c r="H325" i="31"/>
  <c r="H217" i="32"/>
  <c r="D387" i="30"/>
  <c r="H157" i="32"/>
  <c r="H177" i="31"/>
  <c r="H474" i="32"/>
  <c r="H440" i="32"/>
  <c r="H170" i="31"/>
  <c r="D196" i="30"/>
  <c r="H284" i="30"/>
  <c r="D257" i="30"/>
  <c r="D373" i="30"/>
  <c r="H15" i="30"/>
  <c r="H304" i="31"/>
  <c r="H25" i="32"/>
  <c r="H219" i="31"/>
  <c r="D269" i="30"/>
  <c r="D228" i="30"/>
  <c r="H301" i="45"/>
  <c r="H501" i="32"/>
  <c r="D48" i="30"/>
  <c r="H12" i="32"/>
  <c r="D186" i="32"/>
  <c r="H90" i="32"/>
  <c r="D354" i="30"/>
  <c r="H250" i="32"/>
  <c r="H358" i="32"/>
  <c r="H69" i="45"/>
  <c r="H397" i="32"/>
  <c r="H161" i="32"/>
  <c r="H163" i="32"/>
  <c r="H94" i="30"/>
  <c r="D82" i="30"/>
  <c r="H213" i="30"/>
  <c r="H178" i="30"/>
  <c r="H220" i="32"/>
  <c r="H432" i="30"/>
  <c r="H21" i="45"/>
  <c r="H249" i="30"/>
  <c r="H295" i="32"/>
  <c r="H223" i="32"/>
  <c r="D383" i="30"/>
  <c r="H120" i="30"/>
  <c r="D76" i="45"/>
  <c r="H317" i="31"/>
  <c r="H26" i="30"/>
  <c r="H189" i="45"/>
  <c r="H420" i="32"/>
  <c r="H252" i="32"/>
  <c r="H51" i="45"/>
  <c r="H324" i="32"/>
  <c r="H261" i="30"/>
  <c r="H290" i="30"/>
  <c r="D133" i="45"/>
  <c r="H305" i="30"/>
  <c r="H303" i="32"/>
  <c r="H414" i="32"/>
  <c r="D359" i="30"/>
  <c r="D211" i="30"/>
  <c r="H27" i="30"/>
  <c r="H343" i="32"/>
  <c r="H239" i="32"/>
  <c r="H454" i="32"/>
  <c r="D289" i="30"/>
  <c r="G429" i="30" l="1"/>
  <c r="G152" i="45"/>
  <c r="G119" i="45"/>
  <c r="G132" i="32"/>
  <c r="G24" i="30"/>
  <c r="G430" i="30"/>
  <c r="G287" i="31"/>
  <c r="G390" i="32"/>
  <c r="G235" i="30"/>
  <c r="G77" i="45"/>
  <c r="G222" i="31"/>
  <c r="G69" i="45"/>
  <c r="G107" i="30"/>
  <c r="G202" i="31"/>
  <c r="G170" i="32"/>
  <c r="G209" i="31"/>
  <c r="G211" i="30"/>
  <c r="G172" i="31"/>
  <c r="G482" i="32"/>
  <c r="G319" i="30"/>
  <c r="G91" i="45"/>
  <c r="G334" i="30"/>
  <c r="G290" i="31"/>
  <c r="G197" i="32"/>
  <c r="G251" i="30"/>
  <c r="G161" i="45"/>
  <c r="G287" i="32"/>
  <c r="G419" i="30"/>
  <c r="G300" i="30"/>
  <c r="G74" i="32"/>
  <c r="G6" i="45"/>
  <c r="G258" i="30"/>
  <c r="G291" i="31"/>
  <c r="G168" i="32"/>
  <c r="G366" i="30"/>
  <c r="G154" i="30"/>
  <c r="G143" i="45"/>
  <c r="G231" i="31"/>
  <c r="G374" i="30"/>
  <c r="G240" i="45"/>
  <c r="G43" i="30"/>
  <c r="G228" i="31"/>
  <c r="G385" i="32"/>
  <c r="G354" i="30"/>
  <c r="G8" i="45"/>
  <c r="G190" i="31"/>
  <c r="G194" i="45"/>
  <c r="G435" i="32"/>
  <c r="G106" i="30"/>
  <c r="G172" i="30"/>
  <c r="G174" i="31"/>
  <c r="G5" i="32"/>
  <c r="G392" i="30"/>
  <c r="G167" i="31"/>
  <c r="G327" i="31"/>
  <c r="G385" i="30"/>
  <c r="G234" i="31"/>
  <c r="G295" i="31"/>
  <c r="G308" i="31"/>
  <c r="G4" i="30"/>
  <c r="G303" i="30"/>
  <c r="G349" i="32"/>
  <c r="G228" i="30"/>
  <c r="G177" i="45"/>
  <c r="G260" i="30"/>
  <c r="G378" i="30"/>
  <c r="G299" i="30"/>
  <c r="G352" i="32"/>
  <c r="G160" i="30"/>
  <c r="G65" i="45"/>
  <c r="G264" i="30"/>
  <c r="G383" i="30"/>
  <c r="G55" i="32"/>
  <c r="G246" i="32"/>
  <c r="G355" i="30"/>
  <c r="G159" i="30"/>
  <c r="G50" i="32"/>
  <c r="G18" i="45"/>
  <c r="G185" i="31"/>
  <c r="G170" i="45"/>
  <c r="G391" i="30"/>
  <c r="G223" i="32"/>
  <c r="G53" i="45"/>
  <c r="G168" i="31"/>
  <c r="G287" i="30"/>
  <c r="G321" i="31"/>
  <c r="G355" i="32"/>
  <c r="G58" i="30"/>
  <c r="G412" i="30"/>
  <c r="G230" i="31"/>
  <c r="G250" i="30"/>
  <c r="G72" i="45"/>
  <c r="G108" i="32"/>
  <c r="G64" i="45"/>
  <c r="G312" i="30"/>
  <c r="G171" i="31"/>
  <c r="G18" i="32"/>
  <c r="G311" i="30"/>
  <c r="G117" i="32"/>
  <c r="G148" i="30"/>
  <c r="G51" i="45"/>
  <c r="G290" i="30"/>
  <c r="G177" i="32"/>
  <c r="G395" i="30"/>
  <c r="G93" i="32"/>
  <c r="G486" i="32"/>
  <c r="G19" i="45"/>
  <c r="G104" i="32"/>
  <c r="G34" i="45"/>
  <c r="G356" i="32"/>
  <c r="G147" i="45"/>
  <c r="G314" i="31"/>
  <c r="G51" i="30"/>
  <c r="G103" i="32"/>
  <c r="G208" i="45"/>
  <c r="G136" i="30"/>
  <c r="G248" i="45"/>
  <c r="G294" i="30"/>
  <c r="G348" i="30"/>
  <c r="G169" i="30"/>
  <c r="G306" i="30"/>
  <c r="G39" i="45"/>
  <c r="G258" i="32"/>
  <c r="G16" i="30"/>
  <c r="G319" i="31"/>
  <c r="G233" i="31"/>
  <c r="G44" i="32"/>
  <c r="G191" i="30"/>
  <c r="G323" i="32"/>
  <c r="G26" i="32"/>
  <c r="G268" i="30"/>
  <c r="G429" i="32"/>
  <c r="G148" i="32"/>
  <c r="G134" i="30"/>
  <c r="G321" i="30"/>
  <c r="G172" i="45"/>
  <c r="G63" i="45"/>
  <c r="G490" i="32"/>
  <c r="G317" i="31"/>
  <c r="G24" i="32"/>
  <c r="G216" i="31"/>
  <c r="G267" i="32"/>
  <c r="G85" i="45"/>
  <c r="G305" i="31"/>
  <c r="G70" i="45"/>
  <c r="G101" i="32"/>
  <c r="G220" i="30"/>
  <c r="G302" i="31"/>
  <c r="G138" i="45"/>
  <c r="G293" i="31"/>
  <c r="G235" i="32"/>
  <c r="G249" i="30"/>
  <c r="G246" i="31"/>
  <c r="G402" i="32"/>
  <c r="G305" i="30"/>
  <c r="G448" i="32"/>
  <c r="G96" i="32"/>
  <c r="G362" i="30"/>
  <c r="G257" i="30"/>
  <c r="G62" i="32"/>
  <c r="G243" i="31"/>
  <c r="G376" i="32"/>
  <c r="G186" i="30"/>
  <c r="G109" i="45"/>
  <c r="G459" i="32"/>
  <c r="G315" i="31"/>
  <c r="G163" i="30"/>
  <c r="G426" i="32"/>
  <c r="G111" i="30"/>
  <c r="G225" i="45"/>
  <c r="G298" i="31"/>
  <c r="G37" i="30"/>
  <c r="G28" i="30"/>
  <c r="G338" i="30"/>
  <c r="G87" i="32"/>
  <c r="G324" i="30"/>
  <c r="G121" i="30"/>
  <c r="G26" i="30"/>
  <c r="G284" i="30"/>
  <c r="G320" i="31"/>
  <c r="G101" i="30"/>
  <c r="G256" i="45"/>
  <c r="G330" i="30"/>
  <c r="G84" i="32"/>
  <c r="G280" i="30"/>
  <c r="G422" i="30"/>
  <c r="G102" i="45"/>
  <c r="G292" i="30"/>
  <c r="G387" i="30"/>
  <c r="G177" i="31"/>
  <c r="G300" i="31"/>
  <c r="G195" i="31"/>
  <c r="G189" i="31"/>
  <c r="G237" i="32"/>
  <c r="G464" i="32"/>
  <c r="G69" i="30"/>
  <c r="G74" i="45"/>
  <c r="G312" i="31"/>
  <c r="G31" i="32"/>
  <c r="G203" i="30"/>
  <c r="G434" i="32"/>
  <c r="G213" i="45"/>
  <c r="G370" i="30"/>
  <c r="G351" i="30"/>
  <c r="G108" i="30"/>
  <c r="G231" i="45"/>
  <c r="G190" i="45"/>
  <c r="G53" i="32"/>
  <c r="G294" i="32"/>
  <c r="G329" i="32"/>
  <c r="G255" i="30"/>
  <c r="G128" i="32"/>
  <c r="G467" i="32"/>
  <c r="G272" i="32"/>
  <c r="G316" i="30"/>
  <c r="G170" i="31"/>
  <c r="G71" i="30"/>
  <c r="G41" i="45"/>
  <c r="G13" i="45"/>
  <c r="G94" i="32"/>
  <c r="G428" i="32"/>
  <c r="G302" i="32"/>
  <c r="G415" i="30"/>
  <c r="G250" i="31"/>
  <c r="G318" i="32"/>
  <c r="G127" i="30"/>
  <c r="G48" i="45"/>
  <c r="G188" i="31"/>
  <c r="G323" i="31"/>
  <c r="G398" i="30"/>
  <c r="G371" i="32"/>
  <c r="G241" i="45"/>
  <c r="G39" i="32"/>
  <c r="G61" i="45"/>
  <c r="G306" i="31"/>
  <c r="G36" i="32"/>
  <c r="G146" i="30"/>
  <c r="G145" i="32"/>
  <c r="G92" i="30"/>
  <c r="G133" i="45"/>
  <c r="G264" i="32"/>
  <c r="G426" i="30"/>
  <c r="G487" i="32"/>
  <c r="G412" i="32"/>
  <c r="G84" i="45"/>
  <c r="G349" i="30"/>
  <c r="G341" i="32"/>
  <c r="G427" i="30"/>
  <c r="G343" i="32"/>
  <c r="G335" i="32"/>
  <c r="G423" i="30"/>
  <c r="G207" i="31"/>
  <c r="G254" i="31"/>
  <c r="G98" i="32"/>
  <c r="G73" i="30"/>
  <c r="G302" i="30"/>
  <c r="G33" i="32"/>
  <c r="G169" i="45"/>
  <c r="G58" i="45"/>
  <c r="G227" i="31"/>
  <c r="G229" i="32"/>
  <c r="G369" i="32"/>
  <c r="G361" i="30"/>
  <c r="G9" i="30"/>
  <c r="G103" i="45"/>
  <c r="G164" i="45"/>
  <c r="G181" i="31"/>
  <c r="G237" i="31"/>
  <c r="G282" i="32"/>
  <c r="G214" i="32"/>
  <c r="G497" i="32"/>
  <c r="G147" i="30"/>
  <c r="G433" i="32"/>
  <c r="G232" i="31"/>
  <c r="G254" i="32"/>
  <c r="G493" i="32"/>
  <c r="G320" i="32"/>
  <c r="G36" i="30"/>
  <c r="G289" i="30"/>
  <c r="G97" i="45"/>
  <c r="G83" i="45"/>
  <c r="G163" i="31"/>
  <c r="G283" i="30"/>
  <c r="G297" i="31"/>
  <c r="G332" i="32"/>
  <c r="G332" i="30"/>
  <c r="G397" i="32"/>
  <c r="G373" i="30"/>
  <c r="G427" i="32"/>
  <c r="G345" i="30"/>
  <c r="G334" i="32"/>
  <c r="G295" i="30"/>
  <c r="G317" i="32"/>
  <c r="G10" i="30"/>
  <c r="G237" i="45"/>
  <c r="G21" i="45"/>
  <c r="G184" i="31"/>
  <c r="G303" i="31"/>
  <c r="G219" i="32"/>
  <c r="G52" i="30"/>
  <c r="G507" i="32"/>
  <c r="G336" i="30"/>
  <c r="G276" i="30"/>
  <c r="G294" i="31"/>
  <c r="G310" i="31"/>
  <c r="G253" i="45"/>
  <c r="G301" i="30"/>
  <c r="G11" i="45"/>
  <c r="G122" i="32"/>
  <c r="G339" i="30"/>
  <c r="G325" i="31"/>
  <c r="G348" i="32"/>
  <c r="G260" i="32"/>
  <c r="G248" i="32"/>
  <c r="G208" i="32"/>
  <c r="G407" i="30"/>
  <c r="G100" i="30"/>
  <c r="G265" i="32"/>
  <c r="G333" i="30"/>
  <c r="G290" i="32"/>
  <c r="G273" i="30"/>
  <c r="G320" i="30"/>
  <c r="G271" i="30"/>
  <c r="G227" i="45"/>
  <c r="G176" i="45"/>
  <c r="G178" i="31"/>
  <c r="G235" i="31"/>
  <c r="G301" i="31"/>
  <c r="G313" i="31"/>
  <c r="G236" i="32"/>
  <c r="G46" i="30"/>
  <c r="G229" i="45"/>
  <c r="G107" i="45"/>
  <c r="G63" i="32"/>
  <c r="G295" i="32"/>
  <c r="G213" i="30"/>
  <c r="G251" i="45"/>
  <c r="G266" i="30"/>
  <c r="G51" i="32"/>
  <c r="G304" i="30"/>
  <c r="G10" i="32"/>
  <c r="G305" i="32"/>
  <c r="G428" i="30"/>
  <c r="G66" i="32"/>
  <c r="G414" i="30"/>
  <c r="G236" i="45"/>
  <c r="G182" i="45"/>
  <c r="G182" i="31"/>
  <c r="G318" i="31"/>
  <c r="G281" i="30"/>
  <c r="G192" i="30"/>
  <c r="G97" i="30"/>
  <c r="G66" i="45"/>
  <c r="G40" i="30"/>
  <c r="G45" i="32"/>
  <c r="G239" i="31"/>
  <c r="G48" i="32"/>
  <c r="G424" i="30"/>
  <c r="G205" i="30"/>
  <c r="G183" i="30"/>
  <c r="G122" i="45"/>
  <c r="G75" i="45"/>
  <c r="G85" i="32"/>
  <c r="G317" i="30"/>
  <c r="G296" i="32"/>
  <c r="G322" i="31"/>
  <c r="G296" i="31"/>
  <c r="G472" i="32"/>
  <c r="G377" i="32"/>
  <c r="G396" i="30"/>
  <c r="G6" i="32"/>
  <c r="G299" i="31"/>
  <c r="G202" i="32"/>
  <c r="G422" i="32"/>
  <c r="G292" i="31"/>
  <c r="G27" i="30"/>
  <c r="G20" i="45"/>
  <c r="G175" i="31"/>
  <c r="G476" i="32"/>
  <c r="G352" i="30"/>
  <c r="G269" i="32"/>
  <c r="G88" i="30"/>
  <c r="G431" i="32"/>
  <c r="G315" i="32"/>
  <c r="G350" i="30"/>
  <c r="G47" i="32"/>
  <c r="G304" i="31"/>
  <c r="G90" i="30"/>
  <c r="G226" i="45"/>
  <c r="G163" i="45"/>
  <c r="G52" i="32"/>
  <c r="G358" i="30"/>
  <c r="G234" i="45"/>
  <c r="G22" i="45"/>
  <c r="G157" i="32"/>
  <c r="G288" i="31"/>
  <c r="G20" i="32"/>
  <c r="G462" i="32"/>
  <c r="G409" i="32"/>
  <c r="G38" i="30"/>
  <c r="G279" i="30"/>
  <c r="G129" i="30"/>
  <c r="G212" i="31"/>
  <c r="G323" i="30"/>
  <c r="G70" i="32"/>
  <c r="G285" i="30"/>
  <c r="G309" i="30"/>
  <c r="G3" i="30"/>
  <c r="G189" i="45"/>
  <c r="G23" i="45"/>
  <c r="G81" i="32"/>
  <c r="G496" i="32"/>
  <c r="G359" i="30"/>
  <c r="G495" i="32"/>
  <c r="G211" i="45"/>
  <c r="G344" i="30"/>
  <c r="G203" i="31"/>
  <c r="G252" i="31"/>
  <c r="G366" i="32"/>
  <c r="G15" i="45"/>
  <c r="G161" i="30"/>
  <c r="G31" i="30"/>
  <c r="G47" i="45"/>
  <c r="G216" i="45"/>
  <c r="G220" i="31"/>
  <c r="G329" i="30"/>
  <c r="G205" i="32"/>
  <c r="G182" i="32"/>
  <c r="G282" i="30"/>
  <c r="G316" i="31"/>
  <c r="G233" i="32"/>
  <c r="G42" i="30"/>
  <c r="G194" i="31"/>
  <c r="G281" i="32"/>
  <c r="G273" i="32"/>
  <c r="G82" i="30"/>
  <c r="G179" i="30"/>
  <c r="G67" i="45"/>
  <c r="G239" i="45"/>
  <c r="G54" i="32"/>
  <c r="G248" i="31"/>
  <c r="G307" i="31"/>
  <c r="G324" i="31"/>
  <c r="G257" i="32"/>
  <c r="G269" i="30"/>
  <c r="G225" i="31"/>
  <c r="G140" i="32"/>
  <c r="G278" i="30"/>
  <c r="G193" i="30"/>
  <c r="G27" i="32"/>
  <c r="G478" i="32"/>
  <c r="G275" i="32"/>
  <c r="G59" i="32"/>
  <c r="G205" i="31"/>
  <c r="G204" i="32"/>
  <c r="G10" i="45"/>
  <c r="G258" i="45"/>
  <c r="G95" i="32"/>
  <c r="G374" i="32"/>
  <c r="G59" i="30"/>
  <c r="G28" i="45"/>
  <c r="G68" i="45"/>
  <c r="G100" i="32"/>
  <c r="G337" i="30"/>
  <c r="G326" i="31"/>
  <c r="G494" i="32"/>
  <c r="G117" i="30"/>
  <c r="G230" i="30"/>
  <c r="G219" i="31"/>
  <c r="G326" i="30"/>
  <c r="G195" i="30"/>
  <c r="G232" i="45"/>
  <c r="G126" i="45"/>
  <c r="G102" i="32"/>
  <c r="G415" i="32"/>
  <c r="G261" i="30"/>
  <c r="G425" i="30"/>
  <c r="G102" i="30"/>
  <c r="G213" i="31"/>
  <c r="G56" i="32"/>
  <c r="G11" i="30"/>
  <c r="G262" i="45"/>
  <c r="G254" i="45"/>
  <c r="G224" i="31"/>
  <c r="G226" i="32"/>
  <c r="G300" i="32"/>
  <c r="G418" i="30"/>
  <c r="G421" i="30"/>
  <c r="G408" i="30"/>
  <c r="G204" i="31"/>
  <c r="G41" i="32"/>
  <c r="G360" i="30"/>
  <c r="G81" i="45"/>
  <c r="G56" i="45"/>
  <c r="G75" i="32"/>
  <c r="G253" i="31"/>
  <c r="G311" i="31"/>
  <c r="G327" i="30"/>
  <c r="G241" i="32"/>
  <c r="G68" i="32"/>
  <c r="G110" i="30"/>
  <c r="G363" i="30"/>
  <c r="G404" i="30"/>
  <c r="G49" i="32"/>
  <c r="G245" i="31"/>
  <c r="G291" i="32"/>
  <c r="G354" i="32"/>
  <c r="G304" i="45"/>
  <c r="G221" i="31"/>
  <c r="G404" i="32"/>
  <c r="G37" i="45"/>
  <c r="G303" i="45"/>
  <c r="G245" i="45"/>
  <c r="G143" i="32"/>
  <c r="G325" i="30"/>
  <c r="G129" i="32"/>
  <c r="G28" i="32"/>
  <c r="G55" i="30"/>
  <c r="F55" i="30"/>
  <c r="G115" i="45"/>
  <c r="G247" i="45"/>
  <c r="G179" i="45"/>
  <c r="G244" i="32"/>
  <c r="G432" i="32"/>
  <c r="G389" i="30"/>
  <c r="G413" i="30"/>
  <c r="G223" i="31"/>
  <c r="G220" i="32"/>
  <c r="G477" i="32"/>
  <c r="G199" i="30"/>
  <c r="G187" i="45"/>
  <c r="G24" i="45"/>
  <c r="G256" i="30"/>
  <c r="G498" i="32"/>
  <c r="G243" i="32"/>
  <c r="G400" i="30"/>
  <c r="G158" i="32"/>
  <c r="G289" i="31"/>
  <c r="G347" i="30"/>
  <c r="G217" i="31"/>
  <c r="G171" i="30"/>
  <c r="G64" i="30"/>
  <c r="G183" i="45"/>
  <c r="G9" i="45"/>
  <c r="G165" i="31"/>
  <c r="G229" i="31"/>
  <c r="G240" i="32"/>
  <c r="G351" i="32"/>
  <c r="G76" i="45"/>
  <c r="G501" i="32"/>
  <c r="G80" i="30"/>
  <c r="G143" i="30"/>
  <c r="G204" i="30"/>
  <c r="G41" i="30"/>
  <c r="G215" i="31"/>
  <c r="G297" i="32"/>
  <c r="G167" i="30"/>
  <c r="G230" i="45"/>
  <c r="G106" i="32"/>
  <c r="G286" i="31"/>
  <c r="G309" i="31"/>
  <c r="G166" i="30"/>
  <c r="G297" i="45"/>
  <c r="G262" i="30"/>
  <c r="C332" i="7"/>
  <c r="G242" i="30"/>
  <c r="C261" i="7"/>
  <c r="G12" i="30"/>
  <c r="G326" i="32"/>
  <c r="G21" i="32"/>
  <c r="C481" i="7"/>
  <c r="G217" i="30"/>
  <c r="G15" i="32"/>
  <c r="G357" i="32"/>
  <c r="C336" i="7"/>
  <c r="C59" i="7"/>
  <c r="G23" i="30"/>
  <c r="F23" i="30"/>
  <c r="C302" i="7"/>
  <c r="C288" i="7"/>
  <c r="G18" i="30"/>
  <c r="G188" i="32"/>
  <c r="G372" i="32"/>
  <c r="G319" i="32"/>
  <c r="G83" i="30"/>
  <c r="G216" i="30"/>
  <c r="G310" i="30"/>
  <c r="G268" i="31"/>
  <c r="G113" i="30"/>
  <c r="G357" i="30"/>
  <c r="G137" i="32"/>
  <c r="G46" i="32"/>
  <c r="G377" i="30"/>
  <c r="G133" i="30"/>
  <c r="G437" i="32"/>
  <c r="G69" i="32"/>
  <c r="G49" i="30"/>
  <c r="G25" i="30"/>
  <c r="G344" i="32"/>
  <c r="G93" i="30"/>
  <c r="G262" i="31"/>
  <c r="G17" i="30"/>
  <c r="C80" i="7"/>
  <c r="G118" i="30"/>
  <c r="G380" i="30"/>
  <c r="C16" i="7"/>
  <c r="G166" i="32"/>
  <c r="G7" i="32"/>
  <c r="G298" i="45"/>
  <c r="G177" i="30"/>
  <c r="G416" i="30"/>
  <c r="G11" i="32"/>
  <c r="C367" i="7"/>
  <c r="C366" i="7"/>
  <c r="G157" i="30"/>
  <c r="G343" i="30"/>
  <c r="G335" i="30"/>
  <c r="G6" i="30"/>
  <c r="G420" i="32"/>
  <c r="G66" i="30"/>
  <c r="G417" i="30"/>
  <c r="G347" i="32"/>
  <c r="C456" i="7"/>
  <c r="G137" i="30"/>
  <c r="G188" i="30"/>
  <c r="G105" i="30"/>
  <c r="C120" i="7"/>
  <c r="G249" i="31"/>
  <c r="C126" i="7"/>
  <c r="G183" i="32"/>
  <c r="G271" i="31"/>
  <c r="C56" i="7"/>
  <c r="G42" i="32"/>
  <c r="G68" i="30"/>
  <c r="G280" i="32"/>
  <c r="G215" i="32"/>
  <c r="G353" i="32"/>
  <c r="G94" i="30"/>
  <c r="G208" i="30"/>
  <c r="G131" i="30"/>
  <c r="C431" i="7"/>
  <c r="G65" i="30"/>
  <c r="G20" i="30"/>
  <c r="G196" i="30"/>
  <c r="G91" i="30"/>
  <c r="C564" i="7"/>
  <c r="G153" i="30"/>
  <c r="G337" i="32"/>
  <c r="G189" i="30"/>
  <c r="C165" i="7"/>
  <c r="C140" i="7"/>
  <c r="G14" i="32"/>
  <c r="G301" i="45"/>
  <c r="G244" i="30"/>
  <c r="G405" i="30"/>
  <c r="C317" i="7"/>
  <c r="C450" i="7"/>
  <c r="G70" i="30"/>
  <c r="G16" i="32"/>
  <c r="G236" i="30"/>
  <c r="G3" i="32"/>
  <c r="F3" i="32"/>
  <c r="G54" i="30"/>
  <c r="C532" i="7"/>
  <c r="G99" i="30"/>
  <c r="G274" i="30"/>
  <c r="G109" i="30"/>
  <c r="G249" i="32"/>
  <c r="G78" i="30"/>
  <c r="C557" i="7"/>
  <c r="G394" i="30"/>
  <c r="G218" i="30"/>
  <c r="G200" i="32"/>
  <c r="G209" i="30"/>
  <c r="G509" i="32"/>
  <c r="G272" i="30"/>
  <c r="G138" i="30"/>
  <c r="G328" i="32"/>
  <c r="G89" i="30"/>
  <c r="G162" i="32"/>
  <c r="G286" i="30"/>
  <c r="G132" i="30"/>
  <c r="G322" i="30"/>
  <c r="G33" i="30"/>
  <c r="C39" i="7"/>
  <c r="G197" i="30"/>
  <c r="G245" i="30"/>
  <c r="G361" i="32"/>
  <c r="G215" i="30"/>
  <c r="C349" i="7"/>
  <c r="G19" i="32"/>
  <c r="G353" i="30"/>
  <c r="G371" i="30"/>
  <c r="G221" i="32"/>
  <c r="G508" i="32"/>
  <c r="G155" i="32"/>
  <c r="G7" i="30"/>
  <c r="G265" i="30"/>
  <c r="G50" i="30"/>
  <c r="G135" i="30"/>
  <c r="C146" i="7"/>
  <c r="G274" i="31"/>
  <c r="G47" i="30"/>
  <c r="G48" i="30"/>
  <c r="G140" i="30"/>
  <c r="G231" i="30"/>
  <c r="G123" i="30"/>
  <c r="G76" i="30"/>
  <c r="G372" i="30"/>
  <c r="G184" i="30"/>
  <c r="G57" i="30"/>
  <c r="C480" i="7"/>
  <c r="G164" i="30"/>
  <c r="G514" i="32"/>
  <c r="G511" i="32"/>
  <c r="G313" i="32"/>
  <c r="G299" i="45"/>
  <c r="G431" i="30"/>
  <c r="G64" i="32"/>
  <c r="G186" i="32"/>
  <c r="G417" i="32"/>
  <c r="G2" i="30"/>
  <c r="G187" i="30"/>
  <c r="G513" i="32"/>
  <c r="G432" i="30"/>
  <c r="G503" i="32"/>
  <c r="C108" i="7"/>
  <c r="G359" i="32"/>
  <c r="G450" i="32"/>
  <c r="G124" i="30"/>
  <c r="G175" i="30"/>
  <c r="C102" i="7"/>
  <c r="G362" i="32"/>
  <c r="C477" i="7"/>
  <c r="G196" i="32"/>
  <c r="C76" i="7"/>
  <c r="G251" i="31"/>
  <c r="G155" i="30"/>
  <c r="G182" i="30"/>
  <c r="C141" i="7"/>
  <c r="G67" i="30"/>
  <c r="G327" i="32"/>
  <c r="G98" i="30"/>
  <c r="G512" i="32"/>
  <c r="G223" i="30"/>
  <c r="G328" i="30"/>
  <c r="G386" i="30"/>
  <c r="G255" i="31"/>
  <c r="G86" i="30"/>
  <c r="C525" i="7"/>
  <c r="G421" i="32"/>
  <c r="G210" i="30"/>
  <c r="G267" i="30"/>
  <c r="G119" i="30"/>
  <c r="G44" i="30"/>
  <c r="F44" i="30"/>
  <c r="C60" i="7"/>
  <c r="G291" i="30"/>
  <c r="C344" i="7"/>
  <c r="G224" i="30"/>
  <c r="G307" i="30"/>
  <c r="C461" i="7"/>
  <c r="G302" i="45"/>
  <c r="G300" i="45"/>
  <c r="G241" i="31"/>
  <c r="G103" i="30"/>
  <c r="G370" i="32"/>
  <c r="C111" i="7"/>
  <c r="G130" i="30"/>
  <c r="G471" i="32"/>
  <c r="G510" i="32"/>
  <c r="G77" i="30"/>
  <c r="G194" i="30"/>
  <c r="G22" i="30"/>
  <c r="G190" i="30"/>
  <c r="G13" i="30"/>
  <c r="G214" i="30"/>
  <c r="G234" i="30"/>
  <c r="G173" i="30"/>
  <c r="G375" i="30"/>
  <c r="G247" i="30"/>
  <c r="G388" i="30"/>
  <c r="G315" i="30"/>
  <c r="G241" i="30"/>
  <c r="G406" i="30"/>
  <c r="G19" i="30"/>
  <c r="G85" i="30"/>
  <c r="G237" i="30"/>
  <c r="G239" i="30"/>
  <c r="G226" i="30"/>
  <c r="G275" i="30"/>
  <c r="G410" i="32"/>
  <c r="G74" i="30"/>
  <c r="G314" i="30"/>
  <c r="G254" i="30"/>
  <c r="G402" i="30"/>
  <c r="G238" i="30"/>
  <c r="G34" i="30"/>
  <c r="G420" i="30"/>
  <c r="G112" i="30"/>
  <c r="G227" i="30"/>
  <c r="G298" i="30"/>
  <c r="G270" i="30"/>
  <c r="G212" i="30"/>
  <c r="G376" i="30"/>
  <c r="G313" i="30"/>
  <c r="G156" i="30"/>
  <c r="G397" i="30"/>
  <c r="G128" i="30"/>
  <c r="G149" i="30"/>
  <c r="G168" i="30"/>
  <c r="G8" i="30"/>
  <c r="G181" i="30"/>
  <c r="G5" i="30"/>
  <c r="G180" i="30"/>
  <c r="G243" i="30"/>
  <c r="G120" i="30"/>
  <c r="G229" i="30"/>
  <c r="G87" i="30"/>
  <c r="G246" i="30"/>
  <c r="G308" i="30"/>
  <c r="G288" i="30"/>
  <c r="G233" i="30"/>
  <c r="G150" i="30"/>
  <c r="G141" i="30"/>
  <c r="G178" i="30"/>
  <c r="G297" i="30"/>
  <c r="G410" i="30"/>
  <c r="G393" i="30"/>
  <c r="G45" i="30"/>
  <c r="G174" i="30"/>
  <c r="G263" i="30"/>
  <c r="G232" i="30"/>
  <c r="G125" i="30"/>
  <c r="G145" i="30"/>
  <c r="G116" i="30"/>
  <c r="G126" i="30"/>
  <c r="G144" i="30"/>
  <c r="G151" i="30"/>
  <c r="G198" i="30"/>
  <c r="G115" i="32"/>
  <c r="G187" i="32"/>
  <c r="G130" i="32"/>
  <c r="G195" i="32"/>
  <c r="G393" i="32"/>
  <c r="G34" i="32"/>
  <c r="G135" i="32"/>
  <c r="G184" i="32"/>
  <c r="G365" i="32"/>
  <c r="G276" i="32"/>
  <c r="G2" i="32"/>
  <c r="G67" i="32"/>
  <c r="G474" i="32"/>
  <c r="G61" i="30"/>
  <c r="G122" i="30"/>
  <c r="G252" i="30"/>
  <c r="G240" i="30"/>
  <c r="G63" i="30"/>
  <c r="G346" i="30"/>
  <c r="G139" i="30"/>
  <c r="G342" i="30"/>
  <c r="G364" i="30"/>
  <c r="G296" i="30"/>
  <c r="G162" i="30"/>
  <c r="G207" i="30"/>
  <c r="G72" i="30"/>
  <c r="G81" i="30"/>
  <c r="G384" i="30"/>
  <c r="G293" i="30"/>
  <c r="G368" i="30"/>
  <c r="G222" i="30"/>
  <c r="G176" i="30"/>
  <c r="G382" i="30"/>
  <c r="G14" i="30"/>
  <c r="G225" i="30"/>
  <c r="G95" i="30"/>
  <c r="G369" i="30"/>
  <c r="G259" i="30"/>
  <c r="G390" i="30"/>
  <c r="G84" i="30"/>
  <c r="G403" i="30"/>
  <c r="G399" i="30"/>
  <c r="G15" i="30"/>
  <c r="G30" i="30"/>
  <c r="G62" i="30"/>
  <c r="G379" i="30"/>
  <c r="G158" i="30"/>
  <c r="G115" i="30"/>
  <c r="G341" i="30"/>
  <c r="G185" i="30"/>
  <c r="G32" i="30"/>
  <c r="G165" i="30"/>
  <c r="G170" i="30"/>
  <c r="G331" i="30"/>
  <c r="G253" i="30"/>
  <c r="G202" i="30"/>
  <c r="G60" i="30"/>
  <c r="G367" i="30"/>
  <c r="G277" i="30"/>
  <c r="G356" i="30"/>
  <c r="G104" i="30"/>
  <c r="G409" i="30"/>
  <c r="G206" i="30"/>
  <c r="G142" i="30"/>
  <c r="G381" i="30"/>
  <c r="G411" i="30"/>
  <c r="G401" i="30"/>
  <c r="G21" i="30"/>
  <c r="G152" i="30"/>
  <c r="G221" i="30"/>
  <c r="G318" i="30"/>
  <c r="G365" i="30"/>
  <c r="G39" i="30"/>
  <c r="G248" i="30"/>
  <c r="G75" i="30"/>
  <c r="G340" i="30"/>
  <c r="G114" i="30"/>
  <c r="G79" i="30"/>
  <c r="G56" i="30"/>
  <c r="G29" i="30"/>
  <c r="G201" i="30"/>
  <c r="G96" i="30"/>
  <c r="G35" i="30"/>
  <c r="G200" i="30"/>
  <c r="G53" i="30"/>
  <c r="G338" i="32"/>
  <c r="K23" i="29"/>
  <c r="I121" i="29"/>
  <c r="C121" i="29"/>
  <c r="J217" i="29"/>
  <c r="J97" i="29"/>
  <c r="I97" i="29"/>
  <c r="J121" i="29"/>
  <c r="I217" i="29"/>
  <c r="J145" i="29"/>
  <c r="I145" i="29"/>
  <c r="C241" i="29"/>
  <c r="I169" i="29"/>
  <c r="J169" i="29"/>
  <c r="Y6" i="29"/>
  <c r="Z6" i="29" s="1"/>
  <c r="Y8" i="29"/>
  <c r="Z8" i="29" s="1"/>
  <c r="Y7" i="29"/>
  <c r="Z7" i="29" s="1"/>
  <c r="H219" i="30"/>
  <c r="D173" i="45"/>
  <c r="G219" i="30" l="1"/>
  <c r="F346" i="30" s="1"/>
  <c r="F53" i="30"/>
  <c r="F30" i="30"/>
  <c r="F10" i="30"/>
  <c r="F54" i="30"/>
  <c r="F24" i="30"/>
  <c r="F9" i="30"/>
  <c r="F49" i="30"/>
  <c r="F12" i="30"/>
  <c r="F16" i="30"/>
  <c r="F59" i="30"/>
  <c r="F245" i="30"/>
  <c r="F57" i="30"/>
  <c r="F25" i="30"/>
  <c r="F17" i="30"/>
  <c r="F236" i="30"/>
  <c r="F21" i="30"/>
  <c r="D198" i="32"/>
  <c r="D333" i="32"/>
  <c r="D204" i="7"/>
  <c r="F390" i="30" l="1"/>
  <c r="F402" i="30"/>
  <c r="F139" i="30"/>
  <c r="F248" i="30"/>
  <c r="F166" i="30"/>
  <c r="F318" i="30"/>
  <c r="F240" i="30"/>
  <c r="F122" i="30"/>
  <c r="F267" i="30"/>
  <c r="F163" i="30"/>
  <c r="F222" i="30"/>
  <c r="F83" i="30"/>
  <c r="F206" i="30"/>
  <c r="F215" i="30"/>
  <c r="F271" i="30"/>
  <c r="F173" i="30"/>
  <c r="F144" i="30"/>
  <c r="F77" i="30"/>
  <c r="F341" i="30"/>
  <c r="F218" i="30"/>
  <c r="F182" i="30"/>
  <c r="F252" i="30"/>
  <c r="F224" i="30"/>
  <c r="F188" i="30"/>
  <c r="F291" i="30"/>
  <c r="F431" i="30"/>
  <c r="F432" i="30"/>
  <c r="F121" i="30"/>
  <c r="F230" i="30"/>
  <c r="F220" i="30"/>
  <c r="F332" i="30"/>
  <c r="F106" i="30"/>
  <c r="F268" i="30"/>
  <c r="F136" i="30"/>
  <c r="F203" i="30"/>
  <c r="F183" i="30"/>
  <c r="F175" i="30"/>
  <c r="F167" i="30"/>
  <c r="F135" i="30"/>
  <c r="F256" i="30"/>
  <c r="F257" i="30"/>
  <c r="F258" i="30"/>
  <c r="F260" i="30"/>
  <c r="F264" i="30"/>
  <c r="F276" i="30"/>
  <c r="F280" i="30"/>
  <c r="F281" i="30"/>
  <c r="F283" i="30"/>
  <c r="F284" i="30"/>
  <c r="F287" i="30"/>
  <c r="F289" i="30"/>
  <c r="F290" i="30"/>
  <c r="F294" i="30"/>
  <c r="F299" i="30"/>
  <c r="F302" i="30"/>
  <c r="F303" i="30"/>
  <c r="F304" i="30"/>
  <c r="F305" i="30"/>
  <c r="F306" i="30"/>
  <c r="F311" i="30"/>
  <c r="F317" i="30"/>
  <c r="F320" i="30"/>
  <c r="F323" i="30"/>
  <c r="F324" i="30"/>
  <c r="F325" i="30"/>
  <c r="F326" i="30"/>
  <c r="F329" i="30"/>
  <c r="F330" i="30"/>
  <c r="F333" i="30"/>
  <c r="F337" i="30"/>
  <c r="F338" i="30"/>
  <c r="F339" i="30"/>
  <c r="F345" i="30"/>
  <c r="F349" i="30"/>
  <c r="F350" i="30"/>
  <c r="F352" i="30"/>
  <c r="F354" i="30"/>
  <c r="F355" i="30"/>
  <c r="F358" i="30"/>
  <c r="F359" i="30"/>
  <c r="F344" i="30"/>
  <c r="F348" i="30"/>
  <c r="F100" i="30"/>
  <c r="F362" i="30"/>
  <c r="F366" i="30"/>
  <c r="F370" i="30"/>
  <c r="F373" i="30"/>
  <c r="F378" i="30"/>
  <c r="F3" i="30"/>
  <c r="F4" i="30"/>
  <c r="F26" i="30"/>
  <c r="F28" i="30"/>
  <c r="F36" i="30"/>
  <c r="F37" i="30"/>
  <c r="F40" i="30"/>
  <c r="F41" i="30"/>
  <c r="F42" i="30"/>
  <c r="F46" i="30"/>
  <c r="F43" i="30"/>
  <c r="F52" i="30"/>
  <c r="F58" i="30"/>
  <c r="F88" i="30"/>
  <c r="F90" i="30"/>
  <c r="F363" i="30"/>
  <c r="F102" i="30"/>
  <c r="F107" i="30"/>
  <c r="F108" i="30"/>
  <c r="F111" i="30"/>
  <c r="F117" i="30"/>
  <c r="F129" i="30"/>
  <c r="F159" i="30"/>
  <c r="F146" i="30"/>
  <c r="F154" i="30"/>
  <c r="F179" i="30"/>
  <c r="F147" i="30"/>
  <c r="F169" i="30"/>
  <c r="F172" i="30"/>
  <c r="F161" i="30"/>
  <c r="F193" i="30"/>
  <c r="F195" i="30"/>
  <c r="F199" i="30"/>
  <c r="F204" i="30"/>
  <c r="F211" i="30"/>
  <c r="F255" i="30"/>
  <c r="F261" i="30"/>
  <c r="F269" i="30"/>
  <c r="F278" i="30"/>
  <c r="F266" i="30"/>
  <c r="F273" i="30"/>
  <c r="F279" i="30"/>
  <c r="F285" i="30"/>
  <c r="F300" i="30"/>
  <c r="F295" i="30"/>
  <c r="F312" i="30"/>
  <c r="F319" i="30"/>
  <c r="F292" i="30"/>
  <c r="F316" i="30"/>
  <c r="F321" i="30"/>
  <c r="F383" i="30"/>
  <c r="F334" i="30"/>
  <c r="F391" i="30"/>
  <c r="F389" i="30"/>
  <c r="F387" i="30"/>
  <c r="F327" i="30"/>
  <c r="F392" i="30"/>
  <c r="F396" i="30"/>
  <c r="F395" i="30"/>
  <c r="F400" i="30"/>
  <c r="F408" i="30"/>
  <c r="F404" i="30"/>
  <c r="F407" i="30"/>
  <c r="F412" i="30"/>
  <c r="F413" i="30"/>
  <c r="F414" i="30"/>
  <c r="F418" i="30"/>
  <c r="F421" i="30"/>
  <c r="F422" i="30"/>
  <c r="F423" i="30"/>
  <c r="F424" i="30"/>
  <c r="F425" i="30"/>
  <c r="F426" i="30"/>
  <c r="F427" i="30"/>
  <c r="F428" i="30"/>
  <c r="F429" i="30"/>
  <c r="F430" i="30"/>
  <c r="F2" i="30"/>
  <c r="F353" i="30"/>
  <c r="F210" i="30"/>
  <c r="C204" i="7"/>
  <c r="F11" i="30"/>
  <c r="F20" i="30"/>
  <c r="F351" i="30"/>
  <c r="F241" i="30"/>
  <c r="F367" i="30"/>
  <c r="F69" i="30"/>
  <c r="F185" i="30"/>
  <c r="F32" i="30"/>
  <c r="F201" i="30"/>
  <c r="F112" i="30"/>
  <c r="F184" i="30"/>
  <c r="F293" i="30"/>
  <c r="F162" i="30"/>
  <c r="F242" i="30"/>
  <c r="F120" i="30"/>
  <c r="F409" i="30"/>
  <c r="F39" i="30"/>
  <c r="F27" i="30"/>
  <c r="F123" i="30"/>
  <c r="F124" i="30"/>
  <c r="F15" i="30"/>
  <c r="F192" i="30"/>
  <c r="F237" i="30"/>
  <c r="F6" i="30"/>
  <c r="F134" i="30"/>
  <c r="F114" i="30"/>
  <c r="F417" i="30"/>
  <c r="F410" i="30"/>
  <c r="F288" i="30"/>
  <c r="F202" i="30"/>
  <c r="F223" i="30"/>
  <c r="F385" i="30"/>
  <c r="F420" i="30"/>
  <c r="F225" i="30"/>
  <c r="F375" i="30"/>
  <c r="F191" i="30"/>
  <c r="F322" i="30"/>
  <c r="F227" i="30"/>
  <c r="F113" i="30"/>
  <c r="F406" i="30"/>
  <c r="F217" i="30"/>
  <c r="F68" i="30"/>
  <c r="F335" i="30"/>
  <c r="F98" i="30"/>
  <c r="F315" i="30"/>
  <c r="F174" i="30"/>
  <c r="F155" i="30"/>
  <c r="F126" i="30"/>
  <c r="F143" i="30"/>
  <c r="F270" i="30"/>
  <c r="F38" i="30"/>
  <c r="F235" i="30"/>
  <c r="F137" i="30"/>
  <c r="F419" i="30"/>
  <c r="F196" i="30"/>
  <c r="F328" i="30"/>
  <c r="F181" i="30"/>
  <c r="F364" i="30"/>
  <c r="F138" i="30"/>
  <c r="F93" i="30"/>
  <c r="F238" i="30"/>
  <c r="F13" i="30"/>
  <c r="F405" i="30"/>
  <c r="F357" i="30"/>
  <c r="F164" i="30"/>
  <c r="F250" i="30"/>
  <c r="F141" i="30"/>
  <c r="F372" i="30"/>
  <c r="F150" i="30"/>
  <c r="F377" i="30"/>
  <c r="F231" i="30"/>
  <c r="F86" i="30"/>
  <c r="F19" i="30"/>
  <c r="F140" i="30"/>
  <c r="F91" i="30"/>
  <c r="F275" i="30"/>
  <c r="F74" i="30"/>
  <c r="F384" i="30"/>
  <c r="F81" i="30"/>
  <c r="F382" i="30"/>
  <c r="F75" i="30"/>
  <c r="F96" i="30"/>
  <c r="F368" i="30"/>
  <c r="F234" i="30"/>
  <c r="F216" i="30"/>
  <c r="F66" i="30"/>
  <c r="F105" i="30"/>
  <c r="F189" i="30"/>
  <c r="F153" i="30"/>
  <c r="F5" i="30"/>
  <c r="F208" i="30"/>
  <c r="F347" i="30"/>
  <c r="F18" i="30"/>
  <c r="F50" i="30"/>
  <c r="F177" i="30"/>
  <c r="F309" i="30"/>
  <c r="F171" i="30"/>
  <c r="F14" i="30"/>
  <c r="F84" i="30"/>
  <c r="F35" i="30"/>
  <c r="F403" i="30"/>
  <c r="F125" i="30"/>
  <c r="F119" i="30"/>
  <c r="F157" i="30"/>
  <c r="F286" i="30"/>
  <c r="F205" i="30"/>
  <c r="F132" i="30"/>
  <c r="F265" i="30"/>
  <c r="F187" i="30"/>
  <c r="F301" i="30"/>
  <c r="F361" i="30"/>
  <c r="F251" i="30"/>
  <c r="F274" i="30"/>
  <c r="F314" i="30"/>
  <c r="F109" i="30"/>
  <c r="F94" i="30"/>
  <c r="F7" i="30"/>
  <c r="F228" i="30"/>
  <c r="F71" i="30"/>
  <c r="F254" i="30"/>
  <c r="F415" i="30"/>
  <c r="F360" i="30"/>
  <c r="F277" i="30"/>
  <c r="F31" i="30"/>
  <c r="F307" i="30"/>
  <c r="F87" i="30"/>
  <c r="F127" i="30"/>
  <c r="F99" i="30"/>
  <c r="F374" i="30"/>
  <c r="F186" i="30"/>
  <c r="F85" i="30"/>
  <c r="F221" i="30"/>
  <c r="F67" i="30"/>
  <c r="F78" i="30"/>
  <c r="F80" i="30"/>
  <c r="F200" i="30"/>
  <c r="F62" i="30"/>
  <c r="F101" i="30"/>
  <c r="F336" i="30"/>
  <c r="F92" i="30"/>
  <c r="F65" i="30"/>
  <c r="F313" i="30"/>
  <c r="F116" i="30"/>
  <c r="F376" i="30"/>
  <c r="F34" i="30"/>
  <c r="F386" i="30"/>
  <c r="F128" i="30"/>
  <c r="F282" i="30"/>
  <c r="F131" i="30"/>
  <c r="F213" i="30"/>
  <c r="F380" i="30"/>
  <c r="F398" i="30"/>
  <c r="F371" i="30"/>
  <c r="F60" i="30"/>
  <c r="F22" i="30"/>
  <c r="F232" i="30"/>
  <c r="F45" i="30"/>
  <c r="F51" i="30"/>
  <c r="F416" i="30"/>
  <c r="F158" i="30"/>
  <c r="F103" i="30"/>
  <c r="F148" i="30"/>
  <c r="F73" i="30"/>
  <c r="F8" i="30"/>
  <c r="F411" i="30"/>
  <c r="F61" i="30"/>
  <c r="F310" i="30"/>
  <c r="F272" i="30"/>
  <c r="F142" i="30"/>
  <c r="F63" i="30"/>
  <c r="F170" i="30"/>
  <c r="F47" i="30"/>
  <c r="F394" i="30"/>
  <c r="F197" i="30"/>
  <c r="F244" i="30"/>
  <c r="F308" i="30"/>
  <c r="F72" i="30"/>
  <c r="F381" i="30"/>
  <c r="F115" i="30"/>
  <c r="F343" i="30"/>
  <c r="F48" i="30"/>
  <c r="F212" i="30"/>
  <c r="F95" i="30"/>
  <c r="F79" i="30"/>
  <c r="F70" i="30"/>
  <c r="F249" i="30"/>
  <c r="F397" i="30"/>
  <c r="F399" i="30"/>
  <c r="F369" i="30"/>
  <c r="F239" i="30"/>
  <c r="F209" i="30"/>
  <c r="F152" i="30"/>
  <c r="F296" i="30"/>
  <c r="F259" i="30"/>
  <c r="F356" i="30"/>
  <c r="F214" i="30"/>
  <c r="F33" i="30"/>
  <c r="F219" i="30"/>
  <c r="F29" i="30"/>
  <c r="F176" i="30"/>
  <c r="F401" i="30"/>
  <c r="F263" i="30"/>
  <c r="F226" i="30"/>
  <c r="F331" i="30"/>
  <c r="F56" i="30"/>
  <c r="F82" i="30"/>
  <c r="F365" i="30"/>
  <c r="F246" i="30"/>
  <c r="F340" i="30"/>
  <c r="F104" i="30"/>
  <c r="F76" i="30"/>
  <c r="F89" i="30"/>
  <c r="F388" i="30"/>
  <c r="F149" i="30"/>
  <c r="F207" i="30"/>
  <c r="F165" i="30"/>
  <c r="F64" i="30"/>
  <c r="F262" i="30"/>
  <c r="F253" i="30"/>
  <c r="F297" i="30"/>
  <c r="F393" i="30"/>
  <c r="F130" i="30"/>
  <c r="F247" i="30"/>
  <c r="F298" i="30"/>
  <c r="F168" i="30"/>
  <c r="F118" i="30"/>
  <c r="F379" i="30"/>
  <c r="F160" i="30"/>
  <c r="F145" i="30"/>
  <c r="F180" i="30"/>
  <c r="F233" i="30"/>
  <c r="F229" i="30"/>
  <c r="F110" i="30"/>
  <c r="F97" i="30"/>
  <c r="F342" i="30"/>
  <c r="F151" i="30"/>
  <c r="F178" i="30"/>
  <c r="F194" i="30"/>
  <c r="F243" i="30"/>
  <c r="F156" i="30"/>
  <c r="F190" i="30"/>
  <c r="F133" i="30"/>
  <c r="F198" i="30"/>
  <c r="G198" i="32"/>
  <c r="G333" i="32"/>
  <c r="D265" i="29"/>
  <c r="D169" i="29"/>
  <c r="D121" i="29"/>
  <c r="D97" i="29"/>
  <c r="C97" i="29"/>
  <c r="C217" i="29"/>
  <c r="D241" i="29"/>
  <c r="C265" i="29"/>
  <c r="D145" i="29"/>
  <c r="J241" i="29"/>
  <c r="I241" i="29"/>
  <c r="C145" i="29"/>
  <c r="D193" i="29"/>
  <c r="C193" i="29"/>
  <c r="D217" i="29"/>
  <c r="D69" i="7"/>
  <c r="C69" i="7" l="1"/>
  <c r="C169" i="29"/>
  <c r="I193" i="29"/>
  <c r="J193" i="29"/>
  <c r="D234" i="32"/>
  <c r="G234" i="32" l="1"/>
  <c r="D127" i="7"/>
  <c r="C127" i="7" l="1"/>
  <c r="G248" i="7" l="1"/>
  <c r="C73" i="29"/>
  <c r="D282" i="45"/>
  <c r="D73" i="29" l="1"/>
  <c r="G88" i="7" l="1"/>
  <c r="G258" i="7"/>
  <c r="G275" i="7"/>
  <c r="G19" i="7"/>
  <c r="G405" i="7"/>
  <c r="Y3" i="29" l="1"/>
  <c r="Z3" i="29" s="1"/>
  <c r="Y5" i="29" l="1"/>
  <c r="Z5" i="29" s="1"/>
  <c r="G138" i="7" l="1"/>
  <c r="G463" i="7" l="1"/>
  <c r="G117" i="7" l="1"/>
  <c r="G287" i="7"/>
  <c r="I49" i="29" l="1"/>
  <c r="J49" i="29" l="1"/>
  <c r="G467" i="7" l="1"/>
  <c r="G465" i="7" l="1"/>
  <c r="G535" i="7"/>
  <c r="G262" i="7"/>
  <c r="G295" i="7"/>
  <c r="G88" i="32" l="1"/>
  <c r="F88" i="32" l="1"/>
  <c r="G12" i="32" l="1"/>
  <c r="G61" i="32"/>
  <c r="G8" i="32"/>
  <c r="G13" i="32"/>
  <c r="G65" i="32"/>
  <c r="G37" i="32"/>
  <c r="G144" i="32"/>
  <c r="G142" i="32"/>
  <c r="G22" i="32"/>
  <c r="G90" i="32"/>
  <c r="G92" i="32"/>
  <c r="G77" i="32"/>
  <c r="G9" i="32"/>
  <c r="G71" i="32"/>
  <c r="G121" i="32"/>
  <c r="G124" i="32"/>
  <c r="G38" i="32"/>
  <c r="G4" i="32"/>
  <c r="G105" i="32"/>
  <c r="G35" i="32"/>
  <c r="G43" i="32"/>
  <c r="G58" i="32"/>
  <c r="G116" i="32"/>
  <c r="G57" i="32"/>
  <c r="G97" i="32"/>
  <c r="G60" i="32"/>
  <c r="G82" i="32"/>
  <c r="F24" i="45" l="1"/>
  <c r="F23" i="45"/>
  <c r="F21" i="45"/>
  <c r="F18" i="45"/>
  <c r="F22" i="45"/>
  <c r="F37" i="45"/>
  <c r="F72" i="45"/>
  <c r="F11" i="45"/>
  <c r="F10" i="45"/>
  <c r="F9" i="45"/>
  <c r="F13" i="45"/>
  <c r="F8" i="45"/>
  <c r="F6" i="45"/>
  <c r="F15" i="45"/>
  <c r="F20" i="45"/>
  <c r="F19" i="45"/>
  <c r="F87" i="32"/>
  <c r="F84" i="32"/>
  <c r="F20" i="32"/>
  <c r="F41" i="32"/>
  <c r="F48" i="32"/>
  <c r="F56" i="32"/>
  <c r="F59" i="32"/>
  <c r="F62" i="32"/>
  <c r="F68" i="32"/>
  <c r="F70" i="32"/>
  <c r="F5" i="32"/>
  <c r="F10" i="32"/>
  <c r="F6" i="32"/>
  <c r="F24" i="32"/>
  <c r="F27" i="32"/>
  <c r="F36" i="32"/>
  <c r="F39" i="32"/>
  <c r="F45" i="32"/>
  <c r="F44" i="32"/>
  <c r="F47" i="32"/>
  <c r="F49" i="32"/>
  <c r="F50" i="32"/>
  <c r="F51" i="32"/>
  <c r="F55" i="32"/>
  <c r="F54" i="32"/>
  <c r="F53" i="32"/>
  <c r="F52" i="32"/>
  <c r="F63" i="32"/>
  <c r="F81" i="32"/>
  <c r="F85" i="32"/>
  <c r="F75" i="32"/>
  <c r="F94" i="32"/>
  <c r="F103" i="32"/>
  <c r="F108" i="32"/>
  <c r="F61" i="32"/>
  <c r="F65" i="32"/>
  <c r="F12" i="32"/>
  <c r="F8" i="32"/>
  <c r="F2" i="32"/>
  <c r="F13" i="32"/>
  <c r="F37" i="32"/>
  <c r="F58" i="32"/>
  <c r="F82" i="32"/>
  <c r="F92" i="32"/>
  <c r="F22" i="32"/>
  <c r="F144" i="32"/>
  <c r="F69" i="32"/>
  <c r="F116" i="32"/>
  <c r="F124" i="32"/>
  <c r="F57" i="32"/>
  <c r="F11" i="32"/>
  <c r="F90" i="32"/>
  <c r="F67" i="32"/>
  <c r="F14" i="32"/>
  <c r="F142" i="32"/>
  <c r="F35" i="32"/>
  <c r="F33" i="32"/>
  <c r="F105" i="32"/>
  <c r="F64" i="32"/>
  <c r="F97" i="32"/>
  <c r="F66" i="32"/>
  <c r="F7" i="32"/>
  <c r="F4" i="32"/>
  <c r="F38" i="32"/>
  <c r="F77" i="32"/>
  <c r="F9" i="32"/>
  <c r="F60" i="32"/>
  <c r="F121" i="32"/>
  <c r="F71" i="32"/>
  <c r="F43" i="32"/>
  <c r="G124" i="7"/>
  <c r="C49" i="29"/>
  <c r="B13" i="1" l="1"/>
  <c r="B16" i="1"/>
  <c r="B14" i="1"/>
  <c r="B15" i="1"/>
  <c r="I73" i="29"/>
  <c r="Y4" i="29"/>
  <c r="G23" i="32" l="1"/>
  <c r="G29" i="32"/>
  <c r="G30" i="32"/>
  <c r="G25" i="32"/>
  <c r="G17" i="32"/>
  <c r="R213" i="4"/>
  <c r="R212" i="4"/>
  <c r="R4" i="2"/>
  <c r="R115" i="3"/>
  <c r="R205" i="4"/>
  <c r="R207" i="4"/>
  <c r="R206" i="4"/>
  <c r="R209" i="4"/>
  <c r="R210" i="4"/>
  <c r="R208" i="4"/>
  <c r="R211" i="4"/>
  <c r="R203" i="4"/>
  <c r="R204" i="4"/>
  <c r="R202" i="4"/>
  <c r="R201" i="4"/>
  <c r="R200" i="4"/>
  <c r="R194" i="4"/>
  <c r="R199" i="4"/>
  <c r="R198" i="4"/>
  <c r="R196" i="4"/>
  <c r="R197" i="4"/>
  <c r="R195" i="4"/>
  <c r="R189" i="4"/>
  <c r="R190" i="4"/>
  <c r="R193" i="4"/>
  <c r="R192" i="4"/>
  <c r="R191" i="4"/>
  <c r="R188" i="4"/>
  <c r="R187" i="4"/>
  <c r="R185" i="4"/>
  <c r="R186" i="4"/>
  <c r="R183" i="4"/>
  <c r="R181" i="4"/>
  <c r="R180" i="4"/>
  <c r="R182" i="4"/>
  <c r="R184" i="4"/>
  <c r="R179" i="4"/>
  <c r="R178" i="4"/>
  <c r="R177" i="4"/>
  <c r="R175" i="4"/>
  <c r="R176" i="4"/>
  <c r="R174" i="4"/>
  <c r="R173" i="4"/>
  <c r="R172" i="4"/>
  <c r="R170" i="4"/>
  <c r="R169" i="4"/>
  <c r="R165" i="4"/>
  <c r="R130" i="5"/>
  <c r="R137" i="5"/>
  <c r="R136" i="5"/>
  <c r="R135" i="5"/>
  <c r="R133" i="5"/>
  <c r="R131" i="5"/>
  <c r="R86" i="2"/>
  <c r="R85" i="2"/>
  <c r="R84" i="2"/>
  <c r="R83" i="2"/>
  <c r="R82" i="2"/>
  <c r="R81" i="2"/>
  <c r="R80" i="2"/>
  <c r="R79" i="2"/>
  <c r="R78" i="2"/>
  <c r="R77" i="2"/>
  <c r="R76" i="2"/>
  <c r="Q3" i="5"/>
  <c r="Q14" i="5"/>
  <c r="Q16" i="5"/>
  <c r="R5" i="5"/>
  <c r="Q13" i="5"/>
  <c r="R40" i="5"/>
  <c r="R116" i="5"/>
  <c r="R62" i="5"/>
  <c r="R50" i="5"/>
  <c r="R129" i="5"/>
  <c r="R67" i="5"/>
  <c r="R106" i="5"/>
  <c r="R134" i="5"/>
  <c r="R102" i="5"/>
  <c r="Q22" i="5"/>
  <c r="R111" i="5"/>
  <c r="Q19" i="5"/>
  <c r="R55" i="5"/>
  <c r="R68" i="5"/>
  <c r="R132" i="5"/>
  <c r="Q20" i="5"/>
  <c r="R13" i="5"/>
  <c r="R118" i="5"/>
  <c r="Q6" i="5"/>
  <c r="R73" i="5"/>
  <c r="R95" i="5"/>
  <c r="R74" i="5"/>
  <c r="R120" i="5"/>
  <c r="R64" i="5"/>
  <c r="Q25" i="5"/>
  <c r="Q4" i="5"/>
  <c r="R103" i="5"/>
  <c r="R90" i="5"/>
  <c r="R59" i="5"/>
  <c r="R10" i="5"/>
  <c r="R21" i="5"/>
  <c r="R83" i="5"/>
  <c r="R9" i="5"/>
  <c r="R93" i="5"/>
  <c r="R65" i="5"/>
  <c r="R94" i="5"/>
  <c r="R27" i="5"/>
  <c r="R29" i="5"/>
  <c r="R71" i="5"/>
  <c r="R54" i="5"/>
  <c r="Q10" i="5"/>
  <c r="R122" i="5"/>
  <c r="R87" i="5"/>
  <c r="R23" i="5"/>
  <c r="R61" i="5"/>
  <c r="R110" i="5"/>
  <c r="R17" i="5"/>
  <c r="R113" i="5"/>
  <c r="R127" i="5"/>
  <c r="R78" i="5"/>
  <c r="R72" i="5"/>
  <c r="R79" i="5"/>
  <c r="R43" i="5"/>
  <c r="R81" i="5"/>
  <c r="R66" i="5"/>
  <c r="R91" i="5"/>
  <c r="R107" i="5"/>
  <c r="R75" i="5"/>
  <c r="R48" i="5"/>
  <c r="R28" i="5"/>
  <c r="R96" i="5"/>
  <c r="R99" i="5"/>
  <c r="R57" i="5"/>
  <c r="R117" i="5"/>
  <c r="R26" i="5"/>
  <c r="Q8" i="5"/>
  <c r="R121" i="5"/>
  <c r="R19" i="5"/>
  <c r="R47" i="5"/>
  <c r="R124" i="5"/>
  <c r="Q12" i="5"/>
  <c r="R25" i="5"/>
  <c r="R46" i="5"/>
  <c r="R16" i="5"/>
  <c r="R109" i="5"/>
  <c r="R42" i="5"/>
  <c r="R7" i="5"/>
  <c r="R18" i="5"/>
  <c r="R14" i="5"/>
  <c r="R97" i="5"/>
  <c r="R114" i="5"/>
  <c r="R38" i="5"/>
  <c r="R41" i="5"/>
  <c r="R33" i="5"/>
  <c r="R11" i="5"/>
  <c r="R112" i="5"/>
  <c r="R85" i="5"/>
  <c r="R77" i="5"/>
  <c r="Q15" i="5"/>
  <c r="R52" i="5"/>
  <c r="R45" i="5"/>
  <c r="R101" i="5"/>
  <c r="R22" i="5"/>
  <c r="Q24" i="5"/>
  <c r="R56" i="5"/>
  <c r="R105" i="5"/>
  <c r="R125" i="5"/>
  <c r="R89" i="5"/>
  <c r="R58" i="5"/>
  <c r="R115" i="5"/>
  <c r="R69" i="5"/>
  <c r="R60" i="5"/>
  <c r="R92" i="5"/>
  <c r="R63" i="5"/>
  <c r="R31" i="5"/>
  <c r="R24" i="5"/>
  <c r="R126" i="5"/>
  <c r="Q26" i="5"/>
  <c r="R15" i="5"/>
  <c r="R20" i="5"/>
  <c r="R53" i="5"/>
  <c r="R30" i="5"/>
  <c r="R123" i="5"/>
  <c r="R104" i="5"/>
  <c r="Q7" i="5"/>
  <c r="R86" i="5"/>
  <c r="R88" i="5"/>
  <c r="R12" i="5"/>
  <c r="R8" i="5"/>
  <c r="R3" i="5"/>
  <c r="R80" i="5"/>
  <c r="R84" i="5"/>
  <c r="R35" i="5"/>
  <c r="R4" i="5"/>
  <c r="R100" i="5"/>
  <c r="R51" i="5"/>
  <c r="Q21" i="5"/>
  <c r="R34" i="5"/>
  <c r="R76" i="5"/>
  <c r="Q5" i="5"/>
  <c r="R98" i="5"/>
  <c r="Q18" i="5"/>
  <c r="R36" i="5"/>
  <c r="R82" i="5"/>
  <c r="R39" i="5"/>
  <c r="R32" i="5"/>
  <c r="Q9" i="5"/>
  <c r="Q23" i="5"/>
  <c r="R37" i="5"/>
  <c r="Q11" i="5"/>
  <c r="R108" i="5"/>
  <c r="R128" i="5"/>
  <c r="R49" i="5"/>
  <c r="R44" i="5"/>
  <c r="R70" i="5"/>
  <c r="Q17" i="5"/>
  <c r="R119" i="5"/>
  <c r="R6" i="5"/>
  <c r="R27" i="2"/>
  <c r="R62" i="2"/>
  <c r="R17" i="2"/>
  <c r="R39" i="2"/>
  <c r="R5" i="2"/>
  <c r="R46" i="2"/>
  <c r="R8" i="2"/>
  <c r="R3" i="2"/>
  <c r="Q14" i="2"/>
  <c r="R15" i="2"/>
  <c r="R63" i="2"/>
  <c r="R61" i="2"/>
  <c r="Q9" i="2"/>
  <c r="R67" i="2"/>
  <c r="R34" i="2"/>
  <c r="R23" i="2"/>
  <c r="R58" i="2"/>
  <c r="R48" i="2"/>
  <c r="R70" i="2"/>
  <c r="R71" i="2"/>
  <c r="R41" i="2"/>
  <c r="R47" i="2"/>
  <c r="R26" i="2"/>
  <c r="R10" i="2"/>
  <c r="R14" i="2"/>
  <c r="R64" i="2"/>
  <c r="R69" i="2"/>
  <c r="Q10" i="2"/>
  <c r="R31" i="2"/>
  <c r="R60" i="2"/>
  <c r="R56" i="2"/>
  <c r="R37" i="2"/>
  <c r="R73" i="2"/>
  <c r="R20" i="2"/>
  <c r="R25" i="2"/>
  <c r="R6" i="2"/>
  <c r="R28" i="2"/>
  <c r="R38" i="2"/>
  <c r="R72" i="2"/>
  <c r="R40" i="2"/>
  <c r="R35" i="2"/>
  <c r="Q3" i="2"/>
  <c r="R65" i="2"/>
  <c r="Q6" i="2"/>
  <c r="R32" i="2"/>
  <c r="R22" i="2"/>
  <c r="R33" i="2"/>
  <c r="R51" i="2"/>
  <c r="R42" i="2"/>
  <c r="R59" i="2"/>
  <c r="R68" i="2"/>
  <c r="R18" i="2"/>
  <c r="R7" i="2"/>
  <c r="R36" i="2"/>
  <c r="R52" i="2"/>
  <c r="R55" i="2"/>
  <c r="R29" i="2"/>
  <c r="R12" i="2"/>
  <c r="R9" i="2"/>
  <c r="R66" i="2"/>
  <c r="Q11" i="2"/>
  <c r="R13" i="2"/>
  <c r="R19" i="2"/>
  <c r="R11" i="2"/>
  <c r="Q13" i="2"/>
  <c r="R50" i="2"/>
  <c r="Q7" i="2"/>
  <c r="R16" i="2"/>
  <c r="R30" i="2"/>
  <c r="Q12" i="2"/>
  <c r="R57" i="2"/>
  <c r="R53" i="2"/>
  <c r="Q5" i="2"/>
  <c r="R21" i="2"/>
  <c r="R44" i="2"/>
  <c r="R24" i="2"/>
  <c r="R49" i="2"/>
  <c r="R74" i="2"/>
  <c r="R43" i="2"/>
  <c r="R75" i="2"/>
  <c r="R45" i="2"/>
  <c r="Q8" i="2"/>
  <c r="R54" i="2"/>
  <c r="R83" i="4"/>
  <c r="R86" i="4"/>
  <c r="R142" i="4"/>
  <c r="R129" i="4"/>
  <c r="R161" i="4"/>
  <c r="R87" i="4"/>
  <c r="R32" i="4"/>
  <c r="R150" i="4"/>
  <c r="Q13" i="4"/>
  <c r="Q14" i="4"/>
  <c r="R60" i="4"/>
  <c r="R8" i="4"/>
  <c r="R81" i="4"/>
  <c r="R41" i="4"/>
  <c r="R95" i="4"/>
  <c r="R70" i="4"/>
  <c r="R37" i="4"/>
  <c r="R125" i="4"/>
  <c r="R42" i="4"/>
  <c r="R109" i="4"/>
  <c r="R22" i="4"/>
  <c r="R47" i="4"/>
  <c r="R117" i="4"/>
  <c r="R101" i="4"/>
  <c r="Q12" i="4"/>
  <c r="R15" i="4"/>
  <c r="R59" i="4"/>
  <c r="R64" i="4"/>
  <c r="R44" i="4"/>
  <c r="R124" i="4"/>
  <c r="R90" i="4"/>
  <c r="R79" i="4"/>
  <c r="R130" i="4"/>
  <c r="R66" i="4"/>
  <c r="R54" i="4"/>
  <c r="R78" i="4"/>
  <c r="R137" i="4"/>
  <c r="R96" i="4"/>
  <c r="R11" i="4"/>
  <c r="R112" i="4"/>
  <c r="R155" i="4"/>
  <c r="R30" i="4"/>
  <c r="R55" i="4"/>
  <c r="R148" i="4"/>
  <c r="R127" i="4"/>
  <c r="R23" i="4"/>
  <c r="R75" i="4"/>
  <c r="Q6" i="4"/>
  <c r="R115" i="4"/>
  <c r="R120" i="4"/>
  <c r="R100" i="4"/>
  <c r="R3" i="4"/>
  <c r="R108" i="4"/>
  <c r="R91" i="4"/>
  <c r="R139" i="4"/>
  <c r="R88" i="4"/>
  <c r="R132" i="4"/>
  <c r="R7" i="4"/>
  <c r="Q19" i="4"/>
  <c r="R131" i="4"/>
  <c r="R58" i="4"/>
  <c r="R16" i="4"/>
  <c r="R82" i="4"/>
  <c r="R52" i="4"/>
  <c r="R34" i="4"/>
  <c r="R136" i="4"/>
  <c r="R39" i="4"/>
  <c r="R77" i="4"/>
  <c r="R153" i="4"/>
  <c r="R135" i="4"/>
  <c r="R31" i="4"/>
  <c r="R94" i="4"/>
  <c r="R157" i="4"/>
  <c r="R36" i="4"/>
  <c r="R20" i="4"/>
  <c r="R73" i="4"/>
  <c r="R164" i="4"/>
  <c r="Q24" i="4"/>
  <c r="R99" i="4"/>
  <c r="R119" i="4"/>
  <c r="R107" i="4"/>
  <c r="R121" i="4"/>
  <c r="R24" i="4"/>
  <c r="R168" i="4"/>
  <c r="R166" i="4"/>
  <c r="R144" i="4"/>
  <c r="R123" i="4"/>
  <c r="R74" i="4"/>
  <c r="R51" i="4"/>
  <c r="Q22" i="4"/>
  <c r="R118" i="4"/>
  <c r="R49" i="4"/>
  <c r="R46" i="4"/>
  <c r="R105" i="4"/>
  <c r="Q25" i="4"/>
  <c r="R143" i="4"/>
  <c r="R167" i="4"/>
  <c r="R111" i="4"/>
  <c r="R156" i="4"/>
  <c r="R114" i="4"/>
  <c r="R93" i="4"/>
  <c r="R141" i="4"/>
  <c r="R80" i="4"/>
  <c r="R43" i="4"/>
  <c r="R146" i="4"/>
  <c r="R158" i="4"/>
  <c r="R104" i="4"/>
  <c r="R57" i="4"/>
  <c r="R149" i="4"/>
  <c r="R45" i="4"/>
  <c r="R27" i="4"/>
  <c r="R13" i="4"/>
  <c r="R18" i="4"/>
  <c r="R38" i="4"/>
  <c r="R10" i="4"/>
  <c r="R72" i="4"/>
  <c r="R113" i="4"/>
  <c r="R126" i="4"/>
  <c r="Q17" i="4"/>
  <c r="R128" i="4"/>
  <c r="R116" i="4"/>
  <c r="R134" i="4"/>
  <c r="Q11" i="4"/>
  <c r="Q7" i="4"/>
  <c r="R162" i="4"/>
  <c r="R26" i="4"/>
  <c r="R19" i="4"/>
  <c r="R133" i="4"/>
  <c r="R85" i="4"/>
  <c r="R17" i="4"/>
  <c r="R160" i="4"/>
  <c r="R159" i="4"/>
  <c r="R122" i="4"/>
  <c r="Q16" i="4"/>
  <c r="R28" i="4"/>
  <c r="R21" i="4"/>
  <c r="R25" i="4"/>
  <c r="R84" i="4"/>
  <c r="Q9" i="4"/>
  <c r="R69" i="4"/>
  <c r="R61" i="4"/>
  <c r="R89" i="4"/>
  <c r="R14" i="4"/>
  <c r="R6" i="4"/>
  <c r="R76" i="4"/>
  <c r="R40" i="4"/>
  <c r="R163" i="4"/>
  <c r="Q8" i="4"/>
  <c r="Q3" i="4"/>
  <c r="R97" i="4"/>
  <c r="R152" i="4"/>
  <c r="R151" i="4"/>
  <c r="R92" i="4"/>
  <c r="Q10" i="4"/>
  <c r="R106" i="4"/>
  <c r="R29" i="4"/>
  <c r="R9" i="4"/>
  <c r="Q4" i="4"/>
  <c r="R145" i="4"/>
  <c r="R35" i="4"/>
  <c r="R138" i="4"/>
  <c r="R154" i="4"/>
  <c r="R65" i="4"/>
  <c r="R4" i="4"/>
  <c r="R62" i="4"/>
  <c r="R67" i="4"/>
  <c r="R12" i="4"/>
  <c r="R63" i="4"/>
  <c r="R171" i="4"/>
  <c r="R56" i="4"/>
  <c r="Q18" i="4"/>
  <c r="R68" i="4"/>
  <c r="R71" i="4"/>
  <c r="Q15" i="4"/>
  <c r="Q21" i="4"/>
  <c r="R147" i="4"/>
  <c r="R53" i="4"/>
  <c r="R102" i="4"/>
  <c r="R5" i="4"/>
  <c r="Q20" i="4"/>
  <c r="Q5" i="4"/>
  <c r="R33" i="4"/>
  <c r="R103" i="4"/>
  <c r="R110" i="4"/>
  <c r="R98" i="4"/>
  <c r="R140" i="4"/>
  <c r="R48" i="4"/>
  <c r="R50" i="4"/>
  <c r="Q11" i="3"/>
  <c r="R50" i="3"/>
  <c r="R80" i="3"/>
  <c r="R42" i="3"/>
  <c r="R101" i="3"/>
  <c r="R48" i="3"/>
  <c r="R82" i="3"/>
  <c r="R66" i="3"/>
  <c r="R71" i="3"/>
  <c r="R86" i="3"/>
  <c r="R46" i="3"/>
  <c r="R47" i="3"/>
  <c r="R16" i="3"/>
  <c r="R65" i="3"/>
  <c r="R31" i="3"/>
  <c r="R94" i="3"/>
  <c r="R84" i="3"/>
  <c r="R26" i="3"/>
  <c r="R8" i="3"/>
  <c r="R22" i="3"/>
  <c r="R96" i="3"/>
  <c r="R10" i="3"/>
  <c r="Q6" i="3"/>
  <c r="R45" i="3"/>
  <c r="R38" i="3"/>
  <c r="R60" i="3"/>
  <c r="R92" i="3"/>
  <c r="R106" i="3"/>
  <c r="R72" i="3"/>
  <c r="R63" i="3"/>
  <c r="R56" i="3"/>
  <c r="R110" i="3"/>
  <c r="R40" i="3"/>
  <c r="R17" i="3"/>
  <c r="R97" i="3"/>
  <c r="Q12" i="3"/>
  <c r="R15" i="3"/>
  <c r="Q13" i="3"/>
  <c r="R99" i="3"/>
  <c r="Q10" i="3"/>
  <c r="R76" i="3"/>
  <c r="R34" i="3"/>
  <c r="R33" i="3"/>
  <c r="R29" i="3"/>
  <c r="R23" i="3"/>
  <c r="R89" i="3"/>
  <c r="R77" i="3"/>
  <c r="R91" i="3"/>
  <c r="R32" i="3"/>
  <c r="R105" i="3"/>
  <c r="R108" i="3"/>
  <c r="R14" i="3"/>
  <c r="R25" i="3"/>
  <c r="R21" i="3"/>
  <c r="R78" i="3"/>
  <c r="Q7" i="3"/>
  <c r="R43" i="3"/>
  <c r="R114" i="3"/>
  <c r="R4" i="3"/>
  <c r="R90" i="3"/>
  <c r="Q9" i="3"/>
  <c r="R112" i="3"/>
  <c r="R12" i="3"/>
  <c r="R6" i="3"/>
  <c r="R79" i="3"/>
  <c r="R83" i="3"/>
  <c r="R85" i="3"/>
  <c r="R70" i="3"/>
  <c r="Q5" i="3"/>
  <c r="Q8" i="3"/>
  <c r="R49" i="3"/>
  <c r="R52" i="3"/>
  <c r="R44" i="3"/>
  <c r="R88" i="3"/>
  <c r="R36" i="3"/>
  <c r="R62" i="3"/>
  <c r="R27" i="3"/>
  <c r="R58" i="3"/>
  <c r="R18" i="3"/>
  <c r="R87" i="3"/>
  <c r="Q4" i="3"/>
  <c r="R55" i="3"/>
  <c r="R100" i="3"/>
  <c r="R39" i="3"/>
  <c r="R104" i="3"/>
  <c r="R93" i="3"/>
  <c r="Q14" i="3"/>
  <c r="R35" i="3"/>
  <c r="R69" i="3"/>
  <c r="R19" i="3"/>
  <c r="R5" i="3"/>
  <c r="R61" i="3"/>
  <c r="R102" i="3"/>
  <c r="R11" i="3"/>
  <c r="R53" i="3"/>
  <c r="R54" i="3"/>
  <c r="R107" i="3"/>
  <c r="R13" i="3"/>
  <c r="R57" i="3"/>
  <c r="R75" i="3"/>
  <c r="R3" i="3"/>
  <c r="R37" i="3"/>
  <c r="R111" i="3"/>
  <c r="R109" i="3"/>
  <c r="R95" i="3"/>
  <c r="R7" i="3"/>
  <c r="R64" i="3"/>
  <c r="R98" i="3"/>
  <c r="R24" i="3"/>
  <c r="R51" i="3"/>
  <c r="R59" i="3"/>
  <c r="R28" i="3"/>
  <c r="R81" i="3"/>
  <c r="R41" i="3"/>
  <c r="R74" i="3"/>
  <c r="Q3" i="3"/>
  <c r="R20" i="3"/>
  <c r="R9" i="3"/>
  <c r="R67" i="3"/>
  <c r="R68" i="3"/>
  <c r="R73" i="3"/>
  <c r="R30" i="3"/>
  <c r="R103" i="3"/>
  <c r="R113" i="3"/>
  <c r="B17" i="1"/>
  <c r="B20" i="1" s="1"/>
  <c r="J73" i="29"/>
  <c r="D49" i="29"/>
  <c r="Y9" i="29"/>
  <c r="Z4" i="29"/>
  <c r="Z9" i="29" s="1"/>
  <c r="D551" i="7"/>
  <c r="H9" i="31"/>
  <c r="H144" i="45"/>
  <c r="O323" i="7"/>
  <c r="D47" i="7"/>
  <c r="H100" i="31"/>
  <c r="D102" i="31"/>
  <c r="D150" i="45"/>
  <c r="D116" i="31"/>
  <c r="D118" i="31"/>
  <c r="D35" i="32"/>
  <c r="D275" i="45"/>
  <c r="H29" i="31"/>
  <c r="D269" i="45"/>
  <c r="D306" i="7"/>
  <c r="D86" i="31"/>
  <c r="D150" i="7"/>
  <c r="D377" i="7"/>
  <c r="D275" i="31"/>
  <c r="D375" i="32"/>
  <c r="H268" i="45"/>
  <c r="D158" i="7"/>
  <c r="D400" i="7"/>
  <c r="O154" i="7"/>
  <c r="D238" i="31"/>
  <c r="D209" i="45"/>
  <c r="O533" i="7"/>
  <c r="D141" i="32"/>
  <c r="D32" i="31"/>
  <c r="D201" i="31"/>
  <c r="D293" i="45"/>
  <c r="O350" i="7"/>
  <c r="O256" i="7"/>
  <c r="H62" i="45"/>
  <c r="D175" i="45"/>
  <c r="D383" i="7"/>
  <c r="D331" i="7"/>
  <c r="O448" i="7"/>
  <c r="D251" i="32"/>
  <c r="H55" i="31"/>
  <c r="D210" i="31"/>
  <c r="D281" i="45"/>
  <c r="D154" i="45"/>
  <c r="H228" i="45"/>
  <c r="D309" i="32"/>
  <c r="D467" i="7"/>
  <c r="D32" i="32"/>
  <c r="D485" i="7"/>
  <c r="H111" i="31"/>
  <c r="D197" i="45"/>
  <c r="D391" i="32"/>
  <c r="D367" i="32"/>
  <c r="D232" i="32"/>
  <c r="O310" i="7"/>
  <c r="H173" i="31"/>
  <c r="D146" i="31"/>
  <c r="D157" i="31"/>
  <c r="D408" i="32"/>
  <c r="H5" i="31"/>
  <c r="D125" i="7"/>
  <c r="D164" i="31"/>
  <c r="H89" i="45"/>
  <c r="H243" i="45"/>
  <c r="D433" i="7"/>
  <c r="O484" i="7"/>
  <c r="D30" i="45"/>
  <c r="H15" i="31"/>
  <c r="D457" i="7"/>
  <c r="D22" i="7"/>
  <c r="O110" i="7"/>
  <c r="D497" i="7"/>
  <c r="D103" i="7"/>
  <c r="D166" i="7"/>
  <c r="D59" i="45"/>
  <c r="D136" i="32"/>
  <c r="D280" i="7"/>
  <c r="O493" i="7"/>
  <c r="D238" i="45"/>
  <c r="D312" i="32"/>
  <c r="D86" i="32"/>
  <c r="D286" i="32"/>
  <c r="O520" i="7"/>
  <c r="D71" i="32"/>
  <c r="O130" i="7"/>
  <c r="O312" i="7"/>
  <c r="D542" i="7"/>
  <c r="H270" i="31"/>
  <c r="H40" i="31"/>
  <c r="H276" i="31"/>
  <c r="O553" i="7"/>
  <c r="D97" i="32"/>
  <c r="H275" i="31"/>
  <c r="H35" i="31"/>
  <c r="D231" i="32"/>
  <c r="D42" i="31"/>
  <c r="H56" i="31"/>
  <c r="D368" i="7"/>
  <c r="O198" i="7"/>
  <c r="H78" i="31"/>
  <c r="D133" i="31"/>
  <c r="D253" i="7"/>
  <c r="Z10" i="18"/>
  <c r="H117" i="45"/>
  <c r="O99" i="7"/>
  <c r="H129" i="31"/>
  <c r="H112" i="45"/>
  <c r="H59" i="31"/>
  <c r="D505" i="7"/>
  <c r="D307" i="7"/>
  <c r="D407" i="7"/>
  <c r="D452" i="32"/>
  <c r="O82" i="7"/>
  <c r="H61" i="31"/>
  <c r="O405" i="7"/>
  <c r="H55" i="45"/>
  <c r="H140" i="31"/>
  <c r="D390" i="7"/>
  <c r="D82" i="7"/>
  <c r="D339" i="32"/>
  <c r="D151" i="31"/>
  <c r="H132" i="31"/>
  <c r="D80" i="31"/>
  <c r="D79" i="32"/>
  <c r="D419" i="32"/>
  <c r="D286" i="45"/>
  <c r="O335" i="7"/>
  <c r="D29" i="31"/>
  <c r="D97" i="7"/>
  <c r="D181" i="32"/>
  <c r="D307" i="32"/>
  <c r="D99" i="32"/>
  <c r="D141" i="45"/>
  <c r="D386" i="32"/>
  <c r="H95" i="45"/>
  <c r="D321" i="32"/>
  <c r="O132" i="7"/>
  <c r="H279" i="31"/>
  <c r="H17" i="31"/>
  <c r="D396" i="32"/>
  <c r="D409" i="7"/>
  <c r="D277" i="32"/>
  <c r="D208" i="31"/>
  <c r="D448" i="7"/>
  <c r="D158" i="45"/>
  <c r="D379" i="7"/>
  <c r="D193" i="32"/>
  <c r="O439" i="7"/>
  <c r="D85" i="31"/>
  <c r="D200" i="31"/>
  <c r="D553" i="7"/>
  <c r="D356" i="7"/>
  <c r="O84" i="7"/>
  <c r="Z11" i="18"/>
  <c r="D192" i="45"/>
  <c r="O273" i="7"/>
  <c r="H143" i="31"/>
  <c r="H37" i="31"/>
  <c r="O266" i="7"/>
  <c r="O135" i="7"/>
  <c r="D148" i="45"/>
  <c r="D73" i="32"/>
  <c r="H95" i="31"/>
  <c r="H54" i="31"/>
  <c r="H284" i="45"/>
  <c r="H16" i="45"/>
  <c r="D111" i="32"/>
  <c r="D61" i="7"/>
  <c r="H22" i="31"/>
  <c r="H283" i="45"/>
  <c r="D147" i="31"/>
  <c r="H196" i="45"/>
  <c r="D123" i="31"/>
  <c r="D270" i="32"/>
  <c r="O513" i="7"/>
  <c r="D430" i="7"/>
  <c r="Z31" i="18"/>
  <c r="D321" i="7"/>
  <c r="D191" i="31"/>
  <c r="H289" i="45"/>
  <c r="D92" i="32"/>
  <c r="D199" i="32"/>
  <c r="D135" i="45"/>
  <c r="O364" i="7"/>
  <c r="H111" i="45"/>
  <c r="D130" i="31"/>
  <c r="D350" i="7"/>
  <c r="D130" i="7"/>
  <c r="H281" i="31"/>
  <c r="O327" i="7"/>
  <c r="O297" i="7"/>
  <c r="Z19" i="18"/>
  <c r="D24" i="7"/>
  <c r="H157" i="31"/>
  <c r="D143" i="7"/>
  <c r="D486" i="7"/>
  <c r="H134" i="31"/>
  <c r="D217" i="32"/>
  <c r="O138" i="7"/>
  <c r="H34" i="31"/>
  <c r="D132" i="7"/>
  <c r="D176" i="32"/>
  <c r="H129" i="45"/>
  <c r="D43" i="45"/>
  <c r="H155" i="31"/>
  <c r="H285" i="45"/>
  <c r="D279" i="31"/>
  <c r="O40" i="7"/>
  <c r="O199" i="7"/>
  <c r="D322" i="7"/>
  <c r="O37" i="7"/>
  <c r="D161" i="31"/>
  <c r="H260" i="31"/>
  <c r="H76" i="31"/>
  <c r="D191" i="45"/>
  <c r="D73" i="45"/>
  <c r="H247" i="31"/>
  <c r="O568" i="7"/>
  <c r="D271" i="32"/>
  <c r="D277" i="45"/>
  <c r="D262" i="7"/>
  <c r="D235" i="45"/>
  <c r="D166" i="31"/>
  <c r="D389" i="32"/>
  <c r="D127" i="45"/>
  <c r="D255" i="7"/>
  <c r="D249" i="45"/>
  <c r="D78" i="31"/>
  <c r="D192" i="32"/>
  <c r="D100" i="45"/>
  <c r="D19" i="31"/>
  <c r="D96" i="31"/>
  <c r="D109" i="32"/>
  <c r="D116" i="7"/>
  <c r="D60" i="31"/>
  <c r="O519" i="7"/>
  <c r="D25" i="32"/>
  <c r="D470" i="32"/>
  <c r="D118" i="45"/>
  <c r="D20" i="31"/>
  <c r="H80" i="45"/>
  <c r="D72" i="32"/>
  <c r="D3" i="45"/>
  <c r="D436" i="32"/>
  <c r="H32" i="45"/>
  <c r="D52" i="31"/>
  <c r="D230" i="32"/>
  <c r="D159" i="7"/>
  <c r="Z33" i="18"/>
  <c r="D484" i="32"/>
  <c r="D117" i="31"/>
  <c r="O545" i="7"/>
  <c r="O311" i="7"/>
  <c r="D413" i="32"/>
  <c r="D26" i="7"/>
  <c r="D141" i="31"/>
  <c r="H18" i="31"/>
  <c r="O157" i="7"/>
  <c r="H79" i="31"/>
  <c r="H73" i="45"/>
  <c r="O253" i="7"/>
  <c r="D45" i="45"/>
  <c r="D93" i="31"/>
  <c r="D38" i="45"/>
  <c r="D559" i="7"/>
  <c r="H26" i="31"/>
  <c r="D274" i="45"/>
  <c r="H257" i="31"/>
  <c r="D81" i="7"/>
  <c r="H26" i="45"/>
  <c r="O169" i="7"/>
  <c r="D364" i="32"/>
  <c r="D350" i="32"/>
  <c r="D558" i="7"/>
  <c r="D58" i="32"/>
  <c r="D52" i="45"/>
  <c r="D75" i="7"/>
  <c r="D120" i="32"/>
  <c r="H221" i="45"/>
  <c r="O33" i="7"/>
  <c r="H91" i="31"/>
  <c r="H277" i="31"/>
  <c r="H192" i="31"/>
  <c r="D211" i="32"/>
  <c r="D185" i="32"/>
  <c r="D138" i="7"/>
  <c r="D276" i="31"/>
  <c r="D303" i="7"/>
  <c r="H153" i="31"/>
  <c r="D23" i="7"/>
  <c r="D21" i="31"/>
  <c r="D322" i="32"/>
  <c r="D546" i="7"/>
  <c r="D314" i="32"/>
  <c r="H205" i="45"/>
  <c r="D78" i="45"/>
  <c r="D479" i="32"/>
  <c r="D132" i="31"/>
  <c r="D199" i="31"/>
  <c r="D77" i="7"/>
  <c r="O287" i="7"/>
  <c r="O262" i="7"/>
  <c r="D284" i="7"/>
  <c r="D273" i="7"/>
  <c r="O501" i="7"/>
  <c r="Z25" i="18"/>
  <c r="D283" i="45"/>
  <c r="D488" i="32"/>
  <c r="D510" i="7"/>
  <c r="D336" i="32"/>
  <c r="H30" i="45"/>
  <c r="D98" i="31"/>
  <c r="H60" i="45"/>
  <c r="D145" i="7"/>
  <c r="H295" i="45"/>
  <c r="H42" i="31"/>
  <c r="D34" i="31"/>
  <c r="D40" i="31"/>
  <c r="O141" i="7"/>
  <c r="H142" i="31"/>
  <c r="D12" i="31"/>
  <c r="H269" i="31"/>
  <c r="O17" i="7"/>
  <c r="H25" i="31"/>
  <c r="O539" i="7"/>
  <c r="D71" i="31"/>
  <c r="D274" i="7"/>
  <c r="D64" i="31"/>
  <c r="H92" i="45"/>
  <c r="D251" i="7"/>
  <c r="D44" i="31"/>
  <c r="H50" i="31"/>
  <c r="D261" i="32"/>
  <c r="D15" i="31"/>
  <c r="H65" i="31"/>
  <c r="H33" i="31"/>
  <c r="H146" i="45"/>
  <c r="H145" i="45"/>
  <c r="D121" i="31"/>
  <c r="O48" i="7"/>
  <c r="O418" i="7"/>
  <c r="H238" i="45"/>
  <c r="D537" i="7"/>
  <c r="O353" i="7"/>
  <c r="H284" i="31"/>
  <c r="H137" i="31"/>
  <c r="D196" i="7"/>
  <c r="O44" i="7"/>
  <c r="D379" i="32"/>
  <c r="H200" i="45"/>
  <c r="H71" i="45"/>
  <c r="D201" i="45"/>
  <c r="H222" i="45"/>
  <c r="D29" i="32"/>
  <c r="O504" i="7"/>
  <c r="O554" i="7"/>
  <c r="D292" i="7"/>
  <c r="D156" i="32"/>
  <c r="H208" i="31"/>
  <c r="O505" i="7"/>
  <c r="D460" i="32"/>
  <c r="H4" i="31"/>
  <c r="D122" i="31"/>
  <c r="O202" i="7"/>
  <c r="D206" i="32"/>
  <c r="D296" i="45"/>
  <c r="D108" i="45"/>
  <c r="D554" i="7"/>
  <c r="H134" i="45"/>
  <c r="D279" i="45"/>
  <c r="O472" i="7"/>
  <c r="D23" i="31"/>
  <c r="H278" i="31"/>
  <c r="D451" i="7"/>
  <c r="O168" i="7"/>
  <c r="D127" i="32"/>
  <c r="H7" i="31"/>
  <c r="D40" i="32"/>
  <c r="O277" i="7"/>
  <c r="H121" i="45"/>
  <c r="H294" i="45"/>
  <c r="O144" i="7"/>
  <c r="D109" i="31"/>
  <c r="O26" i="7"/>
  <c r="D164" i="32"/>
  <c r="H47" i="31"/>
  <c r="D178" i="45"/>
  <c r="H59" i="45"/>
  <c r="D468" i="7"/>
  <c r="D52" i="7"/>
  <c r="D504" i="7"/>
  <c r="D49" i="31"/>
  <c r="D279" i="32"/>
  <c r="O23" i="7"/>
  <c r="O552" i="7"/>
  <c r="D119" i="31"/>
  <c r="D12" i="45"/>
  <c r="O528" i="7"/>
  <c r="O328" i="7"/>
  <c r="O368" i="7"/>
  <c r="H158" i="45"/>
  <c r="O567" i="7"/>
  <c r="D401" i="32"/>
  <c r="D273" i="45"/>
  <c r="D37" i="31"/>
  <c r="H8" i="31"/>
  <c r="Z8" i="18"/>
  <c r="H173" i="45"/>
  <c r="D439" i="32"/>
  <c r="H139" i="45"/>
  <c r="H160" i="31"/>
  <c r="D92" i="45"/>
  <c r="D88" i="31"/>
  <c r="D106" i="45"/>
  <c r="D90" i="31"/>
  <c r="O165" i="7"/>
  <c r="D492" i="7"/>
  <c r="H25" i="45"/>
  <c r="Z28" i="18"/>
  <c r="D110" i="7"/>
  <c r="H106" i="31"/>
  <c r="H27" i="45"/>
  <c r="D73" i="31"/>
  <c r="H128" i="45"/>
  <c r="D138" i="32"/>
  <c r="D518" i="7"/>
  <c r="D255" i="32"/>
  <c r="D169" i="7"/>
  <c r="H265" i="31"/>
  <c r="D289" i="7"/>
  <c r="D446" i="32"/>
  <c r="H267" i="45"/>
  <c r="H81" i="31"/>
  <c r="D200" i="45"/>
  <c r="O265" i="7"/>
  <c r="H282" i="31"/>
  <c r="D473" i="7"/>
  <c r="D277" i="7"/>
  <c r="H44" i="45"/>
  <c r="D217" i="45"/>
  <c r="H24" i="31"/>
  <c r="O136" i="7"/>
  <c r="D160" i="7"/>
  <c r="H63" i="31"/>
  <c r="O389" i="7"/>
  <c r="H214" i="31"/>
  <c r="O449" i="7"/>
  <c r="H271" i="45"/>
  <c r="O346" i="7"/>
  <c r="H43" i="45"/>
  <c r="D174" i="32"/>
  <c r="D38" i="32"/>
  <c r="D330" i="32"/>
  <c r="D154" i="7"/>
  <c r="D82" i="32"/>
  <c r="D122" i="7"/>
  <c r="D8" i="31"/>
  <c r="H29" i="45"/>
  <c r="D259" i="45"/>
  <c r="H266" i="45"/>
  <c r="D263" i="31"/>
  <c r="H211" i="31"/>
  <c r="Z16" i="18"/>
  <c r="H191" i="45"/>
  <c r="D225" i="32"/>
  <c r="H286" i="45"/>
  <c r="H136" i="31"/>
  <c r="H174" i="45"/>
  <c r="D164" i="7"/>
  <c r="D165" i="32"/>
  <c r="D140" i="45"/>
  <c r="H3" i="45"/>
  <c r="H77" i="31"/>
  <c r="D283" i="32"/>
  <c r="D289" i="45"/>
  <c r="D35" i="45"/>
  <c r="O341" i="7"/>
  <c r="D239" i="32"/>
  <c r="O160" i="7"/>
  <c r="H70" i="31"/>
  <c r="H157" i="45"/>
  <c r="D105" i="32"/>
  <c r="D43" i="7"/>
  <c r="D42" i="7"/>
  <c r="H31" i="45"/>
  <c r="H85" i="31"/>
  <c r="H113" i="45"/>
  <c r="D262" i="32"/>
  <c r="H88" i="31"/>
  <c r="D189" i="32"/>
  <c r="O276" i="7"/>
  <c r="H53" i="31"/>
  <c r="D533" i="7"/>
  <c r="D169" i="32"/>
  <c r="D207" i="45"/>
  <c r="H125" i="31"/>
  <c r="D173" i="31"/>
  <c r="H140" i="45"/>
  <c r="D58" i="31"/>
  <c r="H98" i="31"/>
  <c r="D47" i="31"/>
  <c r="D406" i="32"/>
  <c r="D295" i="7"/>
  <c r="H6" i="31"/>
  <c r="D526" i="7"/>
  <c r="Z18" i="18"/>
  <c r="D206" i="31"/>
  <c r="D86" i="45"/>
  <c r="D252" i="45"/>
  <c r="H124" i="45"/>
  <c r="D504" i="32"/>
  <c r="H113" i="31"/>
  <c r="H142" i="45"/>
  <c r="D282" i="31"/>
  <c r="D178" i="32"/>
  <c r="H272" i="31"/>
  <c r="D134" i="31"/>
  <c r="D193" i="45"/>
  <c r="H235" i="45"/>
  <c r="D80" i="32"/>
  <c r="H206" i="45"/>
  <c r="H135" i="31"/>
  <c r="D25" i="7"/>
  <c r="D447" i="7"/>
  <c r="H49" i="31"/>
  <c r="O451" i="7"/>
  <c r="D264" i="31"/>
  <c r="D266" i="31"/>
  <c r="O134" i="7"/>
  <c r="D137" i="7"/>
  <c r="D221" i="45"/>
  <c r="D280" i="31"/>
  <c r="D67" i="31"/>
  <c r="O475" i="7"/>
  <c r="D556" i="7"/>
  <c r="D304" i="32"/>
  <c r="O465" i="7"/>
  <c r="D259" i="7"/>
  <c r="H31" i="31"/>
  <c r="O115" i="7"/>
  <c r="D11" i="31"/>
  <c r="D200" i="7"/>
  <c r="O91" i="7"/>
  <c r="D260" i="45"/>
  <c r="H116" i="31"/>
  <c r="D176" i="31"/>
  <c r="D18" i="31"/>
  <c r="H203" i="45"/>
  <c r="D45" i="7"/>
  <c r="D163" i="7"/>
  <c r="D192" i="31"/>
  <c r="O548" i="7"/>
  <c r="O307" i="7"/>
  <c r="D152" i="32"/>
  <c r="D247" i="32"/>
  <c r="D186" i="45"/>
  <c r="O116" i="7"/>
  <c r="D265" i="7"/>
  <c r="D53" i="31"/>
  <c r="D403" i="32"/>
  <c r="O281" i="7"/>
  <c r="D447" i="32"/>
  <c r="D522" i="7"/>
  <c r="H99" i="31"/>
  <c r="D55" i="45"/>
  <c r="D114" i="31"/>
  <c r="D285" i="31"/>
  <c r="D310" i="7"/>
  <c r="D6" i="31"/>
  <c r="D124" i="7"/>
  <c r="H16" i="31"/>
  <c r="D113" i="7"/>
  <c r="Z9" i="18"/>
  <c r="H12" i="31"/>
  <c r="D46" i="45"/>
  <c r="H215" i="45"/>
  <c r="D174" i="45"/>
  <c r="D209" i="32"/>
  <c r="D116" i="45"/>
  <c r="H250" i="45"/>
  <c r="D216" i="32"/>
  <c r="H14" i="31"/>
  <c r="D45" i="31"/>
  <c r="O302" i="7"/>
  <c r="D463" i="32"/>
  <c r="D382" i="32"/>
  <c r="O67" i="7"/>
  <c r="O487" i="7"/>
  <c r="H46" i="31"/>
  <c r="D282" i="7"/>
  <c r="D153" i="31"/>
  <c r="D112" i="45"/>
  <c r="H149" i="45"/>
  <c r="D131" i="32"/>
  <c r="D162" i="7"/>
  <c r="O72" i="7"/>
  <c r="D121" i="7"/>
  <c r="O18" i="7"/>
  <c r="O522" i="7"/>
  <c r="D132" i="45"/>
  <c r="D507" i="7"/>
  <c r="D188" i="45"/>
  <c r="D88" i="32"/>
  <c r="D134" i="32"/>
  <c r="D77" i="32"/>
  <c r="D38" i="31"/>
  <c r="D265" i="31"/>
  <c r="D142" i="32"/>
  <c r="D567" i="7"/>
  <c r="D455" i="32"/>
  <c r="H99" i="45"/>
  <c r="D228" i="32"/>
  <c r="H45" i="45"/>
  <c r="D167" i="32"/>
  <c r="D90" i="32"/>
  <c r="D260" i="7"/>
  <c r="D80" i="45"/>
  <c r="H127" i="31"/>
  <c r="O512" i="7"/>
  <c r="D438" i="32"/>
  <c r="D99" i="31"/>
  <c r="O283" i="7"/>
  <c r="D54" i="45"/>
  <c r="D313" i="7"/>
  <c r="D94" i="45"/>
  <c r="O137" i="7"/>
  <c r="D163" i="32"/>
  <c r="H169" i="31"/>
  <c r="D328" i="7"/>
  <c r="O569" i="7"/>
  <c r="D152" i="31"/>
  <c r="H192" i="45"/>
  <c r="H158" i="31"/>
  <c r="O166" i="7"/>
  <c r="H159" i="45"/>
  <c r="H97" i="31"/>
  <c r="D179" i="32"/>
  <c r="D201" i="32"/>
  <c r="H141" i="45"/>
  <c r="D119" i="32"/>
  <c r="H291" i="45"/>
  <c r="D28" i="31"/>
  <c r="D451" i="32"/>
  <c r="D247" i="31"/>
  <c r="O515" i="7"/>
  <c r="O163" i="7"/>
  <c r="H263" i="31"/>
  <c r="D292" i="45"/>
  <c r="D106" i="31"/>
  <c r="D43" i="32"/>
  <c r="H146" i="31"/>
  <c r="D13" i="32"/>
  <c r="D259" i="32"/>
  <c r="H197" i="45"/>
  <c r="D193" i="31"/>
  <c r="H204" i="45"/>
  <c r="D152" i="7"/>
  <c r="D459" i="7"/>
  <c r="D219" i="45"/>
  <c r="D123" i="32"/>
  <c r="H62" i="31"/>
  <c r="H152" i="31"/>
  <c r="H78" i="45"/>
  <c r="D125" i="45"/>
  <c r="D345" i="32"/>
  <c r="D41" i="31"/>
  <c r="H68" i="31"/>
  <c r="D124" i="31"/>
  <c r="O258" i="7"/>
  <c r="D287" i="45"/>
  <c r="D27" i="31"/>
  <c r="D108" i="31"/>
  <c r="H274" i="45"/>
  <c r="D277" i="31"/>
  <c r="D271" i="45"/>
  <c r="D268" i="45"/>
  <c r="O314" i="7"/>
  <c r="D37" i="7"/>
  <c r="H171" i="45"/>
  <c r="D272" i="7"/>
  <c r="O274" i="7"/>
  <c r="D202" i="45"/>
  <c r="D153" i="7"/>
  <c r="D145" i="31"/>
  <c r="O158" i="7"/>
  <c r="D270" i="31"/>
  <c r="D263" i="45"/>
  <c r="D568" i="7"/>
  <c r="D113" i="45"/>
  <c r="D291" i="45"/>
  <c r="H23" i="31"/>
  <c r="H42" i="45"/>
  <c r="D137" i="45"/>
  <c r="H151" i="45"/>
  <c r="D144" i="31"/>
  <c r="D154" i="32"/>
  <c r="D160" i="32"/>
  <c r="H126" i="31"/>
  <c r="D128" i="31"/>
  <c r="H201" i="31"/>
  <c r="D228" i="45"/>
  <c r="D301" i="7"/>
  <c r="H101" i="31"/>
  <c r="D285" i="7"/>
  <c r="O400" i="7"/>
  <c r="H275" i="45"/>
  <c r="H58" i="31"/>
  <c r="D475" i="32"/>
  <c r="D131" i="45"/>
  <c r="H185" i="45"/>
  <c r="D484" i="7"/>
  <c r="H121" i="31"/>
  <c r="H207" i="45"/>
  <c r="H94" i="45"/>
  <c r="O152" i="7"/>
  <c r="D104" i="31"/>
  <c r="H155" i="45"/>
  <c r="D51" i="31"/>
  <c r="D301" i="32"/>
  <c r="O352" i="7"/>
  <c r="H220" i="45"/>
  <c r="D487" i="7"/>
  <c r="D266" i="32"/>
  <c r="H255" i="45"/>
  <c r="D227" i="32"/>
  <c r="O13" i="7"/>
  <c r="Z13" i="18"/>
  <c r="H92" i="31"/>
  <c r="D465" i="32"/>
  <c r="D114" i="45"/>
  <c r="D124" i="45"/>
  <c r="H154" i="31"/>
  <c r="D196" i="31"/>
  <c r="D296" i="7"/>
  <c r="H187" i="31"/>
  <c r="D380" i="32"/>
  <c r="D154" i="31"/>
  <c r="Z32" i="18"/>
  <c r="O390" i="7"/>
  <c r="H136" i="45"/>
  <c r="H12" i="45"/>
  <c r="O321" i="7"/>
  <c r="D126" i="31"/>
  <c r="D162" i="45"/>
  <c r="H101" i="45"/>
  <c r="D46" i="31"/>
  <c r="D149" i="45"/>
  <c r="D151" i="32"/>
  <c r="O255" i="7"/>
  <c r="D215" i="45"/>
  <c r="H259" i="45"/>
  <c r="H120" i="45"/>
  <c r="D79" i="7"/>
  <c r="O414" i="7"/>
  <c r="O252" i="7"/>
  <c r="D479" i="7"/>
  <c r="D256" i="7"/>
  <c r="H33" i="45"/>
  <c r="D25" i="31"/>
  <c r="D9" i="32"/>
  <c r="O309" i="7"/>
  <c r="D281" i="31"/>
  <c r="D139" i="31"/>
  <c r="D288" i="32"/>
  <c r="D446" i="7"/>
  <c r="O537" i="7"/>
  <c r="H109" i="31"/>
  <c r="D129" i="45"/>
  <c r="D48" i="7"/>
  <c r="D2" i="31"/>
  <c r="H244" i="31"/>
  <c r="O369" i="7"/>
  <c r="H10" i="31"/>
  <c r="D40" i="45"/>
  <c r="H144" i="31"/>
  <c r="D99" i="7"/>
  <c r="D156" i="7"/>
  <c r="H261" i="45"/>
  <c r="D17" i="45"/>
  <c r="D171" i="32"/>
  <c r="D198" i="45"/>
  <c r="D153" i="32"/>
  <c r="D398" i="32"/>
  <c r="D457" i="32"/>
  <c r="D149" i="31"/>
  <c r="O446" i="7"/>
  <c r="D463" i="7"/>
  <c r="D222" i="32"/>
  <c r="D468" i="32"/>
  <c r="H195" i="45"/>
  <c r="H154" i="45"/>
  <c r="O558" i="7"/>
  <c r="O52" i="7"/>
  <c r="D88" i="7"/>
  <c r="H186" i="45"/>
  <c r="D250" i="7"/>
  <c r="D274" i="32"/>
  <c r="D469" i="32"/>
  <c r="D285" i="32"/>
  <c r="D83" i="31"/>
  <c r="H7" i="45"/>
  <c r="D443" i="32"/>
  <c r="H104" i="31"/>
  <c r="D545" i="7"/>
  <c r="D167" i="45"/>
  <c r="H27" i="31"/>
  <c r="D14" i="31"/>
  <c r="H166" i="31"/>
  <c r="D403" i="7"/>
  <c r="O86" i="7"/>
  <c r="D569" i="7"/>
  <c r="D273" i="31"/>
  <c r="D276" i="45"/>
  <c r="O546" i="7"/>
  <c r="D519" i="7"/>
  <c r="H199" i="31"/>
  <c r="D256" i="32"/>
  <c r="D43" i="31"/>
  <c r="D160" i="31"/>
  <c r="H82" i="45"/>
  <c r="D287" i="7"/>
  <c r="H104" i="45"/>
  <c r="D129" i="31"/>
  <c r="D449" i="7"/>
  <c r="H43" i="31"/>
  <c r="D33" i="31"/>
  <c r="D114" i="32"/>
  <c r="H242" i="45"/>
  <c r="D535" i="7"/>
  <c r="D166" i="45"/>
  <c r="D149" i="7"/>
  <c r="D242" i="32"/>
  <c r="D96" i="7"/>
  <c r="O363" i="7"/>
  <c r="D117" i="45"/>
  <c r="D430" i="32"/>
  <c r="H93" i="31"/>
  <c r="H96" i="45"/>
  <c r="H201" i="45"/>
  <c r="D149" i="32"/>
  <c r="O248" i="7"/>
  <c r="O342" i="7"/>
  <c r="H108" i="45"/>
  <c r="H124" i="31"/>
  <c r="H107" i="31"/>
  <c r="H259" i="31"/>
  <c r="D267" i="31"/>
  <c r="D39" i="31"/>
  <c r="O149" i="7"/>
  <c r="D71" i="45"/>
  <c r="O423" i="7"/>
  <c r="D242" i="45"/>
  <c r="H296" i="45"/>
  <c r="O479" i="7"/>
  <c r="D68" i="31"/>
  <c r="O167" i="7"/>
  <c r="D77" i="31"/>
  <c r="D136" i="31"/>
  <c r="D147" i="32"/>
  <c r="D483" i="7"/>
  <c r="H293" i="45"/>
  <c r="H94" i="31"/>
  <c r="D55" i="31"/>
  <c r="D293" i="32"/>
  <c r="H90" i="31"/>
  <c r="D233" i="45"/>
  <c r="O88" i="7"/>
  <c r="D112" i="32"/>
  <c r="H90" i="45"/>
  <c r="D167" i="7"/>
  <c r="D32" i="45"/>
  <c r="H193" i="31"/>
  <c r="D475" i="7"/>
  <c r="D125" i="31"/>
  <c r="D399" i="32"/>
  <c r="D360" i="32"/>
  <c r="H130" i="31"/>
  <c r="H131" i="31"/>
  <c r="O508" i="7"/>
  <c r="H14" i="45"/>
  <c r="D2" i="45"/>
  <c r="D62" i="45"/>
  <c r="D68" i="7"/>
  <c r="O106" i="7"/>
  <c r="O291" i="7"/>
  <c r="D10" i="31"/>
  <c r="D220" i="45"/>
  <c r="D78" i="32"/>
  <c r="O268" i="7"/>
  <c r="D335" i="7"/>
  <c r="D502" i="32"/>
  <c r="H112" i="31"/>
  <c r="H5" i="45"/>
  <c r="D92" i="31"/>
  <c r="D27" i="45"/>
  <c r="D162" i="31"/>
  <c r="D500" i="32"/>
  <c r="D267" i="45"/>
  <c r="H219" i="45"/>
  <c r="D93" i="45"/>
  <c r="D388" i="32"/>
  <c r="H206" i="31"/>
  <c r="D324" i="32"/>
  <c r="D9" i="31"/>
  <c r="H138" i="31"/>
  <c r="H82" i="31"/>
  <c r="D326" i="7"/>
  <c r="D110" i="31"/>
  <c r="D61" i="32"/>
  <c r="D252" i="32"/>
  <c r="D153" i="45"/>
  <c r="D340" i="7"/>
  <c r="D60" i="45"/>
  <c r="O492" i="7"/>
  <c r="H141" i="31"/>
  <c r="D139" i="32"/>
  <c r="H54" i="45"/>
  <c r="O117" i="7"/>
  <c r="D161" i="7"/>
  <c r="H197" i="31"/>
  <c r="D214" i="31"/>
  <c r="H256" i="31"/>
  <c r="D146" i="32"/>
  <c r="H19" i="31"/>
  <c r="D196" i="45"/>
  <c r="D236" i="31"/>
  <c r="D65" i="32"/>
  <c r="D18" i="7"/>
  <c r="D395" i="32"/>
  <c r="O559" i="7"/>
  <c r="H46" i="45"/>
  <c r="H277" i="45"/>
  <c r="D159" i="31"/>
  <c r="D13" i="7"/>
  <c r="D202" i="7"/>
  <c r="D445" i="32"/>
  <c r="D308" i="32"/>
  <c r="H270" i="45"/>
  <c r="D87" i="31"/>
  <c r="D7" i="31"/>
  <c r="D155" i="45"/>
  <c r="H11" i="31"/>
  <c r="D298" i="32"/>
  <c r="O250" i="7"/>
  <c r="D268" i="7"/>
  <c r="H32" i="31"/>
  <c r="D264" i="45"/>
  <c r="H183" i="31"/>
  <c r="D331" i="32"/>
  <c r="D203" i="45"/>
  <c r="H105" i="31"/>
  <c r="D65" i="31"/>
  <c r="H198" i="31"/>
  <c r="D157" i="45"/>
  <c r="O77" i="7"/>
  <c r="Z23" i="18"/>
  <c r="D309" i="7"/>
  <c r="D488" i="7"/>
  <c r="D272" i="31"/>
  <c r="D75" i="31"/>
  <c r="O463" i="7"/>
  <c r="H161" i="31"/>
  <c r="H210" i="45"/>
  <c r="D224" i="32"/>
  <c r="D521" i="7"/>
  <c r="D49" i="45"/>
  <c r="D278" i="31"/>
  <c r="H233" i="45"/>
  <c r="O392" i="7"/>
  <c r="H96" i="31"/>
  <c r="H218" i="31"/>
  <c r="D17" i="32"/>
  <c r="O97" i="7"/>
  <c r="H223" i="45"/>
  <c r="H238" i="31"/>
  <c r="H151" i="31"/>
  <c r="D113" i="32"/>
  <c r="D79" i="31"/>
  <c r="D212" i="45"/>
  <c r="D491" i="7"/>
  <c r="H118" i="45"/>
  <c r="H258" i="31"/>
  <c r="D4" i="31"/>
  <c r="H88" i="45"/>
  <c r="D17" i="7"/>
  <c r="D31" i="45"/>
  <c r="O483" i="7"/>
  <c r="H74" i="31"/>
  <c r="D121" i="32"/>
  <c r="Z6" i="18"/>
  <c r="D310" i="32"/>
  <c r="O156" i="7"/>
  <c r="D353" i="7"/>
  <c r="D492" i="32"/>
  <c r="D117" i="7"/>
  <c r="H261" i="31"/>
  <c r="D268" i="32"/>
  <c r="D16" i="45"/>
  <c r="H50" i="45"/>
  <c r="D198" i="31"/>
  <c r="D292" i="32"/>
  <c r="D334" i="7"/>
  <c r="O96" i="7"/>
  <c r="D291" i="7"/>
  <c r="D499" i="32"/>
  <c r="D142" i="31"/>
  <c r="O556" i="7"/>
  <c r="D515" i="7"/>
  <c r="O295" i="7"/>
  <c r="H72" i="31"/>
  <c r="D159" i="32"/>
  <c r="Z14" i="18"/>
  <c r="D493" i="7"/>
  <c r="H40" i="45"/>
  <c r="H98" i="45"/>
  <c r="D259" i="31"/>
  <c r="D389" i="7"/>
  <c r="D148" i="31"/>
  <c r="D346" i="32"/>
  <c r="D79" i="45"/>
  <c r="D405" i="7"/>
  <c r="D536" i="7"/>
  <c r="O334" i="7"/>
  <c r="Z26" i="18"/>
  <c r="D466" i="32"/>
  <c r="D520" i="7"/>
  <c r="D473" i="32"/>
  <c r="H73" i="31"/>
  <c r="D472" i="7"/>
  <c r="H36" i="45"/>
  <c r="D72" i="7"/>
  <c r="D76" i="32"/>
  <c r="D312" i="7"/>
  <c r="D480" i="32"/>
  <c r="D139" i="45"/>
  <c r="D106" i="7"/>
  <c r="D116" i="32"/>
  <c r="D489" i="32"/>
  <c r="O510" i="7"/>
  <c r="Z4" i="18"/>
  <c r="D82" i="31"/>
  <c r="D269" i="31"/>
  <c r="H196" i="31"/>
  <c r="D33" i="7"/>
  <c r="D127" i="31"/>
  <c r="D113" i="31"/>
  <c r="D257" i="31"/>
  <c r="O298" i="7"/>
  <c r="D425" i="32"/>
  <c r="D25" i="45"/>
  <c r="D528" i="7"/>
  <c r="D423" i="7"/>
  <c r="D147" i="7"/>
  <c r="D13" i="31"/>
  <c r="H273" i="45"/>
  <c r="O551" i="7"/>
  <c r="D36" i="7"/>
  <c r="O301" i="7"/>
  <c r="Z27" i="18"/>
  <c r="D363" i="32"/>
  <c r="D5" i="31"/>
  <c r="H282" i="45"/>
  <c r="H123" i="45"/>
  <c r="Z20" i="18"/>
  <c r="D84" i="7"/>
  <c r="D394" i="32"/>
  <c r="Z7" i="18"/>
  <c r="D61" i="31"/>
  <c r="H272" i="45"/>
  <c r="H118" i="31"/>
  <c r="D283" i="31"/>
  <c r="H21" i="31"/>
  <c r="H28" i="31"/>
  <c r="O331" i="7"/>
  <c r="D253" i="32"/>
  <c r="D76" i="31"/>
  <c r="H267" i="31"/>
  <c r="O378" i="7"/>
  <c r="O143" i="7"/>
  <c r="H285" i="31"/>
  <c r="D368" i="32"/>
  <c r="D118" i="32"/>
  <c r="D258" i="7"/>
  <c r="H35" i="45"/>
  <c r="H265" i="45"/>
  <c r="D295" i="45"/>
  <c r="H178" i="45"/>
  <c r="H280" i="45"/>
  <c r="D387" i="32"/>
  <c r="D36" i="31"/>
  <c r="D161" i="32"/>
  <c r="D95" i="7"/>
  <c r="D35" i="31"/>
  <c r="D171" i="7"/>
  <c r="D244" i="31"/>
  <c r="O296" i="7"/>
  <c r="D311" i="7"/>
  <c r="D290" i="45"/>
  <c r="H283" i="31"/>
  <c r="D115" i="31"/>
  <c r="D506" i="32"/>
  <c r="Z22" i="18"/>
  <c r="D266" i="7"/>
  <c r="H244" i="45"/>
  <c r="D172" i="32"/>
  <c r="O377" i="7"/>
  <c r="H149" i="31"/>
  <c r="H168" i="45"/>
  <c r="H145" i="31"/>
  <c r="D256" i="31"/>
  <c r="D137" i="31"/>
  <c r="O383" i="7"/>
  <c r="D44" i="45"/>
  <c r="O319" i="7"/>
  <c r="H273" i="31"/>
  <c r="H51" i="31"/>
  <c r="D416" i="32"/>
  <c r="D140" i="31"/>
  <c r="D272" i="45"/>
  <c r="D508" i="7"/>
  <c r="D352" i="7"/>
  <c r="D456" i="32"/>
  <c r="D36" i="45"/>
  <c r="O139" i="7"/>
  <c r="O488" i="7"/>
  <c r="D466" i="7"/>
  <c r="O285" i="7"/>
  <c r="H131" i="45"/>
  <c r="D109" i="7"/>
  <c r="D33" i="45"/>
  <c r="H153" i="45"/>
  <c r="H249" i="45"/>
  <c r="H264" i="45"/>
  <c r="D194" i="32"/>
  <c r="H162" i="45"/>
  <c r="D144" i="45"/>
  <c r="O473" i="7"/>
  <c r="O468" i="7"/>
  <c r="D135" i="31"/>
  <c r="H64" i="31"/>
  <c r="O526" i="7"/>
  <c r="H80" i="31"/>
  <c r="H44" i="31"/>
  <c r="H132" i="45"/>
  <c r="D265" i="45"/>
  <c r="H279" i="45"/>
  <c r="D30" i="31"/>
  <c r="O200" i="7"/>
  <c r="O81" i="7"/>
  <c r="O340" i="7"/>
  <c r="D23" i="32"/>
  <c r="D57" i="32"/>
  <c r="D364" i="7"/>
  <c r="D261" i="31"/>
  <c r="H290" i="45"/>
  <c r="O113" i="7"/>
  <c r="D190" i="32"/>
  <c r="H175" i="45"/>
  <c r="D496" i="7"/>
  <c r="H137" i="45"/>
  <c r="D110" i="32"/>
  <c r="D180" i="31"/>
  <c r="O30" i="7"/>
  <c r="D83" i="32"/>
  <c r="H242" i="31"/>
  <c r="H106" i="45"/>
  <c r="D513" i="7"/>
  <c r="D383" i="32"/>
  <c r="Z2" i="18"/>
  <c r="D168" i="7"/>
  <c r="H176" i="31"/>
  <c r="D66" i="31"/>
  <c r="D54" i="31"/>
  <c r="D48" i="31"/>
  <c r="O25" i="7"/>
  <c r="D501" i="7"/>
  <c r="D89" i="31"/>
  <c r="D303" i="32"/>
  <c r="D405" i="32"/>
  <c r="D144" i="32"/>
  <c r="D263" i="32"/>
  <c r="H57" i="31"/>
  <c r="O361" i="7"/>
  <c r="D94" i="7"/>
  <c r="D181" i="45"/>
  <c r="H52" i="45"/>
  <c r="O542" i="7"/>
  <c r="D53" i="7"/>
  <c r="H86" i="45"/>
  <c r="O457" i="7"/>
  <c r="H105" i="45"/>
  <c r="H38" i="31"/>
  <c r="D512" i="7"/>
  <c r="H236" i="31"/>
  <c r="D240" i="31"/>
  <c r="Z3" i="18"/>
  <c r="O379" i="7"/>
  <c r="H36" i="31"/>
  <c r="H110" i="31"/>
  <c r="O68" i="7"/>
  <c r="D107" i="32"/>
  <c r="O354" i="7"/>
  <c r="D327" i="7"/>
  <c r="H69" i="31"/>
  <c r="D258" i="31"/>
  <c r="H287" i="45"/>
  <c r="H100" i="45"/>
  <c r="D57" i="45"/>
  <c r="D81" i="31"/>
  <c r="D22" i="31"/>
  <c r="D37" i="32"/>
  <c r="D89" i="32"/>
  <c r="D143" i="31"/>
  <c r="D67" i="7"/>
  <c r="D226" i="31"/>
  <c r="H224" i="45"/>
  <c r="D120" i="31"/>
  <c r="H41" i="31"/>
  <c r="D99" i="45"/>
  <c r="O326" i="7"/>
  <c r="D478" i="7"/>
  <c r="Z30" i="18"/>
  <c r="H116" i="45"/>
  <c r="D69" i="31"/>
  <c r="D210" i="32"/>
  <c r="H179" i="31"/>
  <c r="O518" i="7"/>
  <c r="D418" i="7"/>
  <c r="D26" i="45"/>
  <c r="D94" i="31"/>
  <c r="D60" i="32"/>
  <c r="O292" i="7"/>
  <c r="D218" i="31"/>
  <c r="D24" i="31"/>
  <c r="H17" i="45"/>
  <c r="H156" i="31"/>
  <c r="H288" i="45"/>
  <c r="H264" i="31"/>
  <c r="D248" i="7"/>
  <c r="O536" i="7"/>
  <c r="H71" i="31"/>
  <c r="O491" i="7"/>
  <c r="D454" i="32"/>
  <c r="O306" i="7"/>
  <c r="H110" i="45"/>
  <c r="Z24" i="18"/>
  <c r="D266" i="45"/>
  <c r="O145" i="7"/>
  <c r="Z29" i="18"/>
  <c r="D145" i="45"/>
  <c r="O407" i="7"/>
  <c r="D250" i="32"/>
  <c r="O550" i="7"/>
  <c r="H133" i="31"/>
  <c r="D14" i="45"/>
  <c r="H125" i="45"/>
  <c r="D550" i="7"/>
  <c r="H188" i="45"/>
  <c r="H93" i="45"/>
  <c r="D358" i="32"/>
  <c r="D3" i="31"/>
  <c r="D261" i="45"/>
  <c r="D125" i="32"/>
  <c r="D126" i="32"/>
  <c r="H166" i="45"/>
  <c r="H49" i="45"/>
  <c r="O486" i="7"/>
  <c r="O289" i="7"/>
  <c r="D311" i="32"/>
  <c r="H281" i="45"/>
  <c r="D56" i="31"/>
  <c r="D423" i="32"/>
  <c r="D12" i="32"/>
  <c r="O196" i="7"/>
  <c r="D90" i="45"/>
  <c r="O284" i="7"/>
  <c r="Z15" i="18"/>
  <c r="H164" i="31"/>
  <c r="D198" i="7"/>
  <c r="H260" i="45"/>
  <c r="O75" i="7"/>
  <c r="D224" i="45"/>
  <c r="D363" i="7"/>
  <c r="D223" i="45"/>
  <c r="O124" i="7"/>
  <c r="H60" i="31"/>
  <c r="D407" i="32"/>
  <c r="D514" i="7"/>
  <c r="D186" i="31"/>
  <c r="D107" i="31"/>
  <c r="H218" i="45"/>
  <c r="D506" i="7"/>
  <c r="H217" i="45"/>
  <c r="D280" i="45"/>
  <c r="H115" i="31"/>
  <c r="H86" i="31"/>
  <c r="D342" i="7"/>
  <c r="O304" i="7"/>
  <c r="D16" i="31"/>
  <c r="H278" i="45"/>
  <c r="H45" i="31"/>
  <c r="D124" i="32"/>
  <c r="D136" i="7"/>
  <c r="D150" i="32"/>
  <c r="D98" i="7"/>
  <c r="D276" i="7"/>
  <c r="D183" i="31"/>
  <c r="H117" i="31"/>
  <c r="D485" i="32"/>
  <c r="H114" i="45"/>
  <c r="D135" i="7"/>
  <c r="D340" i="32"/>
  <c r="H139" i="31"/>
  <c r="D316" i="7"/>
  <c r="H269" i="45"/>
  <c r="Z21" i="18"/>
  <c r="D369" i="7"/>
  <c r="H2" i="45"/>
  <c r="D257" i="45"/>
  <c r="D62" i="31"/>
  <c r="H150" i="31"/>
  <c r="H210" i="31"/>
  <c r="D95" i="45"/>
  <c r="D414" i="32"/>
  <c r="D97" i="31"/>
  <c r="D89" i="45"/>
  <c r="H280" i="31"/>
  <c r="O521" i="7"/>
  <c r="D123" i="45"/>
  <c r="H2" i="31"/>
  <c r="O322" i="7"/>
  <c r="Z17" i="18"/>
  <c r="D314" i="7"/>
  <c r="D392" i="32"/>
  <c r="H89" i="31"/>
  <c r="D323" i="7"/>
  <c r="D342" i="32"/>
  <c r="D91" i="31"/>
  <c r="O506" i="7"/>
  <c r="D86" i="7"/>
  <c r="D74" i="31"/>
  <c r="O489" i="7"/>
  <c r="H276" i="45"/>
  <c r="D206" i="45"/>
  <c r="D199" i="7"/>
  <c r="H120" i="31"/>
  <c r="H193" i="45"/>
  <c r="H79" i="45"/>
  <c r="H209" i="45"/>
  <c r="H13" i="31"/>
  <c r="D222" i="45"/>
  <c r="H199" i="45"/>
  <c r="D151" i="45"/>
  <c r="O507" i="7"/>
  <c r="D284" i="31"/>
  <c r="H52" i="31"/>
  <c r="D111" i="31"/>
  <c r="D346" i="7"/>
  <c r="D505" i="32"/>
  <c r="H39" i="31"/>
  <c r="D244" i="45"/>
  <c r="D530" i="7"/>
  <c r="D158" i="31"/>
  <c r="H20" i="31"/>
  <c r="H123" i="31"/>
  <c r="D29" i="45"/>
  <c r="D105" i="31"/>
  <c r="H167" i="45"/>
  <c r="H102" i="31"/>
  <c r="D381" i="32"/>
  <c r="O60" i="7"/>
  <c r="D159" i="45"/>
  <c r="D130" i="45"/>
  <c r="D548" i="7"/>
  <c r="O103" i="7"/>
  <c r="D30" i="32"/>
  <c r="D26" i="31"/>
  <c r="H127" i="45"/>
  <c r="D63" i="31"/>
  <c r="D297" i="7"/>
  <c r="D91" i="32"/>
  <c r="O171" i="7"/>
  <c r="D157" i="7"/>
  <c r="H202" i="45"/>
  <c r="Z5" i="18"/>
  <c r="D156" i="45"/>
  <c r="H200" i="31"/>
  <c r="D461" i="32"/>
  <c r="H212" i="45"/>
  <c r="D449" i="32"/>
  <c r="D173" i="32"/>
  <c r="D179" i="31"/>
  <c r="D418" i="32"/>
  <c r="D299" i="32"/>
  <c r="D87" i="45"/>
  <c r="D105" i="45"/>
  <c r="D101" i="31"/>
  <c r="D84" i="31"/>
  <c r="D465" i="7"/>
  <c r="D491" i="32"/>
  <c r="O62" i="7"/>
  <c r="D187" i="31"/>
  <c r="D281" i="7"/>
  <c r="H75" i="31"/>
  <c r="H165" i="45"/>
  <c r="D19" i="7"/>
  <c r="H4" i="45"/>
  <c r="O121" i="7"/>
  <c r="H84" i="31"/>
  <c r="D8" i="32"/>
  <c r="O100" i="7"/>
  <c r="D201" i="7"/>
  <c r="D144" i="7"/>
  <c r="D246" i="45"/>
  <c r="D101" i="45"/>
  <c r="D57" i="31"/>
  <c r="D453" i="32"/>
  <c r="D444" i="32"/>
  <c r="H246" i="45"/>
  <c r="H87" i="45"/>
  <c r="H66" i="31"/>
  <c r="D424" i="32"/>
  <c r="D373" i="32"/>
  <c r="O530" i="7"/>
  <c r="D483" i="32"/>
  <c r="D165" i="45"/>
  <c r="D289" i="32"/>
  <c r="D156" i="31"/>
  <c r="D341" i="7"/>
  <c r="H162" i="31"/>
  <c r="D191" i="32"/>
  <c r="O430" i="7"/>
  <c r="D294" i="45"/>
  <c r="D212" i="32"/>
  <c r="H135" i="45"/>
  <c r="O19" i="7"/>
  <c r="D500" i="7"/>
  <c r="D552" i="7"/>
  <c r="D439" i="7"/>
  <c r="D243" i="45"/>
  <c r="H159" i="31"/>
  <c r="D112" i="31"/>
  <c r="D155" i="31"/>
  <c r="D207" i="32"/>
  <c r="H191" i="31"/>
  <c r="H240" i="31"/>
  <c r="D150" i="31"/>
  <c r="D44" i="7"/>
  <c r="D62" i="7"/>
  <c r="D103" i="31"/>
  <c r="D325" i="32"/>
  <c r="O153" i="7"/>
  <c r="D440" i="32"/>
  <c r="D40" i="7"/>
  <c r="D133" i="32"/>
  <c r="D203" i="32"/>
  <c r="O24" i="7"/>
  <c r="D539" i="7"/>
  <c r="H266" i="31"/>
  <c r="O42" i="7"/>
  <c r="O254" i="7"/>
  <c r="H292" i="45"/>
  <c r="D255" i="45"/>
  <c r="D458" i="32"/>
  <c r="D131" i="31"/>
  <c r="D91" i="7"/>
  <c r="O356" i="7"/>
  <c r="O53" i="7"/>
  <c r="D4" i="32"/>
  <c r="D254" i="7"/>
  <c r="H186" i="31"/>
  <c r="H30" i="31"/>
  <c r="D392" i="7"/>
  <c r="D134" i="7"/>
  <c r="D169" i="31"/>
  <c r="H226" i="31"/>
  <c r="O94" i="7"/>
  <c r="D171" i="45"/>
  <c r="D185" i="45"/>
  <c r="D275" i="7"/>
  <c r="O403" i="7"/>
  <c r="D31" i="31"/>
  <c r="H150" i="45"/>
  <c r="D384" i="32"/>
  <c r="D238" i="32"/>
  <c r="H148" i="31"/>
  <c r="D180" i="32"/>
  <c r="D354" i="7"/>
  <c r="H130" i="45"/>
  <c r="D88" i="45"/>
  <c r="D96" i="45"/>
  <c r="O61" i="7"/>
  <c r="H156" i="45"/>
  <c r="D218" i="32"/>
  <c r="D70" i="31"/>
  <c r="O272" i="7"/>
  <c r="D100" i="31"/>
  <c r="D489" i="7"/>
  <c r="H48" i="31"/>
  <c r="O162" i="7"/>
  <c r="O159" i="7"/>
  <c r="D204" i="45"/>
  <c r="D260" i="31"/>
  <c r="D120" i="45"/>
  <c r="H180" i="45"/>
  <c r="D100" i="7"/>
  <c r="D111" i="45"/>
  <c r="D4" i="45"/>
  <c r="H67" i="31"/>
  <c r="O447" i="7"/>
  <c r="D242" i="31"/>
  <c r="D250" i="45"/>
  <c r="D400" i="32"/>
  <c r="H38" i="45"/>
  <c r="H122" i="31"/>
  <c r="H3" i="31"/>
  <c r="D139" i="7"/>
  <c r="O79" i="7"/>
  <c r="D72" i="31"/>
  <c r="H119" i="31"/>
  <c r="D160" i="45"/>
  <c r="H114" i="31"/>
  <c r="D304" i="7"/>
  <c r="O98" i="7"/>
  <c r="D442" i="32"/>
  <c r="H83" i="31"/>
  <c r="H148" i="45"/>
  <c r="O565" i="7"/>
  <c r="D180" i="45"/>
  <c r="H198" i="45"/>
  <c r="H87" i="31"/>
  <c r="O478" i="7"/>
  <c r="Z12" i="18"/>
  <c r="D5" i="45"/>
  <c r="O150" i="7"/>
  <c r="D121" i="45"/>
  <c r="D306" i="32"/>
  <c r="H108" i="31"/>
  <c r="O201" i="7"/>
  <c r="H147" i="31"/>
  <c r="O45" i="7"/>
  <c r="D146" i="45"/>
  <c r="D197" i="31"/>
  <c r="O459" i="7"/>
  <c r="D213" i="32"/>
  <c r="H184" i="45"/>
  <c r="D298" i="7"/>
  <c r="D481" i="32"/>
  <c r="O109" i="7"/>
  <c r="D441" i="32"/>
  <c r="D278" i="32"/>
  <c r="D218" i="45"/>
  <c r="D136" i="45"/>
  <c r="D115" i="7"/>
  <c r="D110" i="45"/>
  <c r="O316" i="7"/>
  <c r="D316" i="32"/>
  <c r="O275" i="7"/>
  <c r="D142" i="45"/>
  <c r="D82" i="45"/>
  <c r="D134" i="45"/>
  <c r="D414" i="7"/>
  <c r="D252" i="7"/>
  <c r="D50" i="31"/>
  <c r="D17" i="31"/>
  <c r="D283" i="7"/>
  <c r="D319" i="7"/>
  <c r="D104" i="45"/>
  <c r="D378" i="7"/>
  <c r="D210" i="45"/>
  <c r="D195" i="45"/>
  <c r="H252" i="45"/>
  <c r="D245" i="32"/>
  <c r="D30" i="7"/>
  <c r="O36" i="7"/>
  <c r="O303" i="7"/>
  <c r="O466" i="7"/>
  <c r="H128" i="31"/>
  <c r="D95" i="31"/>
  <c r="O259" i="7"/>
  <c r="D211" i="31"/>
  <c r="D411" i="32"/>
  <c r="H257" i="45"/>
  <c r="D59" i="31"/>
  <c r="H180" i="31"/>
  <c r="D50" i="45"/>
  <c r="D138" i="31"/>
  <c r="D361" i="7"/>
  <c r="O485" i="7"/>
  <c r="H181" i="45"/>
  <c r="H263" i="45"/>
  <c r="D378" i="32"/>
  <c r="O282" i="7"/>
  <c r="H57" i="45"/>
  <c r="D565" i="7"/>
  <c r="D175" i="32"/>
  <c r="H160" i="45"/>
  <c r="D22" i="32"/>
  <c r="H103" i="31"/>
  <c r="H214" i="45"/>
  <c r="D284" i="32"/>
  <c r="G121" i="31" l="1"/>
  <c r="F32" i="31"/>
  <c r="G32" i="31"/>
  <c r="G272" i="31"/>
  <c r="C135" i="7"/>
  <c r="G189" i="32"/>
  <c r="G263" i="32"/>
  <c r="G51" i="31"/>
  <c r="F51" i="31"/>
  <c r="G90" i="45"/>
  <c r="G456" i="32"/>
  <c r="G70" i="31"/>
  <c r="G108" i="31"/>
  <c r="G173" i="32"/>
  <c r="G395" i="32"/>
  <c r="C72" i="7"/>
  <c r="C487" i="7"/>
  <c r="G373" i="32"/>
  <c r="G120" i="31"/>
  <c r="G141" i="45"/>
  <c r="F7" i="31"/>
  <c r="G7" i="31"/>
  <c r="G406" i="32"/>
  <c r="G127" i="32"/>
  <c r="G118" i="45"/>
  <c r="G466" i="32"/>
  <c r="C465" i="7"/>
  <c r="C159" i="7"/>
  <c r="G277" i="45"/>
  <c r="G163" i="32"/>
  <c r="G145" i="31"/>
  <c r="G151" i="32"/>
  <c r="G147" i="32"/>
  <c r="G69" i="31"/>
  <c r="G339" i="32"/>
  <c r="C514" i="7"/>
  <c r="C109" i="7"/>
  <c r="G106" i="45"/>
  <c r="G460" i="32"/>
  <c r="G114" i="45"/>
  <c r="G117" i="45"/>
  <c r="C478" i="7"/>
  <c r="G290" i="45"/>
  <c r="G96" i="31"/>
  <c r="C352" i="7"/>
  <c r="G112" i="32"/>
  <c r="G168" i="45"/>
  <c r="G345" i="32"/>
  <c r="G192" i="45"/>
  <c r="G252" i="32"/>
  <c r="G342" i="32"/>
  <c r="G14" i="45"/>
  <c r="F14" i="45"/>
  <c r="C162" i="7"/>
  <c r="C163" i="7"/>
  <c r="G99" i="45"/>
  <c r="G127" i="31"/>
  <c r="G220" i="45"/>
  <c r="G88" i="31"/>
  <c r="C282" i="7"/>
  <c r="G212" i="45"/>
  <c r="G116" i="31"/>
  <c r="G414" i="32"/>
  <c r="G99" i="31"/>
  <c r="C297" i="7"/>
  <c r="G210" i="45"/>
  <c r="G230" i="32"/>
  <c r="G208" i="31"/>
  <c r="G405" i="32"/>
  <c r="C275" i="7"/>
  <c r="C19" i="7"/>
  <c r="C82" i="7"/>
  <c r="C265" i="7"/>
  <c r="G276" i="45"/>
  <c r="G455" i="32"/>
  <c r="G73" i="31"/>
  <c r="C100" i="7"/>
  <c r="G310" i="32"/>
  <c r="G178" i="32"/>
  <c r="G485" i="32"/>
  <c r="G445" i="32"/>
  <c r="G155" i="45"/>
  <c r="G146" i="31"/>
  <c r="G119" i="31"/>
  <c r="G146" i="32"/>
  <c r="C342" i="7"/>
  <c r="C446" i="7"/>
  <c r="G136" i="45"/>
  <c r="G187" i="31"/>
  <c r="G331" i="32"/>
  <c r="G407" i="32"/>
  <c r="G97" i="31"/>
  <c r="C137" i="7"/>
  <c r="G98" i="31"/>
  <c r="C451" i="7"/>
  <c r="G149" i="31"/>
  <c r="G203" i="32"/>
  <c r="G403" i="32"/>
  <c r="G175" i="32"/>
  <c r="G156" i="32"/>
  <c r="C202" i="7"/>
  <c r="C439" i="7"/>
  <c r="G481" i="32"/>
  <c r="G109" i="32"/>
  <c r="G41" i="31"/>
  <c r="G224" i="45"/>
  <c r="G89" i="32"/>
  <c r="G161" i="31"/>
  <c r="G259" i="32"/>
  <c r="C390" i="7"/>
  <c r="C17" i="7"/>
  <c r="G242" i="31"/>
  <c r="F5" i="45"/>
  <c r="G5" i="45"/>
  <c r="G117" i="31"/>
  <c r="C484" i="7"/>
  <c r="G133" i="32"/>
  <c r="G238" i="31"/>
  <c r="C508" i="7"/>
  <c r="G262" i="32"/>
  <c r="C253" i="7"/>
  <c r="G101" i="45"/>
  <c r="G256" i="31"/>
  <c r="G131" i="31"/>
  <c r="G239" i="32"/>
  <c r="C501" i="7"/>
  <c r="G447" i="32"/>
  <c r="G245" i="32"/>
  <c r="G483" i="32"/>
  <c r="G278" i="31"/>
  <c r="G207" i="32"/>
  <c r="C157" i="7"/>
  <c r="C201" i="7"/>
  <c r="G32" i="45"/>
  <c r="C292" i="7"/>
  <c r="C156" i="7"/>
  <c r="G83" i="31"/>
  <c r="G210" i="31"/>
  <c r="G109" i="31"/>
  <c r="G192" i="32"/>
  <c r="C328" i="7"/>
  <c r="G62" i="31"/>
  <c r="C312" i="7"/>
  <c r="G131" i="45"/>
  <c r="C327" i="7"/>
  <c r="G140" i="31"/>
  <c r="G36" i="31"/>
  <c r="F36" i="31"/>
  <c r="C115" i="7"/>
  <c r="C268" i="7"/>
  <c r="G268" i="32"/>
  <c r="G83" i="32"/>
  <c r="G112" i="31"/>
  <c r="G86" i="31"/>
  <c r="G68" i="31"/>
  <c r="G132" i="45"/>
  <c r="C567" i="7"/>
  <c r="G273" i="31"/>
  <c r="G60" i="31"/>
  <c r="C281" i="7"/>
  <c r="G292" i="32"/>
  <c r="C326" i="7"/>
  <c r="G142" i="45"/>
  <c r="G130" i="31"/>
  <c r="C296" i="7"/>
  <c r="C507" i="7"/>
  <c r="G88" i="45"/>
  <c r="C200" i="7"/>
  <c r="G140" i="45"/>
  <c r="G46" i="31"/>
  <c r="G160" i="45"/>
  <c r="G204" i="45"/>
  <c r="G57" i="45"/>
  <c r="F57" i="45"/>
  <c r="G436" i="32"/>
  <c r="G278" i="32"/>
  <c r="G135" i="45"/>
  <c r="G150" i="31"/>
  <c r="G147" i="31"/>
  <c r="G113" i="45"/>
  <c r="C18" i="7"/>
  <c r="G103" i="31"/>
  <c r="C323" i="7"/>
  <c r="G55" i="45"/>
  <c r="F55" i="45"/>
  <c r="G176" i="31"/>
  <c r="G502" i="32"/>
  <c r="C276" i="7"/>
  <c r="G102" i="31"/>
  <c r="G78" i="31"/>
  <c r="G223" i="45"/>
  <c r="G233" i="45"/>
  <c r="G226" i="31"/>
  <c r="F46" i="45"/>
  <c r="G46" i="45"/>
  <c r="G197" i="31"/>
  <c r="G82" i="31"/>
  <c r="G113" i="31"/>
  <c r="G360" i="32"/>
  <c r="G392" i="32"/>
  <c r="G218" i="32"/>
  <c r="C45" i="7"/>
  <c r="C260" i="7"/>
  <c r="G325" i="32"/>
  <c r="G115" i="31"/>
  <c r="G191" i="32"/>
  <c r="C536" i="7"/>
  <c r="G11" i="31"/>
  <c r="F11" i="31"/>
  <c r="G270" i="45"/>
  <c r="C139" i="7"/>
  <c r="G244" i="31"/>
  <c r="C491" i="7"/>
  <c r="G458" i="32"/>
  <c r="G442" i="32"/>
  <c r="C539" i="7"/>
  <c r="G183" i="31"/>
  <c r="G123" i="32"/>
  <c r="G473" i="32"/>
  <c r="G316" i="32"/>
  <c r="G261" i="31"/>
  <c r="C335" i="7"/>
  <c r="C98" i="7"/>
  <c r="G90" i="31"/>
  <c r="G179" i="32"/>
  <c r="G159" i="45"/>
  <c r="F44" i="31"/>
  <c r="G44" i="31"/>
  <c r="G162" i="45"/>
  <c r="G131" i="32"/>
  <c r="C313" i="7"/>
  <c r="G138" i="31"/>
  <c r="G504" i="32"/>
  <c r="G399" i="32"/>
  <c r="G85" i="31"/>
  <c r="G185" i="45"/>
  <c r="C161" i="7"/>
  <c r="C319" i="7"/>
  <c r="C91" i="7"/>
  <c r="G151" i="31"/>
  <c r="G214" i="45"/>
  <c r="G125" i="31"/>
  <c r="C167" i="7"/>
  <c r="G440" i="32"/>
  <c r="C298" i="7"/>
  <c r="G100" i="45"/>
  <c r="C62" i="7"/>
  <c r="G72" i="32"/>
  <c r="C199" i="7"/>
  <c r="C552" i="7"/>
  <c r="G289" i="32"/>
  <c r="G306" i="32"/>
  <c r="C255" i="7"/>
  <c r="C459" i="7"/>
  <c r="C48" i="7"/>
  <c r="G61" i="31"/>
  <c r="G424" i="32"/>
  <c r="C522" i="7"/>
  <c r="C168" i="7"/>
  <c r="G150" i="32"/>
  <c r="G107" i="32"/>
  <c r="C368" i="7"/>
  <c r="G169" i="31"/>
  <c r="G80" i="31"/>
  <c r="C13" i="7"/>
  <c r="G124" i="45"/>
  <c r="G252" i="45"/>
  <c r="G18" i="31"/>
  <c r="F18" i="31"/>
  <c r="G293" i="32"/>
  <c r="G172" i="32"/>
  <c r="G152" i="31"/>
  <c r="G112" i="45"/>
  <c r="F31" i="31"/>
  <c r="G31" i="31"/>
  <c r="G49" i="31"/>
  <c r="G301" i="32"/>
  <c r="G134" i="45"/>
  <c r="G381" i="32"/>
  <c r="G38" i="45"/>
  <c r="G36" i="45"/>
  <c r="C97" i="7"/>
  <c r="G80" i="45"/>
  <c r="G222" i="45"/>
  <c r="G114" i="31"/>
  <c r="G181" i="45"/>
  <c r="G2" i="45"/>
  <c r="F2" i="45"/>
  <c r="G94" i="45"/>
  <c r="C515" i="7"/>
  <c r="G40" i="32"/>
  <c r="C86" i="7"/>
  <c r="C466" i="7"/>
  <c r="C106" i="7"/>
  <c r="G461" i="32"/>
  <c r="C483" i="7"/>
  <c r="C117" i="7"/>
  <c r="G110" i="32"/>
  <c r="G78" i="32"/>
  <c r="C520" i="7"/>
  <c r="G31" i="45"/>
  <c r="F31" i="45"/>
  <c r="G56" i="31"/>
  <c r="G200" i="31"/>
  <c r="G202" i="45"/>
  <c r="G227" i="32"/>
  <c r="G180" i="45"/>
  <c r="G158" i="31"/>
  <c r="G284" i="32"/>
  <c r="G54" i="45"/>
  <c r="G324" i="32"/>
  <c r="G75" i="31"/>
  <c r="G159" i="31"/>
  <c r="G154" i="31"/>
  <c r="G180" i="31"/>
  <c r="G50" i="45"/>
  <c r="G484" i="32"/>
  <c r="C259" i="7"/>
  <c r="C447" i="7"/>
  <c r="G4" i="45"/>
  <c r="F4" i="45"/>
  <c r="C554" i="7"/>
  <c r="C314" i="7"/>
  <c r="G263" i="45"/>
  <c r="G340" i="32"/>
  <c r="C334" i="7"/>
  <c r="C496" i="7"/>
  <c r="G441" i="32"/>
  <c r="G212" i="32"/>
  <c r="C369" i="7"/>
  <c r="G198" i="31"/>
  <c r="G217" i="45"/>
  <c r="G389" i="32"/>
  <c r="G190" i="32"/>
  <c r="G157" i="45"/>
  <c r="C99" i="7"/>
  <c r="C475" i="7"/>
  <c r="G452" i="32"/>
  <c r="C363" i="7"/>
  <c r="G148" i="45"/>
  <c r="G378" i="32"/>
  <c r="G196" i="45"/>
  <c r="G194" i="32"/>
  <c r="G271" i="32"/>
  <c r="G129" i="45"/>
  <c r="G169" i="32"/>
  <c r="G244" i="45"/>
  <c r="G247" i="32"/>
  <c r="G506" i="32"/>
  <c r="G161" i="32"/>
  <c r="G139" i="32"/>
  <c r="G206" i="31"/>
  <c r="G149" i="45"/>
  <c r="G296" i="45"/>
  <c r="G149" i="32"/>
  <c r="C26" i="7"/>
  <c r="C42" i="7"/>
  <c r="G475" i="32"/>
  <c r="G113" i="32"/>
  <c r="G250" i="45"/>
  <c r="G358" i="32"/>
  <c r="C25" i="7"/>
  <c r="G162" i="31"/>
  <c r="G295" i="45"/>
  <c r="G283" i="32"/>
  <c r="G240" i="31"/>
  <c r="C350" i="7"/>
  <c r="F3" i="31"/>
  <c r="G3" i="31"/>
  <c r="G127" i="45"/>
  <c r="G137" i="31"/>
  <c r="G287" i="45"/>
  <c r="C251" i="7"/>
  <c r="G368" i="32"/>
  <c r="C378" i="7"/>
  <c r="G71" i="45"/>
  <c r="G298" i="32"/>
  <c r="G176" i="32"/>
  <c r="G408" i="32"/>
  <c r="G500" i="32"/>
  <c r="G66" i="31"/>
  <c r="C407" i="7"/>
  <c r="G276" i="31"/>
  <c r="C166" i="7"/>
  <c r="G82" i="45"/>
  <c r="C304" i="7"/>
  <c r="G10" i="31"/>
  <c r="F10" i="31"/>
  <c r="G236" i="31"/>
  <c r="G174" i="32"/>
  <c r="G16" i="31"/>
  <c r="F16" i="31"/>
  <c r="G89" i="31"/>
  <c r="C198" i="7"/>
  <c r="G311" i="32"/>
  <c r="G87" i="31"/>
  <c r="F24" i="31"/>
  <c r="G24" i="31"/>
  <c r="G211" i="32"/>
  <c r="G4" i="31"/>
  <c r="F4" i="31"/>
  <c r="G492" i="32"/>
  <c r="G137" i="45"/>
  <c r="C145" i="7"/>
  <c r="G130" i="45"/>
  <c r="G201" i="45"/>
  <c r="G81" i="31"/>
  <c r="G231" i="32"/>
  <c r="G261" i="45"/>
  <c r="G284" i="31"/>
  <c r="G92" i="45"/>
  <c r="G283" i="45"/>
  <c r="G264" i="45"/>
  <c r="G247" i="31"/>
  <c r="G255" i="45"/>
  <c r="C132" i="7"/>
  <c r="C354" i="7"/>
  <c r="C44" i="7"/>
  <c r="G463" i="32"/>
  <c r="C33" i="7"/>
  <c r="G465" i="32"/>
  <c r="G40" i="31"/>
  <c r="F40" i="31"/>
  <c r="G141" i="31"/>
  <c r="C103" i="7"/>
  <c r="G93" i="45"/>
  <c r="G40" i="45"/>
  <c r="F40" i="45"/>
  <c r="G388" i="32"/>
  <c r="G165" i="32"/>
  <c r="G266" i="45"/>
  <c r="G285" i="31"/>
  <c r="G139" i="45"/>
  <c r="C506" i="7"/>
  <c r="G288" i="32"/>
  <c r="G123" i="31"/>
  <c r="C414" i="7"/>
  <c r="C535" i="7"/>
  <c r="G118" i="31"/>
  <c r="G192" i="31"/>
  <c r="C116" i="7"/>
  <c r="G274" i="32"/>
  <c r="G167" i="32"/>
  <c r="G60" i="45"/>
  <c r="C548" i="7"/>
  <c r="G413" i="32"/>
  <c r="G111" i="45"/>
  <c r="G479" i="32"/>
  <c r="G71" i="31"/>
  <c r="G126" i="31"/>
  <c r="F22" i="31"/>
  <c r="G22" i="31"/>
  <c r="G304" i="32"/>
  <c r="G135" i="31"/>
  <c r="C361" i="7"/>
  <c r="G34" i="31"/>
  <c r="F34" i="31"/>
  <c r="G42" i="45"/>
  <c r="G282" i="45"/>
  <c r="G193" i="31"/>
  <c r="G164" i="31"/>
  <c r="C266" i="7"/>
  <c r="F43" i="45"/>
  <c r="G43" i="45"/>
  <c r="F55" i="31"/>
  <c r="G55" i="31"/>
  <c r="C569" i="7"/>
  <c r="G152" i="32"/>
  <c r="G270" i="31"/>
  <c r="G491" i="32"/>
  <c r="C497" i="7"/>
  <c r="C30" i="7"/>
  <c r="C518" i="7"/>
  <c r="G283" i="31"/>
  <c r="G387" i="32"/>
  <c r="G468" i="32"/>
  <c r="G238" i="32"/>
  <c r="G439" i="32"/>
  <c r="G29" i="31"/>
  <c r="F29" i="31"/>
  <c r="G470" i="32"/>
  <c r="G96" i="45"/>
  <c r="G277" i="31"/>
  <c r="C254" i="7"/>
  <c r="G200" i="45"/>
  <c r="G58" i="31"/>
  <c r="C291" i="7"/>
  <c r="G101" i="31"/>
  <c r="C479" i="7"/>
  <c r="G196" i="31"/>
  <c r="C537" i="7"/>
  <c r="C500" i="7"/>
  <c r="G267" i="45"/>
  <c r="G291" i="45"/>
  <c r="G184" i="45"/>
  <c r="C164" i="7"/>
  <c r="G269" i="45"/>
  <c r="G188" i="45"/>
  <c r="C61" i="7"/>
  <c r="C533" i="7"/>
  <c r="G94" i="31"/>
  <c r="G173" i="31"/>
  <c r="G384" i="32"/>
  <c r="C409" i="7"/>
  <c r="C134" i="7"/>
  <c r="G201" i="32"/>
  <c r="C274" i="7"/>
  <c r="G251" i="32"/>
  <c r="F13" i="31"/>
  <c r="G13" i="31"/>
  <c r="C81" i="7"/>
  <c r="C542" i="7"/>
  <c r="C67" i="7"/>
  <c r="G242" i="45"/>
  <c r="G272" i="45"/>
  <c r="G76" i="32"/>
  <c r="C418" i="7"/>
  <c r="C488" i="7"/>
  <c r="G160" i="32"/>
  <c r="G173" i="45"/>
  <c r="C121" i="7"/>
  <c r="C307" i="7"/>
  <c r="C124" i="7"/>
  <c r="G91" i="31"/>
  <c r="G273" i="45"/>
  <c r="G57" i="31"/>
  <c r="F57" i="31"/>
  <c r="G30" i="45"/>
  <c r="G44" i="45"/>
  <c r="F44" i="45"/>
  <c r="C272" i="7"/>
  <c r="C295" i="7"/>
  <c r="G383" i="32"/>
  <c r="G280" i="45"/>
  <c r="G205" i="45"/>
  <c r="G74" i="31"/>
  <c r="G238" i="45"/>
  <c r="G111" i="32"/>
  <c r="C489" i="7"/>
  <c r="C545" i="7"/>
  <c r="G76" i="31"/>
  <c r="G207" i="45"/>
  <c r="G217" i="32"/>
  <c r="G453" i="32"/>
  <c r="G257" i="31"/>
  <c r="G35" i="31"/>
  <c r="F35" i="31"/>
  <c r="G499" i="32"/>
  <c r="G93" i="31"/>
  <c r="G210" i="32"/>
  <c r="G396" i="32"/>
  <c r="C565" i="7"/>
  <c r="G64" i="31"/>
  <c r="C22" i="7"/>
  <c r="G105" i="45"/>
  <c r="G138" i="32"/>
  <c r="G249" i="45"/>
  <c r="G209" i="32"/>
  <c r="C550" i="7"/>
  <c r="G86" i="45"/>
  <c r="G165" i="45"/>
  <c r="G174" i="45"/>
  <c r="C43" i="7"/>
  <c r="G29" i="45"/>
  <c r="G180" i="32"/>
  <c r="C252" i="7"/>
  <c r="G336" i="32"/>
  <c r="C356" i="7"/>
  <c r="G171" i="32"/>
  <c r="G12" i="45"/>
  <c r="F12" i="45"/>
  <c r="G199" i="32"/>
  <c r="G314" i="32"/>
  <c r="G446" i="32"/>
  <c r="G120" i="45"/>
  <c r="G114" i="32"/>
  <c r="F16" i="45"/>
  <c r="G16" i="45"/>
  <c r="C400" i="7"/>
  <c r="G294" i="45"/>
  <c r="G260" i="31"/>
  <c r="G167" i="45"/>
  <c r="G134" i="31"/>
  <c r="G232" i="32"/>
  <c r="G256" i="32"/>
  <c r="G77" i="31"/>
  <c r="C512" i="7"/>
  <c r="G12" i="31"/>
  <c r="F12" i="31"/>
  <c r="C331" i="7"/>
  <c r="G116" i="45"/>
  <c r="G17" i="31"/>
  <c r="F17" i="31"/>
  <c r="G213" i="32"/>
  <c r="G380" i="32"/>
  <c r="C457" i="7"/>
  <c r="G271" i="45"/>
  <c r="F23" i="31"/>
  <c r="G23" i="31"/>
  <c r="G280" i="31"/>
  <c r="G45" i="45"/>
  <c r="C311" i="7"/>
  <c r="G49" i="45"/>
  <c r="G148" i="31"/>
  <c r="C277" i="7"/>
  <c r="F8" i="31"/>
  <c r="G8" i="31"/>
  <c r="G178" i="45"/>
  <c r="G274" i="45"/>
  <c r="G221" i="45"/>
  <c r="G259" i="31"/>
  <c r="G430" i="32"/>
  <c r="C510" i="7"/>
  <c r="C248" i="7"/>
  <c r="G104" i="31"/>
  <c r="C556" i="7"/>
  <c r="C546" i="7"/>
  <c r="C553" i="7"/>
  <c r="G171" i="45"/>
  <c r="G206" i="45"/>
  <c r="F25" i="31"/>
  <c r="G25" i="31"/>
  <c r="G33" i="45"/>
  <c r="G284" i="45"/>
  <c r="C158" i="7"/>
  <c r="G279" i="32"/>
  <c r="G206" i="32"/>
  <c r="C486" i="7"/>
  <c r="G367" i="32"/>
  <c r="G363" i="32"/>
  <c r="G26" i="31"/>
  <c r="F26" i="31"/>
  <c r="G469" i="32"/>
  <c r="G136" i="31"/>
  <c r="G125" i="45"/>
  <c r="C403" i="7"/>
  <c r="C383" i="7"/>
  <c r="G279" i="31"/>
  <c r="G132" i="31"/>
  <c r="G91" i="32"/>
  <c r="G15" i="31"/>
  <c r="F15" i="31"/>
  <c r="G267" i="31"/>
  <c r="G128" i="45"/>
  <c r="G400" i="32"/>
  <c r="C316" i="7"/>
  <c r="G419" i="32"/>
  <c r="G425" i="32"/>
  <c r="G154" i="32"/>
  <c r="G199" i="31"/>
  <c r="G120" i="32"/>
  <c r="G150" i="45"/>
  <c r="G379" i="32"/>
  <c r="C389" i="7"/>
  <c r="G488" i="32"/>
  <c r="G79" i="45"/>
  <c r="G166" i="45"/>
  <c r="G289" i="45"/>
  <c r="G322" i="32"/>
  <c r="C289" i="7"/>
  <c r="G159" i="32"/>
  <c r="G84" i="31"/>
  <c r="G54" i="31"/>
  <c r="G268" i="45"/>
  <c r="G45" i="31"/>
  <c r="G110" i="31"/>
  <c r="C143" i="7"/>
  <c r="G391" i="32"/>
  <c r="C473" i="7"/>
  <c r="G39" i="31"/>
  <c r="F39" i="31"/>
  <c r="C262" i="7"/>
  <c r="G444" i="32"/>
  <c r="G153" i="32"/>
  <c r="G128" i="31"/>
  <c r="G480" i="32"/>
  <c r="G30" i="31"/>
  <c r="F30" i="31"/>
  <c r="G52" i="45"/>
  <c r="F52" i="45"/>
  <c r="C559" i="7"/>
  <c r="G107" i="31"/>
  <c r="C472" i="7"/>
  <c r="G98" i="45"/>
  <c r="G416" i="32"/>
  <c r="G275" i="45"/>
  <c r="C505" i="7"/>
  <c r="C301" i="7"/>
  <c r="G451" i="32"/>
  <c r="C147" i="7"/>
  <c r="C75" i="7"/>
  <c r="G286" i="45"/>
  <c r="C122" i="7"/>
  <c r="G25" i="45"/>
  <c r="G443" i="32"/>
  <c r="C353" i="7"/>
  <c r="G191" i="31"/>
  <c r="G264" i="31"/>
  <c r="C37" i="7"/>
  <c r="G145" i="45"/>
  <c r="G269" i="31"/>
  <c r="G95" i="31"/>
  <c r="G375" i="32"/>
  <c r="C504" i="7"/>
  <c r="C250" i="7"/>
  <c r="G218" i="45"/>
  <c r="G157" i="31"/>
  <c r="G110" i="45"/>
  <c r="G275" i="31"/>
  <c r="C322" i="7"/>
  <c r="C364" i="7"/>
  <c r="G179" i="31"/>
  <c r="F43" i="31"/>
  <c r="G43" i="31"/>
  <c r="G62" i="45"/>
  <c r="G166" i="31"/>
  <c r="G321" i="32"/>
  <c r="G286" i="32"/>
  <c r="G218" i="31"/>
  <c r="G394" i="32"/>
  <c r="C153" i="7"/>
  <c r="G153" i="45"/>
  <c r="G134" i="32"/>
  <c r="G214" i="31"/>
  <c r="C519" i="7"/>
  <c r="G401" i="32"/>
  <c r="G126" i="32"/>
  <c r="C530" i="7"/>
  <c r="G265" i="45"/>
  <c r="C492" i="7"/>
  <c r="C94" i="7"/>
  <c r="G292" i="45"/>
  <c r="G124" i="31"/>
  <c r="C321" i="7"/>
  <c r="C23" i="7"/>
  <c r="G265" i="31"/>
  <c r="C52" i="7"/>
  <c r="G219" i="45"/>
  <c r="G146" i="45"/>
  <c r="C526" i="7"/>
  <c r="G222" i="32"/>
  <c r="G73" i="32"/>
  <c r="G121" i="45"/>
  <c r="G293" i="45"/>
  <c r="C24" i="7"/>
  <c r="G111" i="31"/>
  <c r="G282" i="31"/>
  <c r="G186" i="31"/>
  <c r="G14" i="31"/>
  <c r="F14" i="31"/>
  <c r="G215" i="45"/>
  <c r="G95" i="45"/>
  <c r="G129" i="31"/>
  <c r="G86" i="32"/>
  <c r="C433" i="7"/>
  <c r="G133" i="31"/>
  <c r="C79" i="7"/>
  <c r="G225" i="32"/>
  <c r="G67" i="31"/>
  <c r="G253" i="32"/>
  <c r="G100" i="31"/>
  <c r="G246" i="45"/>
  <c r="C53" i="7"/>
  <c r="C449" i="7"/>
  <c r="C423" i="7"/>
  <c r="G186" i="45"/>
  <c r="G203" i="45"/>
  <c r="G154" i="45"/>
  <c r="G193" i="32"/>
  <c r="G7" i="45"/>
  <c r="F7" i="45"/>
  <c r="G224" i="32"/>
  <c r="F2" i="31"/>
  <c r="G2" i="31"/>
  <c r="G153" i="31"/>
  <c r="G288" i="45"/>
  <c r="C468" i="7"/>
  <c r="G80" i="32"/>
  <c r="G33" i="31"/>
  <c r="F33" i="31"/>
  <c r="G266" i="31"/>
  <c r="G142" i="31"/>
  <c r="C377" i="7"/>
  <c r="G53" i="31"/>
  <c r="F53" i="31"/>
  <c r="C485" i="7"/>
  <c r="G382" i="32"/>
  <c r="G78" i="45"/>
  <c r="G125" i="32"/>
  <c r="G386" i="32"/>
  <c r="G312" i="32"/>
  <c r="G243" i="45"/>
  <c r="G257" i="45"/>
  <c r="C84" i="7"/>
  <c r="G27" i="45"/>
  <c r="F27" i="45"/>
  <c r="C171" i="7"/>
  <c r="G35" i="45"/>
  <c r="F35" i="45"/>
  <c r="G199" i="45"/>
  <c r="G158" i="45"/>
  <c r="C47" i="7"/>
  <c r="G79" i="32"/>
  <c r="G108" i="45"/>
  <c r="C96" i="7"/>
  <c r="C273" i="7"/>
  <c r="C379" i="7"/>
  <c r="G505" i="32"/>
  <c r="G72" i="31"/>
  <c r="C558" i="7"/>
  <c r="G489" i="32"/>
  <c r="G191" i="45"/>
  <c r="C430" i="7"/>
  <c r="C303" i="7"/>
  <c r="C169" i="7"/>
  <c r="G259" i="45"/>
  <c r="G65" i="31"/>
  <c r="G139" i="31"/>
  <c r="C154" i="7"/>
  <c r="C150" i="7"/>
  <c r="G59" i="45"/>
  <c r="G418" i="32"/>
  <c r="G32" i="32"/>
  <c r="G449" i="32"/>
  <c r="C144" i="7"/>
  <c r="G144" i="31"/>
  <c r="G89" i="45"/>
  <c r="C152" i="7"/>
  <c r="F52" i="31"/>
  <c r="G52" i="31"/>
  <c r="C309" i="7"/>
  <c r="C113" i="7"/>
  <c r="G457" i="32"/>
  <c r="C528" i="7"/>
  <c r="G59" i="31"/>
  <c r="G263" i="31"/>
  <c r="G63" i="31"/>
  <c r="C493" i="7"/>
  <c r="G350" i="32"/>
  <c r="G3" i="45"/>
  <c r="F3" i="45"/>
  <c r="G423" i="32"/>
  <c r="C284" i="7"/>
  <c r="G92" i="31"/>
  <c r="C513" i="7"/>
  <c r="C258" i="7"/>
  <c r="G156" i="31"/>
  <c r="C68" i="7"/>
  <c r="G285" i="45"/>
  <c r="C283" i="7"/>
  <c r="C463" i="7"/>
  <c r="G454" i="32"/>
  <c r="C36" i="7"/>
  <c r="F73" i="45"/>
  <c r="G73" i="45"/>
  <c r="G308" i="32"/>
  <c r="G242" i="32"/>
  <c r="C467" i="7"/>
  <c r="G27" i="31"/>
  <c r="F27" i="31"/>
  <c r="G99" i="32"/>
  <c r="C256" i="7"/>
  <c r="G106" i="31"/>
  <c r="C521" i="7"/>
  <c r="G216" i="32"/>
  <c r="G266" i="32"/>
  <c r="G201" i="31"/>
  <c r="G250" i="32"/>
  <c r="G144" i="45"/>
  <c r="G278" i="45"/>
  <c r="G330" i="32"/>
  <c r="F28" i="31"/>
  <c r="G28" i="31"/>
  <c r="C568" i="7"/>
  <c r="G364" i="32"/>
  <c r="G411" i="32"/>
  <c r="G156" i="45"/>
  <c r="G87" i="45"/>
  <c r="G303" i="32"/>
  <c r="C392" i="7"/>
  <c r="C448" i="7"/>
  <c r="C88" i="7"/>
  <c r="C340" i="7"/>
  <c r="G270" i="32"/>
  <c r="C138" i="7"/>
  <c r="G255" i="32"/>
  <c r="G119" i="32"/>
  <c r="G261" i="32"/>
  <c r="F6" i="31"/>
  <c r="G6" i="31"/>
  <c r="G104" i="45"/>
  <c r="F37" i="31"/>
  <c r="G37" i="31"/>
  <c r="C306" i="7"/>
  <c r="G47" i="31"/>
  <c r="G155" i="31"/>
  <c r="G281" i="31"/>
  <c r="G309" i="32"/>
  <c r="G79" i="31"/>
  <c r="C346" i="7"/>
  <c r="G346" i="32"/>
  <c r="F38" i="31"/>
  <c r="G38" i="31"/>
  <c r="G151" i="45"/>
  <c r="G209" i="45"/>
  <c r="G307" i="32"/>
  <c r="G279" i="45"/>
  <c r="C280" i="7"/>
  <c r="G438" i="32"/>
  <c r="C125" i="7"/>
  <c r="C160" i="7"/>
  <c r="F48" i="31"/>
  <c r="G48" i="31"/>
  <c r="G228" i="32"/>
  <c r="G299" i="32"/>
  <c r="G198" i="45"/>
  <c r="G398" i="32"/>
  <c r="G9" i="31"/>
  <c r="F9" i="31"/>
  <c r="C95" i="7"/>
  <c r="G118" i="32"/>
  <c r="C285" i="7"/>
  <c r="C405" i="7"/>
  <c r="C40" i="7"/>
  <c r="C149" i="7"/>
  <c r="G285" i="32"/>
  <c r="G185" i="32"/>
  <c r="F17" i="45"/>
  <c r="G17" i="45"/>
  <c r="G235" i="45"/>
  <c r="G50" i="31"/>
  <c r="F50" i="31"/>
  <c r="C341" i="7"/>
  <c r="G42" i="31"/>
  <c r="G143" i="31"/>
  <c r="G164" i="32"/>
  <c r="G105" i="31"/>
  <c r="C130" i="7"/>
  <c r="G228" i="45"/>
  <c r="G260" i="45"/>
  <c r="G211" i="31"/>
  <c r="G258" i="31"/>
  <c r="G141" i="32"/>
  <c r="G181" i="32"/>
  <c r="G136" i="32"/>
  <c r="G122" i="31"/>
  <c r="F5" i="31"/>
  <c r="G5" i="31"/>
  <c r="F21" i="31"/>
  <c r="G21" i="31"/>
  <c r="G123" i="45"/>
  <c r="C310" i="7"/>
  <c r="C110" i="7"/>
  <c r="G20" i="31"/>
  <c r="F20" i="31"/>
  <c r="G197" i="45"/>
  <c r="C287" i="7"/>
  <c r="G195" i="45"/>
  <c r="G26" i="45"/>
  <c r="C196" i="7"/>
  <c r="C551" i="7"/>
  <c r="G175" i="45"/>
  <c r="C77" i="7"/>
  <c r="G160" i="31"/>
  <c r="G277" i="32"/>
  <c r="G193" i="45"/>
  <c r="G19" i="31"/>
  <c r="F19" i="31"/>
  <c r="G281" i="45"/>
  <c r="F23" i="32"/>
  <c r="F17" i="32"/>
  <c r="F19" i="32"/>
  <c r="F18" i="32"/>
  <c r="F15" i="32"/>
  <c r="F21" i="32"/>
  <c r="F26" i="32"/>
  <c r="F30" i="32"/>
  <c r="F29" i="32"/>
  <c r="F28" i="32"/>
  <c r="F16" i="32"/>
  <c r="F25" i="32"/>
  <c r="Q137" i="5"/>
  <c r="Q136" i="5"/>
  <c r="Q135" i="5"/>
  <c r="Q133" i="5"/>
  <c r="Q131" i="5"/>
  <c r="B23" i="1"/>
  <c r="Q115" i="3" s="1"/>
  <c r="Q29" i="5"/>
  <c r="Q59" i="5"/>
  <c r="Q66" i="5"/>
  <c r="Q87" i="5"/>
  <c r="Q48" i="5"/>
  <c r="Q58" i="5"/>
  <c r="Q120" i="5"/>
  <c r="Q111" i="5"/>
  <c r="Q53" i="5"/>
  <c r="Q27" i="5"/>
  <c r="Q31" i="5"/>
  <c r="Q40" i="5"/>
  <c r="Q126" i="5"/>
  <c r="Q91" i="5"/>
  <c r="Q43" i="5"/>
  <c r="Q122" i="5"/>
  <c r="Q101" i="5"/>
  <c r="Q73" i="5"/>
  <c r="Q34" i="5"/>
  <c r="Q134" i="5"/>
  <c r="Q83" i="5"/>
  <c r="Q70" i="5"/>
  <c r="Q44" i="5"/>
  <c r="Q56" i="5"/>
  <c r="Q30" i="5"/>
  <c r="Q41" i="5"/>
  <c r="Q127" i="5"/>
  <c r="Q67" i="5"/>
  <c r="Q129" i="5"/>
  <c r="Q132" i="5"/>
  <c r="Q103" i="5"/>
  <c r="Q54" i="5"/>
  <c r="Q28" i="5"/>
  <c r="Q37" i="5"/>
  <c r="Q112" i="5"/>
  <c r="Q109" i="5"/>
  <c r="Q33" i="5"/>
  <c r="Q61" i="5"/>
  <c r="Q106" i="5"/>
  <c r="Q71" i="5"/>
  <c r="Q105" i="5"/>
  <c r="Q60" i="5"/>
  <c r="Q92" i="5"/>
  <c r="Q117" i="5"/>
  <c r="Q62" i="5"/>
  <c r="Q89" i="5"/>
  <c r="Q69" i="5"/>
  <c r="Q121" i="5"/>
  <c r="Q118" i="5"/>
  <c r="Q98" i="5"/>
  <c r="Q86" i="5"/>
  <c r="Q49" i="5"/>
  <c r="Q42" i="5"/>
  <c r="Q93" i="5"/>
  <c r="Q102" i="5"/>
  <c r="Q97" i="5"/>
  <c r="Q46" i="5"/>
  <c r="Q78" i="5"/>
  <c r="Q128" i="5"/>
  <c r="Q115" i="5"/>
  <c r="Q72" i="5"/>
  <c r="Q82" i="5"/>
  <c r="Q88" i="5"/>
  <c r="Q104" i="5"/>
  <c r="Q100" i="5"/>
  <c r="Q110" i="5"/>
  <c r="Q35" i="5"/>
  <c r="Q55" i="5"/>
  <c r="Q81" i="5"/>
  <c r="Q95" i="5"/>
  <c r="Q84" i="5"/>
  <c r="Q130" i="5"/>
  <c r="Q52" i="5"/>
  <c r="Q36" i="5"/>
  <c r="Q80" i="5"/>
  <c r="Q85" i="5"/>
  <c r="Q114" i="5"/>
  <c r="Q75" i="5"/>
  <c r="Q38" i="5"/>
  <c r="Q96" i="5"/>
  <c r="Q90" i="5"/>
  <c r="Q113" i="5"/>
  <c r="Q99" i="5"/>
  <c r="Q79" i="5"/>
  <c r="Q57" i="5"/>
  <c r="Q50" i="5"/>
  <c r="Q51" i="5"/>
  <c r="Q76" i="5"/>
  <c r="Q77" i="5"/>
  <c r="B3" i="1"/>
  <c r="Q32" i="5"/>
  <c r="Q119" i="5"/>
  <c r="Q68" i="5"/>
  <c r="Q125" i="5"/>
  <c r="Q107" i="5"/>
  <c r="Q47" i="5"/>
  <c r="Q45" i="5"/>
  <c r="Q94" i="5"/>
  <c r="Q63" i="5"/>
  <c r="Q64" i="5"/>
  <c r="Q116" i="5"/>
  <c r="Q123" i="5"/>
  <c r="Q124" i="5"/>
  <c r="Q65" i="5"/>
  <c r="Q108" i="5"/>
  <c r="Q39" i="5"/>
  <c r="Q74" i="5"/>
  <c r="D12" i="1"/>
  <c r="B22" i="1"/>
  <c r="B21" i="1"/>
  <c r="N230" i="7"/>
  <c r="N182" i="7"/>
  <c r="N243" i="7"/>
  <c r="N242" i="7"/>
  <c r="N175" i="7"/>
  <c r="N172" i="7"/>
  <c r="N183" i="7"/>
  <c r="O251" i="7"/>
  <c r="N179" i="7"/>
  <c r="N239" i="7"/>
  <c r="N174" i="7"/>
  <c r="N244" i="7"/>
  <c r="N176" i="7"/>
  <c r="N233" i="7"/>
  <c r="N235" i="7"/>
  <c r="N238" i="7"/>
  <c r="N234" i="7"/>
  <c r="N173" i="7"/>
  <c r="N229" i="7"/>
  <c r="N231" i="7"/>
  <c r="N237" i="7"/>
  <c r="N241" i="7"/>
  <c r="N236" i="7"/>
  <c r="N232" i="7"/>
  <c r="N178" i="7"/>
  <c r="N226" i="7"/>
  <c r="N227" i="7"/>
  <c r="N228" i="7"/>
  <c r="N240" i="7"/>
  <c r="N245" i="7"/>
  <c r="N181" i="7"/>
  <c r="N180" i="7"/>
  <c r="N177" i="7"/>
  <c r="F181" i="32" l="1"/>
  <c r="F224" i="32"/>
  <c r="F325" i="32"/>
  <c r="F422" i="32"/>
  <c r="F139" i="32"/>
  <c r="F418" i="32"/>
  <c r="F363" i="32"/>
  <c r="F136" i="31"/>
  <c r="F212" i="31"/>
  <c r="F154" i="45"/>
  <c r="F107" i="45"/>
  <c r="F288" i="45"/>
  <c r="F205" i="45"/>
  <c r="F183" i="31"/>
  <c r="F82" i="31"/>
  <c r="F142" i="45"/>
  <c r="F235" i="31"/>
  <c r="F275" i="31"/>
  <c r="F217" i="31"/>
  <c r="F240" i="31"/>
  <c r="F127" i="32"/>
  <c r="F186" i="31"/>
  <c r="F230" i="32"/>
  <c r="F222" i="45"/>
  <c r="F346" i="32"/>
  <c r="F283" i="31"/>
  <c r="F127" i="45"/>
  <c r="F390" i="32"/>
  <c r="F231" i="45"/>
  <c r="F224" i="31"/>
  <c r="F389" i="32"/>
  <c r="F280" i="45"/>
  <c r="F324" i="31"/>
  <c r="F45" i="31"/>
  <c r="F257" i="31"/>
  <c r="F129" i="32"/>
  <c r="F188" i="31"/>
  <c r="F468" i="32"/>
  <c r="F291" i="31"/>
  <c r="F245" i="31"/>
  <c r="F351" i="32"/>
  <c r="F180" i="31"/>
  <c r="F438" i="32"/>
  <c r="F442" i="32"/>
  <c r="F166" i="32"/>
  <c r="F200" i="31"/>
  <c r="F279" i="31"/>
  <c r="F319" i="31"/>
  <c r="F80" i="31"/>
  <c r="F301" i="45"/>
  <c r="F42" i="31"/>
  <c r="F161" i="32"/>
  <c r="F404" i="32"/>
  <c r="F505" i="32"/>
  <c r="F207" i="32"/>
  <c r="F98" i="45"/>
  <c r="F276" i="31"/>
  <c r="F197" i="32"/>
  <c r="F441" i="32"/>
  <c r="F302" i="31"/>
  <c r="F302" i="45"/>
  <c r="F39" i="45"/>
  <c r="F238" i="32"/>
  <c r="F382" i="32"/>
  <c r="F108" i="31"/>
  <c r="F193" i="45"/>
  <c r="F231" i="31"/>
  <c r="F219" i="31"/>
  <c r="F190" i="31"/>
  <c r="F174" i="31"/>
  <c r="F198" i="31"/>
  <c r="F185" i="31"/>
  <c r="F136" i="45"/>
  <c r="F232" i="31"/>
  <c r="F492" i="32"/>
  <c r="F251" i="32"/>
  <c r="F327" i="32"/>
  <c r="F247" i="31"/>
  <c r="F160" i="45"/>
  <c r="F349" i="32"/>
  <c r="F88" i="45"/>
  <c r="F497" i="32"/>
  <c r="F146" i="45"/>
  <c r="F195" i="31"/>
  <c r="F131" i="32"/>
  <c r="F189" i="31"/>
  <c r="F274" i="31"/>
  <c r="F242" i="31"/>
  <c r="F183" i="45"/>
  <c r="F318" i="31"/>
  <c r="F216" i="31"/>
  <c r="F233" i="31"/>
  <c r="F259" i="32"/>
  <c r="F287" i="45"/>
  <c r="F504" i="32"/>
  <c r="F141" i="45"/>
  <c r="F252" i="45"/>
  <c r="F139" i="45"/>
  <c r="F500" i="32"/>
  <c r="F101" i="45"/>
  <c r="F250" i="31"/>
  <c r="F141" i="31"/>
  <c r="F162" i="31"/>
  <c r="F76" i="31"/>
  <c r="F220" i="32"/>
  <c r="F323" i="31"/>
  <c r="F167" i="31"/>
  <c r="F259" i="31"/>
  <c r="F251" i="31"/>
  <c r="F75" i="31"/>
  <c r="F461" i="32"/>
  <c r="F203" i="45"/>
  <c r="F227" i="45"/>
  <c r="F437" i="32"/>
  <c r="F118" i="45"/>
  <c r="F135" i="31"/>
  <c r="F120" i="31"/>
  <c r="F236" i="45"/>
  <c r="F254" i="31"/>
  <c r="F157" i="31"/>
  <c r="F151" i="31"/>
  <c r="F147" i="31"/>
  <c r="F105" i="31"/>
  <c r="F272" i="31"/>
  <c r="F169" i="31"/>
  <c r="F220" i="31"/>
  <c r="F129" i="31"/>
  <c r="F85" i="45"/>
  <c r="F205" i="32"/>
  <c r="F179" i="32"/>
  <c r="F72" i="32"/>
  <c r="F226" i="31"/>
  <c r="F139" i="31"/>
  <c r="F263" i="31"/>
  <c r="F91" i="31"/>
  <c r="F424" i="32"/>
  <c r="F113" i="32"/>
  <c r="F149" i="31"/>
  <c r="F169" i="32"/>
  <c r="F127" i="31"/>
  <c r="F315" i="32"/>
  <c r="F507" i="32"/>
  <c r="F125" i="32"/>
  <c r="F266" i="31"/>
  <c r="F138" i="31"/>
  <c r="F195" i="45"/>
  <c r="F123" i="45"/>
  <c r="F235" i="45"/>
  <c r="F398" i="32"/>
  <c r="F47" i="31"/>
  <c r="F396" i="32"/>
  <c r="F167" i="32"/>
  <c r="F211" i="32"/>
  <c r="F147" i="32"/>
  <c r="F279" i="32"/>
  <c r="F122" i="32"/>
  <c r="F79" i="32"/>
  <c r="F312" i="32"/>
  <c r="F281" i="32"/>
  <c r="F294" i="32"/>
  <c r="F176" i="32"/>
  <c r="F477" i="32"/>
  <c r="F111" i="32"/>
  <c r="F206" i="32"/>
  <c r="F334" i="32"/>
  <c r="F472" i="32"/>
  <c r="F510" i="32"/>
  <c r="F508" i="32"/>
  <c r="F187" i="32"/>
  <c r="F141" i="32"/>
  <c r="F172" i="32"/>
  <c r="F304" i="32"/>
  <c r="F444" i="32"/>
  <c r="F338" i="32"/>
  <c r="F332" i="32"/>
  <c r="F311" i="32"/>
  <c r="F114" i="32"/>
  <c r="F203" i="32"/>
  <c r="F240" i="32"/>
  <c r="F431" i="32"/>
  <c r="F458" i="32"/>
  <c r="F177" i="32"/>
  <c r="F329" i="32"/>
  <c r="F83" i="32"/>
  <c r="F244" i="32"/>
  <c r="F319" i="32"/>
  <c r="F491" i="32"/>
  <c r="F425" i="32"/>
  <c r="F200" i="32"/>
  <c r="F426" i="32"/>
  <c r="F247" i="32"/>
  <c r="F284" i="32"/>
  <c r="F146" i="32"/>
  <c r="F321" i="32"/>
  <c r="F260" i="32"/>
  <c r="F228" i="32"/>
  <c r="F74" i="32"/>
  <c r="F494" i="32"/>
  <c r="F416" i="32"/>
  <c r="F286" i="32"/>
  <c r="F408" i="32"/>
  <c r="F295" i="32"/>
  <c r="F171" i="32"/>
  <c r="F217" i="32"/>
  <c r="F493" i="32"/>
  <c r="F487" i="32"/>
  <c r="F152" i="32"/>
  <c r="F293" i="32"/>
  <c r="F158" i="32"/>
  <c r="F383" i="32"/>
  <c r="F368" i="32"/>
  <c r="F415" i="32"/>
  <c r="F475" i="32"/>
  <c r="F452" i="32"/>
  <c r="F506" i="32"/>
  <c r="F93" i="32"/>
  <c r="F447" i="32"/>
  <c r="F353" i="32"/>
  <c r="F221" i="32"/>
  <c r="F252" i="32"/>
  <c r="F233" i="32"/>
  <c r="F466" i="32"/>
  <c r="F498" i="32"/>
  <c r="F208" i="32"/>
  <c r="F450" i="32"/>
  <c r="F501" i="32"/>
  <c r="F287" i="32"/>
  <c r="F486" i="32"/>
  <c r="F317" i="32"/>
  <c r="F198" i="32"/>
  <c r="F380" i="32"/>
  <c r="F73" i="32"/>
  <c r="F448" i="32"/>
  <c r="F478" i="32"/>
  <c r="F31" i="32"/>
  <c r="F484" i="32"/>
  <c r="F136" i="32"/>
  <c r="F406" i="32"/>
  <c r="F106" i="32"/>
  <c r="F366" i="32"/>
  <c r="F78" i="32"/>
  <c r="F239" i="32"/>
  <c r="F96" i="32"/>
  <c r="F509" i="32"/>
  <c r="F215" i="32"/>
  <c r="F80" i="32"/>
  <c r="F482" i="32"/>
  <c r="F352" i="32"/>
  <c r="F305" i="32"/>
  <c r="F132" i="32"/>
  <c r="F328" i="32"/>
  <c r="F269" i="32"/>
  <c r="F392" i="32"/>
  <c r="F430" i="32"/>
  <c r="F243" i="32"/>
  <c r="F46" i="32"/>
  <c r="F216" i="32"/>
  <c r="F138" i="32"/>
  <c r="F196" i="32"/>
  <c r="F388" i="32"/>
  <c r="F282" i="32"/>
  <c r="F184" i="32"/>
  <c r="F118" i="32"/>
  <c r="F164" i="32"/>
  <c r="F374" i="32"/>
  <c r="F150" i="32"/>
  <c r="F254" i="32"/>
  <c r="F214" i="32"/>
  <c r="F372" i="32"/>
  <c r="F222" i="32"/>
  <c r="F298" i="32"/>
  <c r="F272" i="32"/>
  <c r="F340" i="32"/>
  <c r="F326" i="32"/>
  <c r="F202" i="32"/>
  <c r="F488" i="32"/>
  <c r="F433" i="32"/>
  <c r="F182" i="32"/>
  <c r="F378" i="32"/>
  <c r="F135" i="32"/>
  <c r="F232" i="32"/>
  <c r="F330" i="32"/>
  <c r="F271" i="32"/>
  <c r="F188" i="32"/>
  <c r="F237" i="32"/>
  <c r="F495" i="32"/>
  <c r="F186" i="32"/>
  <c r="F490" i="32"/>
  <c r="F427" i="32"/>
  <c r="F434" i="32"/>
  <c r="F428" i="32"/>
  <c r="F324" i="32"/>
  <c r="F290" i="32"/>
  <c r="F115" i="32"/>
  <c r="F276" i="32"/>
  <c r="F102" i="32"/>
  <c r="F499" i="32"/>
  <c r="F95" i="32"/>
  <c r="F157" i="32"/>
  <c r="F201" i="32"/>
  <c r="F429" i="32"/>
  <c r="F266" i="32"/>
  <c r="F91" i="32"/>
  <c r="F193" i="32"/>
  <c r="F191" i="32"/>
  <c r="F503" i="32"/>
  <c r="F112" i="32"/>
  <c r="F410" i="32"/>
  <c r="F323" i="32"/>
  <c r="F165" i="32"/>
  <c r="F213" i="32"/>
  <c r="F242" i="32"/>
  <c r="F356" i="32"/>
  <c r="F267" i="32"/>
  <c r="F130" i="32"/>
  <c r="F162" i="32"/>
  <c r="F407" i="32"/>
  <c r="F476" i="32"/>
  <c r="F256" i="32"/>
  <c r="F401" i="32"/>
  <c r="F469" i="32"/>
  <c r="F225" i="32"/>
  <c r="F192" i="32"/>
  <c r="F274" i="32"/>
  <c r="F393" i="32"/>
  <c r="F318" i="32"/>
  <c r="F151" i="32"/>
  <c r="F140" i="32"/>
  <c r="F133" i="32"/>
  <c r="F362" i="32"/>
  <c r="F316" i="32"/>
  <c r="F149" i="32"/>
  <c r="F395" i="32"/>
  <c r="F387" i="32"/>
  <c r="F189" i="32"/>
  <c r="F446" i="32"/>
  <c r="F480" i="32"/>
  <c r="F307" i="32"/>
  <c r="F40" i="32"/>
  <c r="F473" i="32"/>
  <c r="F249" i="32"/>
  <c r="F34" i="32"/>
  <c r="F391" i="32"/>
  <c r="F412" i="32"/>
  <c r="F314" i="32"/>
  <c r="F275" i="32"/>
  <c r="F376" i="32"/>
  <c r="F343" i="32"/>
  <c r="F421" i="32"/>
  <c r="F234" i="32"/>
  <c r="F402" i="32"/>
  <c r="F280" i="32"/>
  <c r="F439" i="32"/>
  <c r="F110" i="32"/>
  <c r="F265" i="32"/>
  <c r="F308" i="32"/>
  <c r="F460" i="32"/>
  <c r="F364" i="32"/>
  <c r="F119" i="32"/>
  <c r="F137" i="32"/>
  <c r="F109" i="32"/>
  <c r="F194" i="32"/>
  <c r="F365" i="32"/>
  <c r="F359" i="32"/>
  <c r="F163" i="32"/>
  <c r="F101" i="32"/>
  <c r="F288" i="32"/>
  <c r="F86" i="32"/>
  <c r="F199" i="32"/>
  <c r="F241" i="32"/>
  <c r="F432" i="32"/>
  <c r="F470" i="32"/>
  <c r="F310" i="32"/>
  <c r="F175" i="32"/>
  <c r="F459" i="32"/>
  <c r="F231" i="32"/>
  <c r="F123" i="32"/>
  <c r="F341" i="32"/>
  <c r="F397" i="32"/>
  <c r="F455" i="32"/>
  <c r="F261" i="32"/>
  <c r="F155" i="32"/>
  <c r="F117" i="32"/>
  <c r="F128" i="32"/>
  <c r="F361" i="32"/>
  <c r="F336" i="32"/>
  <c r="F496" i="32"/>
  <c r="F369" i="32"/>
  <c r="F464" i="32"/>
  <c r="F342" i="32"/>
  <c r="F313" i="32"/>
  <c r="F514" i="32"/>
  <c r="F145" i="32"/>
  <c r="F245" i="32"/>
  <c r="F300" i="32"/>
  <c r="F212" i="32"/>
  <c r="F348" i="32"/>
  <c r="F89" i="32"/>
  <c r="F156" i="32"/>
  <c r="F42" i="32"/>
  <c r="F417" i="32"/>
  <c r="F357" i="32"/>
  <c r="F170" i="32"/>
  <c r="F183" i="32"/>
  <c r="F333" i="32"/>
  <c r="F350" i="32"/>
  <c r="F236" i="32"/>
  <c r="F278" i="32"/>
  <c r="F143" i="32"/>
  <c r="F405" i="32"/>
  <c r="F285" i="32"/>
  <c r="F371" i="32"/>
  <c r="F168" i="32"/>
  <c r="F209" i="32"/>
  <c r="F107" i="32"/>
  <c r="F76" i="32"/>
  <c r="F277" i="32"/>
  <c r="F160" i="32"/>
  <c r="F204" i="32"/>
  <c r="F419" i="32"/>
  <c r="F258" i="32"/>
  <c r="F104" i="32"/>
  <c r="F309" i="32"/>
  <c r="F451" i="32"/>
  <c r="F331" i="32"/>
  <c r="F399" i="32"/>
  <c r="F463" i="32"/>
  <c r="F483" i="32"/>
  <c r="F262" i="32"/>
  <c r="F246" i="32"/>
  <c r="F270" i="32"/>
  <c r="F99" i="32"/>
  <c r="F229" i="32"/>
  <c r="F335" i="32"/>
  <c r="F474" i="32"/>
  <c r="F337" i="32"/>
  <c r="F465" i="32"/>
  <c r="F467" i="32"/>
  <c r="F355" i="32"/>
  <c r="F250" i="32"/>
  <c r="F263" i="32"/>
  <c r="F386" i="32"/>
  <c r="F512" i="32"/>
  <c r="F354" i="32"/>
  <c r="F100" i="32"/>
  <c r="F296" i="32"/>
  <c r="F481" i="32"/>
  <c r="F344" i="32"/>
  <c r="F379" i="32"/>
  <c r="F435" i="32"/>
  <c r="F218" i="32"/>
  <c r="F248" i="32"/>
  <c r="F178" i="32"/>
  <c r="F134" i="32"/>
  <c r="F173" i="32"/>
  <c r="F449" i="32"/>
  <c r="F360" i="32"/>
  <c r="F190" i="32"/>
  <c r="F320" i="32"/>
  <c r="F174" i="32"/>
  <c r="F297" i="32"/>
  <c r="F471" i="32"/>
  <c r="F301" i="32"/>
  <c r="F440" i="32"/>
  <c r="F420" i="32"/>
  <c r="F306" i="32"/>
  <c r="F210" i="32"/>
  <c r="F223" i="32"/>
  <c r="F154" i="32"/>
  <c r="F201" i="31"/>
  <c r="F454" i="32"/>
  <c r="F457" i="32"/>
  <c r="F199" i="45"/>
  <c r="F257" i="45"/>
  <c r="F71" i="45"/>
  <c r="F502" i="32"/>
  <c r="F347" i="32"/>
  <c r="F291" i="32"/>
  <c r="F370" i="32"/>
  <c r="F269" i="31"/>
  <c r="F253" i="32"/>
  <c r="F306" i="31"/>
  <c r="F414" i="32"/>
  <c r="F66" i="45"/>
  <c r="F112" i="45"/>
  <c r="F262" i="45"/>
  <c r="F243" i="45"/>
  <c r="F267" i="31"/>
  <c r="F66" i="31"/>
  <c r="F229" i="45"/>
  <c r="F267" i="45"/>
  <c r="F303" i="32"/>
  <c r="F42" i="45"/>
  <c r="F385" i="32"/>
  <c r="F38" i="45"/>
  <c r="F148" i="32"/>
  <c r="F283" i="32"/>
  <c r="F273" i="32"/>
  <c r="F98" i="32"/>
  <c r="F224" i="45"/>
  <c r="F296" i="31"/>
  <c r="F314" i="31"/>
  <c r="F479" i="32"/>
  <c r="F168" i="45"/>
  <c r="F299" i="32"/>
  <c r="F255" i="32"/>
  <c r="F133" i="45"/>
  <c r="F92" i="45"/>
  <c r="F253" i="31"/>
  <c r="F147" i="45"/>
  <c r="F290" i="45"/>
  <c r="F271" i="31"/>
  <c r="F191" i="31"/>
  <c r="F226" i="32"/>
  <c r="F358" i="32"/>
  <c r="F179" i="45"/>
  <c r="F179" i="31"/>
  <c r="F215" i="31"/>
  <c r="F221" i="31"/>
  <c r="F276" i="45"/>
  <c r="F309" i="31"/>
  <c r="F119" i="31"/>
  <c r="F143" i="31"/>
  <c r="F50" i="45"/>
  <c r="F185" i="32"/>
  <c r="F172" i="45"/>
  <c r="F235" i="32"/>
  <c r="F220" i="45"/>
  <c r="F292" i="31"/>
  <c r="F289" i="32"/>
  <c r="F411" i="32"/>
  <c r="F164" i="31"/>
  <c r="F218" i="45"/>
  <c r="F302" i="32"/>
  <c r="F377" i="32"/>
  <c r="F285" i="45"/>
  <c r="F292" i="32"/>
  <c r="F321" i="31"/>
  <c r="F184" i="45"/>
  <c r="F300" i="45"/>
  <c r="F195" i="32"/>
  <c r="F485" i="32"/>
  <c r="F511" i="32"/>
  <c r="F278" i="45"/>
  <c r="F271" i="45"/>
  <c r="F513" i="32"/>
  <c r="F227" i="32"/>
  <c r="F456" i="32"/>
  <c r="F384" i="32"/>
  <c r="F214" i="45"/>
  <c r="F59" i="45"/>
  <c r="F92" i="31"/>
  <c r="F320" i="31"/>
  <c r="F295" i="45"/>
  <c r="F453" i="32"/>
  <c r="F246" i="31"/>
  <c r="F180" i="32"/>
  <c r="F120" i="32"/>
  <c r="F226" i="45"/>
  <c r="F120" i="45"/>
  <c r="F489" i="32"/>
  <c r="F91" i="45"/>
  <c r="F409" i="32"/>
  <c r="F381" i="32"/>
  <c r="F345" i="32"/>
  <c r="F257" i="32"/>
  <c r="F209" i="45"/>
  <c r="F125" i="45"/>
  <c r="F203" i="31"/>
  <c r="F166" i="45"/>
  <c r="F282" i="31"/>
  <c r="F126" i="32"/>
  <c r="F394" i="32"/>
  <c r="F443" i="32"/>
  <c r="F153" i="32"/>
  <c r="F110" i="31"/>
  <c r="F322" i="32"/>
  <c r="F150" i="45"/>
  <c r="F400" i="32"/>
  <c r="F367" i="32"/>
  <c r="F97" i="31"/>
  <c r="F165" i="31"/>
  <c r="F153" i="31"/>
  <c r="F236" i="31"/>
  <c r="F111" i="31"/>
  <c r="F315" i="31"/>
  <c r="F116" i="31"/>
  <c r="F104" i="31"/>
  <c r="F273" i="31"/>
  <c r="F218" i="31"/>
  <c r="F317" i="31"/>
  <c r="F239" i="31"/>
  <c r="F69" i="31"/>
  <c r="F102" i="31"/>
  <c r="F214" i="31"/>
  <c r="F305" i="31"/>
  <c r="F54" i="31"/>
  <c r="F90" i="31"/>
  <c r="F121" i="31"/>
  <c r="F128" i="31"/>
  <c r="F307" i="31"/>
  <c r="F261" i="31"/>
  <c r="F161" i="31"/>
  <c r="F171" i="31"/>
  <c r="F243" i="31"/>
  <c r="F193" i="31"/>
  <c r="F284" i="31"/>
  <c r="F288" i="31"/>
  <c r="F64" i="31"/>
  <c r="F65" i="31"/>
  <c r="F134" i="31"/>
  <c r="F154" i="31"/>
  <c r="F150" i="31"/>
  <c r="F208" i="31"/>
  <c r="F140" i="31"/>
  <c r="F289" i="31"/>
  <c r="F63" i="31"/>
  <c r="F41" i="31"/>
  <c r="F71" i="31"/>
  <c r="F142" i="31"/>
  <c r="F280" i="31"/>
  <c r="F72" i="31"/>
  <c r="F205" i="31"/>
  <c r="F83" i="31"/>
  <c r="F130" i="31"/>
  <c r="F241" i="31"/>
  <c r="F260" i="31"/>
  <c r="F184" i="31"/>
  <c r="F81" i="31"/>
  <c r="F73" i="31"/>
  <c r="F304" i="31"/>
  <c r="F234" i="31"/>
  <c r="F144" i="31"/>
  <c r="F258" i="31"/>
  <c r="F61" i="31"/>
  <c r="F137" i="31"/>
  <c r="F78" i="31"/>
  <c r="F222" i="31"/>
  <c r="F316" i="31"/>
  <c r="F223" i="31"/>
  <c r="F268" i="31"/>
  <c r="F84" i="31"/>
  <c r="F207" i="31"/>
  <c r="F56" i="31"/>
  <c r="F60" i="31"/>
  <c r="F285" i="31"/>
  <c r="F68" i="31"/>
  <c r="F228" i="31"/>
  <c r="F299" i="31"/>
  <c r="F301" i="31"/>
  <c r="F125" i="31"/>
  <c r="F79" i="31"/>
  <c r="F126" i="31"/>
  <c r="F117" i="31"/>
  <c r="F209" i="31"/>
  <c r="F96" i="31"/>
  <c r="F310" i="31"/>
  <c r="F300" i="31"/>
  <c r="F99" i="31"/>
  <c r="F131" i="31"/>
  <c r="F98" i="31"/>
  <c r="F325" i="31"/>
  <c r="F196" i="31"/>
  <c r="F308" i="31"/>
  <c r="F170" i="31"/>
  <c r="F67" i="31"/>
  <c r="F211" i="31"/>
  <c r="F248" i="31"/>
  <c r="F115" i="31"/>
  <c r="F107" i="31"/>
  <c r="F210" i="31"/>
  <c r="F277" i="31"/>
  <c r="F187" i="31"/>
  <c r="F213" i="31"/>
  <c r="F109" i="31"/>
  <c r="F87" i="31"/>
  <c r="F166" i="31"/>
  <c r="F294" i="31"/>
  <c r="F262" i="31"/>
  <c r="F62" i="31"/>
  <c r="F152" i="31"/>
  <c r="F146" i="31"/>
  <c r="F77" i="31"/>
  <c r="F100" i="31"/>
  <c r="F270" i="31"/>
  <c r="F256" i="31"/>
  <c r="F74" i="31"/>
  <c r="F123" i="31"/>
  <c r="F106" i="31"/>
  <c r="F122" i="31"/>
  <c r="F197" i="31"/>
  <c r="F178" i="31"/>
  <c r="F168" i="31"/>
  <c r="F311" i="31"/>
  <c r="F113" i="31"/>
  <c r="F85" i="31"/>
  <c r="F293" i="31"/>
  <c r="F278" i="31"/>
  <c r="F290" i="31"/>
  <c r="F252" i="31"/>
  <c r="F238" i="31"/>
  <c r="F46" i="31"/>
  <c r="F124" i="31"/>
  <c r="F70" i="31"/>
  <c r="F225" i="31"/>
  <c r="F93" i="31"/>
  <c r="F199" i="31"/>
  <c r="F58" i="31"/>
  <c r="F160" i="31"/>
  <c r="F182" i="31"/>
  <c r="F148" i="31"/>
  <c r="F273" i="45"/>
  <c r="F270" i="45"/>
  <c r="F102" i="45"/>
  <c r="F259" i="45"/>
  <c r="F114" i="45"/>
  <c r="F149" i="45"/>
  <c r="F152" i="45"/>
  <c r="F78" i="45"/>
  <c r="F263" i="45"/>
  <c r="F105" i="45"/>
  <c r="F45" i="45"/>
  <c r="F258" i="45"/>
  <c r="F153" i="45"/>
  <c r="F89" i="45"/>
  <c r="F204" i="45"/>
  <c r="F144" i="45"/>
  <c r="F104" i="45"/>
  <c r="F180" i="45"/>
  <c r="F174" i="45"/>
  <c r="F264" i="45"/>
  <c r="F298" i="45"/>
  <c r="F51" i="45"/>
  <c r="F187" i="45"/>
  <c r="F264" i="32"/>
  <c r="F294" i="45"/>
  <c r="F188" i="45"/>
  <c r="F247" i="45"/>
  <c r="F121" i="45"/>
  <c r="F41" i="45"/>
  <c r="F137" i="45"/>
  <c r="F292" i="45"/>
  <c r="F83" i="45"/>
  <c r="F283" i="45"/>
  <c r="F176" i="45"/>
  <c r="F126" i="45"/>
  <c r="F159" i="45"/>
  <c r="F96" i="45"/>
  <c r="F161" i="45"/>
  <c r="F265" i="45"/>
  <c r="F151" i="45"/>
  <c r="F208" i="45"/>
  <c r="F277" i="45"/>
  <c r="F219" i="45"/>
  <c r="F32" i="45"/>
  <c r="F281" i="45"/>
  <c r="F232" i="45"/>
  <c r="F210" i="45"/>
  <c r="F33" i="45"/>
  <c r="F182" i="45"/>
  <c r="F158" i="31"/>
  <c r="F227" i="31"/>
  <c r="F95" i="31"/>
  <c r="F124" i="45"/>
  <c r="F230" i="31"/>
  <c r="F192" i="31"/>
  <c r="F86" i="31"/>
  <c r="F206" i="31"/>
  <c r="F89" i="31"/>
  <c r="F103" i="31"/>
  <c r="F163" i="31"/>
  <c r="F172" i="31"/>
  <c r="F286" i="31"/>
  <c r="F175" i="31"/>
  <c r="F94" i="31"/>
  <c r="F112" i="31"/>
  <c r="F303" i="31"/>
  <c r="F32" i="32"/>
  <c r="F36" i="45"/>
  <c r="F228" i="45"/>
  <c r="F268" i="32"/>
  <c r="F282" i="45"/>
  <c r="F58" i="45"/>
  <c r="F194" i="31"/>
  <c r="F76" i="45"/>
  <c r="F173" i="31"/>
  <c r="F87" i="45"/>
  <c r="F436" i="32"/>
  <c r="F164" i="45"/>
  <c r="F135" i="45"/>
  <c r="F30" i="45"/>
  <c r="F223" i="45"/>
  <c r="F225" i="45"/>
  <c r="F284" i="45"/>
  <c r="F90" i="45"/>
  <c r="F143" i="45"/>
  <c r="F97" i="45"/>
  <c r="F189" i="45"/>
  <c r="F103" i="45"/>
  <c r="F217" i="45"/>
  <c r="F158" i="45"/>
  <c r="F132" i="45"/>
  <c r="F80" i="45"/>
  <c r="F272" i="45"/>
  <c r="F293" i="45"/>
  <c r="F171" i="45"/>
  <c r="F241" i="45"/>
  <c r="F240" i="45"/>
  <c r="F237" i="45"/>
  <c r="F95" i="45"/>
  <c r="F84" i="45"/>
  <c r="F110" i="45"/>
  <c r="F261" i="45"/>
  <c r="F60" i="45"/>
  <c r="F200" i="45"/>
  <c r="F264" i="31"/>
  <c r="F63" i="45"/>
  <c r="F47" i="45"/>
  <c r="F462" i="32"/>
  <c r="F373" i="32"/>
  <c r="F54" i="45"/>
  <c r="F266" i="45"/>
  <c r="F155" i="45"/>
  <c r="F145" i="45"/>
  <c r="F286" i="45"/>
  <c r="F255" i="45"/>
  <c r="F221" i="45"/>
  <c r="F291" i="45"/>
  <c r="F134" i="45"/>
  <c r="F128" i="45"/>
  <c r="F213" i="45"/>
  <c r="F253" i="45"/>
  <c r="F122" i="45"/>
  <c r="F53" i="45"/>
  <c r="F116" i="45"/>
  <c r="F296" i="45"/>
  <c r="F86" i="45"/>
  <c r="F178" i="45"/>
  <c r="F239" i="45"/>
  <c r="F196" i="45"/>
  <c r="F29" i="45"/>
  <c r="F69" i="45"/>
  <c r="F281" i="31"/>
  <c r="F181" i="45"/>
  <c r="F212" i="45"/>
  <c r="F99" i="45"/>
  <c r="F133" i="31"/>
  <c r="F298" i="31"/>
  <c r="F88" i="31"/>
  <c r="F287" i="31"/>
  <c r="F313" i="31"/>
  <c r="F114" i="31"/>
  <c r="F229" i="31"/>
  <c r="F326" i="31"/>
  <c r="F265" i="31"/>
  <c r="F255" i="31"/>
  <c r="F118" i="31"/>
  <c r="F155" i="31"/>
  <c r="F322" i="31"/>
  <c r="F237" i="31"/>
  <c r="F445" i="32"/>
  <c r="F181" i="31"/>
  <c r="F94" i="45"/>
  <c r="F156" i="45"/>
  <c r="F101" i="31"/>
  <c r="F403" i="32"/>
  <c r="F75" i="45"/>
  <c r="F204" i="31"/>
  <c r="F159" i="32"/>
  <c r="F109" i="45"/>
  <c r="F211" i="45"/>
  <c r="F238" i="45"/>
  <c r="F170" i="45"/>
  <c r="F61" i="45"/>
  <c r="F93" i="45"/>
  <c r="F304" i="45"/>
  <c r="F194" i="45"/>
  <c r="F197" i="45"/>
  <c r="F130" i="45"/>
  <c r="F79" i="45"/>
  <c r="F207" i="45"/>
  <c r="F192" i="45"/>
  <c r="F190" i="45"/>
  <c r="F185" i="45"/>
  <c r="F260" i="45"/>
  <c r="F246" i="45"/>
  <c r="F163" i="45"/>
  <c r="F162" i="45"/>
  <c r="F279" i="45"/>
  <c r="F113" i="45"/>
  <c r="F148" i="45"/>
  <c r="F299" i="45"/>
  <c r="F81" i="45"/>
  <c r="F67" i="45"/>
  <c r="F167" i="45"/>
  <c r="F274" i="45"/>
  <c r="F49" i="31"/>
  <c r="F145" i="31"/>
  <c r="F156" i="31"/>
  <c r="F312" i="31"/>
  <c r="F297" i="31"/>
  <c r="F176" i="31"/>
  <c r="F295" i="31"/>
  <c r="F244" i="31"/>
  <c r="F202" i="31"/>
  <c r="F327" i="31"/>
  <c r="F59" i="31"/>
  <c r="F249" i="31"/>
  <c r="F177" i="31"/>
  <c r="F159" i="31"/>
  <c r="F219" i="32"/>
  <c r="F413" i="32"/>
  <c r="F268" i="45"/>
  <c r="F375" i="32"/>
  <c r="F25" i="45"/>
  <c r="F100" i="45"/>
  <c r="F70" i="45"/>
  <c r="F423" i="32"/>
  <c r="F157" i="45"/>
  <c r="F132" i="31"/>
  <c r="F249" i="45"/>
  <c r="F173" i="45"/>
  <c r="F250" i="45"/>
  <c r="F303" i="45"/>
  <c r="F119" i="45"/>
  <c r="F289" i="45"/>
  <c r="F269" i="45"/>
  <c r="F49" i="45"/>
  <c r="F62" i="45"/>
  <c r="F138" i="45"/>
  <c r="F275" i="45"/>
  <c r="F106" i="45"/>
  <c r="F82" i="45"/>
  <c r="F242" i="45"/>
  <c r="F169" i="45"/>
  <c r="F251" i="45"/>
  <c r="F234" i="45"/>
  <c r="F68" i="45"/>
  <c r="F165" i="45"/>
  <c r="F248" i="45"/>
  <c r="F64" i="45"/>
  <c r="F245" i="45"/>
  <c r="F108" i="45"/>
  <c r="F198" i="45"/>
  <c r="F56" i="45"/>
  <c r="F140" i="45"/>
  <c r="F129" i="45"/>
  <c r="F177" i="45"/>
  <c r="F28" i="45"/>
  <c r="F74" i="45"/>
  <c r="F131" i="45"/>
  <c r="F117" i="45"/>
  <c r="F230" i="45"/>
  <c r="F65" i="45"/>
  <c r="F48" i="45"/>
  <c r="F244" i="45"/>
  <c r="F254" i="45"/>
  <c r="F215" i="45"/>
  <c r="F34" i="45"/>
  <c r="F111" i="45"/>
  <c r="F26" i="45"/>
  <c r="F115" i="45"/>
  <c r="F216" i="45"/>
  <c r="F206" i="45"/>
  <c r="F202" i="45"/>
  <c r="F297" i="45"/>
  <c r="F77" i="45"/>
  <c r="F201" i="45"/>
  <c r="F233" i="45"/>
  <c r="F186" i="45"/>
  <c r="F256" i="45"/>
  <c r="F175" i="45"/>
  <c r="F191" i="45"/>
  <c r="F339" i="32"/>
  <c r="Q213" i="4"/>
  <c r="Q212" i="4"/>
  <c r="Q43" i="3"/>
  <c r="Q49" i="3"/>
  <c r="Q70" i="3"/>
  <c r="Q44" i="3"/>
  <c r="Q98" i="3"/>
  <c r="Q92" i="3"/>
  <c r="Q65" i="3"/>
  <c r="Q110" i="3"/>
  <c r="Q23" i="3"/>
  <c r="Q19" i="3"/>
  <c r="Q53" i="3"/>
  <c r="Q58" i="3"/>
  <c r="Q103" i="3"/>
  <c r="Q79" i="3"/>
  <c r="Q30" i="3"/>
  <c r="Q62" i="3"/>
  <c r="Q102" i="3"/>
  <c r="Q87" i="3"/>
  <c r="Q56" i="3"/>
  <c r="Q27" i="3"/>
  <c r="Q29" i="3"/>
  <c r="Q57" i="3"/>
  <c r="Q96" i="3"/>
  <c r="Q106" i="3"/>
  <c r="Q100" i="3"/>
  <c r="Q47" i="3"/>
  <c r="Q82" i="3"/>
  <c r="Q105" i="3"/>
  <c r="Q85" i="3"/>
  <c r="Q28" i="3"/>
  <c r="Q51" i="3"/>
  <c r="Q95" i="3"/>
  <c r="Q22" i="3"/>
  <c r="Q107" i="3"/>
  <c r="Q46" i="3"/>
  <c r="Q109" i="3"/>
  <c r="Q81" i="3"/>
  <c r="Q41" i="3"/>
  <c r="Q59" i="3"/>
  <c r="Q48" i="3"/>
  <c r="Q33" i="3"/>
  <c r="Q114" i="3"/>
  <c r="Q16" i="2"/>
  <c r="Q4" i="2"/>
  <c r="Q29" i="4"/>
  <c r="Q27" i="4"/>
  <c r="Q104" i="3"/>
  <c r="Q211" i="4"/>
  <c r="Q208" i="4"/>
  <c r="Q210" i="4"/>
  <c r="Q209" i="4"/>
  <c r="Q206" i="4"/>
  <c r="Q207" i="4"/>
  <c r="Q205" i="4"/>
  <c r="Q203" i="4"/>
  <c r="Q204" i="4"/>
  <c r="Q202" i="4"/>
  <c r="Q201" i="4"/>
  <c r="Q200" i="4"/>
  <c r="Q194" i="4"/>
  <c r="Q199" i="4"/>
  <c r="Q198" i="4"/>
  <c r="Q196" i="4"/>
  <c r="Q197" i="4"/>
  <c r="Q195" i="4"/>
  <c r="Q189" i="4"/>
  <c r="Q190" i="4"/>
  <c r="Q193" i="4"/>
  <c r="Q192" i="4"/>
  <c r="Q191" i="4"/>
  <c r="Q188" i="4"/>
  <c r="Q187" i="4"/>
  <c r="Q185" i="4"/>
  <c r="Q186" i="4"/>
  <c r="Q183" i="4"/>
  <c r="Q181" i="4"/>
  <c r="Q180" i="4"/>
  <c r="Q182" i="4"/>
  <c r="Q184" i="4"/>
  <c r="Q179" i="4"/>
  <c r="Q178" i="4"/>
  <c r="Q177" i="4"/>
  <c r="Q175" i="4"/>
  <c r="Q176" i="4"/>
  <c r="Q174" i="4"/>
  <c r="Q173" i="4"/>
  <c r="Q172" i="4"/>
  <c r="Q170" i="4"/>
  <c r="Q169" i="4"/>
  <c r="Q165" i="4"/>
  <c r="S137" i="5"/>
  <c r="S136" i="5"/>
  <c r="S135" i="5"/>
  <c r="S133" i="5"/>
  <c r="S131" i="5"/>
  <c r="Q86" i="2"/>
  <c r="Q85" i="2"/>
  <c r="Q84" i="2"/>
  <c r="Q83" i="2"/>
  <c r="Q82" i="2"/>
  <c r="Q81" i="2"/>
  <c r="Q80" i="2"/>
  <c r="Q79" i="2"/>
  <c r="Q78" i="2"/>
  <c r="Q77" i="2"/>
  <c r="Q76" i="2"/>
  <c r="Q83" i="3"/>
  <c r="Q75" i="3"/>
  <c r="Q94" i="3"/>
  <c r="Q91" i="3"/>
  <c r="Q42" i="3"/>
  <c r="Q61" i="3"/>
  <c r="Q36" i="3"/>
  <c r="Q32" i="4"/>
  <c r="Q33" i="4"/>
  <c r="Q28" i="4"/>
  <c r="Q26" i="4"/>
  <c r="Q31" i="4"/>
  <c r="Q35" i="4"/>
  <c r="Q34" i="4"/>
  <c r="Q39" i="4"/>
  <c r="Q23" i="4"/>
  <c r="Q30" i="4"/>
  <c r="Q36" i="4"/>
  <c r="Q89" i="3"/>
  <c r="Q31" i="3"/>
  <c r="Q50" i="3"/>
  <c r="Q18" i="3"/>
  <c r="Q38" i="3"/>
  <c r="Q32" i="3"/>
  <c r="B6" i="1"/>
  <c r="Q17" i="3"/>
  <c r="Q111" i="3"/>
  <c r="Q113" i="3"/>
  <c r="Q80" i="3"/>
  <c r="Q34" i="3"/>
  <c r="Q71" i="3"/>
  <c r="Q77" i="3"/>
  <c r="Q69" i="3"/>
  <c r="Q52" i="3"/>
  <c r="Q112" i="3"/>
  <c r="Q20" i="3"/>
  <c r="Q88" i="3"/>
  <c r="Q86" i="3"/>
  <c r="Q24" i="3"/>
  <c r="Q60" i="3"/>
  <c r="Q73" i="3"/>
  <c r="Q78" i="3"/>
  <c r="Q97" i="3"/>
  <c r="Q108" i="3"/>
  <c r="Q15" i="3"/>
  <c r="Q39" i="3"/>
  <c r="Q72" i="3"/>
  <c r="Q40" i="3"/>
  <c r="Q101" i="3"/>
  <c r="Q93" i="3"/>
  <c r="Q26" i="3"/>
  <c r="Q67" i="3"/>
  <c r="Q74" i="3"/>
  <c r="Q37" i="3"/>
  <c r="Q76" i="3"/>
  <c r="Q16" i="3"/>
  <c r="Q54" i="3"/>
  <c r="Q21" i="3"/>
  <c r="Q63" i="3"/>
  <c r="Q25" i="3"/>
  <c r="Q45" i="3"/>
  <c r="Q66" i="3"/>
  <c r="Q64" i="3"/>
  <c r="Q84" i="3"/>
  <c r="Q35" i="3"/>
  <c r="Q99" i="3"/>
  <c r="Q68" i="3"/>
  <c r="Q55" i="3"/>
  <c r="Q90" i="3"/>
  <c r="Q119" i="4"/>
  <c r="Q158" i="4"/>
  <c r="Q156" i="4"/>
  <c r="Q109" i="4"/>
  <c r="Q80" i="4"/>
  <c r="Q50" i="4"/>
  <c r="Q104" i="4"/>
  <c r="Q105" i="4"/>
  <c r="Q49" i="4"/>
  <c r="Q138" i="4"/>
  <c r="Q121" i="4"/>
  <c r="Q84" i="4"/>
  <c r="Q76" i="4"/>
  <c r="Q129" i="4"/>
  <c r="Q127" i="4"/>
  <c r="Q55" i="4"/>
  <c r="Q53" i="4"/>
  <c r="Q102" i="4"/>
  <c r="Q106" i="4"/>
  <c r="Q161" i="4"/>
  <c r="Q40" i="4"/>
  <c r="Q69" i="4"/>
  <c r="Q42" i="4"/>
  <c r="Q61" i="4"/>
  <c r="Q133" i="4"/>
  <c r="Q46" i="4"/>
  <c r="Q128" i="4"/>
  <c r="Q77" i="4"/>
  <c r="Q143" i="4"/>
  <c r="Q120" i="4"/>
  <c r="Q58" i="4"/>
  <c r="Q91" i="4"/>
  <c r="Q75" i="4"/>
  <c r="Q67" i="4"/>
  <c r="Q148" i="4"/>
  <c r="Q132" i="4"/>
  <c r="Q154" i="4"/>
  <c r="Q45" i="4"/>
  <c r="Q99" i="4"/>
  <c r="Q56" i="4"/>
  <c r="Q160" i="4"/>
  <c r="Q111" i="4"/>
  <c r="Q153" i="4"/>
  <c r="Q141" i="4"/>
  <c r="Q54" i="4"/>
  <c r="Q65" i="4"/>
  <c r="Q117" i="4"/>
  <c r="Q57" i="4"/>
  <c r="Q68" i="4"/>
  <c r="Q41" i="4"/>
  <c r="Q64" i="4"/>
  <c r="Q37" i="4"/>
  <c r="Q159" i="4"/>
  <c r="Q123" i="4"/>
  <c r="Q168" i="4"/>
  <c r="Q96" i="4"/>
  <c r="Q162" i="4"/>
  <c r="Q97" i="4"/>
  <c r="Q85" i="4"/>
  <c r="Q157" i="4"/>
  <c r="Q52" i="4"/>
  <c r="Q38" i="4"/>
  <c r="Q139" i="4"/>
  <c r="Q131" i="4"/>
  <c r="Q66" i="4"/>
  <c r="Q60" i="4"/>
  <c r="Q142" i="4"/>
  <c r="Q144" i="4"/>
  <c r="Q135" i="4"/>
  <c r="Q87" i="4"/>
  <c r="Q118" i="4"/>
  <c r="Q167" i="4"/>
  <c r="Q164" i="4"/>
  <c r="Q147" i="4"/>
  <c r="Q116" i="4"/>
  <c r="Q115" i="4"/>
  <c r="Q73" i="4"/>
  <c r="Q62" i="4"/>
  <c r="Q44" i="4"/>
  <c r="Q113" i="4"/>
  <c r="Q112" i="4"/>
  <c r="Q152" i="4"/>
  <c r="Q92" i="4"/>
  <c r="Q145" i="4"/>
  <c r="Q171" i="4"/>
  <c r="Q95" i="4"/>
  <c r="Q108" i="4"/>
  <c r="Q89" i="4"/>
  <c r="Q151" i="4"/>
  <c r="Q122" i="4"/>
  <c r="Q83" i="4"/>
  <c r="Q78" i="4"/>
  <c r="Q101" i="4"/>
  <c r="Q48" i="4"/>
  <c r="Q82" i="4"/>
  <c r="Q137" i="4"/>
  <c r="Q86" i="4"/>
  <c r="Q125" i="4"/>
  <c r="Q70" i="4"/>
  <c r="Q63" i="4"/>
  <c r="Q140" i="4"/>
  <c r="Q72" i="4"/>
  <c r="Q51" i="4"/>
  <c r="Q114" i="4"/>
  <c r="Q74" i="4"/>
  <c r="Q94" i="4"/>
  <c r="Q59" i="4"/>
  <c r="Q93" i="4"/>
  <c r="Q110" i="4"/>
  <c r="Q124" i="4"/>
  <c r="Q88" i="4"/>
  <c r="Q98" i="4"/>
  <c r="Q134" i="4"/>
  <c r="Q100" i="4"/>
  <c r="Q103" i="4"/>
  <c r="Q47" i="4"/>
  <c r="Q149" i="4"/>
  <c r="Q43" i="4"/>
  <c r="B4" i="1"/>
  <c r="Q107" i="4"/>
  <c r="Q71" i="4"/>
  <c r="Q136" i="4"/>
  <c r="Q81" i="4"/>
  <c r="Q163" i="4"/>
  <c r="Q90" i="4"/>
  <c r="Q150" i="4"/>
  <c r="Q126" i="4"/>
  <c r="Q79" i="4"/>
  <c r="Q130" i="4"/>
  <c r="Q155" i="4"/>
  <c r="Q146" i="4"/>
  <c r="Q166" i="4"/>
  <c r="B24" i="1"/>
  <c r="Q74" i="2"/>
  <c r="Q65" i="2"/>
  <c r="Q41" i="2"/>
  <c r="Q70" i="2"/>
  <c r="Q45" i="2"/>
  <c r="Q60" i="2"/>
  <c r="Q56" i="2"/>
  <c r="Q22" i="2"/>
  <c r="Q33" i="2"/>
  <c r="Q64" i="2"/>
  <c r="Q67" i="2"/>
  <c r="Q37" i="2"/>
  <c r="Q29" i="2"/>
  <c r="Q73" i="2"/>
  <c r="Q35" i="2"/>
  <c r="Q75" i="2"/>
  <c r="Q43" i="2"/>
  <c r="Q66" i="2"/>
  <c r="Q53" i="2"/>
  <c r="Q24" i="2"/>
  <c r="Q18" i="2"/>
  <c r="Q26" i="2"/>
  <c r="Q39" i="2"/>
  <c r="Q28" i="2"/>
  <c r="Q52" i="2"/>
  <c r="Q51" i="2"/>
  <c r="Q62" i="2"/>
  <c r="Q48" i="2"/>
  <c r="Q30" i="2"/>
  <c r="Q68" i="2"/>
  <c r="Q40" i="2"/>
  <c r="Q27" i="2"/>
  <c r="Q23" i="2"/>
  <c r="Q50" i="2"/>
  <c r="Q58" i="2"/>
  <c r="Q54" i="2"/>
  <c r="Q17" i="2"/>
  <c r="Q15" i="2"/>
  <c r="Q46" i="2"/>
  <c r="Q38" i="2"/>
  <c r="Q21" i="2"/>
  <c r="Q61" i="2"/>
  <c r="Q71" i="2"/>
  <c r="Q44" i="2"/>
  <c r="Q34" i="2"/>
  <c r="Q59" i="2"/>
  <c r="Q32" i="2"/>
  <c r="Q49" i="2"/>
  <c r="Q57" i="2"/>
  <c r="Q47" i="2"/>
  <c r="Q36" i="2"/>
  <c r="Q20" i="2"/>
  <c r="Q19" i="2"/>
  <c r="Q72" i="2"/>
  <c r="Q25" i="2"/>
  <c r="B5" i="1"/>
  <c r="S4" i="2" s="1"/>
  <c r="Q69" i="2"/>
  <c r="Q42" i="2"/>
  <c r="Q63" i="2"/>
  <c r="Q55" i="2"/>
  <c r="Q31" i="2"/>
  <c r="S8" i="5"/>
  <c r="Z8" i="5" s="1"/>
  <c r="N10" i="28" s="1"/>
  <c r="S55" i="5"/>
  <c r="S60" i="5"/>
  <c r="S11" i="5"/>
  <c r="S3" i="5"/>
  <c r="Z3" i="5" s="1"/>
  <c r="N5" i="28" s="1"/>
  <c r="S41" i="5"/>
  <c r="S58" i="5"/>
  <c r="S62" i="5"/>
  <c r="S25" i="5"/>
  <c r="S4" i="5"/>
  <c r="Z4" i="5" s="1"/>
  <c r="N6" i="28" s="1"/>
  <c r="S128" i="5"/>
  <c r="S74" i="5"/>
  <c r="S94" i="5"/>
  <c r="S113" i="5"/>
  <c r="S34" i="5"/>
  <c r="S48" i="5"/>
  <c r="S43" i="5"/>
  <c r="S54" i="5"/>
  <c r="S14" i="5"/>
  <c r="S86" i="5"/>
  <c r="S13" i="5"/>
  <c r="S57" i="5"/>
  <c r="S5" i="5"/>
  <c r="Z5" i="5" s="1"/>
  <c r="N7" i="28" s="1"/>
  <c r="S72" i="5"/>
  <c r="S100" i="5"/>
  <c r="S26" i="5"/>
  <c r="S52" i="5"/>
  <c r="S117" i="5"/>
  <c r="S56" i="5"/>
  <c r="S20" i="5"/>
  <c r="S103" i="5"/>
  <c r="S32" i="5"/>
  <c r="S19" i="5"/>
  <c r="S27" i="5"/>
  <c r="S71" i="5"/>
  <c r="S95" i="5"/>
  <c r="S10" i="5"/>
  <c r="S22" i="5"/>
  <c r="S118" i="5"/>
  <c r="S33" i="5"/>
  <c r="S73" i="5"/>
  <c r="S77" i="5"/>
  <c r="S29" i="5"/>
  <c r="S38" i="5"/>
  <c r="S84" i="5"/>
  <c r="S102" i="5"/>
  <c r="S39" i="5"/>
  <c r="S37" i="5"/>
  <c r="S80" i="5"/>
  <c r="S91" i="5"/>
  <c r="S70" i="5"/>
  <c r="S88" i="5"/>
  <c r="S46" i="5"/>
  <c r="S36" i="5"/>
  <c r="S124" i="5"/>
  <c r="S132" i="5"/>
  <c r="S50" i="5"/>
  <c r="S97" i="5"/>
  <c r="S23" i="5"/>
  <c r="S112" i="5"/>
  <c r="S30" i="5"/>
  <c r="S120" i="5"/>
  <c r="S79" i="5"/>
  <c r="S40" i="5"/>
  <c r="S98" i="5"/>
  <c r="S82" i="5"/>
  <c r="S64" i="5"/>
  <c r="S76" i="5"/>
  <c r="S110" i="5"/>
  <c r="S106" i="5"/>
  <c r="S96" i="5"/>
  <c r="S68" i="5"/>
  <c r="S116" i="5"/>
  <c r="S51" i="5"/>
  <c r="S49" i="5"/>
  <c r="S115" i="5"/>
  <c r="S18" i="5"/>
  <c r="S89" i="5"/>
  <c r="S44" i="5"/>
  <c r="S9" i="5"/>
  <c r="S45" i="5"/>
  <c r="S15" i="5"/>
  <c r="S69" i="5"/>
  <c r="S59" i="5"/>
  <c r="S129" i="5"/>
  <c r="S121" i="5"/>
  <c r="S105" i="5"/>
  <c r="S6" i="5"/>
  <c r="S111" i="5"/>
  <c r="S17" i="5"/>
  <c r="S108" i="5"/>
  <c r="S81" i="5"/>
  <c r="S61" i="5"/>
  <c r="S130" i="5"/>
  <c r="S101" i="5"/>
  <c r="S28" i="5"/>
  <c r="S12" i="5"/>
  <c r="S123" i="5"/>
  <c r="S85" i="5"/>
  <c r="S126" i="5"/>
  <c r="S16" i="5"/>
  <c r="S35" i="5"/>
  <c r="S7" i="5"/>
  <c r="S99" i="5"/>
  <c r="S31" i="5"/>
  <c r="S53" i="5"/>
  <c r="Z53" i="5" s="1"/>
  <c r="N55" i="28" s="1"/>
  <c r="S90" i="5"/>
  <c r="S21" i="5"/>
  <c r="S122" i="5"/>
  <c r="S83" i="5"/>
  <c r="S47" i="5"/>
  <c r="S65" i="5"/>
  <c r="S87" i="5"/>
  <c r="S75" i="5"/>
  <c r="S109" i="5"/>
  <c r="S127" i="5"/>
  <c r="S134" i="5"/>
  <c r="S93" i="5"/>
  <c r="S114" i="5"/>
  <c r="S125" i="5"/>
  <c r="S67" i="5"/>
  <c r="Z67" i="5" s="1"/>
  <c r="S104" i="5"/>
  <c r="S78" i="5"/>
  <c r="S66" i="5"/>
  <c r="S63" i="5"/>
  <c r="S24" i="5"/>
  <c r="Z20" i="5" s="1"/>
  <c r="N22" i="28" s="1"/>
  <c r="S92" i="5"/>
  <c r="S107" i="5"/>
  <c r="S119" i="5"/>
  <c r="S42" i="5"/>
  <c r="Z48" i="5" l="1"/>
  <c r="N50" i="28" s="1"/>
  <c r="Z52" i="5"/>
  <c r="N54" i="28" s="1"/>
  <c r="Z83" i="5"/>
  <c r="Z55" i="5"/>
  <c r="N57" i="28" s="1"/>
  <c r="Z81" i="5"/>
  <c r="Z107" i="5"/>
  <c r="S212" i="4"/>
  <c r="S213" i="4"/>
  <c r="Z74" i="5"/>
  <c r="Z39" i="5"/>
  <c r="N41" i="28" s="1"/>
  <c r="Z115" i="5"/>
  <c r="Z19" i="5"/>
  <c r="N21" i="28" s="1"/>
  <c r="Z6" i="5"/>
  <c r="Z125" i="5"/>
  <c r="Z94" i="5"/>
  <c r="Z17" i="5"/>
  <c r="N19" i="28" s="1"/>
  <c r="Z59" i="5"/>
  <c r="N61" i="28" s="1"/>
  <c r="Z65" i="5"/>
  <c r="Z50" i="5"/>
  <c r="N52" i="28" s="1"/>
  <c r="Z10" i="5"/>
  <c r="N12" i="28" s="1"/>
  <c r="Z63" i="5"/>
  <c r="Z76" i="5"/>
  <c r="Z91" i="5"/>
  <c r="Z9" i="5"/>
  <c r="N11" i="28" s="1"/>
  <c r="Z32" i="5"/>
  <c r="N34" i="28" s="1"/>
  <c r="Z16" i="5"/>
  <c r="Z116" i="5"/>
  <c r="E508" i="32"/>
  <c r="E509" i="32"/>
  <c r="E510" i="32"/>
  <c r="E511" i="32"/>
  <c r="E512" i="32"/>
  <c r="E513" i="32"/>
  <c r="E514" i="32"/>
  <c r="E3" i="32"/>
  <c r="Z120" i="5"/>
  <c r="Z96" i="5"/>
  <c r="Z113" i="5"/>
  <c r="Z7" i="5"/>
  <c r="N9" i="28" s="1"/>
  <c r="Z25" i="5"/>
  <c r="N27" i="28" s="1"/>
  <c r="Z79" i="5"/>
  <c r="Z18" i="5"/>
  <c r="N20" i="28" s="1"/>
  <c r="Z21" i="5"/>
  <c r="N23" i="28" s="1"/>
  <c r="Z49" i="5"/>
  <c r="N51" i="28" s="1"/>
  <c r="Z51" i="5"/>
  <c r="N53" i="28" s="1"/>
  <c r="S115" i="3"/>
  <c r="E431" i="30"/>
  <c r="E432" i="30"/>
  <c r="E437" i="32"/>
  <c r="Z87" i="5"/>
  <c r="Z30" i="5"/>
  <c r="N32" i="28" s="1"/>
  <c r="E247" i="45"/>
  <c r="E18" i="45"/>
  <c r="E21" i="45"/>
  <c r="E23" i="45"/>
  <c r="E24" i="45"/>
  <c r="E47" i="45"/>
  <c r="E51" i="45"/>
  <c r="E53" i="45"/>
  <c r="E109" i="45"/>
  <c r="E107" i="45"/>
  <c r="E122" i="45"/>
  <c r="E119" i="45"/>
  <c r="E85" i="45"/>
  <c r="E147" i="45"/>
  <c r="E163" i="45"/>
  <c r="E172" i="45"/>
  <c r="E190" i="45"/>
  <c r="E183" i="45"/>
  <c r="E187" i="45"/>
  <c r="E182" i="45"/>
  <c r="E189" i="45"/>
  <c r="E211" i="45"/>
  <c r="E208" i="45"/>
  <c r="E213" i="45"/>
  <c r="E234" i="45"/>
  <c r="E229" i="45"/>
  <c r="E237" i="45"/>
  <c r="E230" i="45"/>
  <c r="E239" i="45"/>
  <c r="E241" i="45"/>
  <c r="E236" i="45"/>
  <c r="E22" i="45"/>
  <c r="E37" i="45"/>
  <c r="E72" i="45"/>
  <c r="E76" i="45"/>
  <c r="E143" i="45"/>
  <c r="E91" i="45"/>
  <c r="E97" i="45"/>
  <c r="E102" i="45"/>
  <c r="E103" i="45"/>
  <c r="E115" i="45"/>
  <c r="E126" i="45"/>
  <c r="E161" i="45"/>
  <c r="E133" i="45"/>
  <c r="E152" i="45"/>
  <c r="E170" i="45"/>
  <c r="E138" i="45"/>
  <c r="E169" i="45"/>
  <c r="E164" i="45"/>
  <c r="E176" i="45"/>
  <c r="E177" i="45"/>
  <c r="E179" i="45"/>
  <c r="E194" i="45"/>
  <c r="E216" i="45"/>
  <c r="E226" i="45"/>
  <c r="E227" i="45"/>
  <c r="E225" i="45"/>
  <c r="E231" i="45"/>
  <c r="E232" i="45"/>
  <c r="E240" i="45"/>
  <c r="E248" i="45"/>
  <c r="E251" i="45"/>
  <c r="E254" i="45"/>
  <c r="E245" i="45"/>
  <c r="E258" i="45"/>
  <c r="E253" i="45"/>
  <c r="E11" i="45"/>
  <c r="E262" i="45"/>
  <c r="E256" i="45"/>
  <c r="E10" i="45"/>
  <c r="E9" i="45"/>
  <c r="E13" i="45"/>
  <c r="E8" i="45"/>
  <c r="E6" i="45"/>
  <c r="E15" i="45"/>
  <c r="E41" i="45"/>
  <c r="E20" i="45"/>
  <c r="E19" i="45"/>
  <c r="E28" i="45"/>
  <c r="E56" i="45"/>
  <c r="E34" i="45"/>
  <c r="E39" i="45"/>
  <c r="E48" i="45"/>
  <c r="E58" i="45"/>
  <c r="E61" i="45"/>
  <c r="E66" i="45"/>
  <c r="E67" i="45"/>
  <c r="E74" i="45"/>
  <c r="E65" i="45"/>
  <c r="E63" i="45"/>
  <c r="E68" i="45"/>
  <c r="E64" i="45"/>
  <c r="E70" i="45"/>
  <c r="E75" i="45"/>
  <c r="E77" i="45"/>
  <c r="E84" i="45"/>
  <c r="E69" i="45"/>
  <c r="E81" i="45"/>
  <c r="E83" i="45"/>
  <c r="E303" i="45"/>
  <c r="E304" i="45"/>
  <c r="E298" i="45"/>
  <c r="E300" i="45"/>
  <c r="E301" i="45"/>
  <c r="E302" i="45"/>
  <c r="E299" i="45"/>
  <c r="E297" i="45"/>
  <c r="E270" i="45"/>
  <c r="E42" i="45"/>
  <c r="E184" i="45"/>
  <c r="E128" i="45"/>
  <c r="E7" i="45"/>
  <c r="E199" i="45"/>
  <c r="E284" i="45"/>
  <c r="E214" i="45"/>
  <c r="E285" i="45"/>
  <c r="E288" i="45"/>
  <c r="E168" i="45"/>
  <c r="E278" i="45"/>
  <c r="E205" i="45"/>
  <c r="E173" i="45"/>
  <c r="E282" i="45"/>
  <c r="E2" i="45"/>
  <c r="E146" i="45"/>
  <c r="E105" i="45"/>
  <c r="E188" i="45"/>
  <c r="E233" i="45"/>
  <c r="E17" i="45"/>
  <c r="E272" i="45"/>
  <c r="E286" i="45"/>
  <c r="E290" i="45"/>
  <c r="E50" i="45"/>
  <c r="E35" i="45"/>
  <c r="E87" i="45"/>
  <c r="E295" i="45"/>
  <c r="E153" i="45"/>
  <c r="E212" i="45"/>
  <c r="E160" i="45"/>
  <c r="E38" i="45"/>
  <c r="E263" i="45"/>
  <c r="E57" i="45"/>
  <c r="E185" i="45"/>
  <c r="E265" i="45"/>
  <c r="E5" i="45"/>
  <c r="E151" i="45"/>
  <c r="E159" i="45"/>
  <c r="E123" i="45"/>
  <c r="E32" i="45"/>
  <c r="E292" i="45"/>
  <c r="E279" i="45"/>
  <c r="E135" i="45"/>
  <c r="E27" i="45"/>
  <c r="E54" i="45"/>
  <c r="E106" i="45"/>
  <c r="E273" i="45"/>
  <c r="E94" i="45"/>
  <c r="E238" i="45"/>
  <c r="E92" i="45"/>
  <c r="E40" i="45"/>
  <c r="E49" i="45"/>
  <c r="E26" i="45"/>
  <c r="E139" i="45"/>
  <c r="E44" i="45"/>
  <c r="E150" i="45"/>
  <c r="E271" i="45"/>
  <c r="E181" i="45"/>
  <c r="E88" i="45"/>
  <c r="E33" i="45"/>
  <c r="E157" i="45"/>
  <c r="E196" i="45"/>
  <c r="E260" i="45"/>
  <c r="E46" i="45"/>
  <c r="E118" i="45"/>
  <c r="E158" i="45"/>
  <c r="E129" i="45"/>
  <c r="E223" i="45"/>
  <c r="E220" i="45"/>
  <c r="E242" i="45"/>
  <c r="E95" i="45"/>
  <c r="E104" i="45"/>
  <c r="E193" i="45"/>
  <c r="E204" i="45"/>
  <c r="E252" i="45"/>
  <c r="E174" i="45"/>
  <c r="E141" i="45"/>
  <c r="E198" i="45"/>
  <c r="E93" i="45"/>
  <c r="E215" i="45"/>
  <c r="E175" i="45"/>
  <c r="E134" i="45"/>
  <c r="E4" i="45"/>
  <c r="E52" i="45"/>
  <c r="E162" i="45"/>
  <c r="E140" i="45"/>
  <c r="E281" i="45"/>
  <c r="E171" i="45"/>
  <c r="E29" i="45"/>
  <c r="E166" i="45"/>
  <c r="E36" i="45"/>
  <c r="E111" i="45"/>
  <c r="E25" i="45"/>
  <c r="E209" i="45"/>
  <c r="E167" i="45"/>
  <c r="E117" i="45"/>
  <c r="E86" i="45"/>
  <c r="E3" i="45"/>
  <c r="E178" i="45"/>
  <c r="E291" i="45"/>
  <c r="E280" i="45"/>
  <c r="E144" i="45"/>
  <c r="E45" i="45"/>
  <c r="E80" i="45"/>
  <c r="E78" i="45"/>
  <c r="E148" i="45"/>
  <c r="E277" i="45"/>
  <c r="E165" i="45"/>
  <c r="E96" i="45"/>
  <c r="E218" i="45"/>
  <c r="E155" i="45"/>
  <c r="E210" i="45"/>
  <c r="E235" i="45"/>
  <c r="E217" i="45"/>
  <c r="E296" i="45"/>
  <c r="E82" i="45"/>
  <c r="E244" i="45"/>
  <c r="E294" i="45"/>
  <c r="E145" i="45"/>
  <c r="E136" i="45"/>
  <c r="E131" i="45"/>
  <c r="E71" i="45"/>
  <c r="E224" i="45"/>
  <c r="E261" i="45"/>
  <c r="E275" i="45"/>
  <c r="E206" i="45"/>
  <c r="E249" i="45"/>
  <c r="E289" i="45"/>
  <c r="E246" i="45"/>
  <c r="E132" i="45"/>
  <c r="E62" i="45"/>
  <c r="E114" i="45"/>
  <c r="E264" i="45"/>
  <c r="E31" i="45"/>
  <c r="E207" i="45"/>
  <c r="E110" i="45"/>
  <c r="E259" i="45"/>
  <c r="E112" i="45"/>
  <c r="E283" i="45"/>
  <c r="E73" i="45"/>
  <c r="E267" i="45"/>
  <c r="E12" i="45"/>
  <c r="E180" i="45"/>
  <c r="E202" i="45"/>
  <c r="E101" i="45"/>
  <c r="E268" i="45"/>
  <c r="E154" i="45"/>
  <c r="E274" i="45"/>
  <c r="E120" i="45"/>
  <c r="E221" i="45"/>
  <c r="E192" i="45"/>
  <c r="E16" i="45"/>
  <c r="E255" i="45"/>
  <c r="E149" i="45"/>
  <c r="E195" i="45"/>
  <c r="E89" i="45"/>
  <c r="E43" i="45"/>
  <c r="E59" i="45"/>
  <c r="E130" i="45"/>
  <c r="E186" i="45"/>
  <c r="E79" i="45"/>
  <c r="E219" i="45"/>
  <c r="E222" i="45"/>
  <c r="E14" i="45"/>
  <c r="E266" i="45"/>
  <c r="E60" i="45"/>
  <c r="E90" i="45"/>
  <c r="E127" i="45"/>
  <c r="E100" i="45"/>
  <c r="E257" i="45"/>
  <c r="E156" i="45"/>
  <c r="E243" i="45"/>
  <c r="E200" i="45"/>
  <c r="E121" i="45"/>
  <c r="E203" i="45"/>
  <c r="E142" i="45"/>
  <c r="E125" i="45"/>
  <c r="E250" i="45"/>
  <c r="E55" i="45"/>
  <c r="E287" i="45"/>
  <c r="E269" i="45"/>
  <c r="E30" i="45"/>
  <c r="E201" i="45"/>
  <c r="E108" i="45"/>
  <c r="E191" i="45"/>
  <c r="E116" i="45"/>
  <c r="E276" i="45"/>
  <c r="E113" i="45"/>
  <c r="E124" i="45"/>
  <c r="E228" i="45"/>
  <c r="E197" i="45"/>
  <c r="E99" i="45"/>
  <c r="E137" i="45"/>
  <c r="E293" i="45"/>
  <c r="E98" i="45"/>
  <c r="E256" i="30"/>
  <c r="E257" i="30"/>
  <c r="E258" i="30"/>
  <c r="E260" i="30"/>
  <c r="E264" i="30"/>
  <c r="E276" i="30"/>
  <c r="E280" i="30"/>
  <c r="E281" i="30"/>
  <c r="E283" i="30"/>
  <c r="E284" i="30"/>
  <c r="E287" i="30"/>
  <c r="E289" i="30"/>
  <c r="E290" i="30"/>
  <c r="E294" i="30"/>
  <c r="E299" i="30"/>
  <c r="E302" i="30"/>
  <c r="E303" i="30"/>
  <c r="E304" i="30"/>
  <c r="E305" i="30"/>
  <c r="E306" i="30"/>
  <c r="E311" i="30"/>
  <c r="E317" i="30"/>
  <c r="E320" i="30"/>
  <c r="E323" i="30"/>
  <c r="E324" i="30"/>
  <c r="E325" i="30"/>
  <c r="E326" i="30"/>
  <c r="E329" i="30"/>
  <c r="E330" i="30"/>
  <c r="E333" i="30"/>
  <c r="E337" i="30"/>
  <c r="E338" i="30"/>
  <c r="E339" i="30"/>
  <c r="E345" i="30"/>
  <c r="E349" i="30"/>
  <c r="E350" i="30"/>
  <c r="E352" i="30"/>
  <c r="E354" i="30"/>
  <c r="E355" i="30"/>
  <c r="E358" i="30"/>
  <c r="E359" i="30"/>
  <c r="E106" i="30"/>
  <c r="E136" i="30"/>
  <c r="E183" i="30"/>
  <c r="E203" i="30"/>
  <c r="E220" i="30"/>
  <c r="E230" i="30"/>
  <c r="E268" i="30"/>
  <c r="E332" i="30"/>
  <c r="E344" i="30"/>
  <c r="E348" i="30"/>
  <c r="E100" i="30"/>
  <c r="E362" i="30"/>
  <c r="E366" i="30"/>
  <c r="E370" i="30"/>
  <c r="E373" i="30"/>
  <c r="E378" i="30"/>
  <c r="E3" i="30"/>
  <c r="E4" i="30"/>
  <c r="E26" i="30"/>
  <c r="E28" i="30"/>
  <c r="E36" i="30"/>
  <c r="E37" i="30"/>
  <c r="E40" i="30"/>
  <c r="E41" i="30"/>
  <c r="E42" i="30"/>
  <c r="E46" i="30"/>
  <c r="E43" i="30"/>
  <c r="E52" i="30"/>
  <c r="E58" i="30"/>
  <c r="E88" i="30"/>
  <c r="E90" i="30"/>
  <c r="E363" i="30"/>
  <c r="E102" i="30"/>
  <c r="E107" i="30"/>
  <c r="E108" i="30"/>
  <c r="E111" i="30"/>
  <c r="E117" i="30"/>
  <c r="E129" i="30"/>
  <c r="E159" i="30"/>
  <c r="E146" i="30"/>
  <c r="E154" i="30"/>
  <c r="E179" i="30"/>
  <c r="E147" i="30"/>
  <c r="E169" i="30"/>
  <c r="E172" i="30"/>
  <c r="E161" i="30"/>
  <c r="E193" i="30"/>
  <c r="E195" i="30"/>
  <c r="E199" i="30"/>
  <c r="E204" i="30"/>
  <c r="E211" i="30"/>
  <c r="E255" i="30"/>
  <c r="E261" i="30"/>
  <c r="E269" i="30"/>
  <c r="E278" i="30"/>
  <c r="E266" i="30"/>
  <c r="E273" i="30"/>
  <c r="E279" i="30"/>
  <c r="E285" i="30"/>
  <c r="E300" i="30"/>
  <c r="E295" i="30"/>
  <c r="E312" i="30"/>
  <c r="E319" i="30"/>
  <c r="E292" i="30"/>
  <c r="E316" i="30"/>
  <c r="E321" i="30"/>
  <c r="E383" i="30"/>
  <c r="E334" i="30"/>
  <c r="E391" i="30"/>
  <c r="E389" i="30"/>
  <c r="E387" i="30"/>
  <c r="E327" i="30"/>
  <c r="E392" i="30"/>
  <c r="E396" i="30"/>
  <c r="E395" i="30"/>
  <c r="E400" i="30"/>
  <c r="E408" i="30"/>
  <c r="E404" i="30"/>
  <c r="E407" i="30"/>
  <c r="E412" i="30"/>
  <c r="E413" i="30"/>
  <c r="E414" i="30"/>
  <c r="E418" i="30"/>
  <c r="E421" i="30"/>
  <c r="E422" i="30"/>
  <c r="E423" i="30"/>
  <c r="E424" i="30"/>
  <c r="E425" i="30"/>
  <c r="E426" i="30"/>
  <c r="E427" i="30"/>
  <c r="E428" i="30"/>
  <c r="E429" i="30"/>
  <c r="E430" i="30"/>
  <c r="E2" i="30"/>
  <c r="E10" i="30"/>
  <c r="E66" i="30"/>
  <c r="E336" i="30"/>
  <c r="E274" i="30"/>
  <c r="E83" i="30"/>
  <c r="E398" i="30"/>
  <c r="E250" i="30"/>
  <c r="E27" i="30"/>
  <c r="E374" i="30"/>
  <c r="E267" i="30"/>
  <c r="E186" i="30"/>
  <c r="E213" i="30"/>
  <c r="E361" i="30"/>
  <c r="E291" i="30"/>
  <c r="E54" i="30"/>
  <c r="E242" i="30"/>
  <c r="E38" i="30"/>
  <c r="E101" i="30"/>
  <c r="E251" i="30"/>
  <c r="E405" i="30"/>
  <c r="E215" i="30"/>
  <c r="E50" i="30"/>
  <c r="E360" i="30"/>
  <c r="E131" i="30"/>
  <c r="E265" i="30"/>
  <c r="E351" i="30"/>
  <c r="E65" i="30"/>
  <c r="E417" i="30"/>
  <c r="E191" i="30"/>
  <c r="E71" i="30"/>
  <c r="E209" i="30"/>
  <c r="E182" i="30"/>
  <c r="E132" i="30"/>
  <c r="E109" i="30"/>
  <c r="E377" i="30"/>
  <c r="E380" i="30"/>
  <c r="E67" i="30"/>
  <c r="E415" i="30"/>
  <c r="E25" i="30"/>
  <c r="E51" i="30"/>
  <c r="E271" i="30"/>
  <c r="E206" i="30"/>
  <c r="E225" i="30"/>
  <c r="E93" i="30"/>
  <c r="E356" i="30"/>
  <c r="E187" i="30"/>
  <c r="E196" i="30"/>
  <c r="E298" i="30"/>
  <c r="E174" i="30"/>
  <c r="E44" i="30"/>
  <c r="E64" i="30"/>
  <c r="E296" i="30"/>
  <c r="E153" i="30"/>
  <c r="E128" i="30"/>
  <c r="E130" i="30"/>
  <c r="E8" i="30"/>
  <c r="E390" i="30"/>
  <c r="E406" i="30"/>
  <c r="E342" i="30"/>
  <c r="E19" i="30"/>
  <c r="E409" i="30"/>
  <c r="E233" i="30"/>
  <c r="E91" i="30"/>
  <c r="E76" i="30"/>
  <c r="E207" i="30"/>
  <c r="E232" i="30"/>
  <c r="E397" i="30"/>
  <c r="E157" i="30"/>
  <c r="E249" i="30"/>
  <c r="E59" i="30"/>
  <c r="E122" i="30"/>
  <c r="E116" i="30"/>
  <c r="E341" i="30"/>
  <c r="E156" i="30"/>
  <c r="E384" i="30"/>
  <c r="E177" i="30"/>
  <c r="E68" i="30"/>
  <c r="E411" i="30"/>
  <c r="E103" i="30"/>
  <c r="E229" i="30"/>
  <c r="E202" i="30"/>
  <c r="E368" i="30"/>
  <c r="E73" i="30"/>
  <c r="E79" i="30"/>
  <c r="E372" i="30"/>
  <c r="E166" i="30"/>
  <c r="E416" i="30"/>
  <c r="E364" i="30"/>
  <c r="E212" i="30"/>
  <c r="E145" i="30"/>
  <c r="E382" i="30"/>
  <c r="E61" i="30"/>
  <c r="E218" i="30"/>
  <c r="E381" i="30"/>
  <c r="E123" i="30"/>
  <c r="E270" i="30"/>
  <c r="E69" i="30"/>
  <c r="E126" i="30"/>
  <c r="E143" i="30"/>
  <c r="E247" i="30"/>
  <c r="E219" i="30"/>
  <c r="E95" i="30"/>
  <c r="E253" i="30"/>
  <c r="E228" i="30"/>
  <c r="E45" i="30"/>
  <c r="E142" i="30"/>
  <c r="E282" i="30"/>
  <c r="E308" i="30"/>
  <c r="E30" i="30"/>
  <c r="E55" i="30"/>
  <c r="E70" i="30"/>
  <c r="E78" i="30"/>
  <c r="E21" i="30"/>
  <c r="E214" i="30"/>
  <c r="E105" i="30"/>
  <c r="E262" i="30"/>
  <c r="E17" i="30"/>
  <c r="E181" i="30"/>
  <c r="E158" i="30"/>
  <c r="E53" i="30"/>
  <c r="E231" i="30"/>
  <c r="E293" i="30"/>
  <c r="E99" i="30"/>
  <c r="E224" i="30"/>
  <c r="E328" i="30"/>
  <c r="E192" i="30"/>
  <c r="E263" i="30"/>
  <c r="E94" i="30"/>
  <c r="E92" i="30"/>
  <c r="E221" i="30"/>
  <c r="E140" i="30"/>
  <c r="E217" i="30"/>
  <c r="E12" i="30"/>
  <c r="E113" i="30"/>
  <c r="E234" i="30"/>
  <c r="E248" i="30"/>
  <c r="E7" i="30"/>
  <c r="E74" i="30"/>
  <c r="E138" i="30"/>
  <c r="E386" i="30"/>
  <c r="E77" i="30"/>
  <c r="E160" i="30"/>
  <c r="E34" i="30"/>
  <c r="E353" i="30"/>
  <c r="E24" i="30"/>
  <c r="E236" i="30"/>
  <c r="E144" i="30"/>
  <c r="E165" i="30"/>
  <c r="E313" i="30"/>
  <c r="E13" i="30"/>
  <c r="E85" i="30"/>
  <c r="E223" i="30"/>
  <c r="E48" i="30"/>
  <c r="E310" i="30"/>
  <c r="E121" i="30"/>
  <c r="E175" i="30"/>
  <c r="E75" i="30"/>
  <c r="E133" i="30"/>
  <c r="E98" i="30"/>
  <c r="E388" i="30"/>
  <c r="E237" i="30"/>
  <c r="E110" i="30"/>
  <c r="E235" i="30"/>
  <c r="E151" i="30"/>
  <c r="E72" i="30"/>
  <c r="E148" i="30"/>
  <c r="E163" i="30"/>
  <c r="E60" i="30"/>
  <c r="E80" i="30"/>
  <c r="E322" i="30"/>
  <c r="E188" i="30"/>
  <c r="E240" i="30"/>
  <c r="E367" i="30"/>
  <c r="E346" i="30"/>
  <c r="E150" i="30"/>
  <c r="E112" i="30"/>
  <c r="E275" i="30"/>
  <c r="E394" i="30"/>
  <c r="E379" i="30"/>
  <c r="E252" i="30"/>
  <c r="E185" i="30"/>
  <c r="E315" i="30"/>
  <c r="E376" i="30"/>
  <c r="E168" i="30"/>
  <c r="E137" i="30"/>
  <c r="E272" i="30"/>
  <c r="E238" i="30"/>
  <c r="E118" i="30"/>
  <c r="E149" i="30"/>
  <c r="E63" i="30"/>
  <c r="E343" i="30"/>
  <c r="E47" i="30"/>
  <c r="E197" i="30"/>
  <c r="E178" i="30"/>
  <c r="E222" i="30"/>
  <c r="E259" i="30"/>
  <c r="E402" i="30"/>
  <c r="E173" i="30"/>
  <c r="E96" i="30"/>
  <c r="E241" i="30"/>
  <c r="E385" i="30"/>
  <c r="E369" i="30"/>
  <c r="E254" i="30"/>
  <c r="E419" i="30"/>
  <c r="E297" i="30"/>
  <c r="E29" i="30"/>
  <c r="E410" i="30"/>
  <c r="E56" i="30"/>
  <c r="E31" i="30"/>
  <c r="E124" i="30"/>
  <c r="E171" i="30"/>
  <c r="E245" i="30"/>
  <c r="E393" i="30"/>
  <c r="E141" i="30"/>
  <c r="E87" i="30"/>
  <c r="E403" i="30"/>
  <c r="E115" i="30"/>
  <c r="E22" i="30"/>
  <c r="E33" i="30"/>
  <c r="E208" i="30"/>
  <c r="E9" i="30"/>
  <c r="E190" i="30"/>
  <c r="E6" i="30"/>
  <c r="E371" i="30"/>
  <c r="E155" i="30"/>
  <c r="E32" i="30"/>
  <c r="E201" i="30"/>
  <c r="E15" i="30"/>
  <c r="E49" i="30"/>
  <c r="E210" i="30"/>
  <c r="E14" i="30"/>
  <c r="E176" i="30"/>
  <c r="E288" i="30"/>
  <c r="E309" i="30"/>
  <c r="E125" i="30"/>
  <c r="E277" i="30"/>
  <c r="E84" i="30"/>
  <c r="E243" i="30"/>
  <c r="E301" i="30"/>
  <c r="E97" i="30"/>
  <c r="E318" i="30"/>
  <c r="E180" i="30"/>
  <c r="E62" i="30"/>
  <c r="E16" i="30"/>
  <c r="E331" i="30"/>
  <c r="E340" i="30"/>
  <c r="E35" i="30"/>
  <c r="E20" i="30"/>
  <c r="E5" i="30"/>
  <c r="E86" i="30"/>
  <c r="E401" i="30"/>
  <c r="E227" i="30"/>
  <c r="E81" i="30"/>
  <c r="E335" i="30"/>
  <c r="E347" i="30"/>
  <c r="E114" i="30"/>
  <c r="E23" i="30"/>
  <c r="E420" i="30"/>
  <c r="E200" i="30"/>
  <c r="E18" i="30"/>
  <c r="E365" i="30"/>
  <c r="E82" i="30"/>
  <c r="E119" i="30"/>
  <c r="E314" i="30"/>
  <c r="E135" i="30"/>
  <c r="E226" i="30"/>
  <c r="E357" i="30"/>
  <c r="E164" i="30"/>
  <c r="E399" i="30"/>
  <c r="E194" i="30"/>
  <c r="E205" i="30"/>
  <c r="E286" i="30"/>
  <c r="E89" i="30"/>
  <c r="E375" i="30"/>
  <c r="E167" i="30"/>
  <c r="E244" i="30"/>
  <c r="E134" i="30"/>
  <c r="E104" i="30"/>
  <c r="E57" i="30"/>
  <c r="E189" i="30"/>
  <c r="E216" i="30"/>
  <c r="E120" i="30"/>
  <c r="E198" i="30"/>
  <c r="E152" i="30"/>
  <c r="E139" i="30"/>
  <c r="E307" i="30"/>
  <c r="E127" i="30"/>
  <c r="E11" i="30"/>
  <c r="E162" i="30"/>
  <c r="E39" i="30"/>
  <c r="E184" i="30"/>
  <c r="E170" i="30"/>
  <c r="E246" i="30"/>
  <c r="E239" i="30"/>
  <c r="E309" i="31"/>
  <c r="E310" i="31"/>
  <c r="E311" i="31"/>
  <c r="E312" i="31"/>
  <c r="E313" i="31"/>
  <c r="E314" i="31"/>
  <c r="E315" i="31"/>
  <c r="E316" i="31"/>
  <c r="E317" i="31"/>
  <c r="E318" i="31"/>
  <c r="E319" i="31"/>
  <c r="E320" i="31"/>
  <c r="E321" i="31"/>
  <c r="E322" i="31"/>
  <c r="E323" i="31"/>
  <c r="E324" i="31"/>
  <c r="E325" i="31"/>
  <c r="E326" i="31"/>
  <c r="E327" i="31"/>
  <c r="E163" i="31"/>
  <c r="E165" i="31"/>
  <c r="E167" i="31"/>
  <c r="E168" i="31"/>
  <c r="E170" i="31"/>
  <c r="E171" i="31"/>
  <c r="E172" i="31"/>
  <c r="E174" i="31"/>
  <c r="E175" i="31"/>
  <c r="E177" i="31"/>
  <c r="E178" i="31"/>
  <c r="E181" i="31"/>
  <c r="E182" i="31"/>
  <c r="E184" i="31"/>
  <c r="E185" i="31"/>
  <c r="E188" i="31"/>
  <c r="E189" i="31"/>
  <c r="E190" i="31"/>
  <c r="E194" i="31"/>
  <c r="E195" i="31"/>
  <c r="E202" i="31"/>
  <c r="E203" i="31"/>
  <c r="E204" i="31"/>
  <c r="E205" i="31"/>
  <c r="E207" i="31"/>
  <c r="E209" i="31"/>
  <c r="E212" i="31"/>
  <c r="E213" i="31"/>
  <c r="E215" i="31"/>
  <c r="E216" i="31"/>
  <c r="E217" i="31"/>
  <c r="E219" i="31"/>
  <c r="E220" i="31"/>
  <c r="E221" i="31"/>
  <c r="E222" i="31"/>
  <c r="E223" i="31"/>
  <c r="E224" i="31"/>
  <c r="E225" i="31"/>
  <c r="E227" i="31"/>
  <c r="E228" i="31"/>
  <c r="E229" i="31"/>
  <c r="E230" i="31"/>
  <c r="E231" i="31"/>
  <c r="E232" i="31"/>
  <c r="E233" i="31"/>
  <c r="E234" i="31"/>
  <c r="E235" i="31"/>
  <c r="E237" i="31"/>
  <c r="E239" i="31"/>
  <c r="E243" i="31"/>
  <c r="E245" i="31"/>
  <c r="E246" i="31"/>
  <c r="E248" i="31"/>
  <c r="E250" i="31"/>
  <c r="E252" i="31"/>
  <c r="E253" i="31"/>
  <c r="E254" i="31"/>
  <c r="E286" i="31"/>
  <c r="E287" i="31"/>
  <c r="E288" i="31"/>
  <c r="E289" i="31"/>
  <c r="E290" i="31"/>
  <c r="E291" i="31"/>
  <c r="E292" i="31"/>
  <c r="E293" i="31"/>
  <c r="E294" i="31"/>
  <c r="E295" i="31"/>
  <c r="E296" i="31"/>
  <c r="E297" i="31"/>
  <c r="E298" i="31"/>
  <c r="E299" i="31"/>
  <c r="E300" i="31"/>
  <c r="E301" i="31"/>
  <c r="E302" i="31"/>
  <c r="E303" i="31"/>
  <c r="E304" i="31"/>
  <c r="E305" i="31"/>
  <c r="E306" i="31"/>
  <c r="E307" i="31"/>
  <c r="E308" i="31"/>
  <c r="E2" i="31"/>
  <c r="E251" i="31"/>
  <c r="E249" i="31"/>
  <c r="E255" i="31"/>
  <c r="E262" i="31"/>
  <c r="E274" i="31"/>
  <c r="E271" i="31"/>
  <c r="E268" i="31"/>
  <c r="E241" i="31"/>
  <c r="E44" i="31"/>
  <c r="E115" i="31"/>
  <c r="E261" i="31"/>
  <c r="E98" i="31"/>
  <c r="E152" i="31"/>
  <c r="E107" i="31"/>
  <c r="E5" i="31"/>
  <c r="E156" i="31"/>
  <c r="E242" i="31"/>
  <c r="E32" i="31"/>
  <c r="E38" i="31"/>
  <c r="E92" i="31"/>
  <c r="E148" i="31"/>
  <c r="E143" i="31"/>
  <c r="E117" i="31"/>
  <c r="E52" i="31"/>
  <c r="E125" i="31"/>
  <c r="E9" i="31"/>
  <c r="E54" i="31"/>
  <c r="E105" i="31"/>
  <c r="E270" i="31"/>
  <c r="E19" i="31"/>
  <c r="E42" i="31"/>
  <c r="E155" i="31"/>
  <c r="E22" i="31"/>
  <c r="E106" i="31"/>
  <c r="E7" i="31"/>
  <c r="E226" i="31"/>
  <c r="E79" i="31"/>
  <c r="E89" i="31"/>
  <c r="E153" i="31"/>
  <c r="E72" i="31"/>
  <c r="E71" i="31"/>
  <c r="E84" i="31"/>
  <c r="E30" i="31"/>
  <c r="E102" i="31"/>
  <c r="E23" i="31"/>
  <c r="E41" i="31"/>
  <c r="E118" i="31"/>
  <c r="E124" i="31"/>
  <c r="E142" i="31"/>
  <c r="E85" i="31"/>
  <c r="E33" i="31"/>
  <c r="E129" i="31"/>
  <c r="E25" i="31"/>
  <c r="E87" i="31"/>
  <c r="E176" i="31"/>
  <c r="E260" i="31"/>
  <c r="E214" i="31"/>
  <c r="E149" i="31"/>
  <c r="E206" i="31"/>
  <c r="E179" i="31"/>
  <c r="E183" i="31"/>
  <c r="E95" i="31"/>
  <c r="E39" i="31"/>
  <c r="E104" i="31"/>
  <c r="E272" i="31"/>
  <c r="E269" i="31"/>
  <c r="E133" i="31"/>
  <c r="E147" i="31"/>
  <c r="E66" i="31"/>
  <c r="E112" i="31"/>
  <c r="E166" i="31"/>
  <c r="E198" i="31"/>
  <c r="E109" i="31"/>
  <c r="E192" i="31"/>
  <c r="E82" i="31"/>
  <c r="E145" i="31"/>
  <c r="E258" i="31"/>
  <c r="E114" i="31"/>
  <c r="E13" i="31"/>
  <c r="E280" i="31"/>
  <c r="E83" i="31"/>
  <c r="E159" i="31"/>
  <c r="E126" i="31"/>
  <c r="E46" i="31"/>
  <c r="E8" i="31"/>
  <c r="E75" i="31"/>
  <c r="E278" i="31"/>
  <c r="E263" i="31"/>
  <c r="E99" i="31"/>
  <c r="E151" i="31"/>
  <c r="E94" i="31"/>
  <c r="E200" i="31"/>
  <c r="E197" i="31"/>
  <c r="E68" i="31"/>
  <c r="E26" i="31"/>
  <c r="E120" i="31"/>
  <c r="E180" i="31"/>
  <c r="E113" i="31"/>
  <c r="E160" i="31"/>
  <c r="E285" i="31"/>
  <c r="E139" i="31"/>
  <c r="E134" i="31"/>
  <c r="E283" i="31"/>
  <c r="E201" i="31"/>
  <c r="E240" i="31"/>
  <c r="E119" i="31"/>
  <c r="E58" i="31"/>
  <c r="E264" i="31"/>
  <c r="E12" i="31"/>
  <c r="E236" i="31"/>
  <c r="E186" i="31"/>
  <c r="E28" i="31"/>
  <c r="E11" i="31"/>
  <c r="E140" i="31"/>
  <c r="E218" i="31"/>
  <c r="E48" i="31"/>
  <c r="E256" i="31"/>
  <c r="E277" i="31"/>
  <c r="E208" i="31"/>
  <c r="E247" i="31"/>
  <c r="E91" i="31"/>
  <c r="E108" i="31"/>
  <c r="E93" i="31"/>
  <c r="E10" i="31"/>
  <c r="E67" i="31"/>
  <c r="E17" i="31"/>
  <c r="E128" i="31"/>
  <c r="E57" i="31"/>
  <c r="E64" i="31"/>
  <c r="E88" i="31"/>
  <c r="E86" i="31"/>
  <c r="E96" i="31"/>
  <c r="E116" i="31"/>
  <c r="E162" i="31"/>
  <c r="E137" i="31"/>
  <c r="E210" i="31"/>
  <c r="E81" i="31"/>
  <c r="E169" i="31"/>
  <c r="E266" i="31"/>
  <c r="E101" i="31"/>
  <c r="E3" i="31"/>
  <c r="E49" i="31"/>
  <c r="E103" i="31"/>
  <c r="E56" i="31"/>
  <c r="E193" i="31"/>
  <c r="E70" i="31"/>
  <c r="E164" i="31"/>
  <c r="E138" i="31"/>
  <c r="E40" i="31"/>
  <c r="E69" i="31"/>
  <c r="E60" i="31"/>
  <c r="E110" i="31"/>
  <c r="E196" i="31"/>
  <c r="E65" i="31"/>
  <c r="E244" i="31"/>
  <c r="E35" i="31"/>
  <c r="E4" i="31"/>
  <c r="E61" i="31"/>
  <c r="E157" i="31"/>
  <c r="E211" i="31"/>
  <c r="E21" i="31"/>
  <c r="E76" i="31"/>
  <c r="E136" i="31"/>
  <c r="E74" i="31"/>
  <c r="E16" i="31"/>
  <c r="E173" i="31"/>
  <c r="E121" i="31"/>
  <c r="E132" i="31"/>
  <c r="E158" i="31"/>
  <c r="E78" i="31"/>
  <c r="E144" i="31"/>
  <c r="E59" i="31"/>
  <c r="E267" i="31"/>
  <c r="E281" i="31"/>
  <c r="E45" i="31"/>
  <c r="E273" i="31"/>
  <c r="E282" i="31"/>
  <c r="E150" i="31"/>
  <c r="E14" i="31"/>
  <c r="E259" i="31"/>
  <c r="E31" i="31"/>
  <c r="E73" i="31"/>
  <c r="E27" i="31"/>
  <c r="E63" i="31"/>
  <c r="E123" i="31"/>
  <c r="E141" i="31"/>
  <c r="E122" i="31"/>
  <c r="E187" i="31"/>
  <c r="E15" i="31"/>
  <c r="E238" i="31"/>
  <c r="E284" i="31"/>
  <c r="E161" i="31"/>
  <c r="E275" i="31"/>
  <c r="E276" i="31"/>
  <c r="E55" i="31"/>
  <c r="E111" i="31"/>
  <c r="E43" i="31"/>
  <c r="E62" i="31"/>
  <c r="E18" i="31"/>
  <c r="E24" i="31"/>
  <c r="E6" i="31"/>
  <c r="E100" i="31"/>
  <c r="E80" i="31"/>
  <c r="E36" i="31"/>
  <c r="E51" i="31"/>
  <c r="E265" i="31"/>
  <c r="E20" i="31"/>
  <c r="E29" i="31"/>
  <c r="E279" i="31"/>
  <c r="E77" i="31"/>
  <c r="E53" i="31"/>
  <c r="E127" i="31"/>
  <c r="E37" i="31"/>
  <c r="E257" i="31"/>
  <c r="E47" i="31"/>
  <c r="E34" i="31"/>
  <c r="E130" i="31"/>
  <c r="E50" i="31"/>
  <c r="E97" i="31"/>
  <c r="E146" i="31"/>
  <c r="E135" i="31"/>
  <c r="E199" i="31"/>
  <c r="E191" i="31"/>
  <c r="E131" i="31"/>
  <c r="E154" i="31"/>
  <c r="E90" i="31"/>
  <c r="E296" i="32"/>
  <c r="E295" i="32"/>
  <c r="E294" i="32"/>
  <c r="E281" i="32"/>
  <c r="E291" i="32"/>
  <c r="E287" i="32"/>
  <c r="E282" i="32"/>
  <c r="E275" i="32"/>
  <c r="E267" i="32"/>
  <c r="E264" i="32"/>
  <c r="E254" i="32"/>
  <c r="E258" i="32"/>
  <c r="E241" i="32"/>
  <c r="E240" i="32"/>
  <c r="E237" i="32"/>
  <c r="E229" i="32"/>
  <c r="E223" i="32"/>
  <c r="E226" i="32"/>
  <c r="E220" i="32"/>
  <c r="E108" i="32"/>
  <c r="E103" i="32"/>
  <c r="E498" i="32"/>
  <c r="E497" i="32"/>
  <c r="E496" i="32"/>
  <c r="E495" i="32"/>
  <c r="E490" i="32"/>
  <c r="E487" i="32"/>
  <c r="E482" i="32"/>
  <c r="E478" i="32"/>
  <c r="E476" i="32"/>
  <c r="E464" i="32"/>
  <c r="E459" i="32"/>
  <c r="E315" i="32"/>
  <c r="E323" i="32"/>
  <c r="E244" i="32"/>
  <c r="E128" i="32"/>
  <c r="E122" i="32"/>
  <c r="E93" i="32"/>
  <c r="E100" i="32"/>
  <c r="E265" i="32"/>
  <c r="E158" i="32"/>
  <c r="E157" i="32"/>
  <c r="E143" i="32"/>
  <c r="E132" i="32"/>
  <c r="E106" i="32"/>
  <c r="E104" i="32"/>
  <c r="E102" i="32"/>
  <c r="E101" i="32"/>
  <c r="E95" i="32"/>
  <c r="E94" i="32"/>
  <c r="E75" i="32"/>
  <c r="E85" i="32"/>
  <c r="E81" i="32"/>
  <c r="E63" i="32"/>
  <c r="E52" i="32"/>
  <c r="E53" i="32"/>
  <c r="E54" i="32"/>
  <c r="E55" i="32"/>
  <c r="E51" i="32"/>
  <c r="E50" i="32"/>
  <c r="E49" i="32"/>
  <c r="E47" i="32"/>
  <c r="E44" i="32"/>
  <c r="E45" i="32"/>
  <c r="E39" i="32"/>
  <c r="E36" i="32"/>
  <c r="E27" i="32"/>
  <c r="E24" i="32"/>
  <c r="E6" i="32"/>
  <c r="E435" i="32"/>
  <c r="E433" i="32"/>
  <c r="E432" i="32"/>
  <c r="E431" i="32"/>
  <c r="E429" i="32"/>
  <c r="E427" i="32"/>
  <c r="E426" i="32"/>
  <c r="E467" i="32"/>
  <c r="E205" i="32"/>
  <c r="E356" i="32"/>
  <c r="E343" i="32"/>
  <c r="E290" i="32"/>
  <c r="E354" i="32"/>
  <c r="E18" i="32"/>
  <c r="E26" i="32"/>
  <c r="E374" i="32"/>
  <c r="E31" i="32"/>
  <c r="E28" i="32"/>
  <c r="E10" i="32"/>
  <c r="E507" i="32"/>
  <c r="E5" i="32"/>
  <c r="E300" i="32"/>
  <c r="E501" i="32"/>
  <c r="E428" i="32"/>
  <c r="E415" i="32"/>
  <c r="E434" i="32"/>
  <c r="E477" i="32"/>
  <c r="E493" i="32"/>
  <c r="E472" i="32"/>
  <c r="E494" i="32"/>
  <c r="E486" i="32"/>
  <c r="E462" i="32"/>
  <c r="E385" i="32"/>
  <c r="E302" i="32"/>
  <c r="E366" i="32"/>
  <c r="E243" i="32"/>
  <c r="E246" i="32"/>
  <c r="E168" i="32"/>
  <c r="E202" i="32"/>
  <c r="E248" i="32"/>
  <c r="E182" i="32"/>
  <c r="E177" i="32"/>
  <c r="E170" i="32"/>
  <c r="E140" i="32"/>
  <c r="E129" i="32"/>
  <c r="E96" i="32"/>
  <c r="E98" i="32"/>
  <c r="E70" i="32"/>
  <c r="E68" i="32"/>
  <c r="E62" i="32"/>
  <c r="E59" i="32"/>
  <c r="E56" i="32"/>
  <c r="E48" i="32"/>
  <c r="E41" i="32"/>
  <c r="E20" i="32"/>
  <c r="E448" i="32"/>
  <c r="E422" i="32"/>
  <c r="E402" i="32"/>
  <c r="E305" i="32"/>
  <c r="E273" i="32"/>
  <c r="E269" i="32"/>
  <c r="E272" i="32"/>
  <c r="E257" i="32"/>
  <c r="E260" i="32"/>
  <c r="E233" i="32"/>
  <c r="E235" i="32"/>
  <c r="E208" i="32"/>
  <c r="E236" i="32"/>
  <c r="E219" i="32"/>
  <c r="E214" i="32"/>
  <c r="E148" i="32"/>
  <c r="E84" i="32"/>
  <c r="E197" i="32"/>
  <c r="E412" i="32"/>
  <c r="E369" i="32"/>
  <c r="E87" i="32"/>
  <c r="E376" i="32"/>
  <c r="E352" i="32"/>
  <c r="E355" i="32"/>
  <c r="E397" i="32"/>
  <c r="E371" i="32"/>
  <c r="E117" i="32"/>
  <c r="E348" i="32"/>
  <c r="E332" i="32"/>
  <c r="E335" i="32"/>
  <c r="E351" i="32"/>
  <c r="E334" i="32"/>
  <c r="E341" i="32"/>
  <c r="E349" i="32"/>
  <c r="E320" i="32"/>
  <c r="E318" i="32"/>
  <c r="E329" i="32"/>
  <c r="E317" i="32"/>
  <c r="E280" i="32"/>
  <c r="E14" i="32"/>
  <c r="E16" i="32"/>
  <c r="E503" i="32"/>
  <c r="E420" i="32"/>
  <c r="E417" i="32"/>
  <c r="E357" i="32"/>
  <c r="E46" i="32"/>
  <c r="E319" i="32"/>
  <c r="E361" i="32"/>
  <c r="E186" i="32"/>
  <c r="E155" i="32"/>
  <c r="E183" i="32"/>
  <c r="E15" i="32"/>
  <c r="E19" i="32"/>
  <c r="E327" i="32"/>
  <c r="E11" i="32"/>
  <c r="E196" i="32"/>
  <c r="E200" i="32"/>
  <c r="E344" i="32"/>
  <c r="E42" i="32"/>
  <c r="E362" i="32"/>
  <c r="E421" i="32"/>
  <c r="E353" i="32"/>
  <c r="E471" i="32"/>
  <c r="E372" i="32"/>
  <c r="E137" i="32"/>
  <c r="E347" i="32"/>
  <c r="E21" i="32"/>
  <c r="E188" i="32"/>
  <c r="E7" i="32"/>
  <c r="E204" i="32"/>
  <c r="E297" i="32"/>
  <c r="E365" i="32"/>
  <c r="E64" i="32"/>
  <c r="E66" i="32"/>
  <c r="E326" i="32"/>
  <c r="E67" i="32"/>
  <c r="E145" i="32"/>
  <c r="E337" i="32"/>
  <c r="E313" i="32"/>
  <c r="E450" i="32"/>
  <c r="E276" i="32"/>
  <c r="E130" i="32"/>
  <c r="E135" i="32"/>
  <c r="E409" i="32"/>
  <c r="E410" i="32"/>
  <c r="E359" i="32"/>
  <c r="E115" i="32"/>
  <c r="E474" i="32"/>
  <c r="E215" i="32"/>
  <c r="E33" i="32"/>
  <c r="E328" i="32"/>
  <c r="E390" i="32"/>
  <c r="E221" i="32"/>
  <c r="E377" i="32"/>
  <c r="E370" i="32"/>
  <c r="E74" i="32"/>
  <c r="E393" i="32"/>
  <c r="E249" i="32"/>
  <c r="E187" i="32"/>
  <c r="E166" i="32"/>
  <c r="E184" i="32"/>
  <c r="E69" i="32"/>
  <c r="E195" i="32"/>
  <c r="E162" i="32"/>
  <c r="E34" i="32"/>
  <c r="E404" i="32"/>
  <c r="E338" i="32"/>
  <c r="E2" i="32"/>
  <c r="E198" i="32"/>
  <c r="E333" i="32"/>
  <c r="E234" i="32"/>
  <c r="E363" i="32"/>
  <c r="E339" i="32"/>
  <c r="E331" i="32"/>
  <c r="E12" i="32"/>
  <c r="E169" i="32"/>
  <c r="E79" i="32"/>
  <c r="E388" i="32"/>
  <c r="E173" i="32"/>
  <c r="E207" i="32"/>
  <c r="E406" i="32"/>
  <c r="E506" i="32"/>
  <c r="E470" i="32"/>
  <c r="E150" i="32"/>
  <c r="E340" i="32"/>
  <c r="E111" i="32"/>
  <c r="E216" i="32"/>
  <c r="E144" i="32"/>
  <c r="E76" i="32"/>
  <c r="E502" i="32"/>
  <c r="E156" i="32"/>
  <c r="E175" i="32"/>
  <c r="E127" i="32"/>
  <c r="E30" i="32"/>
  <c r="E392" i="32"/>
  <c r="E212" i="32"/>
  <c r="E23" i="32"/>
  <c r="E468" i="32"/>
  <c r="E442" i="32"/>
  <c r="E289" i="32"/>
  <c r="E142" i="32"/>
  <c r="E384" i="32"/>
  <c r="E194" i="32"/>
  <c r="E181" i="32"/>
  <c r="E480" i="32"/>
  <c r="E373" i="32"/>
  <c r="E416" i="32"/>
  <c r="E268" i="32"/>
  <c r="E228" i="32"/>
  <c r="E453" i="32"/>
  <c r="E395" i="32"/>
  <c r="E306" i="32"/>
  <c r="E292" i="32"/>
  <c r="E394" i="32"/>
  <c r="E271" i="32"/>
  <c r="E189" i="32"/>
  <c r="E299" i="32"/>
  <c r="E466" i="32"/>
  <c r="E151" i="32"/>
  <c r="E22" i="32"/>
  <c r="E455" i="32"/>
  <c r="E456" i="32"/>
  <c r="E213" i="32"/>
  <c r="E447" i="32"/>
  <c r="E324" i="32"/>
  <c r="E484" i="32"/>
  <c r="E387" i="32"/>
  <c r="E90" i="32"/>
  <c r="E301" i="32"/>
  <c r="E383" i="32"/>
  <c r="E438" i="32"/>
  <c r="E382" i="32"/>
  <c r="E92" i="32"/>
  <c r="E465" i="32"/>
  <c r="E112" i="32"/>
  <c r="E439" i="32"/>
  <c r="E436" i="32"/>
  <c r="E238" i="32"/>
  <c r="E61" i="32"/>
  <c r="E8" i="32"/>
  <c r="E336" i="32"/>
  <c r="E91" i="32"/>
  <c r="E342" i="32"/>
  <c r="E481" i="32"/>
  <c r="E206" i="32"/>
  <c r="E286" i="32"/>
  <c r="E77" i="32"/>
  <c r="E245" i="32"/>
  <c r="E209" i="32"/>
  <c r="E441" i="32"/>
  <c r="E360" i="32"/>
  <c r="E443" i="32"/>
  <c r="E364" i="32"/>
  <c r="E452" i="32"/>
  <c r="E424" i="32"/>
  <c r="E346" i="32"/>
  <c r="E210" i="32"/>
  <c r="E153" i="32"/>
  <c r="E9" i="32"/>
  <c r="E461" i="32"/>
  <c r="E126" i="32"/>
  <c r="E345" i="32"/>
  <c r="E263" i="32"/>
  <c r="E239" i="32"/>
  <c r="E230" i="32"/>
  <c r="E399" i="32"/>
  <c r="E152" i="32"/>
  <c r="E99" i="32"/>
  <c r="E232" i="32"/>
  <c r="E167" i="32"/>
  <c r="E165" i="32"/>
  <c r="E325" i="32"/>
  <c r="E460" i="32"/>
  <c r="E405" i="32"/>
  <c r="E224" i="32"/>
  <c r="E147" i="32"/>
  <c r="E80" i="32"/>
  <c r="E123" i="32"/>
  <c r="E288" i="32"/>
  <c r="E401" i="32"/>
  <c r="E211" i="32"/>
  <c r="E256" i="32"/>
  <c r="E396" i="32"/>
  <c r="E279" i="32"/>
  <c r="E419" i="32"/>
  <c r="E307" i="32"/>
  <c r="E403" i="32"/>
  <c r="E71" i="32"/>
  <c r="E253" i="32"/>
  <c r="E154" i="32"/>
  <c r="E444" i="32"/>
  <c r="E178" i="32"/>
  <c r="E203" i="32"/>
  <c r="E386" i="32"/>
  <c r="E121" i="32"/>
  <c r="E159" i="32"/>
  <c r="E309" i="32"/>
  <c r="E124" i="32"/>
  <c r="E161" i="32"/>
  <c r="E13" i="32"/>
  <c r="E32" i="32"/>
  <c r="E29" i="32"/>
  <c r="E368" i="32"/>
  <c r="E163" i="32"/>
  <c r="E176" i="32"/>
  <c r="E400" i="32"/>
  <c r="E483" i="32"/>
  <c r="E172" i="32"/>
  <c r="E398" i="32"/>
  <c r="E242" i="32"/>
  <c r="E298" i="32"/>
  <c r="E125" i="32"/>
  <c r="E379" i="32"/>
  <c r="E255" i="32"/>
  <c r="E391" i="32"/>
  <c r="E505" i="32"/>
  <c r="E278" i="32"/>
  <c r="E218" i="32"/>
  <c r="E367" i="32"/>
  <c r="E160" i="32"/>
  <c r="E321" i="32"/>
  <c r="E308" i="32"/>
  <c r="E222" i="32"/>
  <c r="E463" i="32"/>
  <c r="E311" i="32"/>
  <c r="E38" i="32"/>
  <c r="E199" i="32"/>
  <c r="E225" i="32"/>
  <c r="E251" i="32"/>
  <c r="E247" i="32"/>
  <c r="E138" i="32"/>
  <c r="E454" i="32"/>
  <c r="E283" i="32"/>
  <c r="E227" i="32"/>
  <c r="E446" i="32"/>
  <c r="E141" i="32"/>
  <c r="E4" i="32"/>
  <c r="E192" i="32"/>
  <c r="E119" i="32"/>
  <c r="E114" i="32"/>
  <c r="E40" i="32"/>
  <c r="E174" i="32"/>
  <c r="E25" i="32"/>
  <c r="E105" i="32"/>
  <c r="E139" i="32"/>
  <c r="E407" i="32"/>
  <c r="E190" i="32"/>
  <c r="E35" i="32"/>
  <c r="E86" i="32"/>
  <c r="E284" i="32"/>
  <c r="E43" i="32"/>
  <c r="E118" i="32"/>
  <c r="E107" i="32"/>
  <c r="E58" i="32"/>
  <c r="E451" i="32"/>
  <c r="E116" i="32"/>
  <c r="E322" i="32"/>
  <c r="E475" i="32"/>
  <c r="E65" i="32"/>
  <c r="E201" i="32"/>
  <c r="E83" i="32"/>
  <c r="E73" i="32"/>
  <c r="E425" i="32"/>
  <c r="E57" i="32"/>
  <c r="E120" i="32"/>
  <c r="E193" i="32"/>
  <c r="E277" i="32"/>
  <c r="E259" i="32"/>
  <c r="E492" i="32"/>
  <c r="E89" i="32"/>
  <c r="E180" i="32"/>
  <c r="E499" i="32"/>
  <c r="E440" i="32"/>
  <c r="E458" i="32"/>
  <c r="E113" i="32"/>
  <c r="E191" i="32"/>
  <c r="E457" i="32"/>
  <c r="E261" i="32"/>
  <c r="E146" i="32"/>
  <c r="E262" i="32"/>
  <c r="E414" i="32"/>
  <c r="E285" i="32"/>
  <c r="E250" i="32"/>
  <c r="E231" i="32"/>
  <c r="E133" i="32"/>
  <c r="E504" i="32"/>
  <c r="E97" i="32"/>
  <c r="E413" i="32"/>
  <c r="E378" i="32"/>
  <c r="E274" i="32"/>
  <c r="E109" i="32"/>
  <c r="E375" i="32"/>
  <c r="E149" i="32"/>
  <c r="E303" i="32"/>
  <c r="E185" i="32"/>
  <c r="E500" i="32"/>
  <c r="E408" i="32"/>
  <c r="E449" i="32"/>
  <c r="E358" i="32"/>
  <c r="E131" i="32"/>
  <c r="E136" i="32"/>
  <c r="E60" i="32"/>
  <c r="E217" i="32"/>
  <c r="E445" i="32"/>
  <c r="E350" i="32"/>
  <c r="E72" i="32"/>
  <c r="E164" i="32"/>
  <c r="E252" i="32"/>
  <c r="E381" i="32"/>
  <c r="E423" i="32"/>
  <c r="E330" i="32"/>
  <c r="E479" i="32"/>
  <c r="E485" i="32"/>
  <c r="E380" i="32"/>
  <c r="E316" i="32"/>
  <c r="E310" i="32"/>
  <c r="E488" i="32"/>
  <c r="E17" i="32"/>
  <c r="E489" i="32"/>
  <c r="E430" i="32"/>
  <c r="E293" i="32"/>
  <c r="E82" i="32"/>
  <c r="E88" i="32"/>
  <c r="E134" i="32"/>
  <c r="E171" i="32"/>
  <c r="E314" i="32"/>
  <c r="E473" i="32"/>
  <c r="E491" i="32"/>
  <c r="E179" i="32"/>
  <c r="E110" i="32"/>
  <c r="E304" i="32"/>
  <c r="E418" i="32"/>
  <c r="E270" i="32"/>
  <c r="E469" i="32"/>
  <c r="E266" i="32"/>
  <c r="E389" i="32"/>
  <c r="E411" i="32"/>
  <c r="E312" i="32"/>
  <c r="E78" i="32"/>
  <c r="E37" i="32"/>
  <c r="Z123" i="5"/>
  <c r="Z127" i="5"/>
  <c r="Z43" i="5"/>
  <c r="Z122" i="5"/>
  <c r="Z129" i="5"/>
  <c r="S205" i="4"/>
  <c r="S207" i="4"/>
  <c r="S206" i="4"/>
  <c r="S209" i="4"/>
  <c r="S210" i="4"/>
  <c r="S208" i="4"/>
  <c r="S211" i="4"/>
  <c r="S203" i="4"/>
  <c r="S204" i="4"/>
  <c r="S202" i="4"/>
  <c r="S201" i="4"/>
  <c r="S200" i="4"/>
  <c r="S194" i="4"/>
  <c r="S199" i="4"/>
  <c r="S198" i="4"/>
  <c r="S196" i="4"/>
  <c r="S197" i="4"/>
  <c r="S195" i="4"/>
  <c r="S189" i="4"/>
  <c r="S190" i="4"/>
  <c r="S193" i="4"/>
  <c r="S192" i="4"/>
  <c r="S191" i="4"/>
  <c r="S188" i="4"/>
  <c r="S187" i="4"/>
  <c r="S185" i="4"/>
  <c r="S186" i="4"/>
  <c r="S183" i="4"/>
  <c r="S181" i="4"/>
  <c r="S180" i="4"/>
  <c r="S182" i="4"/>
  <c r="S184" i="4"/>
  <c r="S179" i="4"/>
  <c r="S178" i="4"/>
  <c r="S177" i="4"/>
  <c r="S175" i="4"/>
  <c r="S176" i="4"/>
  <c r="S174" i="4"/>
  <c r="S173" i="4"/>
  <c r="S172" i="4"/>
  <c r="S170" i="4"/>
  <c r="S169" i="4"/>
  <c r="S165" i="4"/>
  <c r="Z133" i="5"/>
  <c r="Z134" i="5"/>
  <c r="Z135" i="5"/>
  <c r="Z136" i="5"/>
  <c r="Z137" i="5"/>
  <c r="S86" i="2"/>
  <c r="Z86" i="2" s="1"/>
  <c r="S85" i="2"/>
  <c r="S84" i="2"/>
  <c r="S83" i="2"/>
  <c r="S82" i="2"/>
  <c r="S81" i="2"/>
  <c r="S80" i="2"/>
  <c r="S79" i="2"/>
  <c r="S78" i="2"/>
  <c r="S77" i="2"/>
  <c r="S76" i="2"/>
  <c r="Z90" i="5"/>
  <c r="Z37" i="5"/>
  <c r="Z42" i="5"/>
  <c r="Z22" i="5"/>
  <c r="N24" i="28" s="1"/>
  <c r="Z131" i="5"/>
  <c r="Z86" i="5"/>
  <c r="Z121" i="5"/>
  <c r="Z29" i="5"/>
  <c r="Z84" i="5"/>
  <c r="Z112" i="5"/>
  <c r="Z41" i="5"/>
  <c r="N43" i="28" s="1"/>
  <c r="Z99" i="5"/>
  <c r="Z60" i="5"/>
  <c r="N62" i="28" s="1"/>
  <c r="Z108" i="5"/>
  <c r="Z95" i="5"/>
  <c r="Z102" i="5"/>
  <c r="Z98" i="5"/>
  <c r="Z62" i="5"/>
  <c r="Z64" i="5"/>
  <c r="Z93" i="5"/>
  <c r="Z72" i="5"/>
  <c r="Z75" i="5"/>
  <c r="Z23" i="5"/>
  <c r="N25" i="28" s="1"/>
  <c r="Z13" i="5"/>
  <c r="Z66" i="5"/>
  <c r="Z118" i="5"/>
  <c r="Z97" i="5"/>
  <c r="Z68" i="5"/>
  <c r="Z92" i="5"/>
  <c r="Z40" i="5"/>
  <c r="N42" i="28" s="1"/>
  <c r="Z71" i="5"/>
  <c r="Z117" i="5"/>
  <c r="Z126" i="5"/>
  <c r="Z109" i="5"/>
  <c r="Z103" i="5"/>
  <c r="Z101" i="5"/>
  <c r="Z28" i="5"/>
  <c r="Z46" i="5"/>
  <c r="N48" i="28" s="1"/>
  <c r="Z12" i="5"/>
  <c r="Z61" i="5"/>
  <c r="N63" i="28" s="1"/>
  <c r="Z44" i="5"/>
  <c r="Z69" i="5"/>
  <c r="Z124" i="5"/>
  <c r="Z24" i="5"/>
  <c r="N26" i="28" s="1"/>
  <c r="Z104" i="5"/>
  <c r="Z57" i="5"/>
  <c r="N59" i="28" s="1"/>
  <c r="Z82" i="5"/>
  <c r="Z88" i="5"/>
  <c r="Z38" i="5"/>
  <c r="Z78" i="5"/>
  <c r="Z58" i="5"/>
  <c r="N60" i="28" s="1"/>
  <c r="Z36" i="5"/>
  <c r="Z34" i="5"/>
  <c r="N36" i="28" s="1"/>
  <c r="Z15" i="5"/>
  <c r="Z106" i="5"/>
  <c r="Z73" i="5"/>
  <c r="Z56" i="5"/>
  <c r="N58" i="28" s="1"/>
  <c r="Z45" i="5"/>
  <c r="N47" i="28" s="1"/>
  <c r="Z130" i="5"/>
  <c r="Z89" i="5"/>
  <c r="Z33" i="5"/>
  <c r="N35" i="28" s="1"/>
  <c r="Z111" i="5"/>
  <c r="Z14" i="5"/>
  <c r="Z70" i="5"/>
  <c r="Z47" i="5"/>
  <c r="N49" i="28" s="1"/>
  <c r="Z80" i="5"/>
  <c r="Z114" i="5"/>
  <c r="Z119" i="5"/>
  <c r="Z27" i="5"/>
  <c r="Z26" i="5"/>
  <c r="N28" i="28" s="1"/>
  <c r="Z110" i="5"/>
  <c r="Z54" i="5"/>
  <c r="N56" i="28" s="1"/>
  <c r="S57" i="3"/>
  <c r="S87" i="3"/>
  <c r="S69" i="3"/>
  <c r="S26" i="3"/>
  <c r="S22" i="3"/>
  <c r="S93" i="3"/>
  <c r="S114" i="3"/>
  <c r="S95" i="3"/>
  <c r="S77" i="3"/>
  <c r="S109" i="3"/>
  <c r="S73" i="3"/>
  <c r="S13" i="3"/>
  <c r="S56" i="3"/>
  <c r="S40" i="3"/>
  <c r="S112" i="3"/>
  <c r="S91" i="3"/>
  <c r="S67" i="3"/>
  <c r="S52" i="3"/>
  <c r="S51" i="3"/>
  <c r="S65" i="3"/>
  <c r="S16" i="3"/>
  <c r="S62" i="3"/>
  <c r="Z62" i="3" s="1"/>
  <c r="S49" i="3"/>
  <c r="S3" i="3"/>
  <c r="Z3" i="3" s="1"/>
  <c r="E37" i="28" s="1"/>
  <c r="S105" i="3"/>
  <c r="S71" i="3"/>
  <c r="S94" i="3"/>
  <c r="S23" i="3"/>
  <c r="S74" i="3"/>
  <c r="S39" i="3"/>
  <c r="S14" i="3"/>
  <c r="S5" i="3"/>
  <c r="Z5" i="3" s="1"/>
  <c r="E39" i="28" s="1"/>
  <c r="S96" i="3"/>
  <c r="S72" i="3"/>
  <c r="S81" i="3"/>
  <c r="S99" i="3"/>
  <c r="S113" i="3"/>
  <c r="S6" i="3"/>
  <c r="S78" i="3"/>
  <c r="S55" i="3"/>
  <c r="S8" i="3"/>
  <c r="S18" i="3"/>
  <c r="S45" i="3"/>
  <c r="S7" i="3"/>
  <c r="S110" i="3"/>
  <c r="S42" i="3"/>
  <c r="S102" i="3"/>
  <c r="S104" i="3"/>
  <c r="S64" i="3"/>
  <c r="S89" i="3"/>
  <c r="S20" i="3"/>
  <c r="S75" i="3"/>
  <c r="S15" i="3"/>
  <c r="S70" i="3"/>
  <c r="S48" i="3"/>
  <c r="S29" i="3"/>
  <c r="S53" i="3"/>
  <c r="S68" i="3"/>
  <c r="S60" i="3"/>
  <c r="S10" i="3"/>
  <c r="S59" i="3"/>
  <c r="S31" i="3"/>
  <c r="S12" i="3"/>
  <c r="S41" i="3"/>
  <c r="S46" i="3"/>
  <c r="S84" i="3"/>
  <c r="S88" i="3"/>
  <c r="S35" i="3"/>
  <c r="S47" i="3"/>
  <c r="Z47" i="3" s="1"/>
  <c r="S34" i="3"/>
  <c r="S82" i="3"/>
  <c r="S37" i="3"/>
  <c r="S27" i="3"/>
  <c r="S44" i="3"/>
  <c r="S63" i="3"/>
  <c r="S32" i="3"/>
  <c r="S86" i="3"/>
  <c r="S66" i="3"/>
  <c r="S38" i="3"/>
  <c r="S107" i="3"/>
  <c r="S4" i="3"/>
  <c r="Z4" i="3" s="1"/>
  <c r="E38" i="28" s="1"/>
  <c r="S76" i="3"/>
  <c r="S85" i="3"/>
  <c r="S80" i="3"/>
  <c r="S19" i="3"/>
  <c r="S79" i="3"/>
  <c r="S33" i="3"/>
  <c r="S43" i="3"/>
  <c r="S100" i="3"/>
  <c r="Z100" i="3" s="1"/>
  <c r="S50" i="3"/>
  <c r="S108" i="3"/>
  <c r="S61" i="3"/>
  <c r="Z61" i="3" s="1"/>
  <c r="S83" i="3"/>
  <c r="S24" i="3"/>
  <c r="S101" i="3"/>
  <c r="S106" i="3"/>
  <c r="S97" i="3"/>
  <c r="S25" i="3"/>
  <c r="S103" i="3"/>
  <c r="S90" i="3"/>
  <c r="S30" i="3"/>
  <c r="S11" i="3"/>
  <c r="S111" i="3"/>
  <c r="S28" i="3"/>
  <c r="Z29" i="3" s="1"/>
  <c r="E63" i="28" s="1"/>
  <c r="S9" i="3"/>
  <c r="S58" i="3"/>
  <c r="S98" i="3"/>
  <c r="S92" i="3"/>
  <c r="S17" i="3"/>
  <c r="S21" i="3"/>
  <c r="S36" i="3"/>
  <c r="S54" i="3"/>
  <c r="Z128" i="5"/>
  <c r="Z31" i="5"/>
  <c r="N33" i="28" s="1"/>
  <c r="Z105" i="5"/>
  <c r="Z35" i="5"/>
  <c r="N37" i="28" s="1"/>
  <c r="Z11" i="5"/>
  <c r="Z100" i="5"/>
  <c r="Z85" i="5"/>
  <c r="Z132" i="5"/>
  <c r="S88" i="4"/>
  <c r="S152" i="4"/>
  <c r="S141" i="4"/>
  <c r="S26" i="4"/>
  <c r="S17" i="4"/>
  <c r="S131" i="4"/>
  <c r="S94" i="4"/>
  <c r="S23" i="4"/>
  <c r="S71" i="4"/>
  <c r="S76" i="4"/>
  <c r="S110" i="4"/>
  <c r="S126" i="4"/>
  <c r="S24" i="4"/>
  <c r="S79" i="4"/>
  <c r="S103" i="4"/>
  <c r="S149" i="4"/>
  <c r="S98" i="4"/>
  <c r="S18" i="4"/>
  <c r="S99" i="4"/>
  <c r="S12" i="4"/>
  <c r="S34" i="4"/>
  <c r="S108" i="4"/>
  <c r="S148" i="4"/>
  <c r="S13" i="4"/>
  <c r="S91" i="4"/>
  <c r="S140" i="4"/>
  <c r="S166" i="4"/>
  <c r="S147" i="4"/>
  <c r="S54" i="4"/>
  <c r="S42" i="4"/>
  <c r="S104" i="4"/>
  <c r="S9" i="4"/>
  <c r="S45" i="4"/>
  <c r="S109" i="4"/>
  <c r="S138" i="4"/>
  <c r="S43" i="4"/>
  <c r="S128" i="4"/>
  <c r="S39" i="4"/>
  <c r="S146" i="4"/>
  <c r="S69" i="4"/>
  <c r="S52" i="4"/>
  <c r="S116" i="4"/>
  <c r="S68" i="4"/>
  <c r="S113" i="4"/>
  <c r="S93" i="4"/>
  <c r="S90" i="4"/>
  <c r="S115" i="4"/>
  <c r="S159" i="4"/>
  <c r="S47" i="4"/>
  <c r="S168" i="4"/>
  <c r="S31" i="4"/>
  <c r="S7" i="4"/>
  <c r="S84" i="4"/>
  <c r="S167" i="4"/>
  <c r="S151" i="4"/>
  <c r="S102" i="4"/>
  <c r="S33" i="4"/>
  <c r="S157" i="4"/>
  <c r="S53" i="4"/>
  <c r="S161" i="4"/>
  <c r="S49" i="4"/>
  <c r="S139" i="4"/>
  <c r="S72" i="4"/>
  <c r="S36" i="4"/>
  <c r="S89" i="4"/>
  <c r="S70" i="4"/>
  <c r="S123" i="4"/>
  <c r="S51" i="4"/>
  <c r="S35" i="4"/>
  <c r="S11" i="4"/>
  <c r="S114" i="4"/>
  <c r="S8" i="4"/>
  <c r="S87" i="4"/>
  <c r="S163" i="4"/>
  <c r="S30" i="4"/>
  <c r="S32" i="4"/>
  <c r="S129" i="4"/>
  <c r="S27" i="4"/>
  <c r="S112" i="4"/>
  <c r="S101" i="4"/>
  <c r="S117" i="4"/>
  <c r="S100" i="4"/>
  <c r="S73" i="4"/>
  <c r="S106" i="4"/>
  <c r="S121" i="4"/>
  <c r="S57" i="4"/>
  <c r="S74" i="4"/>
  <c r="S111" i="4"/>
  <c r="S65" i="4"/>
  <c r="S80" i="4"/>
  <c r="S134" i="4"/>
  <c r="S19" i="4"/>
  <c r="S155" i="4"/>
  <c r="S14" i="4"/>
  <c r="S85" i="4"/>
  <c r="S133" i="4"/>
  <c r="S136" i="4"/>
  <c r="S50" i="4"/>
  <c r="S164" i="4"/>
  <c r="S125" i="4"/>
  <c r="S29" i="4"/>
  <c r="S28" i="4"/>
  <c r="S61" i="4"/>
  <c r="S120" i="4"/>
  <c r="S77" i="4"/>
  <c r="S132" i="4"/>
  <c r="S83" i="4"/>
  <c r="S95" i="4"/>
  <c r="S37" i="4"/>
  <c r="S160" i="4"/>
  <c r="S105" i="4"/>
  <c r="S145" i="4"/>
  <c r="S119" i="4"/>
  <c r="S58" i="4"/>
  <c r="S41" i="4"/>
  <c r="S20" i="4"/>
  <c r="S62" i="4"/>
  <c r="S55" i="4"/>
  <c r="S6" i="4"/>
  <c r="S96" i="4"/>
  <c r="S46" i="4"/>
  <c r="S60" i="4"/>
  <c r="S66" i="4"/>
  <c r="S21" i="4"/>
  <c r="S59" i="4"/>
  <c r="S4" i="4"/>
  <c r="S143" i="4"/>
  <c r="S154" i="4"/>
  <c r="S137" i="4"/>
  <c r="S25" i="4"/>
  <c r="S130" i="4"/>
  <c r="S75" i="4"/>
  <c r="S153" i="4"/>
  <c r="S81" i="4"/>
  <c r="S40" i="4"/>
  <c r="S156" i="4"/>
  <c r="S124" i="4"/>
  <c r="S3" i="4"/>
  <c r="S127" i="4"/>
  <c r="S144" i="4"/>
  <c r="S10" i="4"/>
  <c r="S15" i="4"/>
  <c r="S78" i="4"/>
  <c r="S38" i="4"/>
  <c r="S142" i="4"/>
  <c r="S67" i="4"/>
  <c r="S56" i="4"/>
  <c r="S63" i="4"/>
  <c r="S118" i="4"/>
  <c r="S135" i="4"/>
  <c r="S158" i="4"/>
  <c r="S44" i="4"/>
  <c r="S107" i="4"/>
  <c r="S162" i="4"/>
  <c r="S97" i="4"/>
  <c r="S150" i="4"/>
  <c r="S16" i="4"/>
  <c r="S82" i="4"/>
  <c r="S64" i="4"/>
  <c r="S122" i="4"/>
  <c r="S171" i="4"/>
  <c r="S22" i="4"/>
  <c r="S48" i="4"/>
  <c r="S92" i="4"/>
  <c r="S86" i="4"/>
  <c r="S5" i="4"/>
  <c r="B9" i="1"/>
  <c r="Z77" i="5"/>
  <c r="S50" i="2"/>
  <c r="S30" i="2"/>
  <c r="S15" i="2"/>
  <c r="S38" i="2"/>
  <c r="S69" i="2"/>
  <c r="S59" i="2"/>
  <c r="S43" i="2"/>
  <c r="S27" i="2"/>
  <c r="S25" i="2"/>
  <c r="S36" i="2"/>
  <c r="S62" i="2"/>
  <c r="S70" i="2"/>
  <c r="S12" i="2"/>
  <c r="S61" i="2"/>
  <c r="S21" i="2"/>
  <c r="S9" i="2"/>
  <c r="S37" i="2"/>
  <c r="S28" i="2"/>
  <c r="S68" i="2"/>
  <c r="S71" i="2"/>
  <c r="S53" i="2"/>
  <c r="S14" i="2"/>
  <c r="S11" i="2"/>
  <c r="S18" i="2"/>
  <c r="S72" i="2"/>
  <c r="S32" i="2"/>
  <c r="S5" i="2"/>
  <c r="S56" i="2"/>
  <c r="S47" i="2"/>
  <c r="S44" i="2"/>
  <c r="S55" i="2"/>
  <c r="S8" i="2"/>
  <c r="S33" i="2"/>
  <c r="S40" i="2"/>
  <c r="S67" i="2"/>
  <c r="S10" i="2"/>
  <c r="S73" i="2"/>
  <c r="S26" i="2"/>
  <c r="S52" i="2"/>
  <c r="S23" i="2"/>
  <c r="S63" i="2"/>
  <c r="S60" i="2"/>
  <c r="S57" i="2"/>
  <c r="S24" i="2"/>
  <c r="S17" i="2"/>
  <c r="S34" i="2"/>
  <c r="S22" i="2"/>
  <c r="S35" i="2"/>
  <c r="S58" i="2"/>
  <c r="S64" i="2"/>
  <c r="S46" i="2"/>
  <c r="S31" i="2"/>
  <c r="S3" i="2"/>
  <c r="S48" i="2"/>
  <c r="S65" i="2"/>
  <c r="S7" i="2"/>
  <c r="S16" i="2"/>
  <c r="S29" i="2"/>
  <c r="S66" i="2"/>
  <c r="S39" i="2"/>
  <c r="S49" i="2"/>
  <c r="S20" i="2"/>
  <c r="S42" i="2"/>
  <c r="S74" i="2"/>
  <c r="S51" i="2"/>
  <c r="S41" i="2"/>
  <c r="S13" i="2"/>
  <c r="S75" i="2"/>
  <c r="S54" i="2"/>
  <c r="A1" i="28"/>
  <c r="S45" i="2"/>
  <c r="S19" i="2"/>
  <c r="S6" i="2"/>
  <c r="N362" i="7"/>
  <c r="N426" i="7"/>
  <c r="N47" i="7"/>
  <c r="N619" i="7"/>
  <c r="N360" i="7"/>
  <c r="N15" i="28" l="1"/>
  <c r="Z113" i="3"/>
  <c r="N40" i="28"/>
  <c r="N8" i="28"/>
  <c r="N14" i="28"/>
  <c r="N17" i="28"/>
  <c r="N30" i="28"/>
  <c r="N18" i="28"/>
  <c r="N46" i="28"/>
  <c r="N38" i="28"/>
  <c r="N13" i="28"/>
  <c r="N29" i="28"/>
  <c r="N44" i="28"/>
  <c r="N64" i="28"/>
  <c r="N39" i="28"/>
  <c r="N45" i="28"/>
  <c r="N31" i="28"/>
  <c r="N16" i="28"/>
  <c r="Z101" i="3"/>
  <c r="Z48" i="3"/>
  <c r="Z115" i="3"/>
  <c r="Z213" i="4"/>
  <c r="Z212" i="4"/>
  <c r="Z50" i="3"/>
  <c r="Z54" i="3"/>
  <c r="Z24" i="3"/>
  <c r="Z34" i="3"/>
  <c r="Z75" i="3"/>
  <c r="Z93" i="3"/>
  <c r="Z82" i="3"/>
  <c r="A2" i="31"/>
  <c r="A2" i="30"/>
  <c r="Z98" i="3"/>
  <c r="AC77" i="5"/>
  <c r="AA77" i="5" s="1"/>
  <c r="Z6" i="3"/>
  <c r="E40" i="28" s="1"/>
  <c r="Z10" i="3"/>
  <c r="E44" i="28" s="1"/>
  <c r="Z33" i="3"/>
  <c r="Z84" i="3"/>
  <c r="Z104" i="3"/>
  <c r="Z114" i="3"/>
  <c r="Z7" i="3"/>
  <c r="E41" i="28" s="1"/>
  <c r="A90" i="31"/>
  <c r="Z64" i="3"/>
  <c r="Z103" i="3"/>
  <c r="Z83" i="3"/>
  <c r="A508" i="32"/>
  <c r="A509" i="32"/>
  <c r="A510" i="32"/>
  <c r="A511" i="32"/>
  <c r="A512" i="32"/>
  <c r="A513" i="32"/>
  <c r="A514" i="32"/>
  <c r="A3" i="32"/>
  <c r="Z18" i="3"/>
  <c r="E52" i="28" s="1"/>
  <c r="Z36" i="3"/>
  <c r="Z11" i="3"/>
  <c r="E45" i="28" s="1"/>
  <c r="Z31" i="3"/>
  <c r="Z12" i="3"/>
  <c r="E46" i="28" s="1"/>
  <c r="Z30" i="3"/>
  <c r="E64" i="28" s="1"/>
  <c r="Z17" i="3"/>
  <c r="E51" i="28" s="1"/>
  <c r="Z9" i="3"/>
  <c r="E43" i="28" s="1"/>
  <c r="Z8" i="3"/>
  <c r="E42" i="28" s="1"/>
  <c r="Z105" i="3"/>
  <c r="Z26" i="3"/>
  <c r="Z51" i="3"/>
  <c r="Z25" i="3"/>
  <c r="A431" i="30"/>
  <c r="A432" i="30"/>
  <c r="A437" i="32"/>
  <c r="AC132" i="5"/>
  <c r="AA132" i="5" s="1"/>
  <c r="AC85" i="5"/>
  <c r="AA85" i="5" s="1"/>
  <c r="AC100" i="5"/>
  <c r="AA100" i="5" s="1"/>
  <c r="AC11" i="5"/>
  <c r="AA11" i="5" s="1"/>
  <c r="AC115" i="5"/>
  <c r="AA115" i="5" s="1"/>
  <c r="AC20" i="5"/>
  <c r="AA20" i="5" s="1"/>
  <c r="AC59" i="5"/>
  <c r="AA59" i="5" s="1"/>
  <c r="AC65" i="5"/>
  <c r="AA65" i="5" s="1"/>
  <c r="AC76" i="5"/>
  <c r="AA76" i="5" s="1"/>
  <c r="AC67" i="5"/>
  <c r="AA67" i="5" s="1"/>
  <c r="AC125" i="5"/>
  <c r="AA125" i="5" s="1"/>
  <c r="AC94" i="5"/>
  <c r="AA94" i="5" s="1"/>
  <c r="AC107" i="5"/>
  <c r="AA107" i="5" s="1"/>
  <c r="AC74" i="5"/>
  <c r="AA74" i="5" s="1"/>
  <c r="AC50" i="5"/>
  <c r="AA50" i="5" s="1"/>
  <c r="AC83" i="5"/>
  <c r="AA83" i="5" s="1"/>
  <c r="AC120" i="5"/>
  <c r="AA120" i="5" s="1"/>
  <c r="AC53" i="5"/>
  <c r="AA53" i="5" s="1"/>
  <c r="AC6" i="5"/>
  <c r="AA6" i="5" s="1"/>
  <c r="AC39" i="5"/>
  <c r="AA39" i="5" s="1"/>
  <c r="AC16" i="5"/>
  <c r="AA16" i="5" s="1"/>
  <c r="AC9" i="5"/>
  <c r="AA9" i="5" s="1"/>
  <c r="AC32" i="5"/>
  <c r="AA32" i="5" s="1"/>
  <c r="AC96" i="5"/>
  <c r="AA96" i="5" s="1"/>
  <c r="AC63" i="5"/>
  <c r="AA63" i="5" s="1"/>
  <c r="AC81" i="5"/>
  <c r="AA81" i="5" s="1"/>
  <c r="AC17" i="5"/>
  <c r="AA17" i="5" s="1"/>
  <c r="AC113" i="5"/>
  <c r="AA113" i="5" s="1"/>
  <c r="AC7" i="5"/>
  <c r="AA7" i="5" s="1"/>
  <c r="AC19" i="5"/>
  <c r="AA19" i="5" s="1"/>
  <c r="AC48" i="5"/>
  <c r="AA48" i="5" s="1"/>
  <c r="AC52" i="5"/>
  <c r="AA52" i="5" s="1"/>
  <c r="AC116" i="5"/>
  <c r="AA116" i="5" s="1"/>
  <c r="AC25" i="5"/>
  <c r="AA25" i="5" s="1"/>
  <c r="AC91" i="5"/>
  <c r="AA91" i="5" s="1"/>
  <c r="AC79" i="5"/>
  <c r="AA79" i="5" s="1"/>
  <c r="AC10" i="5"/>
  <c r="AA10" i="5" s="1"/>
  <c r="AC18" i="5"/>
  <c r="AA18" i="5" s="1"/>
  <c r="AC21" i="5"/>
  <c r="AA21" i="5" s="1"/>
  <c r="AC49" i="5"/>
  <c r="AA49" i="5" s="1"/>
  <c r="AC5" i="5"/>
  <c r="AA5" i="5" s="1"/>
  <c r="AC55" i="5"/>
  <c r="AA55" i="5" s="1"/>
  <c r="AC51" i="5"/>
  <c r="AA51" i="5" s="1"/>
  <c r="AC4" i="5"/>
  <c r="AA4" i="5" s="1"/>
  <c r="AC8" i="5"/>
  <c r="AA8" i="5" s="1"/>
  <c r="AC35" i="5"/>
  <c r="AA35" i="5" s="1"/>
  <c r="AC105" i="5"/>
  <c r="AA105" i="5" s="1"/>
  <c r="AC31" i="5"/>
  <c r="AA31" i="5" s="1"/>
  <c r="AC128" i="5"/>
  <c r="AA128" i="5" s="1"/>
  <c r="AC54" i="5"/>
  <c r="AA54" i="5" s="1"/>
  <c r="AC110" i="5"/>
  <c r="AA110" i="5" s="1"/>
  <c r="AC26" i="5"/>
  <c r="AA26" i="5" s="1"/>
  <c r="AC27" i="5"/>
  <c r="AA27" i="5" s="1"/>
  <c r="AC119" i="5"/>
  <c r="AA119" i="5" s="1"/>
  <c r="AC114" i="5"/>
  <c r="AA114" i="5" s="1"/>
  <c r="AC80" i="5"/>
  <c r="AA80" i="5" s="1"/>
  <c r="AC47" i="5"/>
  <c r="AA47" i="5" s="1"/>
  <c r="AC70" i="5"/>
  <c r="AA70" i="5" s="1"/>
  <c r="AC14" i="5"/>
  <c r="AA14" i="5" s="1"/>
  <c r="AC111" i="5"/>
  <c r="AA111" i="5" s="1"/>
  <c r="AC33" i="5"/>
  <c r="AA33" i="5" s="1"/>
  <c r="AC89" i="5"/>
  <c r="AA89" i="5" s="1"/>
  <c r="AC130" i="5"/>
  <c r="AA130" i="5" s="1"/>
  <c r="AC45" i="5"/>
  <c r="AA45" i="5" s="1"/>
  <c r="AC56" i="5"/>
  <c r="AA56" i="5" s="1"/>
  <c r="AC73" i="5"/>
  <c r="AA73" i="5" s="1"/>
  <c r="AC106" i="5"/>
  <c r="AA106" i="5" s="1"/>
  <c r="AC15" i="5"/>
  <c r="AA15" i="5" s="1"/>
  <c r="AC34" i="5"/>
  <c r="AA34" i="5" s="1"/>
  <c r="AC36" i="5"/>
  <c r="AA36" i="5" s="1"/>
  <c r="AC58" i="5"/>
  <c r="AA58" i="5" s="1"/>
  <c r="AC78" i="5"/>
  <c r="AA78" i="5" s="1"/>
  <c r="AC38" i="5"/>
  <c r="AA38" i="5" s="1"/>
  <c r="AC88" i="5"/>
  <c r="AA88" i="5" s="1"/>
  <c r="AC82" i="5"/>
  <c r="AA82" i="5" s="1"/>
  <c r="AC57" i="5"/>
  <c r="AA57" i="5" s="1"/>
  <c r="AC104" i="5"/>
  <c r="AA104" i="5" s="1"/>
  <c r="AC24" i="5"/>
  <c r="AA24" i="5" s="1"/>
  <c r="AC124" i="5"/>
  <c r="AA124" i="5" s="1"/>
  <c r="AC69" i="5"/>
  <c r="AA69" i="5" s="1"/>
  <c r="AC44" i="5"/>
  <c r="AA44" i="5" s="1"/>
  <c r="AC61" i="5"/>
  <c r="AA61" i="5" s="1"/>
  <c r="AC12" i="5"/>
  <c r="AA12" i="5" s="1"/>
  <c r="AC46" i="5"/>
  <c r="AA46" i="5" s="1"/>
  <c r="AC28" i="5"/>
  <c r="AA28" i="5" s="1"/>
  <c r="AC101" i="5"/>
  <c r="AA101" i="5" s="1"/>
  <c r="AC103" i="5"/>
  <c r="AA103" i="5" s="1"/>
  <c r="AC109" i="5"/>
  <c r="AA109" i="5" s="1"/>
  <c r="AC126" i="5"/>
  <c r="AA126" i="5" s="1"/>
  <c r="AC117" i="5"/>
  <c r="AA117" i="5" s="1"/>
  <c r="AC71" i="5"/>
  <c r="AA71" i="5" s="1"/>
  <c r="AC40" i="5"/>
  <c r="AA40" i="5" s="1"/>
  <c r="AC92" i="5"/>
  <c r="AA92" i="5" s="1"/>
  <c r="AC68" i="5"/>
  <c r="AA68" i="5" s="1"/>
  <c r="AC97" i="5"/>
  <c r="AA97" i="5" s="1"/>
  <c r="AC118" i="5"/>
  <c r="AA118" i="5" s="1"/>
  <c r="AC66" i="5"/>
  <c r="AA66" i="5" s="1"/>
  <c r="AC13" i="5"/>
  <c r="AA13" i="5" s="1"/>
  <c r="AC23" i="5"/>
  <c r="AA23" i="5" s="1"/>
  <c r="AC75" i="5"/>
  <c r="AA75" i="5" s="1"/>
  <c r="AC72" i="5"/>
  <c r="AA72" i="5" s="1"/>
  <c r="AC93" i="5"/>
  <c r="AA93" i="5" s="1"/>
  <c r="AC64" i="5"/>
  <c r="AA64" i="5" s="1"/>
  <c r="AC62" i="5"/>
  <c r="AA62" i="5" s="1"/>
  <c r="AC98" i="5"/>
  <c r="AC102" i="5"/>
  <c r="AA102" i="5" s="1"/>
  <c r="AC95" i="5"/>
  <c r="AA95" i="5" s="1"/>
  <c r="AC108" i="5"/>
  <c r="AA108" i="5" s="1"/>
  <c r="AC60" i="5"/>
  <c r="AA60" i="5" s="1"/>
  <c r="AC99" i="5"/>
  <c r="AA99" i="5" s="1"/>
  <c r="AC41" i="5"/>
  <c r="AA41" i="5" s="1"/>
  <c r="AC112" i="5"/>
  <c r="AA112" i="5" s="1"/>
  <c r="AC84" i="5"/>
  <c r="AA84" i="5" s="1"/>
  <c r="AC29" i="5"/>
  <c r="AA29" i="5" s="1"/>
  <c r="AC121" i="5"/>
  <c r="AA121" i="5" s="1"/>
  <c r="AC86" i="5"/>
  <c r="AA86" i="5" s="1"/>
  <c r="AC131" i="5"/>
  <c r="AA131" i="5" s="1"/>
  <c r="AC22" i="5"/>
  <c r="AA22" i="5" s="1"/>
  <c r="AC42" i="5"/>
  <c r="AA42" i="5" s="1"/>
  <c r="AC37" i="5"/>
  <c r="AA37" i="5" s="1"/>
  <c r="AC90" i="5"/>
  <c r="AA90" i="5" s="1"/>
  <c r="AC137" i="5"/>
  <c r="AA137" i="5" s="1"/>
  <c r="AC136" i="5"/>
  <c r="AA136" i="5" s="1"/>
  <c r="AC135" i="5"/>
  <c r="AA135" i="5" s="1"/>
  <c r="AC134" i="5"/>
  <c r="AA134" i="5" s="1"/>
  <c r="AC133" i="5"/>
  <c r="AA133" i="5" s="1"/>
  <c r="AC129" i="5"/>
  <c r="AA129" i="5" s="1"/>
  <c r="AC122" i="5"/>
  <c r="AA122" i="5" s="1"/>
  <c r="AC43" i="5"/>
  <c r="AA43" i="5" s="1"/>
  <c r="AC127" i="5"/>
  <c r="AA127" i="5" s="1"/>
  <c r="AC123" i="5"/>
  <c r="AA123" i="5" s="1"/>
  <c r="AC30" i="5"/>
  <c r="AA30" i="5" s="1"/>
  <c r="AC87" i="5"/>
  <c r="AA87" i="5" s="1"/>
  <c r="AC3" i="5"/>
  <c r="AA3" i="5" s="1"/>
  <c r="Y4" i="5"/>
  <c r="Y5" i="5"/>
  <c r="Y6" i="5"/>
  <c r="Y7" i="5"/>
  <c r="Y8" i="5"/>
  <c r="Y9" i="5"/>
  <c r="Y10" i="5"/>
  <c r="Y11" i="5"/>
  <c r="Y12" i="5"/>
  <c r="Y13" i="5"/>
  <c r="Y14" i="5"/>
  <c r="Y15" i="5"/>
  <c r="Y16" i="5"/>
  <c r="Y17" i="5"/>
  <c r="Y18" i="5"/>
  <c r="Y19" i="5"/>
  <c r="Y20" i="5"/>
  <c r="Y21" i="5"/>
  <c r="Y22" i="5"/>
  <c r="Y23" i="5"/>
  <c r="Y24" i="5"/>
  <c r="Y25" i="5"/>
  <c r="Y26" i="5"/>
  <c r="Y27" i="5"/>
  <c r="Y28" i="5"/>
  <c r="Y29" i="5"/>
  <c r="Y30" i="5"/>
  <c r="Y31" i="5"/>
  <c r="Y32" i="5"/>
  <c r="Y33" i="5"/>
  <c r="Y34" i="5"/>
  <c r="Y35" i="5"/>
  <c r="Y36" i="5"/>
  <c r="Y37" i="5"/>
  <c r="Y38" i="5"/>
  <c r="Y39" i="5"/>
  <c r="Y40" i="5"/>
  <c r="Y41" i="5"/>
  <c r="Y42" i="5"/>
  <c r="Y43" i="5"/>
  <c r="Y44" i="5"/>
  <c r="Y45" i="5"/>
  <c r="Y46" i="5"/>
  <c r="Y47" i="5"/>
  <c r="Y48" i="5"/>
  <c r="Y49" i="5"/>
  <c r="Y50" i="5"/>
  <c r="Y51" i="5"/>
  <c r="Y52" i="5"/>
  <c r="Y53" i="5"/>
  <c r="Y54" i="5"/>
  <c r="Y55" i="5"/>
  <c r="Y56" i="5"/>
  <c r="Y57" i="5"/>
  <c r="Y58" i="5"/>
  <c r="Y59" i="5"/>
  <c r="Y60" i="5"/>
  <c r="Y61" i="5"/>
  <c r="Y62" i="5"/>
  <c r="Y63" i="5"/>
  <c r="Y64" i="5"/>
  <c r="Y65" i="5"/>
  <c r="Y66" i="5"/>
  <c r="Y67" i="5"/>
  <c r="Y68" i="5"/>
  <c r="Y69" i="5"/>
  <c r="Y70" i="5"/>
  <c r="Y71" i="5"/>
  <c r="Y72" i="5"/>
  <c r="Y73"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3" i="5"/>
  <c r="Y104" i="5"/>
  <c r="Y105" i="5"/>
  <c r="Y106" i="5"/>
  <c r="Y107" i="5"/>
  <c r="Y108" i="5"/>
  <c r="Y109" i="5"/>
  <c r="Y110" i="5"/>
  <c r="Y111" i="5"/>
  <c r="Y112" i="5"/>
  <c r="Y113" i="5"/>
  <c r="Y114" i="5"/>
  <c r="Y115" i="5"/>
  <c r="Y116" i="5"/>
  <c r="Y117" i="5"/>
  <c r="Y118" i="5"/>
  <c r="Y119" i="5"/>
  <c r="Y120" i="5"/>
  <c r="Y121" i="5"/>
  <c r="Y122" i="5"/>
  <c r="Y123" i="5"/>
  <c r="Y124" i="5"/>
  <c r="Y125" i="5"/>
  <c r="Y126" i="5"/>
  <c r="Y127" i="5"/>
  <c r="Y128" i="5"/>
  <c r="Y129" i="5"/>
  <c r="Y130" i="5"/>
  <c r="Y131" i="5"/>
  <c r="Y132" i="5"/>
  <c r="Y133" i="5"/>
  <c r="Y134" i="5"/>
  <c r="Y135" i="5"/>
  <c r="Y136" i="5"/>
  <c r="Y137" i="5"/>
  <c r="Y3" i="5"/>
  <c r="J3" i="28" s="1"/>
  <c r="Z65" i="3"/>
  <c r="Z81" i="3"/>
  <c r="Z80" i="3"/>
  <c r="A247" i="45"/>
  <c r="A18" i="45"/>
  <c r="A21" i="45"/>
  <c r="A23" i="45"/>
  <c r="A24" i="45"/>
  <c r="A47" i="45"/>
  <c r="A51" i="45"/>
  <c r="A53" i="45"/>
  <c r="A109" i="45"/>
  <c r="A107" i="45"/>
  <c r="A122" i="45"/>
  <c r="A119" i="45"/>
  <c r="A85" i="45"/>
  <c r="A147" i="45"/>
  <c r="A163" i="45"/>
  <c r="A172" i="45"/>
  <c r="A190" i="45"/>
  <c r="A183" i="45"/>
  <c r="A187" i="45"/>
  <c r="A182" i="45"/>
  <c r="A189" i="45"/>
  <c r="A211" i="45"/>
  <c r="A208" i="45"/>
  <c r="A213" i="45"/>
  <c r="A234" i="45"/>
  <c r="A229" i="45"/>
  <c r="A237" i="45"/>
  <c r="A230" i="45"/>
  <c r="A239" i="45"/>
  <c r="A241" i="45"/>
  <c r="A236" i="45"/>
  <c r="A22" i="45"/>
  <c r="A37" i="45"/>
  <c r="A72" i="45"/>
  <c r="A76" i="45"/>
  <c r="A143" i="45"/>
  <c r="A91" i="45"/>
  <c r="A97" i="45"/>
  <c r="A102" i="45"/>
  <c r="A103" i="45"/>
  <c r="A115" i="45"/>
  <c r="A126" i="45"/>
  <c r="A161" i="45"/>
  <c r="A133" i="45"/>
  <c r="A152" i="45"/>
  <c r="A170" i="45"/>
  <c r="A138" i="45"/>
  <c r="A169" i="45"/>
  <c r="A164" i="45"/>
  <c r="A176" i="45"/>
  <c r="A177" i="45"/>
  <c r="A179" i="45"/>
  <c r="A194" i="45"/>
  <c r="A216" i="45"/>
  <c r="A226" i="45"/>
  <c r="A227" i="45"/>
  <c r="A225" i="45"/>
  <c r="A231" i="45"/>
  <c r="A232" i="45"/>
  <c r="A240" i="45"/>
  <c r="A248" i="45"/>
  <c r="A251" i="45"/>
  <c r="A254" i="45"/>
  <c r="A245" i="45"/>
  <c r="A258" i="45"/>
  <c r="A253" i="45"/>
  <c r="A11" i="45"/>
  <c r="A262" i="45"/>
  <c r="A256" i="45"/>
  <c r="A10" i="45"/>
  <c r="A9" i="45"/>
  <c r="A13" i="45"/>
  <c r="A8" i="45"/>
  <c r="A6" i="45"/>
  <c r="A15" i="45"/>
  <c r="A41" i="45"/>
  <c r="A20" i="45"/>
  <c r="A19" i="45"/>
  <c r="A28" i="45"/>
  <c r="A56" i="45"/>
  <c r="A34" i="45"/>
  <c r="A39" i="45"/>
  <c r="A48" i="45"/>
  <c r="A58" i="45"/>
  <c r="A61" i="45"/>
  <c r="A66" i="45"/>
  <c r="A67" i="45"/>
  <c r="A74" i="45"/>
  <c r="A65" i="45"/>
  <c r="A63" i="45"/>
  <c r="A68" i="45"/>
  <c r="A64" i="45"/>
  <c r="A70" i="45"/>
  <c r="A75" i="45"/>
  <c r="A77" i="45"/>
  <c r="A84" i="45"/>
  <c r="A69" i="45"/>
  <c r="A81" i="45"/>
  <c r="A83" i="45"/>
  <c r="A303" i="45"/>
  <c r="A304" i="45"/>
  <c r="A293" i="45"/>
  <c r="A137" i="45"/>
  <c r="A99" i="45"/>
  <c r="A197" i="45"/>
  <c r="A228" i="45"/>
  <c r="A124" i="45"/>
  <c r="A113" i="45"/>
  <c r="A276" i="45"/>
  <c r="A116" i="45"/>
  <c r="A191" i="45"/>
  <c r="A108" i="45"/>
  <c r="A201" i="45"/>
  <c r="A30" i="45"/>
  <c r="A269" i="45"/>
  <c r="A287" i="45"/>
  <c r="A55" i="45"/>
  <c r="A250" i="45"/>
  <c r="A125" i="45"/>
  <c r="A142" i="45"/>
  <c r="A203" i="45"/>
  <c r="A121" i="45"/>
  <c r="A200" i="45"/>
  <c r="A243" i="45"/>
  <c r="A156" i="45"/>
  <c r="A257" i="45"/>
  <c r="A100" i="45"/>
  <c r="A127" i="45"/>
  <c r="A90" i="45"/>
  <c r="A60" i="45"/>
  <c r="A266" i="45"/>
  <c r="A14" i="45"/>
  <c r="A222" i="45"/>
  <c r="A219" i="45"/>
  <c r="A79" i="45"/>
  <c r="A186" i="45"/>
  <c r="A130" i="45"/>
  <c r="A59" i="45"/>
  <c r="A43" i="45"/>
  <c r="A89" i="45"/>
  <c r="A195" i="45"/>
  <c r="A149" i="45"/>
  <c r="A255" i="45"/>
  <c r="A16" i="45"/>
  <c r="A192" i="45"/>
  <c r="A221" i="45"/>
  <c r="A120" i="45"/>
  <c r="A274" i="45"/>
  <c r="A154" i="45"/>
  <c r="A268" i="45"/>
  <c r="A101" i="45"/>
  <c r="A202" i="45"/>
  <c r="A180" i="45"/>
  <c r="A12" i="45"/>
  <c r="A267" i="45"/>
  <c r="A73" i="45"/>
  <c r="A283" i="45"/>
  <c r="A112" i="45"/>
  <c r="A259" i="45"/>
  <c r="A110" i="45"/>
  <c r="A207" i="45"/>
  <c r="A31" i="45"/>
  <c r="A264" i="45"/>
  <c r="A114" i="45"/>
  <c r="A62" i="45"/>
  <c r="A132" i="45"/>
  <c r="A246" i="45"/>
  <c r="A289" i="45"/>
  <c r="A249" i="45"/>
  <c r="A206" i="45"/>
  <c r="A275" i="45"/>
  <c r="A261" i="45"/>
  <c r="A224" i="45"/>
  <c r="A71" i="45"/>
  <c r="A131" i="45"/>
  <c r="A136" i="45"/>
  <c r="A145" i="45"/>
  <c r="A294" i="45"/>
  <c r="A244" i="45"/>
  <c r="A82" i="45"/>
  <c r="A296" i="45"/>
  <c r="A217" i="45"/>
  <c r="A235" i="45"/>
  <c r="A210" i="45"/>
  <c r="A155" i="45"/>
  <c r="A218" i="45"/>
  <c r="A96" i="45"/>
  <c r="A165" i="45"/>
  <c r="A277" i="45"/>
  <c r="A148" i="45"/>
  <c r="A78" i="45"/>
  <c r="A80" i="45"/>
  <c r="A45" i="45"/>
  <c r="A144" i="45"/>
  <c r="A280" i="45"/>
  <c r="A291" i="45"/>
  <c r="A178" i="45"/>
  <c r="A3" i="45"/>
  <c r="A86" i="45"/>
  <c r="A117" i="45"/>
  <c r="A167" i="45"/>
  <c r="A209" i="45"/>
  <c r="A25" i="45"/>
  <c r="A111" i="45"/>
  <c r="A36" i="45"/>
  <c r="A166" i="45"/>
  <c r="A29" i="45"/>
  <c r="A171" i="45"/>
  <c r="A281" i="45"/>
  <c r="A140" i="45"/>
  <c r="A162" i="45"/>
  <c r="A52" i="45"/>
  <c r="A4" i="45"/>
  <c r="A134" i="45"/>
  <c r="A175" i="45"/>
  <c r="A215" i="45"/>
  <c r="A93" i="45"/>
  <c r="A198" i="45"/>
  <c r="A141" i="45"/>
  <c r="A174" i="45"/>
  <c r="A252" i="45"/>
  <c r="A204" i="45"/>
  <c r="A193" i="45"/>
  <c r="A104" i="45"/>
  <c r="A95" i="45"/>
  <c r="A242" i="45"/>
  <c r="A220" i="45"/>
  <c r="A223" i="45"/>
  <c r="A129" i="45"/>
  <c r="A158" i="45"/>
  <c r="A118" i="45"/>
  <c r="A46" i="45"/>
  <c r="A260" i="45"/>
  <c r="A196" i="45"/>
  <c r="A157" i="45"/>
  <c r="A33" i="45"/>
  <c r="A88" i="45"/>
  <c r="A181" i="45"/>
  <c r="A271" i="45"/>
  <c r="A150" i="45"/>
  <c r="A44" i="45"/>
  <c r="A139" i="45"/>
  <c r="A26" i="45"/>
  <c r="A49" i="45"/>
  <c r="A40" i="45"/>
  <c r="A92" i="45"/>
  <c r="A238" i="45"/>
  <c r="A94" i="45"/>
  <c r="A273" i="45"/>
  <c r="A106" i="45"/>
  <c r="A54" i="45"/>
  <c r="A27" i="45"/>
  <c r="A135" i="45"/>
  <c r="A279" i="45"/>
  <c r="A292" i="45"/>
  <c r="A32" i="45"/>
  <c r="A123" i="45"/>
  <c r="A159" i="45"/>
  <c r="A151" i="45"/>
  <c r="A5" i="45"/>
  <c r="A265" i="45"/>
  <c r="A185" i="45"/>
  <c r="A57" i="45"/>
  <c r="A263" i="45"/>
  <c r="A38" i="45"/>
  <c r="A160" i="45"/>
  <c r="A212" i="45"/>
  <c r="A153" i="45"/>
  <c r="A295" i="45"/>
  <c r="A87" i="45"/>
  <c r="A35" i="45"/>
  <c r="A50" i="45"/>
  <c r="A290" i="45"/>
  <c r="A286" i="45"/>
  <c r="A272" i="45"/>
  <c r="A17" i="45"/>
  <c r="A233" i="45"/>
  <c r="A188" i="45"/>
  <c r="A105" i="45"/>
  <c r="A146" i="45"/>
  <c r="A2" i="45"/>
  <c r="A282" i="45"/>
  <c r="A173" i="45"/>
  <c r="A205" i="45"/>
  <c r="A278" i="45"/>
  <c r="A168" i="45"/>
  <c r="A288" i="45"/>
  <c r="A285" i="45"/>
  <c r="A214" i="45"/>
  <c r="A284" i="45"/>
  <c r="A199" i="45"/>
  <c r="A7" i="45"/>
  <c r="A128" i="45"/>
  <c r="A184" i="45"/>
  <c r="A42" i="45"/>
  <c r="A270" i="45"/>
  <c r="A297" i="45"/>
  <c r="A299" i="45"/>
  <c r="A302" i="45"/>
  <c r="A301" i="45"/>
  <c r="A300" i="45"/>
  <c r="A298" i="45"/>
  <c r="A98" i="45"/>
  <c r="A256" i="30"/>
  <c r="A257" i="30"/>
  <c r="A258" i="30"/>
  <c r="A260" i="30"/>
  <c r="A264" i="30"/>
  <c r="A276" i="30"/>
  <c r="A280" i="30"/>
  <c r="A281" i="30"/>
  <c r="A283" i="30"/>
  <c r="A284" i="30"/>
  <c r="A287" i="30"/>
  <c r="A289" i="30"/>
  <c r="A290" i="30"/>
  <c r="A294" i="30"/>
  <c r="A299" i="30"/>
  <c r="A302" i="30"/>
  <c r="A303" i="30"/>
  <c r="A304" i="30"/>
  <c r="A305" i="30"/>
  <c r="A306" i="30"/>
  <c r="A311" i="30"/>
  <c r="A317" i="30"/>
  <c r="A320" i="30"/>
  <c r="A323" i="30"/>
  <c r="A324" i="30"/>
  <c r="A325" i="30"/>
  <c r="A326" i="30"/>
  <c r="A329" i="30"/>
  <c r="A330" i="30"/>
  <c r="A333" i="30"/>
  <c r="A337" i="30"/>
  <c r="A338" i="30"/>
  <c r="A339" i="30"/>
  <c r="A345" i="30"/>
  <c r="A349" i="30"/>
  <c r="A350" i="30"/>
  <c r="A352" i="30"/>
  <c r="A354" i="30"/>
  <c r="A355" i="30"/>
  <c r="A358" i="30"/>
  <c r="A359" i="30"/>
  <c r="A106" i="30"/>
  <c r="A136" i="30"/>
  <c r="A183" i="30"/>
  <c r="A203" i="30"/>
  <c r="A220" i="30"/>
  <c r="A230" i="30"/>
  <c r="A268" i="30"/>
  <c r="A332" i="30"/>
  <c r="A344" i="30"/>
  <c r="A348" i="30"/>
  <c r="A100" i="30"/>
  <c r="A362" i="30"/>
  <c r="A366" i="30"/>
  <c r="A370" i="30"/>
  <c r="A373" i="30"/>
  <c r="A378" i="30"/>
  <c r="A3" i="30"/>
  <c r="A4" i="30"/>
  <c r="A26" i="30"/>
  <c r="A28" i="30"/>
  <c r="A36" i="30"/>
  <c r="A37" i="30"/>
  <c r="A40" i="30"/>
  <c r="A41" i="30"/>
  <c r="A42" i="30"/>
  <c r="A46" i="30"/>
  <c r="A43" i="30"/>
  <c r="A52" i="30"/>
  <c r="A58" i="30"/>
  <c r="A88" i="30"/>
  <c r="A90" i="30"/>
  <c r="A363" i="30"/>
  <c r="A102" i="30"/>
  <c r="A107" i="30"/>
  <c r="A108" i="30"/>
  <c r="A111" i="30"/>
  <c r="A117" i="30"/>
  <c r="A129" i="30"/>
  <c r="A159" i="30"/>
  <c r="A146" i="30"/>
  <c r="A154" i="30"/>
  <c r="A179" i="30"/>
  <c r="A147" i="30"/>
  <c r="A169" i="30"/>
  <c r="A172" i="30"/>
  <c r="A161" i="30"/>
  <c r="A193" i="30"/>
  <c r="A195" i="30"/>
  <c r="A199" i="30"/>
  <c r="A204" i="30"/>
  <c r="A211" i="30"/>
  <c r="A255" i="30"/>
  <c r="A261" i="30"/>
  <c r="A269" i="30"/>
  <c r="A278" i="30"/>
  <c r="A266" i="30"/>
  <c r="A273" i="30"/>
  <c r="A279" i="30"/>
  <c r="A285" i="30"/>
  <c r="A300" i="30"/>
  <c r="A295" i="30"/>
  <c r="A312" i="30"/>
  <c r="A319" i="30"/>
  <c r="A292" i="30"/>
  <c r="A316" i="30"/>
  <c r="A321" i="30"/>
  <c r="A383" i="30"/>
  <c r="A334" i="30"/>
  <c r="A391" i="30"/>
  <c r="A389" i="30"/>
  <c r="A387" i="30"/>
  <c r="A327" i="30"/>
  <c r="A392" i="30"/>
  <c r="A396" i="30"/>
  <c r="A395" i="30"/>
  <c r="A400" i="30"/>
  <c r="A408" i="30"/>
  <c r="A404" i="30"/>
  <c r="A407" i="30"/>
  <c r="A412" i="30"/>
  <c r="A413" i="30"/>
  <c r="A414" i="30"/>
  <c r="A418" i="30"/>
  <c r="A421" i="30"/>
  <c r="A422" i="30"/>
  <c r="A423" i="30"/>
  <c r="A424" i="30"/>
  <c r="A425" i="30"/>
  <c r="A426" i="30"/>
  <c r="A427" i="30"/>
  <c r="A428" i="30"/>
  <c r="A429" i="30"/>
  <c r="A430" i="30"/>
  <c r="A239" i="30"/>
  <c r="A246" i="30"/>
  <c r="A170" i="30"/>
  <c r="A184" i="30"/>
  <c r="A39" i="30"/>
  <c r="A162" i="30"/>
  <c r="A11" i="30"/>
  <c r="A127" i="30"/>
  <c r="A307" i="30"/>
  <c r="A139" i="30"/>
  <c r="A152" i="30"/>
  <c r="A198" i="30"/>
  <c r="A120" i="30"/>
  <c r="A216" i="30"/>
  <c r="A189" i="30"/>
  <c r="A57" i="30"/>
  <c r="A104" i="30"/>
  <c r="A134" i="30"/>
  <c r="A244" i="30"/>
  <c r="A167" i="30"/>
  <c r="A375" i="30"/>
  <c r="A89" i="30"/>
  <c r="A286" i="30"/>
  <c r="A205" i="30"/>
  <c r="A194" i="30"/>
  <c r="A399" i="30"/>
  <c r="A164" i="30"/>
  <c r="A357" i="30"/>
  <c r="A226" i="30"/>
  <c r="A135" i="30"/>
  <c r="A314" i="30"/>
  <c r="A119" i="30"/>
  <c r="A82" i="30"/>
  <c r="A365" i="30"/>
  <c r="A18" i="30"/>
  <c r="A200" i="30"/>
  <c r="A420" i="30"/>
  <c r="A23" i="30"/>
  <c r="A114" i="30"/>
  <c r="A347" i="30"/>
  <c r="A335" i="30"/>
  <c r="A81" i="30"/>
  <c r="A227" i="30"/>
  <c r="A401" i="30"/>
  <c r="A86" i="30"/>
  <c r="A5" i="30"/>
  <c r="A20" i="30"/>
  <c r="A35" i="30"/>
  <c r="A340" i="30"/>
  <c r="A331" i="30"/>
  <c r="A16" i="30"/>
  <c r="A62" i="30"/>
  <c r="A180" i="30"/>
  <c r="A318" i="30"/>
  <c r="A97" i="30"/>
  <c r="A301" i="30"/>
  <c r="A243" i="30"/>
  <c r="A84" i="30"/>
  <c r="A277" i="30"/>
  <c r="A125" i="30"/>
  <c r="A309" i="30"/>
  <c r="A288" i="30"/>
  <c r="A176" i="30"/>
  <c r="A14" i="30"/>
  <c r="A210" i="30"/>
  <c r="A49" i="30"/>
  <c r="A15" i="30"/>
  <c r="A201" i="30"/>
  <c r="A32" i="30"/>
  <c r="A155" i="30"/>
  <c r="A371" i="30"/>
  <c r="A6" i="30"/>
  <c r="A190" i="30"/>
  <c r="A9" i="30"/>
  <c r="A208" i="30"/>
  <c r="A33" i="30"/>
  <c r="A22" i="30"/>
  <c r="A115" i="30"/>
  <c r="A403" i="30"/>
  <c r="A87" i="30"/>
  <c r="A141" i="30"/>
  <c r="A393" i="30"/>
  <c r="A245" i="30"/>
  <c r="A171" i="30"/>
  <c r="A124" i="30"/>
  <c r="A31" i="30"/>
  <c r="A56" i="30"/>
  <c r="A410" i="30"/>
  <c r="A29" i="30"/>
  <c r="A297" i="30"/>
  <c r="A419" i="30"/>
  <c r="A254" i="30"/>
  <c r="A369" i="30"/>
  <c r="A385" i="30"/>
  <c r="A241" i="30"/>
  <c r="A96" i="30"/>
  <c r="A173" i="30"/>
  <c r="A402" i="30"/>
  <c r="A259" i="30"/>
  <c r="A222" i="30"/>
  <c r="A178" i="30"/>
  <c r="A197" i="30"/>
  <c r="A47" i="30"/>
  <c r="A343" i="30"/>
  <c r="A63" i="30"/>
  <c r="A149" i="30"/>
  <c r="A118" i="30"/>
  <c r="A238" i="30"/>
  <c r="A272" i="30"/>
  <c r="A137" i="30"/>
  <c r="A168" i="30"/>
  <c r="A376" i="30"/>
  <c r="A315" i="30"/>
  <c r="A185" i="30"/>
  <c r="A252" i="30"/>
  <c r="A379" i="30"/>
  <c r="A394" i="30"/>
  <c r="A275" i="30"/>
  <c r="A112" i="30"/>
  <c r="A150" i="30"/>
  <c r="A346" i="30"/>
  <c r="A367" i="30"/>
  <c r="A240" i="30"/>
  <c r="A188" i="30"/>
  <c r="A322" i="30"/>
  <c r="A80" i="30"/>
  <c r="A60" i="30"/>
  <c r="A163" i="30"/>
  <c r="A148" i="30"/>
  <c r="A72" i="30"/>
  <c r="A151" i="30"/>
  <c r="A235" i="30"/>
  <c r="A110" i="30"/>
  <c r="A237" i="30"/>
  <c r="A388" i="30"/>
  <c r="A98" i="30"/>
  <c r="A133" i="30"/>
  <c r="A75" i="30"/>
  <c r="A175" i="30"/>
  <c r="A121" i="30"/>
  <c r="A310" i="30"/>
  <c r="A48" i="30"/>
  <c r="A223" i="30"/>
  <c r="A85" i="30"/>
  <c r="A13" i="30"/>
  <c r="A313" i="30"/>
  <c r="A165" i="30"/>
  <c r="A144" i="30"/>
  <c r="A236" i="30"/>
  <c r="A24" i="30"/>
  <c r="A353" i="30"/>
  <c r="A34" i="30"/>
  <c r="A160" i="30"/>
  <c r="A77" i="30"/>
  <c r="A386" i="30"/>
  <c r="A138" i="30"/>
  <c r="A74" i="30"/>
  <c r="A7" i="30"/>
  <c r="A248" i="30"/>
  <c r="A234" i="30"/>
  <c r="A113" i="30"/>
  <c r="A12" i="30"/>
  <c r="A217" i="30"/>
  <c r="A140" i="30"/>
  <c r="A221" i="30"/>
  <c r="A92" i="30"/>
  <c r="A94" i="30"/>
  <c r="A263" i="30"/>
  <c r="A192" i="30"/>
  <c r="A328" i="30"/>
  <c r="A224" i="30"/>
  <c r="A99" i="30"/>
  <c r="A293" i="30"/>
  <c r="A231" i="30"/>
  <c r="A53" i="30"/>
  <c r="A158" i="30"/>
  <c r="A181" i="30"/>
  <c r="A17" i="30"/>
  <c r="A262" i="30"/>
  <c r="A105" i="30"/>
  <c r="A214" i="30"/>
  <c r="A21" i="30"/>
  <c r="A78" i="30"/>
  <c r="A70" i="30"/>
  <c r="A55" i="30"/>
  <c r="A30" i="30"/>
  <c r="A308" i="30"/>
  <c r="A282" i="30"/>
  <c r="A142" i="30"/>
  <c r="A45" i="30"/>
  <c r="A228" i="30"/>
  <c r="A253" i="30"/>
  <c r="A95" i="30"/>
  <c r="A219" i="30"/>
  <c r="A247" i="30"/>
  <c r="A143" i="30"/>
  <c r="A126" i="30"/>
  <c r="A69" i="30"/>
  <c r="A270" i="30"/>
  <c r="A123" i="30"/>
  <c r="A381" i="30"/>
  <c r="A218" i="30"/>
  <c r="A61" i="30"/>
  <c r="A382" i="30"/>
  <c r="A145" i="30"/>
  <c r="A212" i="30"/>
  <c r="A364" i="30"/>
  <c r="A416" i="30"/>
  <c r="A166" i="30"/>
  <c r="A372" i="30"/>
  <c r="A79" i="30"/>
  <c r="A73" i="30"/>
  <c r="A368" i="30"/>
  <c r="A202" i="30"/>
  <c r="A229" i="30"/>
  <c r="A103" i="30"/>
  <c r="A411" i="30"/>
  <c r="A68" i="30"/>
  <c r="A177" i="30"/>
  <c r="A384" i="30"/>
  <c r="A156" i="30"/>
  <c r="A341" i="30"/>
  <c r="A116" i="30"/>
  <c r="A122" i="30"/>
  <c r="A59" i="30"/>
  <c r="A249" i="30"/>
  <c r="A157" i="30"/>
  <c r="A397" i="30"/>
  <c r="A232" i="30"/>
  <c r="A207" i="30"/>
  <c r="A76" i="30"/>
  <c r="A91" i="30"/>
  <c r="A233" i="30"/>
  <c r="A409" i="30"/>
  <c r="A19" i="30"/>
  <c r="A342" i="30"/>
  <c r="A406" i="30"/>
  <c r="A390" i="30"/>
  <c r="A8" i="30"/>
  <c r="A130" i="30"/>
  <c r="A128" i="30"/>
  <c r="A153" i="30"/>
  <c r="A296" i="30"/>
  <c r="A64" i="30"/>
  <c r="A44" i="30"/>
  <c r="A174" i="30"/>
  <c r="A298" i="30"/>
  <c r="A196" i="30"/>
  <c r="A187" i="30"/>
  <c r="A356" i="30"/>
  <c r="A93" i="30"/>
  <c r="A225" i="30"/>
  <c r="A206" i="30"/>
  <c r="A271" i="30"/>
  <c r="A51" i="30"/>
  <c r="A25" i="30"/>
  <c r="A415" i="30"/>
  <c r="A67" i="30"/>
  <c r="A380" i="30"/>
  <c r="A377" i="30"/>
  <c r="A109" i="30"/>
  <c r="A132" i="30"/>
  <c r="A182" i="30"/>
  <c r="A209" i="30"/>
  <c r="A71" i="30"/>
  <c r="A191" i="30"/>
  <c r="A417" i="30"/>
  <c r="A65" i="30"/>
  <c r="A351" i="30"/>
  <c r="A265" i="30"/>
  <c r="A131" i="30"/>
  <c r="A360" i="30"/>
  <c r="A50" i="30"/>
  <c r="A215" i="30"/>
  <c r="A405" i="30"/>
  <c r="A251" i="30"/>
  <c r="A101" i="30"/>
  <c r="A38" i="30"/>
  <c r="A242" i="30"/>
  <c r="A54" i="30"/>
  <c r="A291" i="30"/>
  <c r="A361" i="30"/>
  <c r="A213" i="30"/>
  <c r="A186" i="30"/>
  <c r="A267" i="30"/>
  <c r="A374" i="30"/>
  <c r="A27" i="30"/>
  <c r="A250" i="30"/>
  <c r="A398" i="30"/>
  <c r="A83" i="30"/>
  <c r="A274" i="30"/>
  <c r="A336" i="30"/>
  <c r="A66" i="30"/>
  <c r="A10" i="30"/>
  <c r="A154" i="31"/>
  <c r="A131" i="31"/>
  <c r="A191" i="31"/>
  <c r="A199" i="31"/>
  <c r="A135" i="31"/>
  <c r="A146" i="31"/>
  <c r="A97" i="31"/>
  <c r="A50" i="31"/>
  <c r="A130" i="31"/>
  <c r="A34" i="31"/>
  <c r="A47" i="31"/>
  <c r="A257" i="31"/>
  <c r="A37" i="31"/>
  <c r="A127" i="31"/>
  <c r="A53" i="31"/>
  <c r="A77" i="31"/>
  <c r="A279" i="31"/>
  <c r="A29" i="31"/>
  <c r="A20" i="31"/>
  <c r="A265" i="31"/>
  <c r="A51" i="31"/>
  <c r="A36" i="31"/>
  <c r="A80" i="31"/>
  <c r="A100" i="31"/>
  <c r="A6" i="31"/>
  <c r="A24" i="31"/>
  <c r="A18" i="31"/>
  <c r="A62" i="31"/>
  <c r="A43" i="31"/>
  <c r="A111" i="31"/>
  <c r="A55" i="31"/>
  <c r="A276" i="31"/>
  <c r="A275" i="31"/>
  <c r="A161" i="31"/>
  <c r="A284" i="31"/>
  <c r="A238" i="31"/>
  <c r="A15" i="31"/>
  <c r="A187" i="31"/>
  <c r="A122" i="31"/>
  <c r="A141" i="31"/>
  <c r="A123" i="31"/>
  <c r="A63" i="31"/>
  <c r="A27" i="31"/>
  <c r="A73" i="31"/>
  <c r="A31" i="31"/>
  <c r="A259" i="31"/>
  <c r="A14" i="31"/>
  <c r="A150" i="31"/>
  <c r="A282" i="31"/>
  <c r="A273" i="31"/>
  <c r="A45" i="31"/>
  <c r="A281" i="31"/>
  <c r="A267" i="31"/>
  <c r="A59" i="31"/>
  <c r="A144" i="31"/>
  <c r="A78" i="31"/>
  <c r="A158" i="31"/>
  <c r="A132" i="31"/>
  <c r="A121" i="31"/>
  <c r="A173" i="31"/>
  <c r="A16" i="31"/>
  <c r="A74" i="31"/>
  <c r="A136" i="31"/>
  <c r="A76" i="31"/>
  <c r="A21" i="31"/>
  <c r="A211" i="31"/>
  <c r="A157" i="31"/>
  <c r="A61" i="31"/>
  <c r="A4" i="31"/>
  <c r="A35" i="31"/>
  <c r="A244" i="31"/>
  <c r="A65" i="31"/>
  <c r="A196" i="31"/>
  <c r="A110" i="31"/>
  <c r="A60" i="31"/>
  <c r="A69" i="31"/>
  <c r="A40" i="31"/>
  <c r="A138" i="31"/>
  <c r="A164" i="31"/>
  <c r="A70" i="31"/>
  <c r="A193" i="31"/>
  <c r="A56" i="31"/>
  <c r="A103" i="31"/>
  <c r="A49" i="31"/>
  <c r="A3" i="31"/>
  <c r="A101" i="31"/>
  <c r="A266" i="31"/>
  <c r="A169" i="31"/>
  <c r="A81" i="31"/>
  <c r="A210" i="31"/>
  <c r="A137" i="31"/>
  <c r="A162" i="31"/>
  <c r="A116" i="31"/>
  <c r="A96" i="31"/>
  <c r="A86" i="31"/>
  <c r="A88" i="31"/>
  <c r="A64" i="31"/>
  <c r="A57" i="31"/>
  <c r="A128" i="31"/>
  <c r="A17" i="31"/>
  <c r="A67" i="31"/>
  <c r="A10" i="31"/>
  <c r="A93" i="31"/>
  <c r="A108" i="31"/>
  <c r="A91" i="31"/>
  <c r="A247" i="31"/>
  <c r="A208" i="31"/>
  <c r="A277" i="31"/>
  <c r="A256" i="31"/>
  <c r="A48" i="31"/>
  <c r="A218" i="31"/>
  <c r="A140" i="31"/>
  <c r="A11" i="31"/>
  <c r="A28" i="31"/>
  <c r="A186" i="31"/>
  <c r="A236" i="31"/>
  <c r="A12" i="31"/>
  <c r="A264" i="31"/>
  <c r="A58" i="31"/>
  <c r="A119" i="31"/>
  <c r="A240" i="31"/>
  <c r="A201" i="31"/>
  <c r="A283" i="31"/>
  <c r="A134" i="31"/>
  <c r="A139" i="31"/>
  <c r="A285" i="31"/>
  <c r="A160" i="31"/>
  <c r="A113" i="31"/>
  <c r="A180" i="31"/>
  <c r="A120" i="31"/>
  <c r="A26" i="31"/>
  <c r="A68" i="31"/>
  <c r="A197" i="31"/>
  <c r="A200" i="31"/>
  <c r="A94" i="31"/>
  <c r="A151" i="31"/>
  <c r="A99" i="31"/>
  <c r="A263" i="31"/>
  <c r="A278" i="31"/>
  <c r="A75" i="31"/>
  <c r="A8" i="31"/>
  <c r="A46" i="31"/>
  <c r="A126" i="31"/>
  <c r="A159" i="31"/>
  <c r="A83" i="31"/>
  <c r="A280" i="31"/>
  <c r="A13" i="31"/>
  <c r="A114" i="31"/>
  <c r="A258" i="31"/>
  <c r="A145" i="31"/>
  <c r="A82" i="31"/>
  <c r="A192" i="31"/>
  <c r="A109" i="31"/>
  <c r="A198" i="31"/>
  <c r="A166" i="31"/>
  <c r="A112" i="31"/>
  <c r="A66" i="31"/>
  <c r="A147" i="31"/>
  <c r="A133" i="31"/>
  <c r="A269" i="31"/>
  <c r="A272" i="31"/>
  <c r="A104" i="31"/>
  <c r="A39" i="31"/>
  <c r="A95" i="31"/>
  <c r="A183" i="31"/>
  <c r="A179" i="31"/>
  <c r="A206" i="31"/>
  <c r="A149" i="31"/>
  <c r="A214" i="31"/>
  <c r="A260" i="31"/>
  <c r="A176" i="31"/>
  <c r="A87" i="31"/>
  <c r="A25" i="31"/>
  <c r="A129" i="31"/>
  <c r="A33" i="31"/>
  <c r="A85" i="31"/>
  <c r="A142" i="31"/>
  <c r="A124" i="31"/>
  <c r="A118" i="31"/>
  <c r="A41" i="31"/>
  <c r="A23" i="31"/>
  <c r="A102" i="31"/>
  <c r="A30" i="31"/>
  <c r="A84" i="31"/>
  <c r="A71" i="31"/>
  <c r="A72" i="31"/>
  <c r="A153" i="31"/>
  <c r="A89" i="31"/>
  <c r="A79" i="31"/>
  <c r="A226" i="31"/>
  <c r="A7" i="31"/>
  <c r="A106" i="31"/>
  <c r="A22" i="31"/>
  <c r="A155" i="31"/>
  <c r="A42" i="31"/>
  <c r="A19" i="31"/>
  <c r="A270" i="31"/>
  <c r="A105" i="31"/>
  <c r="A54" i="31"/>
  <c r="A9" i="31"/>
  <c r="A125" i="31"/>
  <c r="A52" i="31"/>
  <c r="A117" i="31"/>
  <c r="A143" i="31"/>
  <c r="A148" i="31"/>
  <c r="A92" i="31"/>
  <c r="A38" i="31"/>
  <c r="A32" i="31"/>
  <c r="A242" i="31"/>
  <c r="A156" i="31"/>
  <c r="A5" i="31"/>
  <c r="A107" i="31"/>
  <c r="A152" i="31"/>
  <c r="A98" i="31"/>
  <c r="A261" i="31"/>
  <c r="A115" i="31"/>
  <c r="A44" i="31"/>
  <c r="A241" i="31"/>
  <c r="A268" i="31"/>
  <c r="A271" i="31"/>
  <c r="A274" i="31"/>
  <c r="A262" i="31"/>
  <c r="A255" i="31"/>
  <c r="A249" i="31"/>
  <c r="A251" i="31"/>
  <c r="A308" i="31"/>
  <c r="A307" i="31"/>
  <c r="A306" i="31"/>
  <c r="A305" i="31"/>
  <c r="A304" i="31"/>
  <c r="A303" i="31"/>
  <c r="A302" i="31"/>
  <c r="A301" i="31"/>
  <c r="A300" i="31"/>
  <c r="A299" i="31"/>
  <c r="A298" i="31"/>
  <c r="A297" i="31"/>
  <c r="A296" i="31"/>
  <c r="A295" i="31"/>
  <c r="A294" i="31"/>
  <c r="A293" i="31"/>
  <c r="A292" i="31"/>
  <c r="A291" i="31"/>
  <c r="A290" i="31"/>
  <c r="A289" i="31"/>
  <c r="A288" i="31"/>
  <c r="A287" i="31"/>
  <c r="A286" i="31"/>
  <c r="A254" i="31"/>
  <c r="A253" i="31"/>
  <c r="A252" i="31"/>
  <c r="A250" i="31"/>
  <c r="A248" i="31"/>
  <c r="A246" i="31"/>
  <c r="A245" i="31"/>
  <c r="A243" i="31"/>
  <c r="A239" i="31"/>
  <c r="A237" i="31"/>
  <c r="A235" i="31"/>
  <c r="A234" i="31"/>
  <c r="A233" i="31"/>
  <c r="A232" i="31"/>
  <c r="A231" i="31"/>
  <c r="A230" i="31"/>
  <c r="A229" i="31"/>
  <c r="A228" i="31"/>
  <c r="A227" i="31"/>
  <c r="A225" i="31"/>
  <c r="A224" i="31"/>
  <c r="A223" i="31"/>
  <c r="A222" i="31"/>
  <c r="A221" i="31"/>
  <c r="A220" i="31"/>
  <c r="A219" i="31"/>
  <c r="A217" i="31"/>
  <c r="A216" i="31"/>
  <c r="A215" i="31"/>
  <c r="A213" i="31"/>
  <c r="A212" i="31"/>
  <c r="A209" i="31"/>
  <c r="A207" i="31"/>
  <c r="A205" i="31"/>
  <c r="A204" i="31"/>
  <c r="A203" i="31"/>
  <c r="A202" i="31"/>
  <c r="A195" i="31"/>
  <c r="A194" i="31"/>
  <c r="A190" i="31"/>
  <c r="A189" i="31"/>
  <c r="A188" i="31"/>
  <c r="A185" i="31"/>
  <c r="A184" i="31"/>
  <c r="A182" i="31"/>
  <c r="A181" i="31"/>
  <c r="A178" i="31"/>
  <c r="A177" i="31"/>
  <c r="A175" i="31"/>
  <c r="A174" i="31"/>
  <c r="A172" i="31"/>
  <c r="A171" i="31"/>
  <c r="A170" i="31"/>
  <c r="A168" i="31"/>
  <c r="A167" i="31"/>
  <c r="A165" i="31"/>
  <c r="A163" i="31"/>
  <c r="A327" i="31"/>
  <c r="A326" i="31"/>
  <c r="A325" i="31"/>
  <c r="A324" i="31"/>
  <c r="A323" i="31"/>
  <c r="A322" i="31"/>
  <c r="A321" i="31"/>
  <c r="A320" i="31"/>
  <c r="A319" i="31"/>
  <c r="A318" i="31"/>
  <c r="A317" i="31"/>
  <c r="A316" i="31"/>
  <c r="A315" i="31"/>
  <c r="A314" i="31"/>
  <c r="A313" i="31"/>
  <c r="A312" i="31"/>
  <c r="A311" i="31"/>
  <c r="A310" i="31"/>
  <c r="A309" i="31"/>
  <c r="A37" i="32"/>
  <c r="A317" i="32"/>
  <c r="A329" i="32"/>
  <c r="A318" i="32"/>
  <c r="A320" i="32"/>
  <c r="A349" i="32"/>
  <c r="A341" i="32"/>
  <c r="A334" i="32"/>
  <c r="A351" i="32"/>
  <c r="A335" i="32"/>
  <c r="A332" i="32"/>
  <c r="A348" i="32"/>
  <c r="A117" i="32"/>
  <c r="A371" i="32"/>
  <c r="A397" i="32"/>
  <c r="A355" i="32"/>
  <c r="A352" i="32"/>
  <c r="A376" i="32"/>
  <c r="A87" i="32"/>
  <c r="A369" i="32"/>
  <c r="A412" i="32"/>
  <c r="A197" i="32"/>
  <c r="A84" i="32"/>
  <c r="A148" i="32"/>
  <c r="A214" i="32"/>
  <c r="A219" i="32"/>
  <c r="A236" i="32"/>
  <c r="A208" i="32"/>
  <c r="A235" i="32"/>
  <c r="A233" i="32"/>
  <c r="A260" i="32"/>
  <c r="A257" i="32"/>
  <c r="A272" i="32"/>
  <c r="A269" i="32"/>
  <c r="A273" i="32"/>
  <c r="A305" i="32"/>
  <c r="A402" i="32"/>
  <c r="A422" i="32"/>
  <c r="A448" i="32"/>
  <c r="A20" i="32"/>
  <c r="A41" i="32"/>
  <c r="A48" i="32"/>
  <c r="A56" i="32"/>
  <c r="A59" i="32"/>
  <c r="A62" i="32"/>
  <c r="A68" i="32"/>
  <c r="A70" i="32"/>
  <c r="A98" i="32"/>
  <c r="A96" i="32"/>
  <c r="A129" i="32"/>
  <c r="A140" i="32"/>
  <c r="A170" i="32"/>
  <c r="A177" i="32"/>
  <c r="A182" i="32"/>
  <c r="A248" i="32"/>
  <c r="A202" i="32"/>
  <c r="A168" i="32"/>
  <c r="A246" i="32"/>
  <c r="A243" i="32"/>
  <c r="A366" i="32"/>
  <c r="A302" i="32"/>
  <c r="A385" i="32"/>
  <c r="A462" i="32"/>
  <c r="A486" i="32"/>
  <c r="A494" i="32"/>
  <c r="A472" i="32"/>
  <c r="A493" i="32"/>
  <c r="A477" i="32"/>
  <c r="A434" i="32"/>
  <c r="A415" i="32"/>
  <c r="A428" i="32"/>
  <c r="A501" i="32"/>
  <c r="A300" i="32"/>
  <c r="A5" i="32"/>
  <c r="A507" i="32"/>
  <c r="A10" i="32"/>
  <c r="A28" i="32"/>
  <c r="A31" i="32"/>
  <c r="A374" i="32"/>
  <c r="A26" i="32"/>
  <c r="A18" i="32"/>
  <c r="A354" i="32"/>
  <c r="A290" i="32"/>
  <c r="A343" i="32"/>
  <c r="A356" i="32"/>
  <c r="A205" i="32"/>
  <c r="A467" i="32"/>
  <c r="A426" i="32"/>
  <c r="A427" i="32"/>
  <c r="A429" i="32"/>
  <c r="A431" i="32"/>
  <c r="A432" i="32"/>
  <c r="A433" i="32"/>
  <c r="A435" i="32"/>
  <c r="A6" i="32"/>
  <c r="A24" i="32"/>
  <c r="A27" i="32"/>
  <c r="A36" i="32"/>
  <c r="A39" i="32"/>
  <c r="A45" i="32"/>
  <c r="A44" i="32"/>
  <c r="A47" i="32"/>
  <c r="A49" i="32"/>
  <c r="A50" i="32"/>
  <c r="A51" i="32"/>
  <c r="A55" i="32"/>
  <c r="A54" i="32"/>
  <c r="A53" i="32"/>
  <c r="A52" i="32"/>
  <c r="A63" i="32"/>
  <c r="A81" i="32"/>
  <c r="A85" i="32"/>
  <c r="A75" i="32"/>
  <c r="A94" i="32"/>
  <c r="A95" i="32"/>
  <c r="A101" i="32"/>
  <c r="A102" i="32"/>
  <c r="A104" i="32"/>
  <c r="A106" i="32"/>
  <c r="A132" i="32"/>
  <c r="A143" i="32"/>
  <c r="A157" i="32"/>
  <c r="A158" i="32"/>
  <c r="A265" i="32"/>
  <c r="A100" i="32"/>
  <c r="A93" i="32"/>
  <c r="A122" i="32"/>
  <c r="A128" i="32"/>
  <c r="A244" i="32"/>
  <c r="A323" i="32"/>
  <c r="A315" i="32"/>
  <c r="A459" i="32"/>
  <c r="A464" i="32"/>
  <c r="A476" i="32"/>
  <c r="A478" i="32"/>
  <c r="A482" i="32"/>
  <c r="A487" i="32"/>
  <c r="A490" i="32"/>
  <c r="A495" i="32"/>
  <c r="A496" i="32"/>
  <c r="A497" i="32"/>
  <c r="A498" i="32"/>
  <c r="A103" i="32"/>
  <c r="A108" i="32"/>
  <c r="A220" i="32"/>
  <c r="A226" i="32"/>
  <c r="A223" i="32"/>
  <c r="A229" i="32"/>
  <c r="A237" i="32"/>
  <c r="A240" i="32"/>
  <c r="A241" i="32"/>
  <c r="A258" i="32"/>
  <c r="A254" i="32"/>
  <c r="A264" i="32"/>
  <c r="A267" i="32"/>
  <c r="A275" i="32"/>
  <c r="A282" i="32"/>
  <c r="A287" i="32"/>
  <c r="A291" i="32"/>
  <c r="A281" i="32"/>
  <c r="A294" i="32"/>
  <c r="A295" i="32"/>
  <c r="A296" i="32"/>
  <c r="A78" i="32"/>
  <c r="A312" i="32"/>
  <c r="A411" i="32"/>
  <c r="A389" i="32"/>
  <c r="A266" i="32"/>
  <c r="A469" i="32"/>
  <c r="A270" i="32"/>
  <c r="A418" i="32"/>
  <c r="A304" i="32"/>
  <c r="A110" i="32"/>
  <c r="A179" i="32"/>
  <c r="A491" i="32"/>
  <c r="A473" i="32"/>
  <c r="A314" i="32"/>
  <c r="A171" i="32"/>
  <c r="A134" i="32"/>
  <c r="A88" i="32"/>
  <c r="A82" i="32"/>
  <c r="A293" i="32"/>
  <c r="A430" i="32"/>
  <c r="A489" i="32"/>
  <c r="A17" i="32"/>
  <c r="A488" i="32"/>
  <c r="A310" i="32"/>
  <c r="A316" i="32"/>
  <c r="A380" i="32"/>
  <c r="A485" i="32"/>
  <c r="A479" i="32"/>
  <c r="A330" i="32"/>
  <c r="A423" i="32"/>
  <c r="A381" i="32"/>
  <c r="A252" i="32"/>
  <c r="A164" i="32"/>
  <c r="A72" i="32"/>
  <c r="A350" i="32"/>
  <c r="A445" i="32"/>
  <c r="A217" i="32"/>
  <c r="A60" i="32"/>
  <c r="A136" i="32"/>
  <c r="A131" i="32"/>
  <c r="A358" i="32"/>
  <c r="A449" i="32"/>
  <c r="A408" i="32"/>
  <c r="A500" i="32"/>
  <c r="A185" i="32"/>
  <c r="A303" i="32"/>
  <c r="A149" i="32"/>
  <c r="A375" i="32"/>
  <c r="A109" i="32"/>
  <c r="A274" i="32"/>
  <c r="A378" i="32"/>
  <c r="A413" i="32"/>
  <c r="A97" i="32"/>
  <c r="A504" i="32"/>
  <c r="A133" i="32"/>
  <c r="A231" i="32"/>
  <c r="A250" i="32"/>
  <c r="A285" i="32"/>
  <c r="A414" i="32"/>
  <c r="A262" i="32"/>
  <c r="A146" i="32"/>
  <c r="A261" i="32"/>
  <c r="A457" i="32"/>
  <c r="A191" i="32"/>
  <c r="A113" i="32"/>
  <c r="A458" i="32"/>
  <c r="A440" i="32"/>
  <c r="A499" i="32"/>
  <c r="A180" i="32"/>
  <c r="A89" i="32"/>
  <c r="A492" i="32"/>
  <c r="A259" i="32"/>
  <c r="A277" i="32"/>
  <c r="A193" i="32"/>
  <c r="A120" i="32"/>
  <c r="A57" i="32"/>
  <c r="A425" i="32"/>
  <c r="A73" i="32"/>
  <c r="A83" i="32"/>
  <c r="A201" i="32"/>
  <c r="A65" i="32"/>
  <c r="A475" i="32"/>
  <c r="A322" i="32"/>
  <c r="A116" i="32"/>
  <c r="A451" i="32"/>
  <c r="A58" i="32"/>
  <c r="A107" i="32"/>
  <c r="A118" i="32"/>
  <c r="A43" i="32"/>
  <c r="A284" i="32"/>
  <c r="A86" i="32"/>
  <c r="A35" i="32"/>
  <c r="A190" i="32"/>
  <c r="A407" i="32"/>
  <c r="A139" i="32"/>
  <c r="A105" i="32"/>
  <c r="A25" i="32"/>
  <c r="A174" i="32"/>
  <c r="A40" i="32"/>
  <c r="A114" i="32"/>
  <c r="A119" i="32"/>
  <c r="A192" i="32"/>
  <c r="A4" i="32"/>
  <c r="A141" i="32"/>
  <c r="A446" i="32"/>
  <c r="A227" i="32"/>
  <c r="A283" i="32"/>
  <c r="A454" i="32"/>
  <c r="A138" i="32"/>
  <c r="A247" i="32"/>
  <c r="A251" i="32"/>
  <c r="A225" i="32"/>
  <c r="A199" i="32"/>
  <c r="A38" i="32"/>
  <c r="A311" i="32"/>
  <c r="A463" i="32"/>
  <c r="A222" i="32"/>
  <c r="A308" i="32"/>
  <c r="A321" i="32"/>
  <c r="A160" i="32"/>
  <c r="A367" i="32"/>
  <c r="A218" i="32"/>
  <c r="A278" i="32"/>
  <c r="A505" i="32"/>
  <c r="A391" i="32"/>
  <c r="A255" i="32"/>
  <c r="A379" i="32"/>
  <c r="A125" i="32"/>
  <c r="A298" i="32"/>
  <c r="A242" i="32"/>
  <c r="A398" i="32"/>
  <c r="A172" i="32"/>
  <c r="A483" i="32"/>
  <c r="A400" i="32"/>
  <c r="A176" i="32"/>
  <c r="A163" i="32"/>
  <c r="A368" i="32"/>
  <c r="A29" i="32"/>
  <c r="A32" i="32"/>
  <c r="A13" i="32"/>
  <c r="A161" i="32"/>
  <c r="A124" i="32"/>
  <c r="A309" i="32"/>
  <c r="A159" i="32"/>
  <c r="A121" i="32"/>
  <c r="A386" i="32"/>
  <c r="A203" i="32"/>
  <c r="A178" i="32"/>
  <c r="A444" i="32"/>
  <c r="A154" i="32"/>
  <c r="A253" i="32"/>
  <c r="A71" i="32"/>
  <c r="A403" i="32"/>
  <c r="A307" i="32"/>
  <c r="A419" i="32"/>
  <c r="A279" i="32"/>
  <c r="A396" i="32"/>
  <c r="A256" i="32"/>
  <c r="A211" i="32"/>
  <c r="A401" i="32"/>
  <c r="A288" i="32"/>
  <c r="A123" i="32"/>
  <c r="A80" i="32"/>
  <c r="A147" i="32"/>
  <c r="A224" i="32"/>
  <c r="A405" i="32"/>
  <c r="A460" i="32"/>
  <c r="A325" i="32"/>
  <c r="A165" i="32"/>
  <c r="A167" i="32"/>
  <c r="A232" i="32"/>
  <c r="A99" i="32"/>
  <c r="A152" i="32"/>
  <c r="A399" i="32"/>
  <c r="A230" i="32"/>
  <c r="A239" i="32"/>
  <c r="A263" i="32"/>
  <c r="A345" i="32"/>
  <c r="A126" i="32"/>
  <c r="A461" i="32"/>
  <c r="A9" i="32"/>
  <c r="A153" i="32"/>
  <c r="A210" i="32"/>
  <c r="A346" i="32"/>
  <c r="A424" i="32"/>
  <c r="A452" i="32"/>
  <c r="A364" i="32"/>
  <c r="A443" i="32"/>
  <c r="A360" i="32"/>
  <c r="A441" i="32"/>
  <c r="A209" i="32"/>
  <c r="A245" i="32"/>
  <c r="A77" i="32"/>
  <c r="A286" i="32"/>
  <c r="A206" i="32"/>
  <c r="A481" i="32"/>
  <c r="A342" i="32"/>
  <c r="A91" i="32"/>
  <c r="A336" i="32"/>
  <c r="A8" i="32"/>
  <c r="A61" i="32"/>
  <c r="A238" i="32"/>
  <c r="A436" i="32"/>
  <c r="A439" i="32"/>
  <c r="A112" i="32"/>
  <c r="A465" i="32"/>
  <c r="A92" i="32"/>
  <c r="A382" i="32"/>
  <c r="A438" i="32"/>
  <c r="A383" i="32"/>
  <c r="A301" i="32"/>
  <c r="A90" i="32"/>
  <c r="A387" i="32"/>
  <c r="A484" i="32"/>
  <c r="A324" i="32"/>
  <c r="A447" i="32"/>
  <c r="A213" i="32"/>
  <c r="A456" i="32"/>
  <c r="A455" i="32"/>
  <c r="A22" i="32"/>
  <c r="A151" i="32"/>
  <c r="A466" i="32"/>
  <c r="A299" i="32"/>
  <c r="A189" i="32"/>
  <c r="A271" i="32"/>
  <c r="A394" i="32"/>
  <c r="A292" i="32"/>
  <c r="A306" i="32"/>
  <c r="A395" i="32"/>
  <c r="A453" i="32"/>
  <c r="A228" i="32"/>
  <c r="A268" i="32"/>
  <c r="A416" i="32"/>
  <c r="A373" i="32"/>
  <c r="A480" i="32"/>
  <c r="A181" i="32"/>
  <c r="A194" i="32"/>
  <c r="A384" i="32"/>
  <c r="A142" i="32"/>
  <c r="A289" i="32"/>
  <c r="A442" i="32"/>
  <c r="A468" i="32"/>
  <c r="A23" i="32"/>
  <c r="A212" i="32"/>
  <c r="A392" i="32"/>
  <c r="A30" i="32"/>
  <c r="A127" i="32"/>
  <c r="A175" i="32"/>
  <c r="A156" i="32"/>
  <c r="A502" i="32"/>
  <c r="A76" i="32"/>
  <c r="A144" i="32"/>
  <c r="A216" i="32"/>
  <c r="A111" i="32"/>
  <c r="A340" i="32"/>
  <c r="A150" i="32"/>
  <c r="A470" i="32"/>
  <c r="A506" i="32"/>
  <c r="A406" i="32"/>
  <c r="A207" i="32"/>
  <c r="A173" i="32"/>
  <c r="A388" i="32"/>
  <c r="A79" i="32"/>
  <c r="A169" i="32"/>
  <c r="A12" i="32"/>
  <c r="A331" i="32"/>
  <c r="A339" i="32"/>
  <c r="A363" i="32"/>
  <c r="A234" i="32"/>
  <c r="A333" i="32"/>
  <c r="A198" i="32"/>
  <c r="A2" i="32"/>
  <c r="A338" i="32"/>
  <c r="A404" i="32"/>
  <c r="A34" i="32"/>
  <c r="A162" i="32"/>
  <c r="A195" i="32"/>
  <c r="A69" i="32"/>
  <c r="A184" i="32"/>
  <c r="A166" i="32"/>
  <c r="A187" i="32"/>
  <c r="A249" i="32"/>
  <c r="A393" i="32"/>
  <c r="A74" i="32"/>
  <c r="A370" i="32"/>
  <c r="A377" i="32"/>
  <c r="A221" i="32"/>
  <c r="A390" i="32"/>
  <c r="A328" i="32"/>
  <c r="A33" i="32"/>
  <c r="A215" i="32"/>
  <c r="A474" i="32"/>
  <c r="A115" i="32"/>
  <c r="A359" i="32"/>
  <c r="A410" i="32"/>
  <c r="A409" i="32"/>
  <c r="A135" i="32"/>
  <c r="A130" i="32"/>
  <c r="A276" i="32"/>
  <c r="A450" i="32"/>
  <c r="A313" i="32"/>
  <c r="A337" i="32"/>
  <c r="A145" i="32"/>
  <c r="A67" i="32"/>
  <c r="A326" i="32"/>
  <c r="A66" i="32"/>
  <c r="A64" i="32"/>
  <c r="A365" i="32"/>
  <c r="A297" i="32"/>
  <c r="A204" i="32"/>
  <c r="A7" i="32"/>
  <c r="A188" i="32"/>
  <c r="A21" i="32"/>
  <c r="A347" i="32"/>
  <c r="A137" i="32"/>
  <c r="A372" i="32"/>
  <c r="A471" i="32"/>
  <c r="A353" i="32"/>
  <c r="A421" i="32"/>
  <c r="A362" i="32"/>
  <c r="A42" i="32"/>
  <c r="A344" i="32"/>
  <c r="A200" i="32"/>
  <c r="A196" i="32"/>
  <c r="A11" i="32"/>
  <c r="A327" i="32"/>
  <c r="A19" i="32"/>
  <c r="A15" i="32"/>
  <c r="A183" i="32"/>
  <c r="A155" i="32"/>
  <c r="A186" i="32"/>
  <c r="A361" i="32"/>
  <c r="A319" i="32"/>
  <c r="A46" i="32"/>
  <c r="A357" i="32"/>
  <c r="A417" i="32"/>
  <c r="A420" i="32"/>
  <c r="A503" i="32"/>
  <c r="A16" i="32"/>
  <c r="A14" i="32"/>
  <c r="A280" i="32"/>
  <c r="Z32" i="3"/>
  <c r="Z38" i="3"/>
  <c r="Z35" i="3"/>
  <c r="Z102" i="3"/>
  <c r="Z108" i="3"/>
  <c r="Z21" i="3"/>
  <c r="E55" i="28" s="1"/>
  <c r="Z74" i="3"/>
  <c r="Z109" i="3"/>
  <c r="Z111" i="3"/>
  <c r="Z58" i="3"/>
  <c r="Z112" i="3"/>
  <c r="Z169" i="4"/>
  <c r="Z170" i="4"/>
  <c r="Z171" i="4"/>
  <c r="Z172" i="4"/>
  <c r="Z173" i="4"/>
  <c r="Z174" i="4"/>
  <c r="Z175" i="4"/>
  <c r="Z176" i="4"/>
  <c r="Z177" i="4"/>
  <c r="Z178" i="4"/>
  <c r="Z179" i="4"/>
  <c r="Z180" i="4"/>
  <c r="Z181" i="4"/>
  <c r="Z182" i="4"/>
  <c r="Z183" i="4"/>
  <c r="Z184" i="4"/>
  <c r="Z185" i="4"/>
  <c r="Z186" i="4"/>
  <c r="Z187" i="4"/>
  <c r="Z188" i="4"/>
  <c r="Z189" i="4"/>
  <c r="Z190" i="4"/>
  <c r="Z191" i="4"/>
  <c r="Z192" i="4"/>
  <c r="Z193" i="4"/>
  <c r="Z194" i="4"/>
  <c r="Z195" i="4"/>
  <c r="Z196" i="4"/>
  <c r="Z197" i="4"/>
  <c r="Z198" i="4"/>
  <c r="Z199" i="4"/>
  <c r="Z200" i="4"/>
  <c r="Z201" i="4"/>
  <c r="Z202" i="4"/>
  <c r="Z203" i="4"/>
  <c r="Z204" i="4"/>
  <c r="Z211" i="4"/>
  <c r="Z210" i="4"/>
  <c r="Z209" i="4"/>
  <c r="Z208" i="4"/>
  <c r="Z207" i="4"/>
  <c r="Z206" i="4"/>
  <c r="Z205" i="4"/>
  <c r="Z75" i="2"/>
  <c r="Z76" i="2"/>
  <c r="Z77" i="2"/>
  <c r="Z78" i="2"/>
  <c r="Z79" i="2"/>
  <c r="Z80" i="2"/>
  <c r="Z81" i="2"/>
  <c r="Z82" i="2"/>
  <c r="Z83" i="2"/>
  <c r="Z84" i="2"/>
  <c r="Z85" i="2"/>
  <c r="Z20" i="3"/>
  <c r="E54" i="28" s="1"/>
  <c r="Z28" i="3"/>
  <c r="E62" i="28" s="1"/>
  <c r="Z89" i="3"/>
  <c r="Z71" i="3"/>
  <c r="Z59" i="3"/>
  <c r="Z88" i="3"/>
  <c r="Z14" i="3"/>
  <c r="E48" i="28" s="1"/>
  <c r="Z87" i="3"/>
  <c r="Z41" i="3"/>
  <c r="Z63" i="3"/>
  <c r="Z76" i="3"/>
  <c r="Z66" i="3"/>
  <c r="Z52" i="3"/>
  <c r="Z95" i="3"/>
  <c r="Z16" i="3"/>
  <c r="E50" i="28" s="1"/>
  <c r="Z73" i="3"/>
  <c r="Z23" i="3"/>
  <c r="Z70" i="3"/>
  <c r="Z42" i="3"/>
  <c r="Z106" i="3"/>
  <c r="Z43" i="3"/>
  <c r="Z37" i="3"/>
  <c r="Z46" i="3"/>
  <c r="Z49" i="3"/>
  <c r="Z110" i="3"/>
  <c r="Z85" i="3"/>
  <c r="Z92" i="3"/>
  <c r="Z77" i="3"/>
  <c r="Z96" i="3"/>
  <c r="Z13" i="3"/>
  <c r="E47" i="28" s="1"/>
  <c r="Z86" i="3"/>
  <c r="Z60" i="3"/>
  <c r="Z72" i="3"/>
  <c r="Z53" i="3"/>
  <c r="Z44" i="3"/>
  <c r="Z91" i="3"/>
  <c r="Z94" i="3"/>
  <c r="Z97" i="3"/>
  <c r="Z57" i="3"/>
  <c r="Z40" i="3"/>
  <c r="Z68" i="3"/>
  <c r="Z67" i="3"/>
  <c r="Z79" i="3"/>
  <c r="Z69" i="3"/>
  <c r="Z27" i="3"/>
  <c r="E61" i="28" s="1"/>
  <c r="Z55" i="3"/>
  <c r="Z99" i="3"/>
  <c r="Z19" i="3"/>
  <c r="E53" i="28" s="1"/>
  <c r="Z45" i="3"/>
  <c r="Z39" i="3"/>
  <c r="Z22" i="3"/>
  <c r="Z15" i="3"/>
  <c r="E49" i="28" s="1"/>
  <c r="Z56" i="3"/>
  <c r="Z107" i="3"/>
  <c r="Z78" i="3"/>
  <c r="Z90" i="3"/>
  <c r="AA98" i="5"/>
  <c r="Z13" i="4"/>
  <c r="W15" i="28" s="1"/>
  <c r="Z121" i="4"/>
  <c r="Z41" i="4"/>
  <c r="W43" i="28" s="1"/>
  <c r="Z28" i="2"/>
  <c r="Z33" i="2"/>
  <c r="Z39" i="2"/>
  <c r="Z13" i="2"/>
  <c r="Z35" i="2"/>
  <c r="Z145" i="4"/>
  <c r="Z54" i="2"/>
  <c r="Z14" i="2"/>
  <c r="Z15" i="2"/>
  <c r="Z32" i="2"/>
  <c r="Z50" i="2"/>
  <c r="Z24" i="2"/>
  <c r="Z149" i="4"/>
  <c r="Z74" i="2"/>
  <c r="Z6" i="2"/>
  <c r="Z23" i="2"/>
  <c r="Z7" i="2"/>
  <c r="Z70" i="2"/>
  <c r="Z26" i="2"/>
  <c r="Z64" i="2"/>
  <c r="Z49" i="2"/>
  <c r="Z4" i="2"/>
  <c r="Z65" i="2"/>
  <c r="Z47" i="2"/>
  <c r="Z36" i="2"/>
  <c r="Z68" i="2"/>
  <c r="Z56" i="2"/>
  <c r="Z41" i="2"/>
  <c r="Z45" i="2"/>
  <c r="Z53" i="2"/>
  <c r="Z3" i="2"/>
  <c r="Z21" i="2"/>
  <c r="Z16" i="2"/>
  <c r="Z19" i="2"/>
  <c r="Z58" i="2"/>
  <c r="Z25" i="2"/>
  <c r="Z31" i="2"/>
  <c r="Z57" i="2"/>
  <c r="Z29" i="2"/>
  <c r="D13" i="1"/>
  <c r="D17" i="1" s="1"/>
  <c r="Z12" i="2"/>
  <c r="Z46" i="4"/>
  <c r="W48" i="28" s="1"/>
  <c r="Z132" i="4"/>
  <c r="Z89" i="4"/>
  <c r="Z53" i="4"/>
  <c r="W55" i="28" s="1"/>
  <c r="Z51" i="4"/>
  <c r="W53" i="28" s="1"/>
  <c r="Z126" i="4"/>
  <c r="Z92" i="4"/>
  <c r="Z22" i="4"/>
  <c r="W24" i="28" s="1"/>
  <c r="Z84" i="4"/>
  <c r="Z5" i="2"/>
  <c r="Z52" i="2"/>
  <c r="Z59" i="2"/>
  <c r="Z72" i="2"/>
  <c r="Z71" i="2"/>
  <c r="Z11" i="2"/>
  <c r="Z48" i="2"/>
  <c r="Z166" i="4"/>
  <c r="Z119" i="4"/>
  <c r="Z125" i="4"/>
  <c r="Z65" i="4"/>
  <c r="Z118" i="4"/>
  <c r="Z25" i="4"/>
  <c r="W27" i="28" s="1"/>
  <c r="Z63" i="4"/>
  <c r="Z129" i="4"/>
  <c r="Z90" i="4"/>
  <c r="Z82" i="4"/>
  <c r="Z52" i="4"/>
  <c r="W54" i="28" s="1"/>
  <c r="Z57" i="4"/>
  <c r="Z98" i="4"/>
  <c r="Z18" i="4"/>
  <c r="W20" i="28" s="1"/>
  <c r="Z18" i="2"/>
  <c r="Z38" i="2"/>
  <c r="Z34" i="2"/>
  <c r="Z9" i="2"/>
  <c r="Z17" i="2"/>
  <c r="Z69" i="2"/>
  <c r="Z124" i="4"/>
  <c r="Z64" i="4"/>
  <c r="Z155" i="4"/>
  <c r="Z19" i="4"/>
  <c r="W21" i="28" s="1"/>
  <c r="Z141" i="4"/>
  <c r="Z122" i="4"/>
  <c r="Z113" i="4"/>
  <c r="Z34" i="4"/>
  <c r="W36" i="28" s="1"/>
  <c r="Z39" i="4"/>
  <c r="W41" i="28" s="1"/>
  <c r="Z6" i="4"/>
  <c r="W8" i="28" s="1"/>
  <c r="Z68" i="4"/>
  <c r="Z148" i="4"/>
  <c r="Z146" i="4"/>
  <c r="Z32" i="4"/>
  <c r="W34" i="28" s="1"/>
  <c r="Z44" i="2"/>
  <c r="Z66" i="2"/>
  <c r="Z20" i="2"/>
  <c r="Z63" i="2"/>
  <c r="Z10" i="2"/>
  <c r="Z60" i="2"/>
  <c r="Z55" i="4"/>
  <c r="W57" i="28" s="1"/>
  <c r="Z58" i="4"/>
  <c r="Z42" i="4"/>
  <c r="Z67" i="4"/>
  <c r="Z105" i="4"/>
  <c r="Z159" i="4"/>
  <c r="Z77" i="4"/>
  <c r="Z30" i="4"/>
  <c r="Z70" i="4"/>
  <c r="Z28" i="4"/>
  <c r="Z150" i="4"/>
  <c r="Z164" i="4"/>
  <c r="Z101" i="4"/>
  <c r="Z143" i="4"/>
  <c r="Z86" i="4"/>
  <c r="Z69" i="4"/>
  <c r="Z81" i="4"/>
  <c r="Z59" i="4"/>
  <c r="W61" i="28" s="1"/>
  <c r="Z167" i="4"/>
  <c r="Z43" i="4"/>
  <c r="Z54" i="4"/>
  <c r="W56" i="28" s="1"/>
  <c r="Z163" i="4"/>
  <c r="Z138" i="4"/>
  <c r="Z165" i="4"/>
  <c r="Z38" i="4"/>
  <c r="W40" i="28" s="1"/>
  <c r="Z139" i="4"/>
  <c r="Z80" i="4"/>
  <c r="Z156" i="4"/>
  <c r="Z152" i="4"/>
  <c r="Z40" i="4"/>
  <c r="Z66" i="4"/>
  <c r="Z95" i="4"/>
  <c r="Z97" i="4"/>
  <c r="Z135" i="4"/>
  <c r="Z104" i="4"/>
  <c r="Z9" i="4"/>
  <c r="W11" i="28" s="1"/>
  <c r="Z162" i="4"/>
  <c r="Z161" i="4"/>
  <c r="Z37" i="4"/>
  <c r="W39" i="28" s="1"/>
  <c r="Z20" i="4"/>
  <c r="W22" i="28" s="1"/>
  <c r="Z128" i="4"/>
  <c r="Z51" i="2"/>
  <c r="Z67" i="2"/>
  <c r="Z42" i="2"/>
  <c r="Z94" i="4"/>
  <c r="Z79" i="4"/>
  <c r="Z131" i="4"/>
  <c r="Z7" i="4"/>
  <c r="W9" i="28" s="1"/>
  <c r="Z87" i="4"/>
  <c r="Z85" i="4"/>
  <c r="Z71" i="4"/>
  <c r="Z115" i="4"/>
  <c r="Z50" i="4"/>
  <c r="W52" i="28" s="1"/>
  <c r="Z114" i="4"/>
  <c r="Z136" i="4"/>
  <c r="Z144" i="4"/>
  <c r="Z108" i="4"/>
  <c r="Z40" i="2"/>
  <c r="Z46" i="2"/>
  <c r="Z61" i="2"/>
  <c r="Z43" i="2"/>
  <c r="Z27" i="2"/>
  <c r="Z62" i="2"/>
  <c r="Z5" i="4"/>
  <c r="W7" i="28" s="1"/>
  <c r="Z160" i="4"/>
  <c r="Z21" i="4"/>
  <c r="W23" i="28" s="1"/>
  <c r="Z24" i="4"/>
  <c r="W26" i="28" s="1"/>
  <c r="Z60" i="4"/>
  <c r="W62" i="28" s="1"/>
  <c r="Z140" i="4"/>
  <c r="Z11" i="4"/>
  <c r="Z99" i="4"/>
  <c r="Z14" i="4"/>
  <c r="W16" i="28" s="1"/>
  <c r="Z158" i="4"/>
  <c r="Z96" i="4"/>
  <c r="Z111" i="4"/>
  <c r="Z107" i="4"/>
  <c r="Z78" i="4"/>
  <c r="Z83" i="4"/>
  <c r="Z110" i="4"/>
  <c r="Z10" i="4"/>
  <c r="W12" i="28" s="1"/>
  <c r="Z134" i="4"/>
  <c r="Z61" i="4"/>
  <c r="Z75" i="4"/>
  <c r="Z151" i="4"/>
  <c r="Z116" i="4"/>
  <c r="Z35" i="4"/>
  <c r="W37" i="28" s="1"/>
  <c r="Z29" i="4"/>
  <c r="W31" i="28" s="1"/>
  <c r="Z88" i="4"/>
  <c r="Z36" i="4"/>
  <c r="W38" i="28" s="1"/>
  <c r="Z31" i="4"/>
  <c r="W33" i="28" s="1"/>
  <c r="Z73" i="4"/>
  <c r="Z73" i="2"/>
  <c r="Z30" i="2"/>
  <c r="Z22" i="2"/>
  <c r="Z55" i="2"/>
  <c r="Z8" i="2"/>
  <c r="Z37" i="2"/>
  <c r="Z91" i="4"/>
  <c r="Z44" i="4"/>
  <c r="Z137" i="4"/>
  <c r="Z153" i="4"/>
  <c r="Z16" i="4"/>
  <c r="W18" i="28" s="1"/>
  <c r="Z120" i="4"/>
  <c r="Z12" i="4"/>
  <c r="W14" i="28" s="1"/>
  <c r="Z102" i="4"/>
  <c r="Z49" i="4"/>
  <c r="W51" i="28" s="1"/>
  <c r="Z103" i="4"/>
  <c r="Z106" i="4"/>
  <c r="Z8" i="4"/>
  <c r="W10" i="28" s="1"/>
  <c r="Z15" i="4"/>
  <c r="W17" i="28" s="1"/>
  <c r="Z27" i="4"/>
  <c r="W29" i="28" s="1"/>
  <c r="Z48" i="4"/>
  <c r="W50" i="28" s="1"/>
  <c r="Z157" i="4"/>
  <c r="Z127" i="4"/>
  <c r="Z147" i="4"/>
  <c r="Z47" i="4"/>
  <c r="Z56" i="4"/>
  <c r="Z142" i="4"/>
  <c r="Z112" i="4"/>
  <c r="Z123" i="4"/>
  <c r="Z154" i="4"/>
  <c r="Z72" i="4"/>
  <c r="Z109" i="4"/>
  <c r="Z100" i="4"/>
  <c r="Z93" i="4"/>
  <c r="Z23" i="4"/>
  <c r="W25" i="28" s="1"/>
  <c r="Z133" i="4"/>
  <c r="Z3" i="4"/>
  <c r="W5" i="28" s="1"/>
  <c r="Z4" i="4"/>
  <c r="W6" i="28" s="1"/>
  <c r="Z62" i="4"/>
  <c r="W64" i="28" s="1"/>
  <c r="Z33" i="4"/>
  <c r="W35" i="28" s="1"/>
  <c r="Z76" i="4"/>
  <c r="Z26" i="4"/>
  <c r="W28" i="28" s="1"/>
  <c r="Z74" i="4"/>
  <c r="Z168" i="4"/>
  <c r="Z117" i="4"/>
  <c r="Z45" i="4"/>
  <c r="W47" i="28" s="1"/>
  <c r="Z17" i="4"/>
  <c r="Z130" i="4"/>
  <c r="N50" i="7"/>
  <c r="N598" i="7"/>
  <c r="N421" i="7"/>
  <c r="N607" i="7"/>
  <c r="N14" i="7"/>
  <c r="N417" i="7"/>
  <c r="N83" i="7"/>
  <c r="N205" i="7"/>
  <c r="N616" i="7"/>
  <c r="N374" i="7"/>
  <c r="N402" i="7"/>
  <c r="N593" i="7"/>
  <c r="N595" i="7"/>
  <c r="N347" i="7"/>
  <c r="N57" i="7"/>
  <c r="N606" i="7"/>
  <c r="N591" i="7"/>
  <c r="N343" i="7"/>
  <c r="N252" i="7"/>
  <c r="N19" i="7"/>
  <c r="N88" i="7"/>
  <c r="N169" i="7"/>
  <c r="N168" i="7"/>
  <c r="N389" i="7"/>
  <c r="N313" i="7"/>
  <c r="N361" i="7"/>
  <c r="N564" i="7"/>
  <c r="N138" i="7"/>
  <c r="N33" i="7"/>
  <c r="N276" i="7"/>
  <c r="N94" i="7"/>
  <c r="N17" i="7"/>
  <c r="N557" i="7"/>
  <c r="N520" i="7"/>
  <c r="N126" i="7"/>
  <c r="N115" i="7"/>
  <c r="N204" i="7"/>
  <c r="N407" i="7"/>
  <c r="N335" i="7"/>
  <c r="N146" i="7"/>
  <c r="N98" i="7"/>
  <c r="N306" i="7"/>
  <c r="N259" i="7"/>
  <c r="N159" i="7"/>
  <c r="N430" i="7"/>
  <c r="N199" i="7"/>
  <c r="N465" i="7"/>
  <c r="N481" i="7"/>
  <c r="N380" i="7"/>
  <c r="N71" i="7"/>
  <c r="N422" i="7"/>
  <c r="N162" i="7"/>
  <c r="N150" i="7"/>
  <c r="N403" i="7"/>
  <c r="N367" i="7"/>
  <c r="N518" i="7"/>
  <c r="N72" i="7"/>
  <c r="N488" i="7"/>
  <c r="N354" i="7"/>
  <c r="N137" i="7"/>
  <c r="N371" i="7"/>
  <c r="N611" i="7"/>
  <c r="N38" i="7"/>
  <c r="N596" i="7"/>
  <c r="N602" i="7"/>
  <c r="N581" i="7"/>
  <c r="N107" i="7"/>
  <c r="N399" i="7"/>
  <c r="N603" i="7"/>
  <c r="N575" i="7"/>
  <c r="N600" i="7"/>
  <c r="N406" i="7"/>
  <c r="N563" i="7"/>
  <c r="N337" i="7"/>
  <c r="N617" i="7"/>
  <c r="N376" i="7"/>
  <c r="N41" i="7"/>
  <c r="N455" i="7"/>
  <c r="N287" i="7"/>
  <c r="N84" i="7"/>
  <c r="N167" i="7"/>
  <c r="N99" i="7"/>
  <c r="N451" i="7"/>
  <c r="N282" i="7"/>
  <c r="N139" i="7"/>
  <c r="N79" i="7"/>
  <c r="N145" i="7"/>
  <c r="N369" i="7"/>
  <c r="N196" i="7"/>
  <c r="N466" i="7"/>
  <c r="N301" i="7"/>
  <c r="N266" i="7"/>
  <c r="N103" i="7"/>
  <c r="N274" i="7"/>
  <c r="N512" i="7"/>
  <c r="N532" i="7"/>
  <c r="N23" i="7"/>
  <c r="N565" i="7"/>
  <c r="N456" i="7"/>
  <c r="N459" i="7"/>
  <c r="N26" i="7"/>
  <c r="N163" i="7"/>
  <c r="N506" i="7"/>
  <c r="N273" i="7"/>
  <c r="N508" i="7"/>
  <c r="N342" i="7"/>
  <c r="N120" i="7"/>
  <c r="N317" i="7"/>
  <c r="N161" i="7"/>
  <c r="N548" i="7"/>
  <c r="N147" i="7"/>
  <c r="N418" i="7"/>
  <c r="N319" i="7"/>
  <c r="N288" i="7"/>
  <c r="N384" i="7"/>
  <c r="N387" i="7"/>
  <c r="N49" i="7"/>
  <c r="N460" i="7"/>
  <c r="N510" i="7"/>
  <c r="N559" i="7"/>
  <c r="N539" i="7"/>
  <c r="N463" i="7"/>
  <c r="N298" i="7"/>
  <c r="N568" i="7"/>
  <c r="N201" i="7"/>
  <c r="N39" i="7"/>
  <c r="N67" i="7"/>
  <c r="N468" i="7"/>
  <c r="N156" i="7"/>
  <c r="N289" i="7"/>
  <c r="N152" i="7"/>
  <c r="N153" i="7"/>
  <c r="N558" i="7"/>
  <c r="N355" i="7"/>
  <c r="N437" i="7"/>
  <c r="N70" i="7"/>
  <c r="N104" i="7"/>
  <c r="N105" i="7"/>
  <c r="N442" i="7"/>
  <c r="N419" i="7"/>
  <c r="N323" i="7"/>
  <c r="N258" i="7"/>
  <c r="N18" i="7"/>
  <c r="N265" i="7"/>
  <c r="N505" i="7"/>
  <c r="N480" i="7"/>
  <c r="N467" i="7"/>
  <c r="N504" i="7"/>
  <c r="N69" i="7"/>
  <c r="N254" i="7"/>
  <c r="N440" i="7"/>
  <c r="N592" i="7"/>
  <c r="N148" i="7"/>
  <c r="N370" i="7"/>
  <c r="N432" i="7"/>
  <c r="N608" i="7"/>
  <c r="N381" i="7"/>
  <c r="N65" i="7"/>
  <c r="N452" i="7"/>
  <c r="N612" i="7"/>
  <c r="N401" i="7"/>
  <c r="N601" i="7"/>
  <c r="N594" i="7"/>
  <c r="N339" i="7"/>
  <c r="N589" i="7"/>
  <c r="N605" i="7"/>
  <c r="N587" i="7"/>
  <c r="N348" i="7"/>
  <c r="N545" i="7"/>
  <c r="N496" i="7"/>
  <c r="N475" i="7"/>
  <c r="N198" i="7"/>
  <c r="N135" i="7"/>
  <c r="N535" i="7"/>
  <c r="N154" i="7"/>
  <c r="N160" i="7"/>
  <c r="N485" i="7"/>
  <c r="N256" i="7"/>
  <c r="N569" i="7"/>
  <c r="N340" i="7"/>
  <c r="N484" i="7"/>
  <c r="N157" i="7"/>
  <c r="N202" i="7"/>
  <c r="N332" i="7"/>
  <c r="N344" i="7"/>
  <c r="N405" i="7"/>
  <c r="N125" i="7"/>
  <c r="N97" i="7"/>
  <c r="N483" i="7"/>
  <c r="N542" i="7"/>
  <c r="N501" i="7"/>
  <c r="N356" i="7"/>
  <c r="N42" i="7"/>
  <c r="N472" i="7"/>
  <c r="N489" i="7"/>
  <c r="N303" i="7"/>
  <c r="N363" i="7"/>
  <c r="N425" i="7"/>
  <c r="N618" i="7"/>
  <c r="N580" i="7"/>
  <c r="N395" i="7"/>
  <c r="N458" i="7"/>
  <c r="N476" i="7"/>
  <c r="N101" i="7"/>
  <c r="N32" i="7"/>
  <c r="N570" i="7"/>
  <c r="N30" i="7"/>
  <c r="N497" i="7"/>
  <c r="N409" i="7"/>
  <c r="N277" i="7"/>
  <c r="N13" i="7"/>
  <c r="N533" i="7"/>
  <c r="N450" i="7"/>
  <c r="N385" i="7"/>
  <c r="N436" i="7"/>
  <c r="N388" i="7"/>
  <c r="N119" i="7"/>
  <c r="N566" i="7"/>
  <c r="N129" i="7"/>
  <c r="N599" i="7"/>
  <c r="N579" i="7"/>
  <c r="N583" i="7"/>
  <c r="N586" i="7"/>
  <c r="N391" i="7"/>
  <c r="N609" i="7"/>
  <c r="N365" i="7"/>
  <c r="N412" i="7"/>
  <c r="N397" i="7"/>
  <c r="N413" i="7"/>
  <c r="N615" i="7"/>
  <c r="N21" i="7"/>
  <c r="N43" i="7"/>
  <c r="N109" i="7"/>
  <c r="N500" i="7"/>
  <c r="N479" i="7"/>
  <c r="N526" i="7"/>
  <c r="N251" i="7"/>
  <c r="N312" i="7"/>
  <c r="N95" i="7"/>
  <c r="N383" i="7"/>
  <c r="N44" i="7"/>
  <c r="N280" i="7"/>
  <c r="N16" i="7"/>
  <c r="N378" i="7"/>
  <c r="N486" i="7"/>
  <c r="N80" i="7"/>
  <c r="N283" i="7"/>
  <c r="N327" i="7"/>
  <c r="N473" i="7"/>
  <c r="N134" i="7"/>
  <c r="N59" i="7"/>
  <c r="N334" i="7"/>
  <c r="N86" i="7"/>
  <c r="N45" i="7"/>
  <c r="N515" i="7"/>
  <c r="N281" i="7"/>
  <c r="N285" i="7"/>
  <c r="N25" i="7"/>
  <c r="N144" i="7"/>
  <c r="N528" i="7"/>
  <c r="N373" i="7"/>
  <c r="N438" i="7"/>
  <c r="N408" i="7"/>
  <c r="N590" i="7"/>
  <c r="N411" i="7"/>
  <c r="N250" i="7"/>
  <c r="N143" i="7"/>
  <c r="N310" i="7"/>
  <c r="N262" i="7"/>
  <c r="N449" i="7"/>
  <c r="N296" i="7"/>
  <c r="N24" i="7"/>
  <c r="N78" i="7"/>
  <c r="N20" i="7"/>
  <c r="N424" i="7"/>
  <c r="N81" i="7"/>
  <c r="N400" i="7"/>
  <c r="N439" i="7"/>
  <c r="N487" i="7"/>
  <c r="N53" i="7"/>
  <c r="N368" i="7"/>
  <c r="N514" i="7"/>
  <c r="N297" i="7"/>
  <c r="N379" i="7"/>
  <c r="N614" i="7"/>
  <c r="N29" i="7"/>
  <c r="N118" i="7"/>
  <c r="N574" i="7"/>
  <c r="N576" i="7"/>
  <c r="N572" i="7"/>
  <c r="N15" i="7"/>
  <c r="N34" i="7"/>
  <c r="N382" i="7"/>
  <c r="N462" i="7"/>
  <c r="N416" i="7"/>
  <c r="N386" i="7"/>
  <c r="N577" i="7"/>
  <c r="N588" i="7"/>
  <c r="N431" i="7"/>
  <c r="N346" i="7"/>
  <c r="N291" i="7"/>
  <c r="N551" i="7"/>
  <c r="N253" i="7"/>
  <c r="N446" i="7"/>
  <c r="N292" i="7"/>
  <c r="N76" i="7"/>
  <c r="N457" i="7"/>
  <c r="N567" i="7"/>
  <c r="N141" i="7"/>
  <c r="N519" i="7"/>
  <c r="N377" i="7"/>
  <c r="N597" i="7"/>
  <c r="N584" i="7"/>
  <c r="N404" i="7"/>
  <c r="N571" i="7"/>
  <c r="N428" i="7"/>
  <c r="N54" i="7"/>
  <c r="N582" i="7"/>
  <c r="N46" i="7"/>
  <c r="N164" i="7"/>
  <c r="N522" i="7"/>
  <c r="N136" i="7"/>
  <c r="N350" i="7"/>
  <c r="N513" i="7"/>
  <c r="N546" i="7"/>
  <c r="N102" i="7"/>
  <c r="N353" i="7"/>
  <c r="N326" i="7"/>
  <c r="N284" i="7"/>
  <c r="N73" i="7"/>
  <c r="N610" i="7"/>
  <c r="N604" i="7"/>
  <c r="N453" i="7"/>
  <c r="N435" i="7"/>
  <c r="N372" i="7"/>
  <c r="N573" i="7"/>
  <c r="N613" i="7"/>
  <c r="N345" i="7"/>
  <c r="N585" i="7"/>
  <c r="N375" i="7"/>
  <c r="N55" i="7"/>
  <c r="N359" i="7"/>
  <c r="N578" i="7"/>
  <c r="N28" i="7"/>
  <c r="N396" i="7"/>
  <c r="N27" i="7"/>
  <c r="N393" i="7"/>
  <c r="N537" i="7"/>
  <c r="N552" i="7"/>
  <c r="N165" i="7"/>
  <c r="N366" i="7"/>
  <c r="N56" i="7"/>
  <c r="N261" i="7"/>
  <c r="N302" i="7"/>
  <c r="N507" i="7"/>
  <c r="N447" i="7"/>
  <c r="N255" i="7"/>
  <c r="N116" i="7"/>
  <c r="N433" i="7"/>
  <c r="N75" i="7"/>
  <c r="N448" i="7"/>
  <c r="N331" i="7"/>
  <c r="N307" i="7"/>
  <c r="N60" i="7"/>
  <c r="N68" i="7"/>
  <c r="N268" i="7"/>
  <c r="N82" i="7"/>
  <c r="N491" i="7"/>
  <c r="N106" i="7"/>
  <c r="N77" i="7"/>
  <c r="N554" i="7"/>
  <c r="N51" i="7"/>
  <c r="N40" i="7"/>
  <c r="N96" i="7"/>
  <c r="N556" i="7"/>
  <c r="N392" i="7"/>
  <c r="E29" i="28" l="1"/>
  <c r="E8" i="28"/>
  <c r="E32" i="28"/>
  <c r="E22" i="28"/>
  <c r="E33" i="28"/>
  <c r="E24" i="28"/>
  <c r="E31" i="28"/>
  <c r="E19" i="28"/>
  <c r="E27" i="28"/>
  <c r="E26" i="28"/>
  <c r="E15" i="28"/>
  <c r="E11" i="28"/>
  <c r="E7" i="28"/>
  <c r="E28" i="28"/>
  <c r="E21" i="28"/>
  <c r="E34" i="28"/>
  <c r="E10" i="28"/>
  <c r="E14" i="28"/>
  <c r="E18" i="28"/>
  <c r="E9" i="28"/>
  <c r="E17" i="28"/>
  <c r="E30" i="28"/>
  <c r="E12" i="28"/>
  <c r="E20" i="28"/>
  <c r="E13" i="28"/>
  <c r="E25" i="28"/>
  <c r="E16" i="28"/>
  <c r="E23" i="28"/>
  <c r="E57" i="28"/>
  <c r="W60" i="28"/>
  <c r="E5" i="28"/>
  <c r="E56" i="28"/>
  <c r="W19" i="28"/>
  <c r="W63" i="28"/>
  <c r="W46" i="28"/>
  <c r="E59" i="28"/>
  <c r="W58" i="28"/>
  <c r="W44" i="28"/>
  <c r="W30" i="28"/>
  <c r="E58" i="28"/>
  <c r="E60" i="28"/>
  <c r="W49" i="28"/>
  <c r="W32" i="28"/>
  <c r="W42" i="28"/>
  <c r="W13" i="28"/>
  <c r="W45" i="28"/>
  <c r="W59" i="28"/>
  <c r="E6" i="28"/>
  <c r="AC212" i="4"/>
  <c r="AA212" i="4" s="1"/>
  <c r="Y212" i="4"/>
  <c r="Y213" i="4"/>
  <c r="AC213" i="4"/>
  <c r="AA213" i="4" s="1"/>
  <c r="AC130" i="4"/>
  <c r="AA130" i="4" s="1"/>
  <c r="AC90" i="3"/>
  <c r="AA90" i="3" s="1"/>
  <c r="Y86" i="2"/>
  <c r="AC86" i="2"/>
  <c r="AA86" i="2" s="1"/>
  <c r="AC78" i="3"/>
  <c r="AA78" i="3" s="1"/>
  <c r="AC107" i="3"/>
  <c r="AA107" i="3" s="1"/>
  <c r="AC56" i="3"/>
  <c r="AA56" i="3" s="1"/>
  <c r="AC15" i="3"/>
  <c r="AA15" i="3" s="1"/>
  <c r="AC22" i="3"/>
  <c r="AA22" i="3" s="1"/>
  <c r="AC39" i="3"/>
  <c r="AA39" i="3" s="1"/>
  <c r="AC45" i="3"/>
  <c r="AA45" i="3" s="1"/>
  <c r="AC19" i="3"/>
  <c r="AA19" i="3" s="1"/>
  <c r="AC99" i="3"/>
  <c r="AA99" i="3" s="1"/>
  <c r="AC55" i="3"/>
  <c r="AA55" i="3" s="1"/>
  <c r="AC27" i="3"/>
  <c r="AA27" i="3" s="1"/>
  <c r="AC69" i="3"/>
  <c r="AA69" i="3" s="1"/>
  <c r="AC79" i="3"/>
  <c r="AA79" i="3" s="1"/>
  <c r="AC67" i="3"/>
  <c r="AA67" i="3" s="1"/>
  <c r="AC68" i="3"/>
  <c r="AA68" i="3" s="1"/>
  <c r="AC40" i="3"/>
  <c r="AA40" i="3" s="1"/>
  <c r="AC57" i="3"/>
  <c r="AA57" i="3" s="1"/>
  <c r="AC97" i="3"/>
  <c r="AA97" i="3" s="1"/>
  <c r="AC94" i="3"/>
  <c r="AA94" i="3" s="1"/>
  <c r="AC91" i="3"/>
  <c r="AA91" i="3" s="1"/>
  <c r="AC44" i="3"/>
  <c r="AA44" i="3" s="1"/>
  <c r="AC53" i="3"/>
  <c r="AA53" i="3" s="1"/>
  <c r="AC72" i="3"/>
  <c r="AA72" i="3" s="1"/>
  <c r="AC60" i="3"/>
  <c r="AA60" i="3" s="1"/>
  <c r="AC86" i="3"/>
  <c r="AA86" i="3" s="1"/>
  <c r="AC13" i="3"/>
  <c r="AA13" i="3" s="1"/>
  <c r="AC24" i="3"/>
  <c r="AA24" i="3" s="1"/>
  <c r="AC93" i="3"/>
  <c r="AA93" i="3" s="1"/>
  <c r="AC98" i="3"/>
  <c r="AA98" i="3" s="1"/>
  <c r="AC54" i="3"/>
  <c r="AA54" i="3" s="1"/>
  <c r="AC7" i="3"/>
  <c r="AA7" i="3" s="1"/>
  <c r="AC29" i="3"/>
  <c r="AA29" i="3" s="1"/>
  <c r="F63" i="28" s="1"/>
  <c r="AC113" i="3"/>
  <c r="AA113" i="3" s="1"/>
  <c r="AC10" i="3"/>
  <c r="AA10" i="3" s="1"/>
  <c r="AC33" i="3"/>
  <c r="AA33" i="3" s="1"/>
  <c r="AC103" i="3"/>
  <c r="AA103" i="3" s="1"/>
  <c r="AC104" i="3"/>
  <c r="AA104" i="3" s="1"/>
  <c r="AC101" i="3"/>
  <c r="AA101" i="3" s="1"/>
  <c r="AC61" i="3"/>
  <c r="AA61" i="3" s="1"/>
  <c r="AC48" i="3"/>
  <c r="AA48" i="3" s="1"/>
  <c r="AC100" i="3"/>
  <c r="AA100" i="3" s="1"/>
  <c r="AC34" i="3"/>
  <c r="AA34" i="3" s="1"/>
  <c r="AC75" i="3"/>
  <c r="AA75" i="3" s="1"/>
  <c r="AC18" i="3"/>
  <c r="AA18" i="3" s="1"/>
  <c r="AC4" i="3"/>
  <c r="AA4" i="3" s="1"/>
  <c r="AC64" i="3"/>
  <c r="AA64" i="3" s="1"/>
  <c r="AC84" i="3"/>
  <c r="AA84" i="3" s="1"/>
  <c r="AC36" i="3"/>
  <c r="AA36" i="3" s="1"/>
  <c r="AC82" i="3"/>
  <c r="AA82" i="3" s="1"/>
  <c r="AC47" i="3"/>
  <c r="AA47" i="3" s="1"/>
  <c r="AC11" i="3"/>
  <c r="AA11" i="3" s="1"/>
  <c r="AC31" i="3"/>
  <c r="AA31" i="3" s="1"/>
  <c r="AC12" i="3"/>
  <c r="AA12" i="3" s="1"/>
  <c r="AC30" i="3"/>
  <c r="AA30" i="3" s="1"/>
  <c r="AC50" i="3"/>
  <c r="AA50" i="3" s="1"/>
  <c r="AC83" i="3"/>
  <c r="AA83" i="3" s="1"/>
  <c r="AC17" i="3"/>
  <c r="AA17" i="3" s="1"/>
  <c r="AC6" i="3"/>
  <c r="AA6" i="3" s="1"/>
  <c r="F40" i="28" s="1"/>
  <c r="AC9" i="3"/>
  <c r="AA9" i="3" s="1"/>
  <c r="AC8" i="3"/>
  <c r="AA8" i="3" s="1"/>
  <c r="AC105" i="3"/>
  <c r="AA105" i="3" s="1"/>
  <c r="AC5" i="3"/>
  <c r="AA5" i="3" s="1"/>
  <c r="AC26" i="3"/>
  <c r="AA26" i="3" s="1"/>
  <c r="AC51" i="3"/>
  <c r="AA51" i="3" s="1"/>
  <c r="AC62" i="3"/>
  <c r="AA62" i="3" s="1"/>
  <c r="AC114" i="3"/>
  <c r="AA114" i="3" s="1"/>
  <c r="AC25" i="3"/>
  <c r="AA25" i="3" s="1"/>
  <c r="AC115" i="3"/>
  <c r="AA115" i="3" s="1"/>
  <c r="AC96" i="3"/>
  <c r="AA96" i="3" s="1"/>
  <c r="AC77" i="3"/>
  <c r="AA77" i="3" s="1"/>
  <c r="AC92" i="3"/>
  <c r="AA92" i="3" s="1"/>
  <c r="AC85" i="3"/>
  <c r="AA85" i="3" s="1"/>
  <c r="AC110" i="3"/>
  <c r="AA110" i="3" s="1"/>
  <c r="AC49" i="3"/>
  <c r="AA49" i="3" s="1"/>
  <c r="AC46" i="3"/>
  <c r="AA46" i="3" s="1"/>
  <c r="AC37" i="3"/>
  <c r="AA37" i="3" s="1"/>
  <c r="AC43" i="3"/>
  <c r="AA43" i="3" s="1"/>
  <c r="AC106" i="3"/>
  <c r="AA106" i="3" s="1"/>
  <c r="AC42" i="3"/>
  <c r="AA42" i="3" s="1"/>
  <c r="AC70" i="3"/>
  <c r="AA70" i="3" s="1"/>
  <c r="AC23" i="3"/>
  <c r="AA23" i="3" s="1"/>
  <c r="AC73" i="3"/>
  <c r="AA73" i="3" s="1"/>
  <c r="AC16" i="3"/>
  <c r="AA16" i="3" s="1"/>
  <c r="AC95" i="3"/>
  <c r="AA95" i="3" s="1"/>
  <c r="AC52" i="3"/>
  <c r="AA52" i="3" s="1"/>
  <c r="AC66" i="3"/>
  <c r="AA66" i="3" s="1"/>
  <c r="AC76" i="3"/>
  <c r="AA76" i="3" s="1"/>
  <c r="AC63" i="3"/>
  <c r="AA63" i="3" s="1"/>
  <c r="AC41" i="3"/>
  <c r="AA41" i="3" s="1"/>
  <c r="AC87" i="3"/>
  <c r="AA87" i="3" s="1"/>
  <c r="AC14" i="3"/>
  <c r="AA14" i="3" s="1"/>
  <c r="AC88" i="3"/>
  <c r="AA88" i="3" s="1"/>
  <c r="AC59" i="3"/>
  <c r="AA59" i="3" s="1"/>
  <c r="AC71" i="3"/>
  <c r="AA71" i="3" s="1"/>
  <c r="AC89" i="3"/>
  <c r="AA89" i="3" s="1"/>
  <c r="AC28" i="3"/>
  <c r="AA28" i="3" s="1"/>
  <c r="AC20" i="3"/>
  <c r="AA20" i="3" s="1"/>
  <c r="AC112" i="3"/>
  <c r="AA112" i="3" s="1"/>
  <c r="AC58" i="3"/>
  <c r="AA58" i="3" s="1"/>
  <c r="AC111" i="3"/>
  <c r="AA111" i="3" s="1"/>
  <c r="AC109" i="3"/>
  <c r="AA109" i="3" s="1"/>
  <c r="AC74" i="3"/>
  <c r="AA74" i="3" s="1"/>
  <c r="AC21" i="3"/>
  <c r="AA21" i="3" s="1"/>
  <c r="AC108" i="3"/>
  <c r="AA108" i="3" s="1"/>
  <c r="AC102" i="3"/>
  <c r="AA102" i="3" s="1"/>
  <c r="AC35" i="3"/>
  <c r="AA35" i="3" s="1"/>
  <c r="AC38" i="3"/>
  <c r="AA38" i="3" s="1"/>
  <c r="AC32" i="3"/>
  <c r="AA32" i="3" s="1"/>
  <c r="AC80" i="3"/>
  <c r="AA80" i="3" s="1"/>
  <c r="AC81" i="3"/>
  <c r="AA81" i="3" s="1"/>
  <c r="AC65" i="3"/>
  <c r="AA65" i="3" s="1"/>
  <c r="AC3" i="3"/>
  <c r="AA3" i="3" s="1"/>
  <c r="Y4" i="3"/>
  <c r="Y5" i="3"/>
  <c r="Y6" i="3"/>
  <c r="Y7" i="3"/>
  <c r="Y8" i="3"/>
  <c r="Y9" i="3"/>
  <c r="Y10" i="3"/>
  <c r="Y11" i="3"/>
  <c r="Y12" i="3"/>
  <c r="Y13" i="3"/>
  <c r="Y14" i="3"/>
  <c r="Y15" i="3"/>
  <c r="Y16" i="3"/>
  <c r="Y17" i="3"/>
  <c r="Y18" i="3"/>
  <c r="Y19" i="3"/>
  <c r="Y20" i="3"/>
  <c r="Y21" i="3"/>
  <c r="Y22" i="3"/>
  <c r="Y23" i="3"/>
  <c r="Y24" i="3"/>
  <c r="Y25" i="3"/>
  <c r="Y26" i="3"/>
  <c r="Y27" i="3"/>
  <c r="Y28" i="3"/>
  <c r="Y29" i="3"/>
  <c r="Y30" i="3"/>
  <c r="Y31" i="3"/>
  <c r="Y32" i="3"/>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3" i="3"/>
  <c r="A35" i="28" s="1"/>
  <c r="AC37" i="2"/>
  <c r="AA37" i="2" s="1"/>
  <c r="AC8" i="2"/>
  <c r="AA8" i="2" s="1"/>
  <c r="AC55" i="2"/>
  <c r="AA55" i="2" s="1"/>
  <c r="AC22" i="2"/>
  <c r="AA22" i="2" s="1"/>
  <c r="AC30" i="2"/>
  <c r="AA30" i="2" s="1"/>
  <c r="AC73" i="2"/>
  <c r="AA73" i="2" s="1"/>
  <c r="AC62" i="2"/>
  <c r="AA62" i="2" s="1"/>
  <c r="AC27" i="2"/>
  <c r="AA27" i="2" s="1"/>
  <c r="AC43" i="2"/>
  <c r="AA43" i="2" s="1"/>
  <c r="AC61" i="2"/>
  <c r="AA61" i="2" s="1"/>
  <c r="AC46" i="2"/>
  <c r="AA46" i="2" s="1"/>
  <c r="AC40" i="2"/>
  <c r="AA40" i="2" s="1"/>
  <c r="AC42" i="2"/>
  <c r="AA42" i="2" s="1"/>
  <c r="AC67" i="2"/>
  <c r="AA67" i="2" s="1"/>
  <c r="AC51" i="2"/>
  <c r="AA51" i="2" s="1"/>
  <c r="AC60" i="2"/>
  <c r="AA60" i="2" s="1"/>
  <c r="AC10" i="2"/>
  <c r="AA10" i="2" s="1"/>
  <c r="AC63" i="2"/>
  <c r="AA63" i="2" s="1"/>
  <c r="AC20" i="2"/>
  <c r="AA20" i="2" s="1"/>
  <c r="AC66" i="2"/>
  <c r="AA66" i="2" s="1"/>
  <c r="AC44" i="2"/>
  <c r="AA44" i="2" s="1"/>
  <c r="AC69" i="2"/>
  <c r="AA69" i="2" s="1"/>
  <c r="AC17" i="2"/>
  <c r="AA17" i="2" s="1"/>
  <c r="AC9" i="2"/>
  <c r="AA9" i="2" s="1"/>
  <c r="AC34" i="2"/>
  <c r="AA34" i="2" s="1"/>
  <c r="AC38" i="2"/>
  <c r="AA38" i="2" s="1"/>
  <c r="AC18" i="2"/>
  <c r="AA18" i="2" s="1"/>
  <c r="AC48" i="2"/>
  <c r="AA48" i="2" s="1"/>
  <c r="AC11" i="2"/>
  <c r="AA11" i="2" s="1"/>
  <c r="AC71" i="2"/>
  <c r="AA71" i="2" s="1"/>
  <c r="AC72" i="2"/>
  <c r="AA72" i="2" s="1"/>
  <c r="AC59" i="2"/>
  <c r="AA59" i="2" s="1"/>
  <c r="AC52" i="2"/>
  <c r="AA52" i="2" s="1"/>
  <c r="AC5" i="2"/>
  <c r="AA5" i="2" s="1"/>
  <c r="AC12" i="2"/>
  <c r="AA12" i="2" s="1"/>
  <c r="AC29" i="2"/>
  <c r="AA29" i="2" s="1"/>
  <c r="AC57" i="2"/>
  <c r="AA57" i="2" s="1"/>
  <c r="AC31" i="2"/>
  <c r="AA31" i="2" s="1"/>
  <c r="AC25" i="2"/>
  <c r="AA25" i="2" s="1"/>
  <c r="AC58" i="2"/>
  <c r="AA58" i="2" s="1"/>
  <c r="AC19" i="2"/>
  <c r="AA19" i="2" s="1"/>
  <c r="AC16" i="2"/>
  <c r="AA16" i="2" s="1"/>
  <c r="AC21" i="2"/>
  <c r="AA21" i="2" s="1"/>
  <c r="AC53" i="2"/>
  <c r="AA53" i="2" s="1"/>
  <c r="AC45" i="2"/>
  <c r="AA45" i="2" s="1"/>
  <c r="AC41" i="2"/>
  <c r="AA41" i="2" s="1"/>
  <c r="AC56" i="2"/>
  <c r="AA56" i="2" s="1"/>
  <c r="AC68" i="2"/>
  <c r="AA68" i="2" s="1"/>
  <c r="AC36" i="2"/>
  <c r="AA36" i="2" s="1"/>
  <c r="AC47" i="2"/>
  <c r="AA47" i="2" s="1"/>
  <c r="AC65" i="2"/>
  <c r="AA65" i="2" s="1"/>
  <c r="AC4" i="2"/>
  <c r="AA4" i="2" s="1"/>
  <c r="AC49" i="2"/>
  <c r="AA49" i="2" s="1"/>
  <c r="AC64" i="2"/>
  <c r="AA64" i="2" s="1"/>
  <c r="AC26" i="2"/>
  <c r="AA26" i="2" s="1"/>
  <c r="AC70" i="2"/>
  <c r="AA70" i="2" s="1"/>
  <c r="AC7" i="2"/>
  <c r="AA7" i="2" s="1"/>
  <c r="AC23" i="2"/>
  <c r="AA23" i="2" s="1"/>
  <c r="AC6" i="2"/>
  <c r="AA6" i="2" s="1"/>
  <c r="AC74" i="2"/>
  <c r="AA74" i="2" s="1"/>
  <c r="AC24" i="2"/>
  <c r="AA24" i="2" s="1"/>
  <c r="AC50" i="2"/>
  <c r="AA50" i="2" s="1"/>
  <c r="AC32" i="2"/>
  <c r="AA32" i="2" s="1"/>
  <c r="AC15" i="2"/>
  <c r="AA15" i="2" s="1"/>
  <c r="AC14" i="2"/>
  <c r="AA14" i="2" s="1"/>
  <c r="AC54" i="2"/>
  <c r="AA54" i="2" s="1"/>
  <c r="AC35" i="2"/>
  <c r="AA35" i="2" s="1"/>
  <c r="AC13" i="2"/>
  <c r="AA13" i="2" s="1"/>
  <c r="AC39" i="2"/>
  <c r="AA39" i="2" s="1"/>
  <c r="AC33" i="2"/>
  <c r="AA33" i="2" s="1"/>
  <c r="AC28" i="2"/>
  <c r="AA28" i="2" s="1"/>
  <c r="AC85" i="2"/>
  <c r="AA85" i="2" s="1"/>
  <c r="AC84" i="2"/>
  <c r="AA84" i="2" s="1"/>
  <c r="AC83" i="2"/>
  <c r="AA83" i="2" s="1"/>
  <c r="AC82" i="2"/>
  <c r="AA82" i="2" s="1"/>
  <c r="AC81" i="2"/>
  <c r="AA81" i="2" s="1"/>
  <c r="AC80" i="2"/>
  <c r="AA80" i="2" s="1"/>
  <c r="AC79" i="2"/>
  <c r="AA79" i="2" s="1"/>
  <c r="AC78" i="2"/>
  <c r="AA78" i="2" s="1"/>
  <c r="AC77" i="2"/>
  <c r="AA77" i="2" s="1"/>
  <c r="AC76" i="2"/>
  <c r="AA76" i="2" s="1"/>
  <c r="AC75" i="2"/>
  <c r="AA75" i="2" s="1"/>
  <c r="AC3" i="2"/>
  <c r="AA3" i="2" s="1"/>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3" i="2"/>
  <c r="A3" i="28" s="1"/>
  <c r="AC17" i="4"/>
  <c r="AA17" i="4" s="1"/>
  <c r="AC45" i="4"/>
  <c r="AA45" i="4" s="1"/>
  <c r="AC117" i="4"/>
  <c r="AA117" i="4" s="1"/>
  <c r="AC168" i="4"/>
  <c r="AA168" i="4" s="1"/>
  <c r="AC74" i="4"/>
  <c r="AA74" i="4" s="1"/>
  <c r="AC26" i="4"/>
  <c r="AA26" i="4" s="1"/>
  <c r="AC76" i="4"/>
  <c r="AA76" i="4" s="1"/>
  <c r="AC33" i="4"/>
  <c r="AA33" i="4" s="1"/>
  <c r="AC62" i="4"/>
  <c r="AA62" i="4" s="1"/>
  <c r="AC4" i="4"/>
  <c r="AA4" i="4" s="1"/>
  <c r="AC133" i="4"/>
  <c r="AA133" i="4" s="1"/>
  <c r="AC23" i="4"/>
  <c r="AA23" i="4" s="1"/>
  <c r="AC93" i="4"/>
  <c r="AA93" i="4" s="1"/>
  <c r="AC100" i="4"/>
  <c r="AA100" i="4" s="1"/>
  <c r="AC109" i="4"/>
  <c r="AA109" i="4" s="1"/>
  <c r="AC72" i="4"/>
  <c r="AA72" i="4" s="1"/>
  <c r="AC154" i="4"/>
  <c r="AA154" i="4" s="1"/>
  <c r="AC123" i="4"/>
  <c r="AA123" i="4" s="1"/>
  <c r="AC112" i="4"/>
  <c r="AA112" i="4" s="1"/>
  <c r="AC142" i="4"/>
  <c r="AA142" i="4" s="1"/>
  <c r="AC56" i="4"/>
  <c r="AA56" i="4" s="1"/>
  <c r="AC47" i="4"/>
  <c r="AA47" i="4" s="1"/>
  <c r="AC147" i="4"/>
  <c r="AA147" i="4" s="1"/>
  <c r="AC127" i="4"/>
  <c r="AA127" i="4" s="1"/>
  <c r="AC157" i="4"/>
  <c r="AA157" i="4" s="1"/>
  <c r="AC48" i="4"/>
  <c r="AA48" i="4" s="1"/>
  <c r="AC27" i="4"/>
  <c r="AA27" i="4" s="1"/>
  <c r="AC15" i="4"/>
  <c r="AA15" i="4" s="1"/>
  <c r="AC8" i="4"/>
  <c r="AA8" i="4" s="1"/>
  <c r="AC106" i="4"/>
  <c r="AA106" i="4" s="1"/>
  <c r="AC103" i="4"/>
  <c r="AA103" i="4" s="1"/>
  <c r="AC49" i="4"/>
  <c r="AA49" i="4" s="1"/>
  <c r="AC102" i="4"/>
  <c r="AA102" i="4" s="1"/>
  <c r="AC12" i="4"/>
  <c r="AA12" i="4" s="1"/>
  <c r="AC120" i="4"/>
  <c r="AA120" i="4" s="1"/>
  <c r="AC16" i="4"/>
  <c r="AA16" i="4" s="1"/>
  <c r="AC153" i="4"/>
  <c r="AA153" i="4" s="1"/>
  <c r="AC137" i="4"/>
  <c r="AA137" i="4" s="1"/>
  <c r="AC44" i="4"/>
  <c r="AA44" i="4" s="1"/>
  <c r="AC91" i="4"/>
  <c r="AA91" i="4" s="1"/>
  <c r="AC73" i="4"/>
  <c r="AA73" i="4" s="1"/>
  <c r="AC31" i="4"/>
  <c r="AA31" i="4" s="1"/>
  <c r="AC36" i="4"/>
  <c r="AA36" i="4" s="1"/>
  <c r="AC88" i="4"/>
  <c r="AA88" i="4" s="1"/>
  <c r="AC29" i="4"/>
  <c r="AA29" i="4" s="1"/>
  <c r="AC35" i="4"/>
  <c r="AA35" i="4" s="1"/>
  <c r="AC116" i="4"/>
  <c r="AA116" i="4" s="1"/>
  <c r="AC151" i="4"/>
  <c r="AA151" i="4" s="1"/>
  <c r="AC75" i="4"/>
  <c r="AA75" i="4" s="1"/>
  <c r="AC61" i="4"/>
  <c r="AA61" i="4" s="1"/>
  <c r="AC134" i="4"/>
  <c r="AA134" i="4" s="1"/>
  <c r="AC10" i="4"/>
  <c r="AA10" i="4" s="1"/>
  <c r="AC110" i="4"/>
  <c r="AA110" i="4" s="1"/>
  <c r="AC83" i="4"/>
  <c r="AA83" i="4" s="1"/>
  <c r="AC78" i="4"/>
  <c r="AA78" i="4" s="1"/>
  <c r="AC107" i="4"/>
  <c r="AA107" i="4" s="1"/>
  <c r="AC111" i="4"/>
  <c r="AA111" i="4" s="1"/>
  <c r="AC96" i="4"/>
  <c r="AA96" i="4" s="1"/>
  <c r="AC158" i="4"/>
  <c r="AA158" i="4" s="1"/>
  <c r="AC14" i="4"/>
  <c r="AA14" i="4" s="1"/>
  <c r="AC99" i="4"/>
  <c r="AA99" i="4" s="1"/>
  <c r="AC11" i="4"/>
  <c r="AA11" i="4" s="1"/>
  <c r="AC140" i="4"/>
  <c r="AA140" i="4" s="1"/>
  <c r="AC60" i="4"/>
  <c r="AA60" i="4" s="1"/>
  <c r="AC24" i="4"/>
  <c r="AA24" i="4" s="1"/>
  <c r="AC21" i="4"/>
  <c r="AA21" i="4" s="1"/>
  <c r="AC160" i="4"/>
  <c r="AA160" i="4" s="1"/>
  <c r="AC5" i="4"/>
  <c r="AA5" i="4" s="1"/>
  <c r="AC108" i="4"/>
  <c r="AA108" i="4" s="1"/>
  <c r="AC144" i="4"/>
  <c r="AA144" i="4" s="1"/>
  <c r="AC136" i="4"/>
  <c r="AA136" i="4" s="1"/>
  <c r="AC114" i="4"/>
  <c r="AA114" i="4" s="1"/>
  <c r="AC50" i="4"/>
  <c r="AA50" i="4" s="1"/>
  <c r="AC115" i="4"/>
  <c r="AA115" i="4" s="1"/>
  <c r="AC71" i="4"/>
  <c r="AA71" i="4" s="1"/>
  <c r="AC85" i="4"/>
  <c r="AA85" i="4" s="1"/>
  <c r="AC87" i="4"/>
  <c r="AA87" i="4" s="1"/>
  <c r="AC7" i="4"/>
  <c r="AA7" i="4" s="1"/>
  <c r="AC131" i="4"/>
  <c r="AA131" i="4" s="1"/>
  <c r="AC79" i="4"/>
  <c r="AA79" i="4" s="1"/>
  <c r="AC94" i="4"/>
  <c r="AA94" i="4" s="1"/>
  <c r="AC128" i="4"/>
  <c r="AA128" i="4" s="1"/>
  <c r="AC20" i="4"/>
  <c r="AA20" i="4" s="1"/>
  <c r="AC37" i="4"/>
  <c r="AA37" i="4" s="1"/>
  <c r="AC161" i="4"/>
  <c r="AA161" i="4" s="1"/>
  <c r="AC162" i="4"/>
  <c r="AA162" i="4" s="1"/>
  <c r="AC9" i="4"/>
  <c r="AA9" i="4" s="1"/>
  <c r="AC104" i="4"/>
  <c r="AA104" i="4" s="1"/>
  <c r="AC135" i="4"/>
  <c r="AA135" i="4" s="1"/>
  <c r="AC97" i="4"/>
  <c r="AA97" i="4" s="1"/>
  <c r="AC95" i="4"/>
  <c r="AA95" i="4" s="1"/>
  <c r="AC66" i="4"/>
  <c r="AA66" i="4" s="1"/>
  <c r="AC40" i="4"/>
  <c r="AA40" i="4" s="1"/>
  <c r="AC152" i="4"/>
  <c r="AA152" i="4" s="1"/>
  <c r="AC156" i="4"/>
  <c r="AA156" i="4" s="1"/>
  <c r="AC80" i="4"/>
  <c r="AA80" i="4" s="1"/>
  <c r="AC139" i="4"/>
  <c r="AA139" i="4" s="1"/>
  <c r="AC38" i="4"/>
  <c r="AA38" i="4" s="1"/>
  <c r="AC165" i="4"/>
  <c r="AA165" i="4" s="1"/>
  <c r="AC138" i="4"/>
  <c r="AA138" i="4" s="1"/>
  <c r="AC163" i="4"/>
  <c r="AA163" i="4" s="1"/>
  <c r="AC54" i="4"/>
  <c r="AA54" i="4" s="1"/>
  <c r="AC43" i="4"/>
  <c r="AA43" i="4" s="1"/>
  <c r="AC167" i="4"/>
  <c r="AA167" i="4" s="1"/>
  <c r="AC59" i="4"/>
  <c r="AA59" i="4" s="1"/>
  <c r="AC81" i="4"/>
  <c r="AA81" i="4" s="1"/>
  <c r="AC69" i="4"/>
  <c r="AA69" i="4" s="1"/>
  <c r="AC86" i="4"/>
  <c r="AA86" i="4" s="1"/>
  <c r="AC143" i="4"/>
  <c r="AA143" i="4" s="1"/>
  <c r="AC101" i="4"/>
  <c r="AA101" i="4" s="1"/>
  <c r="AC164" i="4"/>
  <c r="AA164" i="4" s="1"/>
  <c r="AC150" i="4"/>
  <c r="AA150" i="4" s="1"/>
  <c r="AC28" i="4"/>
  <c r="AA28" i="4" s="1"/>
  <c r="AC70" i="4"/>
  <c r="AA70" i="4" s="1"/>
  <c r="AC30" i="4"/>
  <c r="AA30" i="4" s="1"/>
  <c r="AC77" i="4"/>
  <c r="AA77" i="4" s="1"/>
  <c r="AC159" i="4"/>
  <c r="AA159" i="4" s="1"/>
  <c r="AC105" i="4"/>
  <c r="AA105" i="4" s="1"/>
  <c r="AC67" i="4"/>
  <c r="AA67" i="4" s="1"/>
  <c r="AC42" i="4"/>
  <c r="AA42" i="4" s="1"/>
  <c r="AC58" i="4"/>
  <c r="AA58" i="4" s="1"/>
  <c r="AC55" i="4"/>
  <c r="AA55" i="4" s="1"/>
  <c r="AC32" i="4"/>
  <c r="AA32" i="4" s="1"/>
  <c r="AC146" i="4"/>
  <c r="AA146" i="4" s="1"/>
  <c r="AC148" i="4"/>
  <c r="AA148" i="4" s="1"/>
  <c r="AC68" i="4"/>
  <c r="AA68" i="4" s="1"/>
  <c r="AC6" i="4"/>
  <c r="AA6" i="4" s="1"/>
  <c r="AC39" i="4"/>
  <c r="AA39" i="4" s="1"/>
  <c r="AC34" i="4"/>
  <c r="AA34" i="4" s="1"/>
  <c r="AC113" i="4"/>
  <c r="AA113" i="4" s="1"/>
  <c r="AC122" i="4"/>
  <c r="AA122" i="4" s="1"/>
  <c r="AC141" i="4"/>
  <c r="AA141" i="4" s="1"/>
  <c r="AC19" i="4"/>
  <c r="AA19" i="4" s="1"/>
  <c r="AC155" i="4"/>
  <c r="AA155" i="4" s="1"/>
  <c r="AC64" i="4"/>
  <c r="AA64" i="4" s="1"/>
  <c r="AC124" i="4"/>
  <c r="AA124" i="4" s="1"/>
  <c r="AC18" i="4"/>
  <c r="AA18" i="4" s="1"/>
  <c r="AC98" i="4"/>
  <c r="AA98" i="4" s="1"/>
  <c r="AC57" i="4"/>
  <c r="AA57" i="4" s="1"/>
  <c r="AC52" i="4"/>
  <c r="AA52" i="4" s="1"/>
  <c r="AC82" i="4"/>
  <c r="AA82" i="4" s="1"/>
  <c r="AC90" i="4"/>
  <c r="AA90" i="4" s="1"/>
  <c r="AC129" i="4"/>
  <c r="AA129" i="4" s="1"/>
  <c r="AC63" i="4"/>
  <c r="AA63" i="4" s="1"/>
  <c r="AC25" i="4"/>
  <c r="AA25" i="4" s="1"/>
  <c r="AC118" i="4"/>
  <c r="AA118" i="4" s="1"/>
  <c r="AC65" i="4"/>
  <c r="AA65" i="4" s="1"/>
  <c r="AC125" i="4"/>
  <c r="AA125" i="4" s="1"/>
  <c r="AC119" i="4"/>
  <c r="AA119" i="4" s="1"/>
  <c r="AC166" i="4"/>
  <c r="AA166" i="4" s="1"/>
  <c r="AC84" i="4"/>
  <c r="AA84" i="4" s="1"/>
  <c r="AC22" i="4"/>
  <c r="AA22" i="4" s="1"/>
  <c r="AC92" i="4"/>
  <c r="AA92" i="4" s="1"/>
  <c r="AC126" i="4"/>
  <c r="AA126" i="4" s="1"/>
  <c r="AC51" i="4"/>
  <c r="AA51" i="4" s="1"/>
  <c r="AC53" i="4"/>
  <c r="AA53" i="4" s="1"/>
  <c r="AC89" i="4"/>
  <c r="AA89" i="4" s="1"/>
  <c r="AC132" i="4"/>
  <c r="AA132" i="4" s="1"/>
  <c r="AC46" i="4"/>
  <c r="AA46" i="4" s="1"/>
  <c r="AC149" i="4"/>
  <c r="AA149" i="4" s="1"/>
  <c r="AC145" i="4"/>
  <c r="AA145" i="4" s="1"/>
  <c r="AC41" i="4"/>
  <c r="AA41" i="4" s="1"/>
  <c r="AC121" i="4"/>
  <c r="AA121" i="4" s="1"/>
  <c r="AC13" i="4"/>
  <c r="AA13" i="4" s="1"/>
  <c r="AC205" i="4"/>
  <c r="AA205" i="4" s="1"/>
  <c r="AC206" i="4"/>
  <c r="AA206" i="4" s="1"/>
  <c r="AC207" i="4"/>
  <c r="AA207" i="4" s="1"/>
  <c r="AC208" i="4"/>
  <c r="AA208" i="4" s="1"/>
  <c r="AC209" i="4"/>
  <c r="AA209" i="4" s="1"/>
  <c r="AC210" i="4"/>
  <c r="AA210" i="4" s="1"/>
  <c r="AC211" i="4"/>
  <c r="AA211" i="4" s="1"/>
  <c r="AC204" i="4"/>
  <c r="AA204" i="4" s="1"/>
  <c r="AC203" i="4"/>
  <c r="AA203" i="4" s="1"/>
  <c r="AC202" i="4"/>
  <c r="AA202" i="4" s="1"/>
  <c r="AC201" i="4"/>
  <c r="AA201" i="4" s="1"/>
  <c r="AC200" i="4"/>
  <c r="AA200" i="4" s="1"/>
  <c r="AC199" i="4"/>
  <c r="AA199" i="4" s="1"/>
  <c r="AC198" i="4"/>
  <c r="AA198" i="4" s="1"/>
  <c r="AC197" i="4"/>
  <c r="AA197" i="4" s="1"/>
  <c r="AC196" i="4"/>
  <c r="AA196" i="4" s="1"/>
  <c r="AC195" i="4"/>
  <c r="AA195" i="4" s="1"/>
  <c r="AC194" i="4"/>
  <c r="AA194" i="4" s="1"/>
  <c r="AC193" i="4"/>
  <c r="AA193" i="4" s="1"/>
  <c r="AC192" i="4"/>
  <c r="AA192" i="4" s="1"/>
  <c r="AC191" i="4"/>
  <c r="AA191" i="4" s="1"/>
  <c r="AC190" i="4"/>
  <c r="AA190" i="4" s="1"/>
  <c r="AC189" i="4"/>
  <c r="AA189" i="4" s="1"/>
  <c r="AC188" i="4"/>
  <c r="AA188" i="4" s="1"/>
  <c r="AC187" i="4"/>
  <c r="AA187" i="4" s="1"/>
  <c r="AC186" i="4"/>
  <c r="AA186" i="4" s="1"/>
  <c r="AC185" i="4"/>
  <c r="AA185" i="4" s="1"/>
  <c r="AC184" i="4"/>
  <c r="AA184" i="4" s="1"/>
  <c r="AC183" i="4"/>
  <c r="AA183" i="4" s="1"/>
  <c r="AC182" i="4"/>
  <c r="AA182" i="4" s="1"/>
  <c r="AC181" i="4"/>
  <c r="AA181" i="4" s="1"/>
  <c r="AC180" i="4"/>
  <c r="AA180" i="4" s="1"/>
  <c r="AC179" i="4"/>
  <c r="AA179" i="4" s="1"/>
  <c r="AC178" i="4"/>
  <c r="AA178" i="4" s="1"/>
  <c r="AC177" i="4"/>
  <c r="AA177" i="4" s="1"/>
  <c r="AC176" i="4"/>
  <c r="AA176" i="4" s="1"/>
  <c r="AC175" i="4"/>
  <c r="AA175" i="4" s="1"/>
  <c r="AC174" i="4"/>
  <c r="AA174" i="4" s="1"/>
  <c r="AC173" i="4"/>
  <c r="AA173" i="4" s="1"/>
  <c r="AC172" i="4"/>
  <c r="AA172" i="4" s="1"/>
  <c r="AC171" i="4"/>
  <c r="AA171" i="4" s="1"/>
  <c r="AC170" i="4"/>
  <c r="AA170" i="4" s="1"/>
  <c r="AC169" i="4"/>
  <c r="AA169" i="4" s="1"/>
  <c r="AC3" i="4"/>
  <c r="AA3" i="4" s="1"/>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Y76" i="4"/>
  <c r="Y77" i="4"/>
  <c r="Y78" i="4"/>
  <c r="Y79" i="4"/>
  <c r="Y80" i="4"/>
  <c r="Y81" i="4"/>
  <c r="Y82" i="4"/>
  <c r="Y83" i="4"/>
  <c r="Y84" i="4"/>
  <c r="Y85" i="4"/>
  <c r="Y86" i="4"/>
  <c r="Y87" i="4"/>
  <c r="Y88" i="4"/>
  <c r="Y89" i="4"/>
  <c r="Y90" i="4"/>
  <c r="Y91" i="4"/>
  <c r="Y92" i="4"/>
  <c r="Y93" i="4"/>
  <c r="Y94" i="4"/>
  <c r="Y95" i="4"/>
  <c r="Y96" i="4"/>
  <c r="Y97" i="4"/>
  <c r="Y98" i="4"/>
  <c r="Y99" i="4"/>
  <c r="Y100" i="4"/>
  <c r="Y101" i="4"/>
  <c r="Y102" i="4"/>
  <c r="Y103" i="4"/>
  <c r="Y104" i="4"/>
  <c r="Y105" i="4"/>
  <c r="Y106" i="4"/>
  <c r="Y107" i="4"/>
  <c r="Y108" i="4"/>
  <c r="Y109" i="4"/>
  <c r="Y110" i="4"/>
  <c r="Y111" i="4"/>
  <c r="Y112" i="4"/>
  <c r="Y113" i="4"/>
  <c r="Y114" i="4"/>
  <c r="Y115" i="4"/>
  <c r="Y116" i="4"/>
  <c r="Y117" i="4"/>
  <c r="Y118" i="4"/>
  <c r="Y119" i="4"/>
  <c r="Y120" i="4"/>
  <c r="Y121" i="4"/>
  <c r="Y122" i="4"/>
  <c r="Y123" i="4"/>
  <c r="Y124" i="4"/>
  <c r="Y125" i="4"/>
  <c r="Y126" i="4"/>
  <c r="Y127" i="4"/>
  <c r="Y128" i="4"/>
  <c r="Y129" i="4"/>
  <c r="Y130" i="4"/>
  <c r="Y131" i="4"/>
  <c r="Y132" i="4"/>
  <c r="Y133" i="4"/>
  <c r="Y134" i="4"/>
  <c r="Y135" i="4"/>
  <c r="Y136" i="4"/>
  <c r="Y137" i="4"/>
  <c r="Y138" i="4"/>
  <c r="Y139" i="4"/>
  <c r="Y140" i="4"/>
  <c r="Y141" i="4"/>
  <c r="Y142" i="4"/>
  <c r="Y143" i="4"/>
  <c r="Y144" i="4"/>
  <c r="Y145" i="4"/>
  <c r="Y146" i="4"/>
  <c r="Y147" i="4"/>
  <c r="Y148" i="4"/>
  <c r="Y149" i="4"/>
  <c r="Y150" i="4"/>
  <c r="Y151" i="4"/>
  <c r="Y152" i="4"/>
  <c r="Y153" i="4"/>
  <c r="Y154" i="4"/>
  <c r="Y155" i="4"/>
  <c r="Y156" i="4"/>
  <c r="Y157" i="4"/>
  <c r="Y158" i="4"/>
  <c r="Y159" i="4"/>
  <c r="Y160" i="4"/>
  <c r="Y161" i="4"/>
  <c r="Y162" i="4"/>
  <c r="Y163" i="4"/>
  <c r="Y164" i="4"/>
  <c r="Y165" i="4"/>
  <c r="Y166" i="4"/>
  <c r="Y167" i="4"/>
  <c r="Y168" i="4"/>
  <c r="Y169" i="4"/>
  <c r="Y170" i="4"/>
  <c r="Y171" i="4"/>
  <c r="Y172" i="4"/>
  <c r="Y173" i="4"/>
  <c r="Y174" i="4"/>
  <c r="Y175" i="4"/>
  <c r="Y176" i="4"/>
  <c r="Y177" i="4"/>
  <c r="Y178" i="4"/>
  <c r="Y179" i="4"/>
  <c r="Y180" i="4"/>
  <c r="Y181" i="4"/>
  <c r="Y182" i="4"/>
  <c r="Y183" i="4"/>
  <c r="Y184" i="4"/>
  <c r="Y185" i="4"/>
  <c r="Y186" i="4"/>
  <c r="Y187" i="4"/>
  <c r="Y188" i="4"/>
  <c r="Y189" i="4"/>
  <c r="Y190" i="4"/>
  <c r="Y191" i="4"/>
  <c r="Y192" i="4"/>
  <c r="Y193" i="4"/>
  <c r="Y194" i="4"/>
  <c r="Y195" i="4"/>
  <c r="Y196" i="4"/>
  <c r="Y197" i="4"/>
  <c r="Y198" i="4"/>
  <c r="Y199" i="4"/>
  <c r="Y200" i="4"/>
  <c r="Y201" i="4"/>
  <c r="Y202" i="4"/>
  <c r="Y203" i="4"/>
  <c r="Y204" i="4"/>
  <c r="Y205" i="4"/>
  <c r="Y206" i="4"/>
  <c r="Y207" i="4"/>
  <c r="Y208" i="4"/>
  <c r="Y209" i="4"/>
  <c r="Y210" i="4"/>
  <c r="Y211" i="4"/>
  <c r="Y3" i="4"/>
  <c r="S3" i="28" s="1"/>
  <c r="O6" i="28"/>
  <c r="O55" i="28"/>
  <c r="O12" i="28"/>
  <c r="O19" i="28"/>
  <c r="O54" i="28"/>
  <c r="O10" i="28"/>
  <c r="O57" i="28"/>
  <c r="O37" i="28"/>
  <c r="O43" i="28"/>
  <c r="O29" i="28"/>
  <c r="O26" i="28"/>
  <c r="O15" i="28"/>
  <c r="O49" i="28"/>
  <c r="O25" i="28"/>
  <c r="O58" i="28"/>
  <c r="O64" i="28"/>
  <c r="O16" i="28"/>
  <c r="O53" i="28"/>
  <c r="O17" i="28"/>
  <c r="O62" i="28"/>
  <c r="O27" i="28"/>
  <c r="O36" i="28"/>
  <c r="O39" i="28"/>
  <c r="O47" i="28"/>
  <c r="O63" i="28"/>
  <c r="O28" i="28"/>
  <c r="O24" i="28"/>
  <c r="O48" i="28"/>
  <c r="O32" i="28"/>
  <c r="P6" i="28"/>
  <c r="O13" i="28"/>
  <c r="O22" i="28"/>
  <c r="O61" i="28"/>
  <c r="O31" i="28"/>
  <c r="O9" i="28"/>
  <c r="O35" i="28"/>
  <c r="O34" i="28"/>
  <c r="O41" i="28"/>
  <c r="O45" i="28"/>
  <c r="P59" i="28"/>
  <c r="P30" i="28"/>
  <c r="O23" i="28"/>
  <c r="P51" i="28"/>
  <c r="P35" i="28"/>
  <c r="O51" i="28"/>
  <c r="O42" i="28"/>
  <c r="O50" i="28"/>
  <c r="O14" i="28"/>
  <c r="O40" i="28"/>
  <c r="P61" i="28"/>
  <c r="O18" i="28"/>
  <c r="O60" i="28"/>
  <c r="D18" i="1"/>
  <c r="D16" i="1" s="1"/>
  <c r="T213" i="4" s="1"/>
  <c r="P15" i="28"/>
  <c r="O33" i="28"/>
  <c r="P26" i="28"/>
  <c r="P27" i="28"/>
  <c r="P25" i="28"/>
  <c r="P11" i="28"/>
  <c r="P5" i="28"/>
  <c r="P38" i="28"/>
  <c r="P37" i="28"/>
  <c r="P44" i="28"/>
  <c r="H3" i="1"/>
  <c r="H5" i="1" s="1"/>
  <c r="AB212" i="4" s="1"/>
  <c r="P12" i="28"/>
  <c r="P13" i="28"/>
  <c r="P33" i="28"/>
  <c r="P45" i="28"/>
  <c r="P42" i="28"/>
  <c r="O11" i="28"/>
  <c r="P28" i="28"/>
  <c r="P47" i="28"/>
  <c r="O44" i="28"/>
  <c r="P55" i="28"/>
  <c r="P43" i="28"/>
  <c r="P48" i="28"/>
  <c r="P32" i="28"/>
  <c r="P46" i="28"/>
  <c r="O52" i="28"/>
  <c r="P63" i="28"/>
  <c r="P34" i="28"/>
  <c r="P23" i="28"/>
  <c r="O46" i="28"/>
  <c r="O59" i="28"/>
  <c r="P19" i="28"/>
  <c r="P56" i="28"/>
  <c r="P58" i="28"/>
  <c r="P62" i="28"/>
  <c r="P18" i="28"/>
  <c r="P9" i="28"/>
  <c r="P39" i="28"/>
  <c r="P24" i="28"/>
  <c r="P22" i="28"/>
  <c r="P54" i="28"/>
  <c r="P21" i="28"/>
  <c r="P8" i="28"/>
  <c r="O56" i="28"/>
  <c r="O30" i="28"/>
  <c r="P64" i="28"/>
  <c r="P50" i="28"/>
  <c r="P53" i="28"/>
  <c r="P10" i="28"/>
  <c r="P7" i="28"/>
  <c r="P36" i="28"/>
  <c r="O7" i="28"/>
  <c r="P60" i="28"/>
  <c r="P52" i="28"/>
  <c r="P16" i="28"/>
  <c r="P49" i="28"/>
  <c r="P57" i="28"/>
  <c r="P20" i="28"/>
  <c r="P41" i="28"/>
  <c r="P40" i="28"/>
  <c r="O38" i="28"/>
  <c r="O8" i="28"/>
  <c r="P31" i="28"/>
  <c r="P14" i="28"/>
  <c r="P17" i="28"/>
  <c r="P29" i="28"/>
  <c r="E432" i="7"/>
  <c r="E70" i="7"/>
  <c r="E604" i="7"/>
  <c r="E575" i="7"/>
  <c r="E388" i="7"/>
  <c r="E462" i="7"/>
  <c r="E34" i="7"/>
  <c r="E382" i="7"/>
  <c r="E599" i="7"/>
  <c r="E404" i="7"/>
  <c r="E393" i="7"/>
  <c r="E426" i="7"/>
  <c r="E579" i="7"/>
  <c r="E371" i="7"/>
  <c r="E416" i="7"/>
  <c r="E46" i="7"/>
  <c r="E576" i="7"/>
  <c r="E15" i="7"/>
  <c r="E607" i="7"/>
  <c r="N441" i="7"/>
  <c r="N553" i="7"/>
  <c r="E281" i="7"/>
  <c r="N91" i="7"/>
  <c r="E555" i="7"/>
  <c r="E542" i="7"/>
  <c r="E18" i="7"/>
  <c r="E66" i="7"/>
  <c r="E75" i="7"/>
  <c r="E121" i="7"/>
  <c r="E400" i="7"/>
  <c r="N414" i="7"/>
  <c r="E521" i="7"/>
  <c r="E538" i="7"/>
  <c r="N390" i="7"/>
  <c r="E42" i="7"/>
  <c r="E356" i="7"/>
  <c r="N200" i="7"/>
  <c r="E99" i="7"/>
  <c r="E136" i="7"/>
  <c r="N264" i="7"/>
  <c r="E535" i="7"/>
  <c r="E519" i="7"/>
  <c r="N454" i="7"/>
  <c r="E389" i="7"/>
  <c r="E439" i="7"/>
  <c r="E26" i="7"/>
  <c r="E80" i="7"/>
  <c r="E53" i="7"/>
  <c r="N445" i="7"/>
  <c r="E262" i="7"/>
  <c r="E539" i="7"/>
  <c r="E45" i="7"/>
  <c r="E366" i="7"/>
  <c r="E332" i="7"/>
  <c r="N543" i="7"/>
  <c r="N338" i="7"/>
  <c r="E147" i="7"/>
  <c r="N246" i="7"/>
  <c r="E103" i="7"/>
  <c r="E150" i="7"/>
  <c r="E297" i="7"/>
  <c r="E430" i="7"/>
  <c r="N328" i="7"/>
  <c r="E403" i="7"/>
  <c r="N142" i="7"/>
  <c r="E111" i="7"/>
  <c r="N249" i="7"/>
  <c r="E39" i="7"/>
  <c r="N415" i="7"/>
  <c r="E377" i="7"/>
  <c r="E508" i="7"/>
  <c r="N495" i="7"/>
  <c r="E518" i="7"/>
  <c r="E584" i="7"/>
  <c r="E283" i="7"/>
  <c r="N260" i="7"/>
  <c r="E328" i="7"/>
  <c r="N299" i="7"/>
  <c r="E506" i="7"/>
  <c r="E410" i="7"/>
  <c r="E327" i="7"/>
  <c r="E19" i="7"/>
  <c r="E154" i="7"/>
  <c r="E273" i="7"/>
  <c r="N286" i="7"/>
  <c r="E495" i="7"/>
  <c r="E69" i="7"/>
  <c r="N100" i="7"/>
  <c r="E117" i="7"/>
  <c r="E513" i="7"/>
  <c r="N267" i="7"/>
  <c r="N560" i="7"/>
  <c r="E323" i="7"/>
  <c r="E109" i="7"/>
  <c r="N357" i="7"/>
  <c r="E480" i="7"/>
  <c r="E397" i="7"/>
  <c r="E141" i="7"/>
  <c r="N248" i="7"/>
  <c r="N427" i="7"/>
  <c r="E198" i="7"/>
  <c r="E369" i="7"/>
  <c r="N85" i="7"/>
  <c r="E546" i="7"/>
  <c r="E425" i="7"/>
  <c r="E399" i="7"/>
  <c r="E370" i="7"/>
  <c r="E618" i="7"/>
  <c r="E610" i="7"/>
  <c r="E460" i="7"/>
  <c r="E412" i="7"/>
  <c r="E580" i="7"/>
  <c r="E452" i="7"/>
  <c r="E459" i="7"/>
  <c r="N93" i="7"/>
  <c r="E340" i="7"/>
  <c r="N166" i="7"/>
  <c r="E567" i="7"/>
  <c r="N89" i="7"/>
  <c r="E138" i="7"/>
  <c r="N293" i="7"/>
  <c r="N170" i="7"/>
  <c r="N304" i="7"/>
  <c r="E163" i="7"/>
  <c r="N124" i="7"/>
  <c r="N443" i="7"/>
  <c r="E379" i="7"/>
  <c r="N534" i="7"/>
  <c r="E319" i="7"/>
  <c r="N358" i="7"/>
  <c r="N114" i="7"/>
  <c r="E204" i="7"/>
  <c r="E106" i="7"/>
  <c r="E302" i="7"/>
  <c r="E509" i="7"/>
  <c r="E486" i="7"/>
  <c r="E49" i="7"/>
  <c r="E391" i="7"/>
  <c r="E589" i="7"/>
  <c r="E413" i="7"/>
  <c r="E343" i="7"/>
  <c r="E83" i="7"/>
  <c r="E453" i="7"/>
  <c r="E57" i="7"/>
  <c r="E401" i="7"/>
  <c r="E20" i="7"/>
  <c r="E395" i="7"/>
  <c r="E592" i="7"/>
  <c r="E615" i="7"/>
  <c r="E583" i="7"/>
  <c r="E65" i="7"/>
  <c r="E14" i="7"/>
  <c r="E617" i="7"/>
  <c r="E337" i="7"/>
  <c r="E360" i="7"/>
  <c r="E282" i="7"/>
  <c r="E317" i="7"/>
  <c r="N197" i="7"/>
  <c r="E288" i="7"/>
  <c r="N464" i="7"/>
  <c r="E120" i="7"/>
  <c r="N324" i="7"/>
  <c r="N263" i="7"/>
  <c r="N121" i="7"/>
  <c r="E350" i="7"/>
  <c r="N474" i="7"/>
  <c r="E532" i="7"/>
  <c r="E497" i="7"/>
  <c r="N62" i="7"/>
  <c r="E153" i="7"/>
  <c r="N203" i="7"/>
  <c r="N322" i="7"/>
  <c r="E86" i="7"/>
  <c r="N110" i="7"/>
  <c r="E565" i="7"/>
  <c r="N309" i="7"/>
  <c r="N270" i="7"/>
  <c r="E485" i="7"/>
  <c r="N290" i="7"/>
  <c r="E16" i="7"/>
  <c r="E292" i="7"/>
  <c r="E59" i="7"/>
  <c r="E303" i="7"/>
  <c r="N74" i="7"/>
  <c r="E139" i="7"/>
  <c r="N562" i="7"/>
  <c r="N269" i="7"/>
  <c r="E392" i="7"/>
  <c r="N311" i="7"/>
  <c r="E368" i="7"/>
  <c r="E284" i="7"/>
  <c r="N272" i="7"/>
  <c r="N410" i="7"/>
  <c r="N158" i="7"/>
  <c r="E162" i="7"/>
  <c r="E169" i="7"/>
  <c r="N130" i="7"/>
  <c r="E130" i="7"/>
  <c r="E81" i="7"/>
  <c r="E466" i="7"/>
  <c r="N58" i="7"/>
  <c r="E433" i="7"/>
  <c r="N128" i="7"/>
  <c r="N555" i="7"/>
  <c r="E342" i="7"/>
  <c r="N133" i="7"/>
  <c r="E431" i="7"/>
  <c r="E84" i="7"/>
  <c r="N493" i="7"/>
  <c r="E422" i="7"/>
  <c r="E585" i="7"/>
  <c r="E28" i="7"/>
  <c r="E587" i="7"/>
  <c r="E588" i="7"/>
  <c r="E421" i="7"/>
  <c r="E578" i="7"/>
  <c r="E384" i="7"/>
  <c r="N151" i="7"/>
  <c r="E307" i="7"/>
  <c r="E351" i="7"/>
  <c r="E268" i="7"/>
  <c r="E472" i="7"/>
  <c r="N516" i="7"/>
  <c r="E254" i="7"/>
  <c r="E353" i="7"/>
  <c r="E331" i="7"/>
  <c r="E560" i="7"/>
  <c r="E448" i="7"/>
  <c r="N444" i="7"/>
  <c r="E157" i="7"/>
  <c r="N461" i="7"/>
  <c r="E118" i="7"/>
  <c r="E437" i="7"/>
  <c r="E570" i="7"/>
  <c r="E40" i="7"/>
  <c r="E165" i="7"/>
  <c r="E446" i="7"/>
  <c r="E79" i="7"/>
  <c r="E315" i="7"/>
  <c r="E51" i="7"/>
  <c r="N336" i="7"/>
  <c r="N149" i="7"/>
  <c r="E60" i="7"/>
  <c r="E102" i="7"/>
  <c r="E605" i="7"/>
  <c r="E50" i="7"/>
  <c r="E374" i="7"/>
  <c r="E168" i="7"/>
  <c r="E44" i="7"/>
  <c r="N305" i="7"/>
  <c r="N524" i="7"/>
  <c r="E61" i="7"/>
  <c r="E335" i="7"/>
  <c r="N394" i="7"/>
  <c r="N52" i="7"/>
  <c r="N140" i="7"/>
  <c r="E77" i="7"/>
  <c r="N300" i="7"/>
  <c r="N523" i="7"/>
  <c r="E451" i="7"/>
  <c r="N341" i="7"/>
  <c r="E557" i="7"/>
  <c r="E71" i="7"/>
  <c r="E105" i="7"/>
  <c r="E608" i="7"/>
  <c r="E129" i="7"/>
  <c r="E387" i="7"/>
  <c r="E602" i="7"/>
  <c r="E396" i="7"/>
  <c r="E355" i="7"/>
  <c r="E348" i="7"/>
  <c r="E252" i="7"/>
  <c r="N330" i="7"/>
  <c r="E13" i="7"/>
  <c r="E310" i="7"/>
  <c r="E143" i="7"/>
  <c r="E394" i="7"/>
  <c r="E298" i="7"/>
  <c r="E260" i="7"/>
  <c r="E414" i="7"/>
  <c r="N122" i="7"/>
  <c r="N64" i="7"/>
  <c r="N314" i="7"/>
  <c r="E483" i="7"/>
  <c r="N429" i="7"/>
  <c r="N525" i="7"/>
  <c r="E504" i="7"/>
  <c r="N469" i="7"/>
  <c r="N22" i="7"/>
  <c r="E312" i="7"/>
  <c r="N498" i="7"/>
  <c r="N36" i="7"/>
  <c r="E149" i="7"/>
  <c r="E558" i="7"/>
  <c r="E197" i="7"/>
  <c r="E444" i="7"/>
  <c r="E594" i="7"/>
  <c r="E598" i="7"/>
  <c r="E563" i="7"/>
  <c r="E402" i="7"/>
  <c r="E455" i="7"/>
  <c r="E386" i="7"/>
  <c r="E597" i="7"/>
  <c r="E417" i="7"/>
  <c r="E372" i="7"/>
  <c r="E362" i="7"/>
  <c r="E600" i="7"/>
  <c r="E463" i="7"/>
  <c r="N482" i="7"/>
  <c r="E450" i="7"/>
  <c r="N494" i="7"/>
  <c r="E159" i="7"/>
  <c r="N477" i="7"/>
  <c r="E321" i="7"/>
  <c r="N127" i="7"/>
  <c r="E468" i="7"/>
  <c r="E25" i="7"/>
  <c r="E515" i="7"/>
  <c r="N398" i="7"/>
  <c r="N530" i="7"/>
  <c r="E134" i="7"/>
  <c r="N321" i="7"/>
  <c r="E97" i="7"/>
  <c r="N527" i="7"/>
  <c r="E155" i="7"/>
  <c r="N478" i="7"/>
  <c r="N550" i="7"/>
  <c r="N325" i="7"/>
  <c r="E616" i="7"/>
  <c r="E572" i="7"/>
  <c r="E573" i="7"/>
  <c r="E104" i="7"/>
  <c r="E119" i="7"/>
  <c r="E593" i="7"/>
  <c r="E603" i="7"/>
  <c r="E590" i="7"/>
  <c r="E385" i="7"/>
  <c r="E601" i="7"/>
  <c r="E359" i="7"/>
  <c r="E612" i="7"/>
  <c r="E334" i="7"/>
  <c r="N113" i="7"/>
  <c r="N434" i="7"/>
  <c r="N295" i="7"/>
  <c r="E475" i="7"/>
  <c r="E479" i="7"/>
  <c r="N108" i="7"/>
  <c r="E510" i="7"/>
  <c r="E481" i="7"/>
  <c r="E64" i="7"/>
  <c r="E160" i="7"/>
  <c r="E67" i="7"/>
  <c r="N171" i="7"/>
  <c r="E505" i="7"/>
  <c r="N279" i="7"/>
  <c r="N90" i="7"/>
  <c r="E205" i="7"/>
  <c r="E41" i="7"/>
  <c r="E596" i="7"/>
  <c r="E442" i="7"/>
  <c r="E595" i="7"/>
  <c r="E424" i="7"/>
  <c r="E339" i="7"/>
  <c r="E571" i="7"/>
  <c r="E577" i="7"/>
  <c r="E581" i="7"/>
  <c r="E29" i="7"/>
  <c r="E458" i="7"/>
  <c r="E107" i="7"/>
  <c r="E591" i="7"/>
  <c r="E586" i="7"/>
  <c r="E148" i="7"/>
  <c r="E73" i="7"/>
  <c r="E582" i="7"/>
  <c r="E253" i="7"/>
  <c r="E266" i="7"/>
  <c r="E545" i="7"/>
  <c r="N423" i="7"/>
  <c r="N352" i="7"/>
  <c r="E491" i="7"/>
  <c r="E135" i="7"/>
  <c r="E275" i="7"/>
  <c r="N61" i="7"/>
  <c r="N271" i="7"/>
  <c r="N349" i="7"/>
  <c r="E551" i="7"/>
  <c r="E528" i="7"/>
  <c r="N257" i="7"/>
  <c r="E490" i="7"/>
  <c r="E93" i="7"/>
  <c r="E454" i="7"/>
  <c r="E261" i="7"/>
  <c r="E526" i="7"/>
  <c r="N31" i="7"/>
  <c r="N320" i="7"/>
  <c r="E464" i="7"/>
  <c r="E95" i="7"/>
  <c r="E265" i="7"/>
  <c r="N490" i="7"/>
  <c r="E68" i="7"/>
  <c r="E30" i="7"/>
  <c r="N521" i="7"/>
  <c r="E533" i="7"/>
  <c r="E52" i="7"/>
  <c r="E255" i="7"/>
  <c r="N509" i="7"/>
  <c r="E492" i="7"/>
  <c r="N364" i="7"/>
  <c r="E301" i="7"/>
  <c r="E552" i="7"/>
  <c r="N117" i="7"/>
  <c r="E489" i="7"/>
  <c r="E420" i="7"/>
  <c r="N278" i="7"/>
  <c r="E488" i="7"/>
  <c r="N547" i="7"/>
  <c r="E98" i="7"/>
  <c r="N492" i="7"/>
  <c r="E115" i="7"/>
  <c r="E568" i="7"/>
  <c r="E259" i="7"/>
  <c r="E114" i="7"/>
  <c r="N470" i="7"/>
  <c r="N112" i="7"/>
  <c r="E23" i="7"/>
  <c r="E258" i="7"/>
  <c r="E367" i="7"/>
  <c r="N132" i="7"/>
  <c r="E116" i="7"/>
  <c r="E55" i="7"/>
  <c r="N529" i="7"/>
  <c r="E405" i="7"/>
  <c r="E196" i="7"/>
  <c r="E287" i="7"/>
  <c r="E516" i="7"/>
  <c r="E72" i="7"/>
  <c r="E21" i="7"/>
  <c r="E390" i="7"/>
  <c r="N123" i="7"/>
  <c r="N63" i="7"/>
  <c r="E250" i="7"/>
  <c r="E280" i="7"/>
  <c r="E383" i="7"/>
  <c r="E409" i="7"/>
  <c r="N517" i="7"/>
  <c r="E419" i="7"/>
  <c r="E408" i="7"/>
  <c r="E375" i="7"/>
  <c r="E436" i="7"/>
  <c r="E609" i="7"/>
  <c r="E38" i="7"/>
  <c r="E54" i="7"/>
  <c r="E606" i="7"/>
  <c r="E440" i="7"/>
  <c r="E32" i="7"/>
  <c r="E289" i="7"/>
  <c r="N502" i="7"/>
  <c r="N308" i="7"/>
  <c r="N329" i="7"/>
  <c r="E199" i="7"/>
  <c r="N155" i="7"/>
  <c r="E277" i="7"/>
  <c r="E548" i="7"/>
  <c r="E564" i="7"/>
  <c r="N561" i="7"/>
  <c r="N499" i="7"/>
  <c r="E256" i="7"/>
  <c r="N503" i="7"/>
  <c r="E313" i="7"/>
  <c r="N315" i="7"/>
  <c r="E126" i="7"/>
  <c r="N549" i="7"/>
  <c r="E473" i="7"/>
  <c r="E293" i="7"/>
  <c r="N316" i="7"/>
  <c r="N544" i="7"/>
  <c r="E365" i="7"/>
  <c r="E428" i="7"/>
  <c r="E406" i="7"/>
  <c r="E345" i="7"/>
  <c r="E78" i="7"/>
  <c r="E614" i="7"/>
  <c r="E376" i="7"/>
  <c r="E101" i="7"/>
  <c r="E619" i="7"/>
  <c r="E438" i="7"/>
  <c r="E566" i="7"/>
  <c r="E27" i="7"/>
  <c r="E411" i="7"/>
  <c r="E611" i="7"/>
  <c r="E373" i="7"/>
  <c r="E476" i="7"/>
  <c r="E435" i="7"/>
  <c r="E381" i="7"/>
  <c r="E304" i="7"/>
  <c r="E559" i="7"/>
  <c r="E276" i="7"/>
  <c r="E512" i="7"/>
  <c r="E457" i="7"/>
  <c r="E569" i="7"/>
  <c r="E144" i="7"/>
  <c r="E152" i="7"/>
  <c r="E274" i="7"/>
  <c r="E487" i="7"/>
  <c r="E449" i="7"/>
  <c r="N351" i="7"/>
  <c r="E418" i="7"/>
  <c r="E300" i="7"/>
  <c r="E520" i="7"/>
  <c r="E132" i="7"/>
  <c r="E251" i="7"/>
  <c r="E346" i="7"/>
  <c r="E145" i="7"/>
  <c r="N48" i="7"/>
  <c r="E507" i="7"/>
  <c r="E161" i="7"/>
  <c r="N66" i="7"/>
  <c r="E554" i="7"/>
  <c r="E164" i="7"/>
  <c r="E36" i="7"/>
  <c r="E522" i="7"/>
  <c r="E465" i="7"/>
  <c r="E306" i="7"/>
  <c r="E108" i="7"/>
  <c r="N511" i="7"/>
  <c r="E285" i="7"/>
  <c r="E326" i="7"/>
  <c r="E156" i="7"/>
  <c r="E96" i="7"/>
  <c r="E202" i="7"/>
  <c r="N541" i="7"/>
  <c r="E354" i="7"/>
  <c r="E151" i="7"/>
  <c r="E291" i="7"/>
  <c r="N247" i="7"/>
  <c r="N294" i="7"/>
  <c r="N131" i="7"/>
  <c r="E94" i="7"/>
  <c r="N111" i="7"/>
  <c r="N87" i="7"/>
  <c r="N275" i="7"/>
  <c r="N538" i="7"/>
  <c r="E361" i="7"/>
  <c r="E500" i="7"/>
  <c r="E76" i="7"/>
  <c r="E90" i="7"/>
  <c r="N35" i="7"/>
  <c r="E33" i="7"/>
  <c r="E24" i="7"/>
  <c r="E613" i="7"/>
  <c r="E380" i="7"/>
  <c r="N37" i="7"/>
  <c r="E296" i="7"/>
  <c r="N92" i="7"/>
  <c r="N531" i="7"/>
  <c r="E43" i="7"/>
  <c r="E407" i="7"/>
  <c r="N318" i="7"/>
  <c r="N420" i="7"/>
  <c r="E82" i="7"/>
  <c r="E556" i="7"/>
  <c r="E125" i="7"/>
  <c r="N536" i="7"/>
  <c r="E88" i="7"/>
  <c r="E467" i="7"/>
  <c r="E514" i="7"/>
  <c r="E146" i="7"/>
  <c r="E314" i="7"/>
  <c r="E347" i="7"/>
  <c r="E541" i="7"/>
  <c r="N540" i="7"/>
  <c r="E456" i="7"/>
  <c r="E378" i="7"/>
  <c r="E37" i="7"/>
  <c r="N471" i="7"/>
  <c r="E574" i="7"/>
  <c r="E137" i="7"/>
  <c r="E484" i="7"/>
  <c r="E363" i="7"/>
  <c r="E344" i="7"/>
  <c r="N333" i="7"/>
  <c r="E447" i="7"/>
  <c r="E537" i="7"/>
  <c r="E167" i="7"/>
  <c r="AB213" i="4" l="1"/>
  <c r="T212" i="4"/>
  <c r="F64" i="28"/>
  <c r="F4" i="7" a="1"/>
  <c r="F4" i="7" s="1"/>
  <c r="E4" i="7" s="1" a="1"/>
  <c r="E4" i="7" s="1"/>
  <c r="I8" i="7" a="1"/>
  <c r="I8" i="7" s="1"/>
  <c r="H8" i="7" s="1" a="1"/>
  <c r="H8" i="7" s="1"/>
  <c r="I2" i="7" a="1"/>
  <c r="I2" i="7" s="1"/>
  <c r="H2" i="7" s="1" a="1"/>
  <c r="H2" i="7" s="1"/>
  <c r="F6" i="7" a="1"/>
  <c r="F6" i="7" s="1"/>
  <c r="E6" i="7" s="1" a="1"/>
  <c r="E6" i="7" s="1"/>
  <c r="F2" i="7" a="1"/>
  <c r="F2" i="7" s="1"/>
  <c r="I4" i="7" a="1"/>
  <c r="I4" i="7" s="1"/>
  <c r="H4" i="7" s="1" a="1"/>
  <c r="H4" i="7" s="1"/>
  <c r="I6" i="7" a="1"/>
  <c r="I6" i="7" s="1"/>
  <c r="H6" i="7" s="1" a="1"/>
  <c r="H6" i="7" s="1"/>
  <c r="F8" i="7" a="1"/>
  <c r="F8" i="7" s="1"/>
  <c r="E8" i="7" s="1" a="1"/>
  <c r="E8" i="7" s="1"/>
  <c r="AB115" i="3"/>
  <c r="AB86" i="2"/>
  <c r="T115" i="3"/>
  <c r="T4" i="2"/>
  <c r="F34" i="28"/>
  <c r="AB205" i="4"/>
  <c r="AB206" i="4"/>
  <c r="AB207" i="4"/>
  <c r="AB208" i="4"/>
  <c r="AB209" i="4"/>
  <c r="AB210" i="4"/>
  <c r="AB211" i="4"/>
  <c r="AB204" i="4"/>
  <c r="AB203" i="4"/>
  <c r="AB202" i="4"/>
  <c r="AB201" i="4"/>
  <c r="AB200" i="4"/>
  <c r="AB199" i="4"/>
  <c r="AB198" i="4"/>
  <c r="AB197" i="4"/>
  <c r="AB196" i="4"/>
  <c r="AB195" i="4"/>
  <c r="AB194" i="4"/>
  <c r="AB193" i="4"/>
  <c r="AB192" i="4"/>
  <c r="AB191" i="4"/>
  <c r="AB190" i="4"/>
  <c r="AB189" i="4"/>
  <c r="AB188" i="4"/>
  <c r="AB187" i="4"/>
  <c r="AB186" i="4"/>
  <c r="AB185" i="4"/>
  <c r="AB184" i="4"/>
  <c r="AB183" i="4"/>
  <c r="AB182" i="4"/>
  <c r="AB181" i="4"/>
  <c r="AB180" i="4"/>
  <c r="AB179" i="4"/>
  <c r="AB178" i="4"/>
  <c r="AB177" i="4"/>
  <c r="AB176" i="4"/>
  <c r="AB175" i="4"/>
  <c r="AB174" i="4"/>
  <c r="AB173" i="4"/>
  <c r="AB172" i="4"/>
  <c r="AB171" i="4"/>
  <c r="AB170" i="4"/>
  <c r="AB169" i="4"/>
  <c r="T165" i="4"/>
  <c r="T169" i="4"/>
  <c r="T170" i="4"/>
  <c r="T172" i="4"/>
  <c r="T173" i="4"/>
  <c r="T174" i="4"/>
  <c r="T176" i="4"/>
  <c r="T175" i="4"/>
  <c r="T177" i="4"/>
  <c r="T178" i="4"/>
  <c r="T179" i="4"/>
  <c r="T184" i="4"/>
  <c r="T182" i="4"/>
  <c r="T180" i="4"/>
  <c r="T181" i="4"/>
  <c r="T183" i="4"/>
  <c r="T186" i="4"/>
  <c r="T185" i="4"/>
  <c r="T187" i="4"/>
  <c r="T188" i="4"/>
  <c r="T191" i="4"/>
  <c r="T192" i="4"/>
  <c r="T193" i="4"/>
  <c r="T190" i="4"/>
  <c r="T189" i="4"/>
  <c r="T195" i="4"/>
  <c r="T197" i="4"/>
  <c r="T196" i="4"/>
  <c r="T198" i="4"/>
  <c r="T199" i="4"/>
  <c r="T194" i="4"/>
  <c r="T200" i="4"/>
  <c r="T201" i="4"/>
  <c r="T202" i="4"/>
  <c r="T204" i="4"/>
  <c r="T203" i="4"/>
  <c r="T211" i="4"/>
  <c r="T208" i="4"/>
  <c r="T210" i="4"/>
  <c r="T209" i="4"/>
  <c r="T206" i="4"/>
  <c r="T207" i="4"/>
  <c r="T205" i="4"/>
  <c r="AB137" i="5"/>
  <c r="AB136" i="5"/>
  <c r="AB135" i="5"/>
  <c r="AB134" i="5"/>
  <c r="AB133" i="5"/>
  <c r="T131" i="5"/>
  <c r="T133" i="5"/>
  <c r="T135" i="5"/>
  <c r="T136" i="5"/>
  <c r="T137" i="5"/>
  <c r="AB13" i="2"/>
  <c r="AB85" i="2"/>
  <c r="AB84" i="2"/>
  <c r="AB83" i="2"/>
  <c r="AB82" i="2"/>
  <c r="AB81" i="2"/>
  <c r="AB80" i="2"/>
  <c r="AB79" i="2"/>
  <c r="AB78" i="2"/>
  <c r="AB77" i="2"/>
  <c r="AB76" i="2"/>
  <c r="AB75" i="2"/>
  <c r="T3" i="2"/>
  <c r="T76" i="2"/>
  <c r="T77" i="2"/>
  <c r="T78" i="2"/>
  <c r="T79" i="2"/>
  <c r="T80" i="2"/>
  <c r="T81" i="2"/>
  <c r="T82" i="2"/>
  <c r="T83" i="2"/>
  <c r="T84" i="2"/>
  <c r="T85" i="2"/>
  <c r="T86" i="2"/>
  <c r="O21" i="28"/>
  <c r="O20" i="28"/>
  <c r="O5" i="28"/>
  <c r="F49" i="28"/>
  <c r="F58" i="28"/>
  <c r="F55" i="28"/>
  <c r="F53" i="28"/>
  <c r="G58" i="28"/>
  <c r="F56" i="28"/>
  <c r="F52" i="28"/>
  <c r="G57" i="28"/>
  <c r="F61" i="28"/>
  <c r="F57" i="28"/>
  <c r="G56" i="28"/>
  <c r="G55" i="28"/>
  <c r="G45" i="28"/>
  <c r="G47" i="28"/>
  <c r="G51" i="28"/>
  <c r="F50" i="28"/>
  <c r="F51" i="28"/>
  <c r="G59" i="28"/>
  <c r="G52" i="28"/>
  <c r="G42" i="28"/>
  <c r="G60" i="28"/>
  <c r="G39" i="28"/>
  <c r="G53" i="28"/>
  <c r="F62" i="28"/>
  <c r="G38" i="28"/>
  <c r="G44" i="28"/>
  <c r="G37" i="28"/>
  <c r="G54" i="28"/>
  <c r="F54" i="28"/>
  <c r="G48" i="28"/>
  <c r="G64" i="28"/>
  <c r="G43" i="28"/>
  <c r="G41" i="28"/>
  <c r="G62" i="28"/>
  <c r="G40" i="28"/>
  <c r="G46" i="28"/>
  <c r="G49" i="28"/>
  <c r="G61" i="28"/>
  <c r="F60" i="28"/>
  <c r="G50" i="28"/>
  <c r="G63" i="28"/>
  <c r="T30" i="5"/>
  <c r="T64" i="5"/>
  <c r="AB36" i="2"/>
  <c r="AB57" i="4"/>
  <c r="AB22" i="2"/>
  <c r="AB93" i="4"/>
  <c r="AB7" i="4"/>
  <c r="AB33" i="2"/>
  <c r="AB136" i="4"/>
  <c r="AB92" i="4"/>
  <c r="AB167" i="4"/>
  <c r="AB106" i="4"/>
  <c r="AB151" i="4"/>
  <c r="AB142" i="4"/>
  <c r="T51" i="3"/>
  <c r="T126" i="5"/>
  <c r="T56" i="3"/>
  <c r="T93" i="5"/>
  <c r="T37" i="3"/>
  <c r="T71" i="3"/>
  <c r="T12" i="2"/>
  <c r="T73" i="5"/>
  <c r="T75" i="5"/>
  <c r="AB28" i="4"/>
  <c r="T16" i="3"/>
  <c r="AB102" i="4"/>
  <c r="T81" i="5"/>
  <c r="T130" i="5"/>
  <c r="T35" i="2"/>
  <c r="T112" i="3"/>
  <c r="T13" i="3"/>
  <c r="T76" i="3"/>
  <c r="T107" i="3"/>
  <c r="T80" i="5"/>
  <c r="T6" i="3"/>
  <c r="T101" i="5"/>
  <c r="T75" i="3"/>
  <c r="T112" i="5"/>
  <c r="AB67" i="2"/>
  <c r="T49" i="2"/>
  <c r="AB70" i="2"/>
  <c r="AB63" i="4"/>
  <c r="AB42" i="4"/>
  <c r="AB5" i="2"/>
  <c r="AB18" i="4"/>
  <c r="AB38" i="4"/>
  <c r="AB31" i="4"/>
  <c r="AB56" i="4"/>
  <c r="AB55" i="2"/>
  <c r="AB53" i="2"/>
  <c r="AB64" i="2"/>
  <c r="AB155" i="4"/>
  <c r="AB143" i="4"/>
  <c r="AB47" i="2"/>
  <c r="AB70" i="4"/>
  <c r="AB9" i="4"/>
  <c r="AB120" i="4"/>
  <c r="AB12" i="4"/>
  <c r="AB164" i="4"/>
  <c r="AB127" i="4"/>
  <c r="AB40" i="4"/>
  <c r="AB85" i="4"/>
  <c r="AB47" i="4"/>
  <c r="AB114" i="4"/>
  <c r="AB65" i="2"/>
  <c r="AB21" i="2"/>
  <c r="AB152" i="4"/>
  <c r="AB24" i="4"/>
  <c r="AB30" i="2"/>
  <c r="AB109" i="4"/>
  <c r="AB34" i="2"/>
  <c r="AB96" i="4"/>
  <c r="AB14" i="2"/>
  <c r="AB141" i="4"/>
  <c r="AB52" i="2"/>
  <c r="AB140" i="4"/>
  <c r="AB148" i="4"/>
  <c r="AB7" i="2"/>
  <c r="AB39" i="4"/>
  <c r="AB72" i="4"/>
  <c r="AB38" i="2"/>
  <c r="AB19" i="4"/>
  <c r="AB61" i="2"/>
  <c r="AB25" i="2"/>
  <c r="AB8" i="4"/>
  <c r="AB76" i="4"/>
  <c r="AB12" i="2"/>
  <c r="AB123" i="4"/>
  <c r="AB160" i="4"/>
  <c r="AB66" i="2"/>
  <c r="AB110" i="4"/>
  <c r="AB11" i="2"/>
  <c r="AB121" i="4"/>
  <c r="AB104" i="4"/>
  <c r="AB51" i="2"/>
  <c r="AB74" i="2"/>
  <c r="AB105" i="4"/>
  <c r="AB15" i="4"/>
  <c r="AB65" i="4"/>
  <c r="AB62" i="2"/>
  <c r="AB132" i="4"/>
  <c r="AB3" i="4"/>
  <c r="AB50" i="2"/>
  <c r="AB19" i="2"/>
  <c r="AB33" i="4"/>
  <c r="AB80" i="4"/>
  <c r="AB26" i="2"/>
  <c r="AB25" i="4"/>
  <c r="AB46" i="4"/>
  <c r="AB44" i="2"/>
  <c r="AB128" i="4"/>
  <c r="AB116" i="4"/>
  <c r="AB119" i="4"/>
  <c r="AB48" i="4"/>
  <c r="AB150" i="4"/>
  <c r="AB78" i="4"/>
  <c r="AB30" i="4"/>
  <c r="AB28" i="2"/>
  <c r="AB23" i="4"/>
  <c r="AB84" i="4"/>
  <c r="AB86" i="4"/>
  <c r="AB31" i="2"/>
  <c r="AB46" i="2"/>
  <c r="AB68" i="4"/>
  <c r="AB9" i="2"/>
  <c r="AB62" i="4"/>
  <c r="AB17" i="4"/>
  <c r="AB10" i="4"/>
  <c r="AB54" i="2"/>
  <c r="AB58" i="2"/>
  <c r="AB6" i="4"/>
  <c r="AB16" i="4"/>
  <c r="AB43" i="4"/>
  <c r="AB82" i="4"/>
  <c r="AB44" i="4"/>
  <c r="AB58" i="4"/>
  <c r="AB83" i="4"/>
  <c r="AB22" i="4"/>
  <c r="AB87" i="4"/>
  <c r="AB67" i="4"/>
  <c r="AB162" i="4"/>
  <c r="AB68" i="2"/>
  <c r="AB35" i="2"/>
  <c r="AB103" i="4"/>
  <c r="AB90" i="4"/>
  <c r="AB60" i="4"/>
  <c r="AB91" i="4"/>
  <c r="AB98" i="4"/>
  <c r="AB41" i="2"/>
  <c r="AB122" i="4"/>
  <c r="AB41" i="4"/>
  <c r="AB158" i="4"/>
  <c r="AB24" i="2"/>
  <c r="AB153" i="4"/>
  <c r="AB117" i="4"/>
  <c r="AB129" i="4"/>
  <c r="AB39" i="2"/>
  <c r="AB20" i="2"/>
  <c r="AB35" i="4"/>
  <c r="AB125" i="4"/>
  <c r="AB27" i="2"/>
  <c r="AB49" i="2"/>
  <c r="AB124" i="4"/>
  <c r="T18" i="5"/>
  <c r="T56" i="5"/>
  <c r="T71" i="2"/>
  <c r="T108" i="3"/>
  <c r="T100" i="5"/>
  <c r="T62" i="3"/>
  <c r="T57" i="5"/>
  <c r="T36" i="3"/>
  <c r="T41" i="3"/>
  <c r="T29" i="5"/>
  <c r="T92" i="3"/>
  <c r="T94" i="3"/>
  <c r="T65" i="4"/>
  <c r="T40" i="3"/>
  <c r="T68" i="5"/>
  <c r="T31" i="3"/>
  <c r="T35" i="5"/>
  <c r="T65" i="3"/>
  <c r="T136" i="4"/>
  <c r="T52" i="5"/>
  <c r="T108" i="5"/>
  <c r="T125" i="5"/>
  <c r="T49" i="5"/>
  <c r="T132" i="5"/>
  <c r="T24" i="5"/>
  <c r="T59" i="5"/>
  <c r="T48" i="3"/>
  <c r="T109" i="5"/>
  <c r="T34" i="5"/>
  <c r="T102" i="5"/>
  <c r="T171" i="4"/>
  <c r="T38" i="5"/>
  <c r="T78" i="5"/>
  <c r="T97" i="5"/>
  <c r="T109" i="3"/>
  <c r="T21" i="5"/>
  <c r="T96" i="5"/>
  <c r="T68" i="3"/>
  <c r="T105" i="5"/>
  <c r="T86" i="5"/>
  <c r="T110" i="3"/>
  <c r="T31" i="5"/>
  <c r="T115" i="5"/>
  <c r="T94" i="5"/>
  <c r="T8" i="3"/>
  <c r="T11" i="5"/>
  <c r="T72" i="5"/>
  <c r="T27" i="3"/>
  <c r="T17" i="3"/>
  <c r="T47" i="5"/>
  <c r="T64" i="2"/>
  <c r="T34" i="2"/>
  <c r="T27" i="2"/>
  <c r="T32" i="5"/>
  <c r="T88" i="3"/>
  <c r="T15" i="3"/>
  <c r="T77" i="5"/>
  <c r="T33" i="3"/>
  <c r="T5" i="5"/>
  <c r="T14" i="5"/>
  <c r="T27" i="5"/>
  <c r="T105" i="3"/>
  <c r="T63" i="3"/>
  <c r="T118" i="5"/>
  <c r="T37" i="2"/>
  <c r="T24" i="2"/>
  <c r="T95" i="3"/>
  <c r="T74" i="5"/>
  <c r="T49" i="3"/>
  <c r="T82" i="3"/>
  <c r="T46" i="5"/>
  <c r="T52" i="3"/>
  <c r="T90" i="3"/>
  <c r="T114" i="3"/>
  <c r="T33" i="5"/>
  <c r="T63" i="2"/>
  <c r="T142" i="4"/>
  <c r="T50" i="3"/>
  <c r="T7" i="2"/>
  <c r="T16" i="5"/>
  <c r="T22" i="3"/>
  <c r="T100" i="3"/>
  <c r="T80" i="3"/>
  <c r="T25" i="5"/>
  <c r="T39" i="2"/>
  <c r="T24" i="4"/>
  <c r="T51" i="2"/>
  <c r="T78" i="3"/>
  <c r="T28" i="5"/>
  <c r="T90" i="5"/>
  <c r="T40" i="2"/>
  <c r="T52" i="2"/>
  <c r="T44" i="3"/>
  <c r="T102" i="3"/>
  <c r="T12" i="5"/>
  <c r="T92" i="5"/>
  <c r="T39" i="5"/>
  <c r="T53" i="3"/>
  <c r="T70" i="3"/>
  <c r="T128" i="5"/>
  <c r="T44" i="5"/>
  <c r="T47" i="3"/>
  <c r="T79" i="5"/>
  <c r="T65" i="2"/>
  <c r="T118" i="4"/>
  <c r="T127" i="5"/>
  <c r="T96" i="3"/>
  <c r="T34" i="3"/>
  <c r="T110" i="5"/>
  <c r="T50" i="5"/>
  <c r="T88" i="5"/>
  <c r="T72" i="3"/>
  <c r="T116" i="5"/>
  <c r="T7" i="5"/>
  <c r="T85" i="3"/>
  <c r="T42" i="5"/>
  <c r="T20" i="2"/>
  <c r="T17" i="4"/>
  <c r="AB88" i="4"/>
  <c r="T9" i="3"/>
  <c r="T77" i="3"/>
  <c r="T63" i="5"/>
  <c r="T5" i="2"/>
  <c r="T89" i="5"/>
  <c r="T8" i="5"/>
  <c r="T64" i="3"/>
  <c r="T129" i="5"/>
  <c r="T111" i="3"/>
  <c r="T81" i="3"/>
  <c r="T99" i="3"/>
  <c r="T60" i="3"/>
  <c r="T55" i="3"/>
  <c r="T58" i="2"/>
  <c r="T153" i="4"/>
  <c r="T9" i="5"/>
  <c r="T83" i="3"/>
  <c r="T103" i="3"/>
  <c r="T29" i="3"/>
  <c r="T11" i="3"/>
  <c r="T14" i="3"/>
  <c r="T93" i="3"/>
  <c r="T5" i="3"/>
  <c r="T36" i="5"/>
  <c r="T121" i="5"/>
  <c r="T106" i="3"/>
  <c r="T4" i="5"/>
  <c r="T60" i="5"/>
  <c r="T42" i="3"/>
  <c r="T4" i="3"/>
  <c r="T104" i="5"/>
  <c r="T26" i="3"/>
  <c r="T18" i="3"/>
  <c r="T59" i="3"/>
  <c r="T39" i="3"/>
  <c r="AB166" i="4"/>
  <c r="AB45" i="4"/>
  <c r="AB16" i="2"/>
  <c r="AB48" i="2"/>
  <c r="AB139" i="4"/>
  <c r="AB73" i="4"/>
  <c r="AB43" i="2"/>
  <c r="AB100" i="4"/>
  <c r="T16" i="2"/>
  <c r="T129" i="4"/>
  <c r="AB54" i="4"/>
  <c r="AB144" i="4"/>
  <c r="AB45" i="2"/>
  <c r="AB157" i="4"/>
  <c r="T49" i="4"/>
  <c r="T33" i="2"/>
  <c r="T53" i="2"/>
  <c r="T107" i="5"/>
  <c r="T3" i="5"/>
  <c r="T117" i="5"/>
  <c r="T114" i="5"/>
  <c r="T20" i="3"/>
  <c r="T74" i="3"/>
  <c r="T84" i="5"/>
  <c r="T17" i="5"/>
  <c r="T20" i="5"/>
  <c r="T91" i="5"/>
  <c r="T23" i="3"/>
  <c r="T98" i="4"/>
  <c r="T6" i="2"/>
  <c r="T42" i="2"/>
  <c r="T47" i="4"/>
  <c r="T113" i="3"/>
  <c r="T43" i="5"/>
  <c r="T61" i="5"/>
  <c r="T84" i="3"/>
  <c r="T54" i="5"/>
  <c r="T83" i="5"/>
  <c r="T28" i="3"/>
  <c r="T57" i="3"/>
  <c r="T89" i="3"/>
  <c r="T76" i="5"/>
  <c r="T10" i="3"/>
  <c r="T98" i="5"/>
  <c r="T15" i="5"/>
  <c r="T101" i="3"/>
  <c r="T13" i="5"/>
  <c r="T26" i="5"/>
  <c r="T43" i="3"/>
  <c r="T104" i="3"/>
  <c r="T123" i="5"/>
  <c r="T103" i="5"/>
  <c r="T111" i="5"/>
  <c r="T61" i="3"/>
  <c r="T21" i="3"/>
  <c r="E15" i="1"/>
  <c r="T22" i="5"/>
  <c r="T79" i="3"/>
  <c r="T113" i="5"/>
  <c r="T25" i="3"/>
  <c r="T48" i="5"/>
  <c r="T29" i="2"/>
  <c r="T21" i="2"/>
  <c r="T54" i="2"/>
  <c r="T50" i="2"/>
  <c r="T26" i="2"/>
  <c r="T61" i="2"/>
  <c r="T73" i="2"/>
  <c r="T37" i="4"/>
  <c r="T7" i="3"/>
  <c r="T37" i="5"/>
  <c r="T82" i="5"/>
  <c r="T120" i="5"/>
  <c r="T66" i="3"/>
  <c r="T55" i="5"/>
  <c r="T24" i="3"/>
  <c r="T40" i="5"/>
  <c r="T97" i="3"/>
  <c r="T6" i="5"/>
  <c r="T45" i="3"/>
  <c r="T98" i="3"/>
  <c r="T15" i="2"/>
  <c r="T14" i="2"/>
  <c r="T67" i="5"/>
  <c r="T67" i="3"/>
  <c r="T58" i="3"/>
  <c r="T32" i="3"/>
  <c r="T58" i="5"/>
  <c r="T12" i="3"/>
  <c r="T91" i="3"/>
  <c r="T62" i="5"/>
  <c r="T38" i="3"/>
  <c r="T71" i="5"/>
  <c r="T95" i="5"/>
  <c r="T35" i="3"/>
  <c r="T53" i="5"/>
  <c r="T69" i="5"/>
  <c r="T45" i="5"/>
  <c r="T19" i="3"/>
  <c r="T106" i="5"/>
  <c r="T87" i="3"/>
  <c r="T25" i="2"/>
  <c r="T46" i="4"/>
  <c r="T87" i="4"/>
  <c r="T99" i="5"/>
  <c r="T23" i="5"/>
  <c r="T41" i="5"/>
  <c r="T86" i="3"/>
  <c r="T73" i="3"/>
  <c r="T65" i="5"/>
  <c r="T51" i="5"/>
  <c r="T66" i="5"/>
  <c r="T87" i="5"/>
  <c r="T10" i="5"/>
  <c r="T30" i="3"/>
  <c r="T122" i="5"/>
  <c r="T124" i="5"/>
  <c r="T85" i="5"/>
  <c r="T3" i="3"/>
  <c r="T70" i="5"/>
  <c r="T54" i="3"/>
  <c r="T119" i="5"/>
  <c r="T134" i="5"/>
  <c r="T19" i="5"/>
  <c r="T46" i="3"/>
  <c r="T8" i="2"/>
  <c r="T91" i="4"/>
  <c r="T47" i="2"/>
  <c r="AB56" i="2"/>
  <c r="T88" i="4"/>
  <c r="AB32" i="2"/>
  <c r="AB57" i="2"/>
  <c r="AB146" i="4"/>
  <c r="AB145" i="4"/>
  <c r="AB69" i="2"/>
  <c r="AB89" i="4"/>
  <c r="AB66" i="4"/>
  <c r="AB111" i="4"/>
  <c r="AB15" i="2"/>
  <c r="AB112" i="4"/>
  <c r="AB6" i="2"/>
  <c r="AB159" i="4"/>
  <c r="AB27" i="4"/>
  <c r="AB72" i="2"/>
  <c r="AB37" i="4"/>
  <c r="T36" i="2"/>
  <c r="T16" i="4"/>
  <c r="AB115" i="4"/>
  <c r="G20" i="28"/>
  <c r="AB81" i="4"/>
  <c r="AB37" i="2"/>
  <c r="AB4" i="2"/>
  <c r="AB126" i="4"/>
  <c r="Y25" i="28"/>
  <c r="AB74" i="4"/>
  <c r="AB99" i="4"/>
  <c r="AB168" i="4"/>
  <c r="AB97" i="4"/>
  <c r="F28" i="28"/>
  <c r="F22" i="28"/>
  <c r="Y45" i="28"/>
  <c r="G16" i="28"/>
  <c r="X52" i="28"/>
  <c r="F26" i="28"/>
  <c r="X9" i="28"/>
  <c r="X20" i="28"/>
  <c r="Y30" i="28"/>
  <c r="G7" i="28"/>
  <c r="Y55" i="28"/>
  <c r="F16" i="28"/>
  <c r="Y33" i="28"/>
  <c r="X12" i="28"/>
  <c r="X39" i="28"/>
  <c r="Y15" i="28"/>
  <c r="Y34" i="28"/>
  <c r="AB40" i="2"/>
  <c r="Y22" i="28"/>
  <c r="AB130" i="4"/>
  <c r="F14" i="28"/>
  <c r="Y28" i="28"/>
  <c r="G10" i="28"/>
  <c r="Y52" i="28"/>
  <c r="F8" i="28"/>
  <c r="X29" i="28"/>
  <c r="F20" i="28"/>
  <c r="Y9" i="28"/>
  <c r="Y20" i="28"/>
  <c r="G26" i="28"/>
  <c r="X41" i="28"/>
  <c r="Y40" i="28"/>
  <c r="Y35" i="28"/>
  <c r="X30" i="28"/>
  <c r="F7" i="28"/>
  <c r="X55" i="28"/>
  <c r="Y21" i="28"/>
  <c r="X33" i="28"/>
  <c r="G15" i="28"/>
  <c r="Y23" i="28"/>
  <c r="AB10" i="2"/>
  <c r="Y39" i="28"/>
  <c r="AB61" i="4"/>
  <c r="AB3" i="2"/>
  <c r="AB52" i="4"/>
  <c r="X34" i="28"/>
  <c r="AB4" i="4"/>
  <c r="AB60" i="2"/>
  <c r="AB131" i="4"/>
  <c r="X22" i="28"/>
  <c r="AB42" i="2"/>
  <c r="AB161" i="4"/>
  <c r="X28" i="28"/>
  <c r="F10" i="28"/>
  <c r="Y16" i="28"/>
  <c r="G32" i="28"/>
  <c r="Y41" i="28"/>
  <c r="G13" i="28"/>
  <c r="X40" i="28"/>
  <c r="X35" i="28"/>
  <c r="Y8" i="28"/>
  <c r="Y18" i="28"/>
  <c r="G29" i="28"/>
  <c r="G27" i="28"/>
  <c r="X21" i="28"/>
  <c r="Y43" i="28"/>
  <c r="F15" i="28"/>
  <c r="X23" i="28"/>
  <c r="Y42" i="28"/>
  <c r="X5" i="28"/>
  <c r="F12" i="28"/>
  <c r="AB79" i="4"/>
  <c r="Y63" i="28"/>
  <c r="Y44" i="28"/>
  <c r="X6" i="28"/>
  <c r="T69" i="3"/>
  <c r="T128" i="4"/>
  <c r="T72" i="2"/>
  <c r="T19" i="2"/>
  <c r="T62" i="2"/>
  <c r="T60" i="4"/>
  <c r="T168" i="4"/>
  <c r="T133" i="4"/>
  <c r="T13" i="4"/>
  <c r="T130" i="4"/>
  <c r="T53" i="4"/>
  <c r="T15" i="4"/>
  <c r="T11" i="4"/>
  <c r="T77" i="4"/>
  <c r="T45" i="4"/>
  <c r="T74" i="2"/>
  <c r="T29" i="4"/>
  <c r="T54" i="4"/>
  <c r="T156" i="4"/>
  <c r="T36" i="4"/>
  <c r="T56" i="4"/>
  <c r="T30" i="4"/>
  <c r="T141" i="4"/>
  <c r="T48" i="2"/>
  <c r="T154" i="4"/>
  <c r="T102" i="4"/>
  <c r="T41" i="4"/>
  <c r="T68" i="4"/>
  <c r="T58" i="4"/>
  <c r="T116" i="4"/>
  <c r="T45" i="2"/>
  <c r="T160" i="4"/>
  <c r="T39" i="4"/>
  <c r="T150" i="4"/>
  <c r="T106" i="4"/>
  <c r="T126" i="4"/>
  <c r="T6" i="4"/>
  <c r="T115" i="4"/>
  <c r="T25" i="4"/>
  <c r="T157" i="4"/>
  <c r="T86" i="4"/>
  <c r="T155" i="4"/>
  <c r="T34" i="4"/>
  <c r="T31" i="2"/>
  <c r="T21" i="4"/>
  <c r="T7" i="4"/>
  <c r="T40" i="4"/>
  <c r="T72" i="4"/>
  <c r="T60" i="2"/>
  <c r="T20" i="4"/>
  <c r="T113" i="4"/>
  <c r="T61" i="4"/>
  <c r="T104" i="4"/>
  <c r="T28" i="4"/>
  <c r="T42" i="4"/>
  <c r="T66" i="2"/>
  <c r="T50" i="4"/>
  <c r="T140" i="4"/>
  <c r="T38" i="4"/>
  <c r="T8" i="4"/>
  <c r="T55" i="2"/>
  <c r="T83" i="4"/>
  <c r="T138" i="4"/>
  <c r="T55" i="4"/>
  <c r="T90" i="4"/>
  <c r="T107" i="4"/>
  <c r="T117" i="4"/>
  <c r="T71" i="4"/>
  <c r="T23" i="2"/>
  <c r="T145" i="4"/>
  <c r="T69" i="4"/>
  <c r="T66" i="4"/>
  <c r="T31" i="4"/>
  <c r="T44" i="2"/>
  <c r="T120" i="4"/>
  <c r="T9" i="4"/>
  <c r="T48" i="4"/>
  <c r="T134" i="4"/>
  <c r="T99" i="4"/>
  <c r="T22" i="4"/>
  <c r="T80" i="4"/>
  <c r="T18" i="4"/>
  <c r="T10" i="2"/>
  <c r="T22" i="2"/>
  <c r="T82" i="4"/>
  <c r="T57" i="4"/>
  <c r="T79" i="4"/>
  <c r="T75" i="4"/>
  <c r="T161" i="4"/>
  <c r="T68" i="2"/>
  <c r="T85" i="4"/>
  <c r="T148" i="4"/>
  <c r="T132" i="4"/>
  <c r="T109" i="4"/>
  <c r="T10" i="4"/>
  <c r="T35" i="4"/>
  <c r="T56" i="2"/>
  <c r="T18" i="2"/>
  <c r="T67" i="2"/>
  <c r="T67" i="4"/>
  <c r="T163" i="4"/>
  <c r="T152" i="4"/>
  <c r="T96" i="4"/>
  <c r="T159" i="4"/>
  <c r="T43" i="2"/>
  <c r="T97" i="4"/>
  <c r="T73" i="4"/>
  <c r="T110" i="4"/>
  <c r="T5" i="4"/>
  <c r="T14" i="4"/>
  <c r="T108" i="4"/>
  <c r="T137" i="4"/>
  <c r="T33" i="4"/>
  <c r="T9" i="2"/>
  <c r="T59" i="4"/>
  <c r="T84" i="4"/>
  <c r="T122" i="4"/>
  <c r="T111" i="4"/>
  <c r="T149" i="4"/>
  <c r="T164" i="4"/>
  <c r="T166" i="4"/>
  <c r="T59" i="2"/>
  <c r="T44" i="4"/>
  <c r="T101" i="4"/>
  <c r="T23" i="4"/>
  <c r="T127" i="4"/>
  <c r="T123" i="4"/>
  <c r="T3" i="4"/>
  <c r="T70" i="4"/>
  <c r="T70" i="2"/>
  <c r="T11" i="2"/>
  <c r="T81" i="4"/>
  <c r="T139" i="4"/>
  <c r="T95" i="4"/>
  <c r="T43" i="4"/>
  <c r="T78" i="4"/>
  <c r="T114" i="4"/>
  <c r="T162" i="4"/>
  <c r="T100" i="4"/>
  <c r="T76" i="4"/>
  <c r="T62" i="4"/>
  <c r="T93" i="4"/>
  <c r="T38" i="2"/>
  <c r="T119" i="4"/>
  <c r="T52" i="4"/>
  <c r="T63" i="4"/>
  <c r="T32" i="4"/>
  <c r="T26" i="4"/>
  <c r="T64" i="4"/>
  <c r="T74" i="4"/>
  <c r="T103" i="4"/>
  <c r="T41" i="2"/>
  <c r="T144" i="4"/>
  <c r="T51" i="4"/>
  <c r="T143" i="4"/>
  <c r="T151" i="4"/>
  <c r="T4" i="4"/>
  <c r="T167" i="4"/>
  <c r="T13" i="2"/>
  <c r="T124" i="4"/>
  <c r="T28" i="2"/>
  <c r="T19" i="4"/>
  <c r="T125" i="4"/>
  <c r="T32" i="2"/>
  <c r="T105" i="4"/>
  <c r="T75" i="2"/>
  <c r="T135" i="4"/>
  <c r="T46" i="2"/>
  <c r="T158" i="4"/>
  <c r="T92" i="4"/>
  <c r="T131" i="4"/>
  <c r="T94" i="4"/>
  <c r="T89" i="4"/>
  <c r="T12" i="4"/>
  <c r="T147" i="4"/>
  <c r="T146" i="4"/>
  <c r="T17" i="2"/>
  <c r="T57" i="2"/>
  <c r="T27" i="4"/>
  <c r="T69" i="2"/>
  <c r="T112" i="4"/>
  <c r="AB75" i="4"/>
  <c r="T121" i="4"/>
  <c r="AB17" i="2"/>
  <c r="AB163" i="4"/>
  <c r="X45" i="28"/>
  <c r="G17" i="28"/>
  <c r="Y58" i="28"/>
  <c r="G23" i="28"/>
  <c r="F13" i="28"/>
  <c r="X8" i="28"/>
  <c r="X18" i="28"/>
  <c r="Y46" i="28"/>
  <c r="G18" i="28"/>
  <c r="F29" i="28"/>
  <c r="F27" i="28"/>
  <c r="X43" i="28"/>
  <c r="X42" i="28"/>
  <c r="G12" i="28"/>
  <c r="X63" i="28"/>
  <c r="X44" i="28"/>
  <c r="AB55" i="4"/>
  <c r="AB137" i="4"/>
  <c r="Y6" i="28"/>
  <c r="T30" i="2"/>
  <c r="AB59" i="4"/>
  <c r="AB50" i="4"/>
  <c r="AB71" i="4"/>
  <c r="AB53" i="4"/>
  <c r="AB59" i="2"/>
  <c r="G19" i="28"/>
  <c r="Y27" i="28"/>
  <c r="X58" i="28"/>
  <c r="F23" i="28"/>
  <c r="Y26" i="28"/>
  <c r="G31" i="28"/>
  <c r="X46" i="28"/>
  <c r="F18" i="28"/>
  <c r="Y59" i="28"/>
  <c r="X13" i="28"/>
  <c r="X49" i="28"/>
  <c r="F5" i="28"/>
  <c r="X64" i="28"/>
  <c r="Y60" i="28"/>
  <c r="AB36" i="4"/>
  <c r="Y50" i="28"/>
  <c r="F19" i="28"/>
  <c r="F9" i="28"/>
  <c r="X54" i="28"/>
  <c r="Y38" i="28"/>
  <c r="X24" i="28"/>
  <c r="X59" i="28"/>
  <c r="Y13" i="28"/>
  <c r="Y49" i="28"/>
  <c r="AB64" i="4"/>
  <c r="Y64" i="28"/>
  <c r="AB49" i="4"/>
  <c r="AB165" i="4"/>
  <c r="X60" i="28"/>
  <c r="Y47" i="28"/>
  <c r="AB133" i="4"/>
  <c r="X50" i="28"/>
  <c r="AB94" i="4"/>
  <c r="AB5" i="4"/>
  <c r="X32" i="28"/>
  <c r="G9" i="28"/>
  <c r="X27" i="28"/>
  <c r="X26" i="28"/>
  <c r="F31" i="28"/>
  <c r="G24" i="28"/>
  <c r="Y54" i="28"/>
  <c r="Y48" i="28"/>
  <c r="X38" i="28"/>
  <c r="Y56" i="28"/>
  <c r="F24" i="28"/>
  <c r="Y24" i="28"/>
  <c r="G11" i="28"/>
  <c r="F33" i="28"/>
  <c r="AB51" i="4"/>
  <c r="AB138" i="4"/>
  <c r="AB23" i="2"/>
  <c r="AE11" i="28"/>
  <c r="AE60" i="28"/>
  <c r="AE16" i="28"/>
  <c r="AE6" i="28"/>
  <c r="AE56" i="28"/>
  <c r="AE17" i="28"/>
  <c r="AE61" i="28"/>
  <c r="AE36" i="28"/>
  <c r="AE55" i="28"/>
  <c r="AE49" i="28"/>
  <c r="AE26" i="28"/>
  <c r="AE43" i="28"/>
  <c r="AE50" i="28"/>
  <c r="AE58" i="28"/>
  <c r="AE53" i="28"/>
  <c r="AE38" i="28"/>
  <c r="AE57" i="28"/>
  <c r="AE27" i="28"/>
  <c r="AE30" i="28"/>
  <c r="AE46" i="28"/>
  <c r="AE10" i="28"/>
  <c r="AE34" i="28"/>
  <c r="AE62" i="28"/>
  <c r="AE44" i="28"/>
  <c r="AE23" i="28"/>
  <c r="AE32" i="28"/>
  <c r="AE48" i="28"/>
  <c r="AE14" i="28"/>
  <c r="AE47" i="28"/>
  <c r="AE59" i="28"/>
  <c r="AE5" i="28"/>
  <c r="G5" i="28"/>
  <c r="AE64" i="28"/>
  <c r="AE37" i="28"/>
  <c r="AE25" i="28"/>
  <c r="AE24" i="28"/>
  <c r="AE31" i="28"/>
  <c r="AE52" i="28"/>
  <c r="G34" i="28"/>
  <c r="AE51" i="28"/>
  <c r="AE63" i="28"/>
  <c r="AE12" i="28"/>
  <c r="AE15" i="28"/>
  <c r="AE9" i="28"/>
  <c r="AE45" i="28"/>
  <c r="AE8" i="28"/>
  <c r="AE18" i="28"/>
  <c r="AE29" i="28"/>
  <c r="AE28" i="28"/>
  <c r="AE19" i="28"/>
  <c r="AE13" i="28"/>
  <c r="AE7" i="28"/>
  <c r="AE22" i="28"/>
  <c r="AE33" i="28"/>
  <c r="AE21" i="28"/>
  <c r="AE39" i="28"/>
  <c r="AE40" i="28"/>
  <c r="AE42" i="28"/>
  <c r="AE41" i="28"/>
  <c r="AE35" i="28"/>
  <c r="AE54" i="28"/>
  <c r="AE20" i="28"/>
  <c r="AB29" i="2"/>
  <c r="Y61" i="28"/>
  <c r="AB77" i="4"/>
  <c r="Y51" i="28"/>
  <c r="AB71" i="2"/>
  <c r="X47" i="28"/>
  <c r="AB69" i="4"/>
  <c r="X7" i="28"/>
  <c r="X37" i="28"/>
  <c r="Y62" i="28"/>
  <c r="X48" i="28"/>
  <c r="Y57" i="28"/>
  <c r="X56" i="28"/>
  <c r="X10" i="28"/>
  <c r="F11" i="28"/>
  <c r="G33" i="28"/>
  <c r="Y53" i="28"/>
  <c r="G25" i="28"/>
  <c r="X61" i="28"/>
  <c r="X51" i="28"/>
  <c r="AB135" i="4"/>
  <c r="AB73" i="2"/>
  <c r="AB11" i="4"/>
  <c r="AB108" i="4"/>
  <c r="Y7" i="28"/>
  <c r="X62" i="28"/>
  <c r="Y32" i="28"/>
  <c r="G28" i="28"/>
  <c r="Y37" i="28"/>
  <c r="X57" i="28"/>
  <c r="Y11" i="28"/>
  <c r="Y10" i="28"/>
  <c r="G30" i="28"/>
  <c r="X53" i="28"/>
  <c r="F25" i="28"/>
  <c r="AB34" i="4"/>
  <c r="AB101" i="4"/>
  <c r="AB147" i="4"/>
  <c r="AB18" i="2"/>
  <c r="AB21" i="4"/>
  <c r="Y17" i="28"/>
  <c r="AB156" i="4"/>
  <c r="AB29" i="4"/>
  <c r="X25" i="28"/>
  <c r="X11" i="28"/>
  <c r="F17" i="28"/>
  <c r="F30" i="28"/>
  <c r="G8" i="28"/>
  <c r="Y29" i="28"/>
  <c r="Y36" i="28"/>
  <c r="G21" i="28"/>
  <c r="AB20" i="4"/>
  <c r="Y14" i="28"/>
  <c r="AB63" i="2"/>
  <c r="X17" i="28"/>
  <c r="AB107" i="4"/>
  <c r="X31" i="28"/>
  <c r="AB13" i="4"/>
  <c r="G6" i="28"/>
  <c r="X36" i="28"/>
  <c r="AB154" i="4"/>
  <c r="AB149" i="4"/>
  <c r="F21" i="28"/>
  <c r="X19" i="28"/>
  <c r="X14" i="28"/>
  <c r="AB134" i="4"/>
  <c r="Y31" i="28"/>
  <c r="X16" i="28"/>
  <c r="G22" i="28"/>
  <c r="Y12" i="28"/>
  <c r="F32" i="28"/>
  <c r="Y5" i="28"/>
  <c r="X15" i="28"/>
  <c r="F6" i="28"/>
  <c r="AB113" i="4"/>
  <c r="AB56" i="3"/>
  <c r="AB60" i="3"/>
  <c r="AB106" i="3"/>
  <c r="AB39" i="3"/>
  <c r="AB40" i="3"/>
  <c r="AB88" i="3"/>
  <c r="AB42" i="3"/>
  <c r="AB101" i="3"/>
  <c r="AB87" i="3"/>
  <c r="AB32" i="3"/>
  <c r="AB13" i="3"/>
  <c r="AB99" i="3"/>
  <c r="AB54" i="3"/>
  <c r="AB63" i="3"/>
  <c r="AB10" i="5"/>
  <c r="AB52" i="5"/>
  <c r="AB69" i="5"/>
  <c r="AB9" i="5"/>
  <c r="AB39" i="5"/>
  <c r="AB74" i="5"/>
  <c r="AB98" i="5"/>
  <c r="AB118" i="5"/>
  <c r="AB65" i="5"/>
  <c r="AB76" i="5"/>
  <c r="AB109" i="3"/>
  <c r="AB96" i="3"/>
  <c r="AB68" i="3"/>
  <c r="AB46" i="3"/>
  <c r="AB20" i="3"/>
  <c r="AB12" i="3"/>
  <c r="AB83" i="3"/>
  <c r="AB94" i="3"/>
  <c r="AB97" i="3"/>
  <c r="AB36" i="3"/>
  <c r="AB18" i="3"/>
  <c r="AB15" i="3"/>
  <c r="AB10" i="3"/>
  <c r="AB3" i="3"/>
  <c r="AB114" i="3"/>
  <c r="AB16" i="3"/>
  <c r="AB74" i="3"/>
  <c r="AB26" i="3"/>
  <c r="AB57" i="3"/>
  <c r="AB27" i="3"/>
  <c r="AB4" i="3"/>
  <c r="AB79" i="3"/>
  <c r="AB37" i="3"/>
  <c r="AB35" i="3"/>
  <c r="AB111" i="3"/>
  <c r="AB90" i="3"/>
  <c r="AB6" i="5"/>
  <c r="AB82" i="5"/>
  <c r="AB124" i="5"/>
  <c r="AB49" i="5"/>
  <c r="AB104" i="5"/>
  <c r="AB127" i="5"/>
  <c r="AB87" i="5"/>
  <c r="AB23" i="5"/>
  <c r="AB89" i="5"/>
  <c r="AB19" i="3"/>
  <c r="AB22" i="3"/>
  <c r="AB77" i="3"/>
  <c r="AB82" i="3"/>
  <c r="AB76" i="3"/>
  <c r="AB34" i="3"/>
  <c r="AB59" i="3"/>
  <c r="AB45" i="3"/>
  <c r="AB78" i="3"/>
  <c r="AB33" i="3"/>
  <c r="AB5" i="3"/>
  <c r="AB6" i="3"/>
  <c r="AB8" i="3"/>
  <c r="AB73" i="3"/>
  <c r="AB66" i="3"/>
  <c r="AB17" i="3"/>
  <c r="AB81" i="3"/>
  <c r="AB21" i="3"/>
  <c r="AB102" i="3"/>
  <c r="AB84" i="3"/>
  <c r="AB102" i="5"/>
  <c r="AB95" i="5"/>
  <c r="AB122" i="5"/>
  <c r="AB126" i="5"/>
  <c r="AB25" i="5"/>
  <c r="AB28" i="5"/>
  <c r="AB46" i="5"/>
  <c r="AB71" i="5"/>
  <c r="AB116" i="5"/>
  <c r="AB43" i="5"/>
  <c r="AB98" i="3"/>
  <c r="AB31" i="3"/>
  <c r="AB80" i="3"/>
  <c r="AB93" i="3"/>
  <c r="AB47" i="3"/>
  <c r="AB38" i="3"/>
  <c r="AB92" i="3"/>
  <c r="AB28" i="3"/>
  <c r="AB64" i="5"/>
  <c r="AB48" i="5"/>
  <c r="AB92" i="5"/>
  <c r="AB62" i="5"/>
  <c r="AB27" i="5"/>
  <c r="AB123" i="5"/>
  <c r="AB14" i="5"/>
  <c r="AB13" i="5"/>
  <c r="AB91" i="5"/>
  <c r="AB68" i="5"/>
  <c r="AB105" i="3"/>
  <c r="AB29" i="3"/>
  <c r="AB75" i="3"/>
  <c r="AB67" i="3"/>
  <c r="AB7" i="3"/>
  <c r="AB95" i="3"/>
  <c r="AB69" i="3"/>
  <c r="AB110" i="3"/>
  <c r="AB70" i="3"/>
  <c r="AB51" i="3"/>
  <c r="AB62" i="3"/>
  <c r="AB103" i="5"/>
  <c r="AB51" i="5"/>
  <c r="AB107" i="5"/>
  <c r="AB96" i="5"/>
  <c r="AB113" i="5"/>
  <c r="AB63" i="5"/>
  <c r="AB16" i="5"/>
  <c r="AB114" i="5"/>
  <c r="AB101" i="5"/>
  <c r="AB85" i="3"/>
  <c r="AB14" i="3"/>
  <c r="AB72" i="3"/>
  <c r="AB24" i="3"/>
  <c r="AB41" i="3"/>
  <c r="AB86" i="3"/>
  <c r="AB99" i="5"/>
  <c r="AB34" i="5"/>
  <c r="AB30" i="5"/>
  <c r="AB12" i="5"/>
  <c r="AB59" i="5"/>
  <c r="AB21" i="5"/>
  <c r="AB32" i="5"/>
  <c r="AB50" i="5"/>
  <c r="AB119" i="5"/>
  <c r="AB109" i="5"/>
  <c r="AB64" i="3"/>
  <c r="AB100" i="3"/>
  <c r="AB91" i="3"/>
  <c r="AB33" i="5"/>
  <c r="AB3" i="5"/>
  <c r="AB37" i="5"/>
  <c r="AB110" i="5"/>
  <c r="AB73" i="5"/>
  <c r="AB108" i="3"/>
  <c r="AB58" i="3"/>
  <c r="AB83" i="5"/>
  <c r="AB67" i="5"/>
  <c r="AB120" i="5"/>
  <c r="AB29" i="5"/>
  <c r="AB60" i="5"/>
  <c r="AB5" i="5"/>
  <c r="AB90" i="5"/>
  <c r="AB50" i="3"/>
  <c r="AB15" i="5"/>
  <c r="AB53" i="5"/>
  <c r="AB44" i="5"/>
  <c r="AB22" i="5"/>
  <c r="AB24" i="5"/>
  <c r="AB54" i="5"/>
  <c r="AB113" i="3"/>
  <c r="AB53" i="3"/>
  <c r="AB52" i="3"/>
  <c r="AB26" i="5"/>
  <c r="AB11" i="3"/>
  <c r="AB30" i="3"/>
  <c r="AB25" i="3"/>
  <c r="AB19" i="5"/>
  <c r="AB58" i="5"/>
  <c r="AB36" i="5"/>
  <c r="AB129" i="5"/>
  <c r="AB93" i="5"/>
  <c r="AB103" i="3"/>
  <c r="AB88" i="5"/>
  <c r="AB56" i="5"/>
  <c r="AB125" i="5"/>
  <c r="AB79" i="5"/>
  <c r="AB8" i="5"/>
  <c r="AB18" i="5"/>
  <c r="AB20" i="5"/>
  <c r="AB66" i="5"/>
  <c r="AB4" i="5"/>
  <c r="AB57" i="5"/>
  <c r="AB80" i="5"/>
  <c r="AB97" i="5"/>
  <c r="AB107" i="3"/>
  <c r="AB48" i="3"/>
  <c r="AB65" i="3"/>
  <c r="AB38" i="5"/>
  <c r="AB72" i="5"/>
  <c r="AB111" i="5"/>
  <c r="AB121" i="5"/>
  <c r="AB84" i="5"/>
  <c r="AB23" i="3"/>
  <c r="AB43" i="3"/>
  <c r="AB44" i="3"/>
  <c r="AB112" i="3"/>
  <c r="AB108" i="5"/>
  <c r="AB78" i="5"/>
  <c r="AB131" i="5"/>
  <c r="AB47" i="5"/>
  <c r="AB55" i="5"/>
  <c r="AB71" i="3"/>
  <c r="AB70" i="5"/>
  <c r="AB75" i="5"/>
  <c r="AB42" i="5"/>
  <c r="AB115" i="5"/>
  <c r="AB41" i="5"/>
  <c r="AB89" i="3"/>
  <c r="AB55" i="3"/>
  <c r="AB94" i="5"/>
  <c r="AB104" i="3"/>
  <c r="AB7" i="5"/>
  <c r="AB86" i="5"/>
  <c r="AB40" i="5"/>
  <c r="AB45" i="5"/>
  <c r="AB9" i="3"/>
  <c r="AB61" i="3"/>
  <c r="AB117" i="5"/>
  <c r="AB17" i="5"/>
  <c r="AB130" i="5"/>
  <c r="AB106" i="5"/>
  <c r="AB112" i="5"/>
  <c r="AB49" i="3"/>
  <c r="AB61" i="5"/>
  <c r="AB81" i="5"/>
  <c r="AB100" i="5"/>
  <c r="AB35" i="5"/>
  <c r="AB77" i="5"/>
  <c r="AB128" i="5"/>
  <c r="AB85" i="5"/>
  <c r="AB105" i="5"/>
  <c r="AB132" i="5"/>
  <c r="AB11" i="5"/>
  <c r="AB31" i="5"/>
  <c r="AB118" i="4"/>
  <c r="AB32" i="4"/>
  <c r="Y19" i="28"/>
  <c r="AB14" i="4"/>
  <c r="AB95" i="4"/>
  <c r="G14" i="28"/>
  <c r="AB26" i="4"/>
  <c r="AB8" i="2"/>
  <c r="F462" i="7"/>
  <c r="F578" i="7"/>
  <c r="F613" i="7"/>
  <c r="F573" i="7"/>
  <c r="F460" i="7"/>
  <c r="F574" i="7"/>
  <c r="F417" i="7"/>
  <c r="F372" i="7"/>
  <c r="F105" i="7"/>
  <c r="F615" i="7"/>
  <c r="F594" i="7"/>
  <c r="F590" i="7"/>
  <c r="F345" i="7"/>
  <c r="F399" i="7"/>
  <c r="F602" i="7"/>
  <c r="F15" i="7"/>
  <c r="F453" i="7"/>
  <c r="F384" i="7"/>
  <c r="F84" i="7"/>
  <c r="E415" i="7"/>
  <c r="F143" i="7"/>
  <c r="F314" i="7"/>
  <c r="F522" i="7"/>
  <c r="F464" i="7"/>
  <c r="F60" i="7"/>
  <c r="F308" i="7"/>
  <c r="E249" i="7"/>
  <c r="E200" i="7"/>
  <c r="E493" i="7"/>
  <c r="F56" i="7"/>
  <c r="F528" i="7"/>
  <c r="E112" i="7"/>
  <c r="F159" i="7"/>
  <c r="F139" i="7"/>
  <c r="F407" i="7"/>
  <c r="F340" i="7"/>
  <c r="F150" i="7"/>
  <c r="F51" i="7"/>
  <c r="E322" i="7"/>
  <c r="F322" i="7"/>
  <c r="E358" i="7"/>
  <c r="E131" i="7"/>
  <c r="F254" i="7"/>
  <c r="F120" i="7"/>
  <c r="F550" i="7"/>
  <c r="F317" i="7"/>
  <c r="F157" i="7"/>
  <c r="F99" i="7"/>
  <c r="F293" i="7"/>
  <c r="F497" i="7"/>
  <c r="F144" i="7"/>
  <c r="E357" i="7"/>
  <c r="F564" i="7"/>
  <c r="F316" i="7"/>
  <c r="E441" i="7"/>
  <c r="F420" i="7"/>
  <c r="E62" i="7"/>
  <c r="F310" i="7"/>
  <c r="E203" i="7"/>
  <c r="F451" i="7"/>
  <c r="F569" i="7"/>
  <c r="E63" i="7"/>
  <c r="F92" i="7"/>
  <c r="F500" i="7"/>
  <c r="E309" i="7"/>
  <c r="E142" i="7"/>
  <c r="F82" i="7"/>
  <c r="E469" i="7"/>
  <c r="F149" i="7"/>
  <c r="F433" i="7"/>
  <c r="F304" i="7"/>
  <c r="F300" i="7"/>
  <c r="F450" i="7"/>
  <c r="E525" i="7"/>
  <c r="E113" i="7"/>
  <c r="F504" i="7"/>
  <c r="E482" i="7"/>
  <c r="F352" i="7"/>
  <c r="F354" i="7"/>
  <c r="F389" i="7"/>
  <c r="E308" i="7"/>
  <c r="F309" i="7"/>
  <c r="F511" i="7"/>
  <c r="F80" i="7"/>
  <c r="F426" i="7"/>
  <c r="F571" i="7"/>
  <c r="F458" i="7"/>
  <c r="F376" i="7"/>
  <c r="F408" i="7"/>
  <c r="F579" i="7"/>
  <c r="F205" i="7"/>
  <c r="F49" i="7"/>
  <c r="F54" i="7"/>
  <c r="F386" i="7"/>
  <c r="F46" i="7"/>
  <c r="F404" i="7"/>
  <c r="F440" i="7"/>
  <c r="F606" i="7"/>
  <c r="F381" i="7"/>
  <c r="F610" i="7"/>
  <c r="F570" i="7"/>
  <c r="F575" i="7"/>
  <c r="F463" i="7"/>
  <c r="E22" i="7"/>
  <c r="F398" i="7"/>
  <c r="F289" i="7"/>
  <c r="F285" i="7"/>
  <c r="F526" i="7"/>
  <c r="F449" i="7"/>
  <c r="F565" i="7"/>
  <c r="F507" i="7"/>
  <c r="F515" i="7"/>
  <c r="F165" i="7"/>
  <c r="E325" i="7"/>
  <c r="F115" i="7"/>
  <c r="F40" i="7"/>
  <c r="E74" i="7"/>
  <c r="F297" i="7"/>
  <c r="F467" i="7"/>
  <c r="E429" i="7"/>
  <c r="F418" i="7"/>
  <c r="F489" i="7"/>
  <c r="F483" i="7"/>
  <c r="E324" i="7"/>
  <c r="E272" i="7"/>
  <c r="F344" i="7"/>
  <c r="F90" i="7"/>
  <c r="F69" i="7"/>
  <c r="F121" i="7"/>
  <c r="E470" i="7"/>
  <c r="F137" i="7"/>
  <c r="F19" i="7"/>
  <c r="F556" i="7"/>
  <c r="F138" i="7"/>
  <c r="F431" i="7"/>
  <c r="E128" i="7"/>
  <c r="E110" i="7"/>
  <c r="F200" i="7"/>
  <c r="E503" i="7"/>
  <c r="F392" i="7"/>
  <c r="E320" i="7"/>
  <c r="F81" i="7"/>
  <c r="E270" i="7"/>
  <c r="F423" i="7"/>
  <c r="F264" i="7"/>
  <c r="F136" i="7"/>
  <c r="E517" i="7"/>
  <c r="F253" i="7"/>
  <c r="F97" i="7"/>
  <c r="F466" i="7"/>
  <c r="F167" i="7"/>
  <c r="F390" i="7"/>
  <c r="F68" i="7"/>
  <c r="E127" i="7"/>
  <c r="E543" i="7"/>
  <c r="F265" i="7"/>
  <c r="E461" i="7"/>
  <c r="F67" i="7"/>
  <c r="E534" i="7"/>
  <c r="F547" i="7"/>
  <c r="F353" i="7"/>
  <c r="F284" i="7"/>
  <c r="F250" i="7"/>
  <c r="F83" i="7"/>
  <c r="F65" i="7"/>
  <c r="F617" i="7"/>
  <c r="E170" i="7"/>
  <c r="F366" i="7"/>
  <c r="F125" i="7"/>
  <c r="E263" i="7"/>
  <c r="F152" i="7"/>
  <c r="F356" i="7"/>
  <c r="F470" i="7"/>
  <c r="F251" i="7"/>
  <c r="F283" i="7"/>
  <c r="F409" i="7"/>
  <c r="E48" i="7"/>
  <c r="F612" i="7"/>
  <c r="F337" i="7"/>
  <c r="F41" i="7"/>
  <c r="F604" i="7"/>
  <c r="F421" i="7"/>
  <c r="F583" i="7"/>
  <c r="F373" i="7"/>
  <c r="F596" i="7"/>
  <c r="F412" i="7"/>
  <c r="F27" i="7"/>
  <c r="F582" i="7"/>
  <c r="F577" i="7"/>
  <c r="F57" i="7"/>
  <c r="F362" i="7"/>
  <c r="F402" i="7"/>
  <c r="F28" i="7"/>
  <c r="F618" i="7"/>
  <c r="F411" i="7"/>
  <c r="F70" i="7"/>
  <c r="F13" i="7"/>
  <c r="F17" i="7"/>
  <c r="F296" i="7"/>
  <c r="F486" i="7"/>
  <c r="F558" i="7"/>
  <c r="F361" i="7"/>
  <c r="E35" i="7"/>
  <c r="F568" i="7"/>
  <c r="F126" i="7"/>
  <c r="F44" i="7"/>
  <c r="E290" i="7"/>
  <c r="F492" i="7"/>
  <c r="E279" i="7"/>
  <c r="F30" i="7"/>
  <c r="E201" i="7"/>
  <c r="F368" i="7"/>
  <c r="F480" i="7"/>
  <c r="E269" i="7"/>
  <c r="F268" i="7"/>
  <c r="F16" i="7"/>
  <c r="F113" i="7"/>
  <c r="F315" i="7"/>
  <c r="E530" i="7"/>
  <c r="F446" i="7"/>
  <c r="F508" i="7"/>
  <c r="E499" i="7"/>
  <c r="F519" i="7"/>
  <c r="F86" i="7"/>
  <c r="F456" i="7"/>
  <c r="F39" i="7"/>
  <c r="F367" i="7"/>
  <c r="E427" i="7"/>
  <c r="F473" i="7"/>
  <c r="F53" i="7"/>
  <c r="E85" i="7"/>
  <c r="F162" i="7"/>
  <c r="F114" i="7"/>
  <c r="F513" i="7"/>
  <c r="F313" i="7"/>
  <c r="F461" i="7"/>
  <c r="F332" i="7"/>
  <c r="F287" i="7"/>
  <c r="F25" i="7"/>
  <c r="F272" i="7"/>
  <c r="F532" i="7"/>
  <c r="F106" i="7"/>
  <c r="F364" i="7"/>
  <c r="F61" i="7"/>
  <c r="F301" i="7"/>
  <c r="F520" i="7"/>
  <c r="F505" i="7"/>
  <c r="F377" i="7"/>
  <c r="F554" i="7"/>
  <c r="F510" i="7"/>
  <c r="F363" i="7"/>
  <c r="E92" i="7"/>
  <c r="F196" i="7"/>
  <c r="F379" i="7"/>
  <c r="F96" i="7"/>
  <c r="E305" i="7"/>
  <c r="F331" i="7"/>
  <c r="E562" i="7"/>
  <c r="F127" i="7"/>
  <c r="F414" i="7"/>
  <c r="E364" i="7"/>
  <c r="E338" i="7"/>
  <c r="E257" i="7"/>
  <c r="E133" i="7"/>
  <c r="E124" i="7"/>
  <c r="F436" i="7"/>
  <c r="F439" i="7"/>
  <c r="F261" i="7"/>
  <c r="F260" i="7"/>
  <c r="F369" i="7"/>
  <c r="E140" i="7"/>
  <c r="E100" i="7"/>
  <c r="F201" i="7"/>
  <c r="F506" i="7"/>
  <c r="E171" i="7"/>
  <c r="F521" i="7"/>
  <c r="E524" i="7"/>
  <c r="F199" i="7"/>
  <c r="F328" i="7"/>
  <c r="F38" i="7"/>
  <c r="F425" i="7"/>
  <c r="F119" i="7"/>
  <c r="F413" i="7"/>
  <c r="F401" i="7"/>
  <c r="F424" i="7"/>
  <c r="F71" i="7"/>
  <c r="F585" i="7"/>
  <c r="F566" i="7"/>
  <c r="F382" i="7"/>
  <c r="F104" i="7"/>
  <c r="F601" i="7"/>
  <c r="F21" i="7"/>
  <c r="F374" i="7"/>
  <c r="F605" i="7"/>
  <c r="F476" i="7"/>
  <c r="F455" i="7"/>
  <c r="F387" i="7"/>
  <c r="F608" i="7"/>
  <c r="F468" i="7"/>
  <c r="E434" i="7"/>
  <c r="E47" i="7"/>
  <c r="F275" i="7"/>
  <c r="F256" i="7"/>
  <c r="F262" i="7"/>
  <c r="E352" i="7"/>
  <c r="E474" i="7"/>
  <c r="F43" i="7"/>
  <c r="F204" i="7"/>
  <c r="F545" i="7"/>
  <c r="F109" i="7"/>
  <c r="F79" i="7"/>
  <c r="F551" i="7"/>
  <c r="F88" i="7"/>
  <c r="E158" i="7"/>
  <c r="F95" i="7"/>
  <c r="F291" i="7"/>
  <c r="F111" i="7"/>
  <c r="F346" i="7"/>
  <c r="F490" i="7"/>
  <c r="F593" i="7"/>
  <c r="F611" i="7"/>
  <c r="E501" i="7"/>
  <c r="F488" i="7"/>
  <c r="F303" i="7"/>
  <c r="F552" i="7"/>
  <c r="F459" i="7"/>
  <c r="F298" i="7"/>
  <c r="F530" i="7"/>
  <c r="F164" i="7"/>
  <c r="F557" i="7"/>
  <c r="F18" i="7"/>
  <c r="F563" i="7"/>
  <c r="F148" i="7"/>
  <c r="F360" i="7"/>
  <c r="F452" i="7"/>
  <c r="F20" i="7"/>
  <c r="F339" i="7"/>
  <c r="F388" i="7"/>
  <c r="F343" i="7"/>
  <c r="F375" i="7"/>
  <c r="F129" i="7"/>
  <c r="F572" i="7"/>
  <c r="F55" i="7"/>
  <c r="F348" i="7"/>
  <c r="F437" i="7"/>
  <c r="F32" i="7"/>
  <c r="F609" i="7"/>
  <c r="F588" i="7"/>
  <c r="F395" i="7"/>
  <c r="F397" i="7"/>
  <c r="F430" i="7"/>
  <c r="F295" i="7"/>
  <c r="F169" i="7"/>
  <c r="F145" i="7"/>
  <c r="F171" i="7"/>
  <c r="E311" i="7"/>
  <c r="E299" i="7"/>
  <c r="F405" i="7"/>
  <c r="F168" i="7"/>
  <c r="F478" i="7"/>
  <c r="F334" i="7"/>
  <c r="F202" i="7"/>
  <c r="F100" i="7"/>
  <c r="F45" i="7"/>
  <c r="E511" i="7"/>
  <c r="F154" i="7"/>
  <c r="F378" i="7"/>
  <c r="F252" i="7"/>
  <c r="F147" i="7"/>
  <c r="F258" i="7"/>
  <c r="E536" i="7"/>
  <c r="E502" i="7"/>
  <c r="E523" i="7"/>
  <c r="F146" i="7"/>
  <c r="F110" i="7"/>
  <c r="F501" i="7"/>
  <c r="E89" i="7"/>
  <c r="F282" i="7"/>
  <c r="F538" i="7"/>
  <c r="F307" i="7"/>
  <c r="F542" i="7"/>
  <c r="F323" i="7"/>
  <c r="F541" i="7"/>
  <c r="E527" i="7"/>
  <c r="F141" i="7"/>
  <c r="F342" i="7"/>
  <c r="F276" i="7"/>
  <c r="F75" i="7"/>
  <c r="F249" i="7"/>
  <c r="E286" i="7"/>
  <c r="F311" i="7"/>
  <c r="F37" i="7"/>
  <c r="E248" i="7"/>
  <c r="F52" i="7"/>
  <c r="F117" i="7"/>
  <c r="F447" i="7"/>
  <c r="F509" i="7"/>
  <c r="F472" i="7"/>
  <c r="F475" i="7"/>
  <c r="E531" i="7"/>
  <c r="F274" i="7"/>
  <c r="F302" i="7"/>
  <c r="F153" i="7"/>
  <c r="F347" i="7"/>
  <c r="F597" i="7"/>
  <c r="F359" i="7"/>
  <c r="F107" i="7"/>
  <c r="F29" i="7"/>
  <c r="F118" i="7"/>
  <c r="F600" i="7"/>
  <c r="F435" i="7"/>
  <c r="E423" i="7"/>
  <c r="F491" i="7"/>
  <c r="F335" i="7"/>
  <c r="F26" i="7"/>
  <c r="F47" i="7"/>
  <c r="E316" i="7"/>
  <c r="F299" i="7"/>
  <c r="F350" i="7"/>
  <c r="F415" i="7"/>
  <c r="F533" i="7"/>
  <c r="E398" i="7"/>
  <c r="F518" i="7"/>
  <c r="F23" i="7"/>
  <c r="E31" i="7"/>
  <c r="F465" i="7"/>
  <c r="F319" i="7"/>
  <c r="F539" i="7"/>
  <c r="F371" i="7"/>
  <c r="F587" i="7"/>
  <c r="F595" i="7"/>
  <c r="F419" i="7"/>
  <c r="F50" i="7"/>
  <c r="F581" i="7"/>
  <c r="F614" i="7"/>
  <c r="F391" i="7"/>
  <c r="F589" i="7"/>
  <c r="F428" i="7"/>
  <c r="F591" i="7"/>
  <c r="F592" i="7"/>
  <c r="F14" i="7"/>
  <c r="F432" i="7"/>
  <c r="F34" i="7"/>
  <c r="F406" i="7"/>
  <c r="F619" i="7"/>
  <c r="F438" i="7"/>
  <c r="E295" i="7"/>
  <c r="E498" i="7"/>
  <c r="F496" i="7"/>
  <c r="E445" i="7"/>
  <c r="F122" i="7"/>
  <c r="F76" i="7"/>
  <c r="F77" i="7"/>
  <c r="F484" i="7"/>
  <c r="E87" i="7"/>
  <c r="F512" i="7"/>
  <c r="F553" i="7"/>
  <c r="E553" i="7"/>
  <c r="F537" i="7"/>
  <c r="E247" i="7"/>
  <c r="E477" i="7"/>
  <c r="F281" i="7"/>
  <c r="E330" i="7"/>
  <c r="F548" i="7"/>
  <c r="E271" i="7"/>
  <c r="F140" i="7"/>
  <c r="F135" i="7"/>
  <c r="E471" i="7"/>
  <c r="F535" i="7"/>
  <c r="F351" i="7"/>
  <c r="F479" i="7"/>
  <c r="E166" i="7"/>
  <c r="F560" i="7"/>
  <c r="E278" i="7"/>
  <c r="F270" i="7"/>
  <c r="F257" i="7"/>
  <c r="F198" i="7"/>
  <c r="E336" i="7"/>
  <c r="F400" i="7"/>
  <c r="E294" i="7"/>
  <c r="F130" i="7"/>
  <c r="F567" i="7"/>
  <c r="F48" i="7"/>
  <c r="E529" i="7"/>
  <c r="F448" i="7"/>
  <c r="F78" i="7"/>
  <c r="F580" i="7"/>
  <c r="F73" i="7"/>
  <c r="F393" i="7"/>
  <c r="F586" i="7"/>
  <c r="F599" i="7"/>
  <c r="F442" i="7"/>
  <c r="F101" i="7"/>
  <c r="F576" i="7"/>
  <c r="F422" i="7"/>
  <c r="F416" i="7"/>
  <c r="F603" i="7"/>
  <c r="F616" i="7"/>
  <c r="F370" i="7"/>
  <c r="F584" i="7"/>
  <c r="F365" i="7"/>
  <c r="F380" i="7"/>
  <c r="F355" i="7"/>
  <c r="E549" i="7"/>
  <c r="F134" i="7"/>
  <c r="E544" i="7"/>
  <c r="F94" i="7"/>
  <c r="F546" i="7"/>
  <c r="F248" i="7"/>
  <c r="F91" i="7"/>
  <c r="E267" i="7"/>
  <c r="F124" i="7"/>
  <c r="E547" i="7"/>
  <c r="F161" i="7"/>
  <c r="F273" i="7"/>
  <c r="E349" i="7"/>
  <c r="F42" i="7"/>
  <c r="F312" i="7"/>
  <c r="F62" i="7"/>
  <c r="F493" i="7"/>
  <c r="E246" i="7"/>
  <c r="E478" i="7"/>
  <c r="F536" i="7"/>
  <c r="F333" i="7"/>
  <c r="F288" i="7"/>
  <c r="E540" i="7"/>
  <c r="F166" i="7"/>
  <c r="F403" i="7"/>
  <c r="F383" i="7"/>
  <c r="F163" i="7"/>
  <c r="F277" i="7"/>
  <c r="F457" i="7"/>
  <c r="F266" i="7"/>
  <c r="F514" i="7"/>
  <c r="F341" i="7"/>
  <c r="F160" i="7"/>
  <c r="F306" i="7"/>
  <c r="F326" i="7"/>
  <c r="F98" i="7"/>
  <c r="F292" i="7"/>
  <c r="F24" i="7"/>
  <c r="F116" i="7"/>
  <c r="E561" i="7"/>
  <c r="F102" i="7"/>
  <c r="E443" i="7"/>
  <c r="F487" i="7"/>
  <c r="E264" i="7"/>
  <c r="E58" i="7"/>
  <c r="F156" i="7"/>
  <c r="F255" i="7"/>
  <c r="F59" i="7"/>
  <c r="E341" i="7"/>
  <c r="F132" i="7"/>
  <c r="F410" i="7"/>
  <c r="F336" i="7"/>
  <c r="F485" i="7"/>
  <c r="F103" i="7"/>
  <c r="F559" i="7"/>
  <c r="F259" i="7"/>
  <c r="F385" i="7"/>
  <c r="F607" i="7"/>
  <c r="F598" i="7"/>
  <c r="F396" i="7"/>
  <c r="F33" i="7"/>
  <c r="F321" i="7"/>
  <c r="F327" i="7"/>
  <c r="F280" i="7"/>
  <c r="F93" i="7"/>
  <c r="E318" i="7"/>
  <c r="F36" i="7"/>
  <c r="F72" i="7"/>
  <c r="E494" i="7"/>
  <c r="F481" i="7"/>
  <c r="E329" i="7"/>
  <c r="K6" i="7" l="1"/>
  <c r="K8" i="7"/>
  <c r="K4" i="7"/>
  <c r="K2" i="7"/>
  <c r="G17" i="7"/>
  <c r="E2" i="7" a="1"/>
  <c r="E2" i="7" s="1"/>
  <c r="G333" i="7"/>
  <c r="G47" i="7"/>
  <c r="B2" i="7"/>
  <c r="B6" i="7"/>
  <c r="G468" i="7"/>
  <c r="F41" i="28"/>
  <c r="F39" i="28"/>
  <c r="F42" i="28"/>
  <c r="F59" i="28"/>
  <c r="F45" i="28"/>
  <c r="F46" i="28"/>
  <c r="F43" i="28"/>
  <c r="F48" i="28"/>
  <c r="F44" i="28"/>
  <c r="F38" i="28"/>
  <c r="F47" i="28"/>
  <c r="F37" i="28"/>
  <c r="AB59" i="28"/>
  <c r="AC59" i="28"/>
  <c r="AD59" i="28" s="1"/>
  <c r="AC22" i="28"/>
  <c r="AD22" i="28" s="1"/>
  <c r="AB22" i="28"/>
  <c r="AC63" i="28"/>
  <c r="AD63" i="28" s="1"/>
  <c r="AB63" i="28"/>
  <c r="AB47" i="28"/>
  <c r="AC47" i="28"/>
  <c r="AD47" i="28" s="1"/>
  <c r="AC57" i="28"/>
  <c r="AD57" i="28" s="1"/>
  <c r="AB57" i="28"/>
  <c r="AC56" i="28"/>
  <c r="AD56" i="28" s="1"/>
  <c r="AB56" i="28"/>
  <c r="AC7" i="28"/>
  <c r="AD7" i="28" s="1"/>
  <c r="AB7" i="28"/>
  <c r="AB51" i="28"/>
  <c r="AC51" i="28"/>
  <c r="AD51" i="28" s="1"/>
  <c r="AC14" i="28"/>
  <c r="AD14" i="28" s="1"/>
  <c r="AB14" i="28"/>
  <c r="AC38" i="28"/>
  <c r="AD38" i="28" s="1"/>
  <c r="AB38" i="28"/>
  <c r="AC6" i="28"/>
  <c r="AD6" i="28" s="1"/>
  <c r="AB6" i="28"/>
  <c r="AB33" i="28"/>
  <c r="AC33" i="28"/>
  <c r="AD33" i="28" s="1"/>
  <c r="AC13" i="28"/>
  <c r="AD13" i="28" s="1"/>
  <c r="AB13" i="28"/>
  <c r="AC48" i="28"/>
  <c r="AD48" i="28" s="1"/>
  <c r="AB48" i="28"/>
  <c r="AB53" i="28"/>
  <c r="AC53" i="28"/>
  <c r="AD53" i="28" s="1"/>
  <c r="AB16" i="28"/>
  <c r="AC16" i="28"/>
  <c r="AD16" i="28" s="1"/>
  <c r="AC20" i="28"/>
  <c r="AD20" i="28" s="1"/>
  <c r="AB20" i="28"/>
  <c r="AC19" i="28"/>
  <c r="AD19" i="28" s="1"/>
  <c r="AB19" i="28"/>
  <c r="AC52" i="28"/>
  <c r="AD52" i="28" s="1"/>
  <c r="AB52" i="28"/>
  <c r="AB32" i="28"/>
  <c r="AC32" i="28"/>
  <c r="AD32" i="28" s="1"/>
  <c r="AC58" i="28"/>
  <c r="AD58" i="28" s="1"/>
  <c r="AB58" i="28"/>
  <c r="AB60" i="28"/>
  <c r="AC60" i="28"/>
  <c r="AD60" i="28" s="1"/>
  <c r="AB12" i="28"/>
  <c r="AC12" i="28"/>
  <c r="AD12" i="28" s="1"/>
  <c r="AC54" i="28"/>
  <c r="AD54" i="28" s="1"/>
  <c r="AB54" i="28"/>
  <c r="AC28" i="28"/>
  <c r="AD28" i="28" s="1"/>
  <c r="AB28" i="28"/>
  <c r="AB31" i="28"/>
  <c r="AC31" i="28"/>
  <c r="AD31" i="28" s="1"/>
  <c r="AB23" i="28"/>
  <c r="AC23" i="28"/>
  <c r="AD23" i="28" s="1"/>
  <c r="AC50" i="28"/>
  <c r="AD50" i="28" s="1"/>
  <c r="AB50" i="28"/>
  <c r="AB11" i="28"/>
  <c r="AC11" i="28"/>
  <c r="AD11" i="28" s="1"/>
  <c r="AC35" i="28"/>
  <c r="AD35" i="28" s="1"/>
  <c r="AB35" i="28"/>
  <c r="AB29" i="28"/>
  <c r="AC29" i="28"/>
  <c r="AD29" i="28" s="1"/>
  <c r="AB24" i="28"/>
  <c r="AC24" i="28"/>
  <c r="AD24" i="28" s="1"/>
  <c r="AC44" i="28"/>
  <c r="AD44" i="28" s="1"/>
  <c r="AB44" i="28"/>
  <c r="AB43" i="28"/>
  <c r="AC43" i="28"/>
  <c r="AD43" i="28" s="1"/>
  <c r="AB41" i="28"/>
  <c r="AC41" i="28"/>
  <c r="AD41" i="28" s="1"/>
  <c r="AB18" i="28"/>
  <c r="AC18" i="28"/>
  <c r="AD18" i="28" s="1"/>
  <c r="AB25" i="28"/>
  <c r="AC25" i="28"/>
  <c r="AD25" i="28" s="1"/>
  <c r="AC62" i="28"/>
  <c r="AD62" i="28" s="1"/>
  <c r="AB62" i="28"/>
  <c r="AC26" i="28"/>
  <c r="AD26" i="28" s="1"/>
  <c r="AB26" i="28"/>
  <c r="AB17" i="28"/>
  <c r="AC17" i="28"/>
  <c r="AD17" i="28" s="1"/>
  <c r="AC42" i="28"/>
  <c r="AD42" i="28" s="1"/>
  <c r="AB42" i="28"/>
  <c r="AC8" i="28"/>
  <c r="AD8" i="28" s="1"/>
  <c r="AB8" i="28"/>
  <c r="AC37" i="28"/>
  <c r="AD37" i="28" s="1"/>
  <c r="AB37" i="28"/>
  <c r="AC34" i="28"/>
  <c r="AD34" i="28" s="1"/>
  <c r="AB34" i="28"/>
  <c r="AC49" i="28"/>
  <c r="AD49" i="28" s="1"/>
  <c r="AB49" i="28"/>
  <c r="AC40" i="28"/>
  <c r="AD40" i="28" s="1"/>
  <c r="AB40" i="28"/>
  <c r="AB45" i="28"/>
  <c r="AC45" i="28"/>
  <c r="AD45" i="28" s="1"/>
  <c r="AC64" i="28"/>
  <c r="AD64" i="28" s="1"/>
  <c r="AB64" i="28"/>
  <c r="AC10" i="28"/>
  <c r="AD10" i="28" s="1"/>
  <c r="AB10" i="28"/>
  <c r="AB55" i="28"/>
  <c r="AC55" i="28"/>
  <c r="AD55" i="28" s="1"/>
  <c r="AC39" i="28"/>
  <c r="AD39" i="28" s="1"/>
  <c r="AB39" i="28"/>
  <c r="AC9" i="28"/>
  <c r="AD9" i="28" s="1"/>
  <c r="AB9" i="28"/>
  <c r="AC46" i="28"/>
  <c r="AD46" i="28" s="1"/>
  <c r="AB46" i="28"/>
  <c r="AC36" i="28"/>
  <c r="AD36" i="28" s="1"/>
  <c r="AB36" i="28"/>
  <c r="AC27" i="28"/>
  <c r="AD27" i="28" s="1"/>
  <c r="AB27" i="28"/>
  <c r="AC21" i="28"/>
  <c r="AD21" i="28" s="1"/>
  <c r="AB21" i="28"/>
  <c r="AC15" i="28"/>
  <c r="AD15" i="28" s="1"/>
  <c r="AB15" i="28"/>
  <c r="AB5" i="28"/>
  <c r="AC5" i="28"/>
  <c r="AD5" i="28" s="1"/>
  <c r="AC30" i="28"/>
  <c r="AD30" i="28" s="1"/>
  <c r="AB30" i="28"/>
  <c r="AB61" i="28"/>
  <c r="AC61" i="28"/>
  <c r="AD61" i="28" s="1"/>
  <c r="F89" i="7"/>
  <c r="F454" i="7"/>
  <c r="F429" i="7"/>
  <c r="F74" i="7"/>
  <c r="F324" i="7"/>
  <c r="F290" i="7"/>
  <c r="F503" i="7"/>
  <c r="F444" i="7"/>
  <c r="E496" i="7"/>
  <c r="F131" i="7"/>
  <c r="F516" i="7"/>
  <c r="F278" i="7"/>
  <c r="F87" i="7"/>
  <c r="F267" i="7"/>
  <c r="F58" i="7"/>
  <c r="F469" i="7"/>
  <c r="F35" i="7"/>
  <c r="F502" i="7"/>
  <c r="F477" i="7"/>
  <c r="F394" i="7"/>
  <c r="F471" i="7"/>
  <c r="F286" i="7"/>
  <c r="F357" i="7"/>
  <c r="E17" i="7"/>
  <c r="F525" i="7"/>
  <c r="F31" i="7"/>
  <c r="F64" i="7"/>
  <c r="F247" i="7"/>
  <c r="F294" i="7"/>
  <c r="F197" i="7"/>
  <c r="F561" i="7"/>
  <c r="F358" i="7"/>
  <c r="F494" i="7"/>
  <c r="F63" i="7"/>
  <c r="E333" i="7"/>
  <c r="F482" i="7"/>
  <c r="F529" i="7"/>
  <c r="F128" i="7"/>
  <c r="F544" i="7"/>
  <c r="F133" i="7"/>
  <c r="F527" i="7"/>
  <c r="F543" i="7"/>
  <c r="F305" i="7"/>
  <c r="F318" i="7"/>
  <c r="F540" i="7"/>
  <c r="F517" i="7"/>
  <c r="F330" i="7"/>
  <c r="F474" i="7"/>
  <c r="F320" i="7"/>
  <c r="F158" i="7"/>
  <c r="F85" i="7"/>
  <c r="F534" i="7"/>
  <c r="F338" i="7"/>
  <c r="F495" i="7"/>
  <c r="F524" i="7"/>
  <c r="F531" i="7"/>
  <c r="E122" i="7"/>
  <c r="F269" i="7"/>
  <c r="F445" i="7"/>
  <c r="F170" i="7"/>
  <c r="F151" i="7"/>
  <c r="F66" i="7"/>
  <c r="F271" i="7"/>
  <c r="F549" i="7"/>
  <c r="F155" i="7"/>
  <c r="F108" i="7"/>
  <c r="F434" i="7"/>
  <c r="F443" i="7"/>
  <c r="F123" i="7"/>
  <c r="F325" i="7"/>
  <c r="F112" i="7"/>
  <c r="E550" i="7"/>
  <c r="F263" i="7"/>
  <c r="F555" i="7"/>
  <c r="E91" i="7"/>
  <c r="F523" i="7"/>
  <c r="F142" i="7"/>
  <c r="F22" i="7"/>
  <c r="F441" i="7"/>
  <c r="F499" i="7"/>
  <c r="F498" i="7"/>
  <c r="F349" i="7"/>
  <c r="F203" i="7"/>
  <c r="F562" i="7"/>
  <c r="F246" i="7"/>
  <c r="F427" i="7"/>
  <c r="E123" i="7"/>
  <c r="E56" i="7"/>
  <c r="F329" i="7"/>
  <c r="F279" i="7"/>
  <c r="A2" i="7" l="1"/>
  <c r="G349" i="7"/>
  <c r="G133" i="7"/>
  <c r="B4" i="7"/>
  <c r="C23" i="29"/>
  <c r="A4" i="7"/>
  <c r="A8" i="7" s="1"/>
  <c r="D23" i="29"/>
  <c r="I216" i="7" l="1"/>
  <c r="L216" i="7" s="1"/>
  <c r="I190" i="7"/>
  <c r="L190" i="7" s="1"/>
  <c r="I223" i="7"/>
  <c r="L223" i="7" s="1"/>
  <c r="I207" i="7"/>
  <c r="L207" i="7" s="1"/>
  <c r="I229" i="7"/>
  <c r="L229" i="7" s="1"/>
  <c r="I230" i="7"/>
  <c r="L230" i="7" s="1"/>
  <c r="I214" i="7"/>
  <c r="L214" i="7" s="1"/>
  <c r="I188" i="7"/>
  <c r="L188" i="7" s="1"/>
  <c r="I213" i="7"/>
  <c r="L213" i="7" s="1"/>
  <c r="I187" i="7"/>
  <c r="L187" i="7" s="1"/>
  <c r="I235" i="7"/>
  <c r="L235" i="7" s="1"/>
  <c r="I177" i="7"/>
  <c r="L177" i="7" s="1"/>
  <c r="I172" i="7"/>
  <c r="L172" i="7" s="1"/>
  <c r="I180" i="7"/>
  <c r="L180" i="7" s="1"/>
  <c r="I176" i="7"/>
  <c r="L176" i="7" s="1"/>
  <c r="I240" i="7"/>
  <c r="L240" i="7" s="1"/>
  <c r="I182" i="7"/>
  <c r="L182" i="7" s="1"/>
  <c r="I212" i="7"/>
  <c r="L212" i="7" s="1"/>
  <c r="I186" i="7"/>
  <c r="L186" i="7" s="1"/>
  <c r="I219" i="7"/>
  <c r="L219" i="7" s="1"/>
  <c r="I193" i="7"/>
  <c r="L193" i="7" s="1"/>
  <c r="I233" i="7"/>
  <c r="L233" i="7" s="1"/>
  <c r="I179" i="7"/>
  <c r="L179" i="7" s="1"/>
  <c r="I210" i="7"/>
  <c r="L210" i="7" s="1"/>
  <c r="I184" i="7"/>
  <c r="L184" i="7" s="1"/>
  <c r="I226" i="7"/>
  <c r="L226" i="7" s="1"/>
  <c r="I225" i="7"/>
  <c r="L225" i="7" s="1"/>
  <c r="I209" i="7"/>
  <c r="L209" i="7" s="1"/>
  <c r="I244" i="7"/>
  <c r="L244" i="7" s="1"/>
  <c r="I231" i="7"/>
  <c r="L231" i="7" s="1"/>
  <c r="I173" i="7"/>
  <c r="L173" i="7" s="1"/>
  <c r="I183" i="7"/>
  <c r="L183" i="7" s="1"/>
  <c r="I236" i="7"/>
  <c r="L236" i="7" s="1"/>
  <c r="I178" i="7"/>
  <c r="L178" i="7" s="1"/>
  <c r="I224" i="7"/>
  <c r="L224" i="7" s="1"/>
  <c r="I208" i="7"/>
  <c r="L208" i="7" s="1"/>
  <c r="I215" i="7"/>
  <c r="L215" i="7" s="1"/>
  <c r="I189" i="7"/>
  <c r="L189" i="7" s="1"/>
  <c r="I222" i="7"/>
  <c r="L222" i="7" s="1"/>
  <c r="I206" i="7"/>
  <c r="L206" i="7" s="1"/>
  <c r="I221" i="7"/>
  <c r="L221" i="7" s="1"/>
  <c r="I195" i="7"/>
  <c r="L195" i="7" s="1"/>
  <c r="I243" i="7"/>
  <c r="L243" i="7" s="1"/>
  <c r="I227" i="7"/>
  <c r="L227" i="7" s="1"/>
  <c r="I175" i="7"/>
  <c r="L175" i="7" s="1"/>
  <c r="I238" i="7"/>
  <c r="L238" i="7" s="1"/>
  <c r="I245" i="7"/>
  <c r="L245" i="7" s="1"/>
  <c r="I232" i="7"/>
  <c r="L232" i="7" s="1"/>
  <c r="I174" i="7"/>
  <c r="L174" i="7" s="1"/>
  <c r="I220" i="7"/>
  <c r="L220" i="7" s="1"/>
  <c r="I194" i="7"/>
  <c r="L194" i="7" s="1"/>
  <c r="I211" i="7"/>
  <c r="L211" i="7" s="1"/>
  <c r="I185" i="7"/>
  <c r="L185" i="7" s="1"/>
  <c r="I237" i="7"/>
  <c r="L237" i="7" s="1"/>
  <c r="I218" i="7"/>
  <c r="L218" i="7" s="1"/>
  <c r="I192" i="7"/>
  <c r="L192" i="7" s="1"/>
  <c r="I242" i="7"/>
  <c r="L242" i="7" s="1"/>
  <c r="I217" i="7"/>
  <c r="L217" i="7" s="1"/>
  <c r="I191" i="7"/>
  <c r="L191" i="7" s="1"/>
  <c r="I239" i="7"/>
  <c r="L239" i="7" s="1"/>
  <c r="I181" i="7"/>
  <c r="L181" i="7" s="1"/>
  <c r="I241" i="7"/>
  <c r="L241" i="7" s="1"/>
  <c r="I234" i="7"/>
  <c r="L234" i="7" s="1"/>
  <c r="I228" i="7"/>
  <c r="L228" i="7" s="1"/>
  <c r="I397" i="7"/>
  <c r="L397" i="7" s="1"/>
  <c r="I395" i="7"/>
  <c r="L395" i="7" s="1"/>
  <c r="I588" i="7"/>
  <c r="L588" i="7" s="1"/>
  <c r="I609" i="7"/>
  <c r="L609" i="7" s="1"/>
  <c r="I32" i="7"/>
  <c r="L32" i="7" s="1"/>
  <c r="I437" i="7"/>
  <c r="L437" i="7" s="1"/>
  <c r="I348" i="7"/>
  <c r="L348" i="7" s="1"/>
  <c r="I55" i="7"/>
  <c r="L55" i="7" s="1"/>
  <c r="I572" i="7"/>
  <c r="L572" i="7" s="1"/>
  <c r="I129" i="7"/>
  <c r="L129" i="7" s="1"/>
  <c r="I375" i="7"/>
  <c r="L375" i="7" s="1"/>
  <c r="I343" i="7"/>
  <c r="L343" i="7" s="1"/>
  <c r="I388" i="7"/>
  <c r="L388" i="7" s="1"/>
  <c r="I339" i="7"/>
  <c r="L339" i="7" s="1"/>
  <c r="I20" i="7"/>
  <c r="L20" i="7" s="1"/>
  <c r="I452" i="7"/>
  <c r="L452" i="7" s="1"/>
  <c r="I360" i="7"/>
  <c r="L360" i="7" s="1"/>
  <c r="I148" i="7"/>
  <c r="L148" i="7" s="1"/>
  <c r="I563" i="7"/>
  <c r="L563" i="7" s="1"/>
  <c r="I608" i="7"/>
  <c r="L608" i="7" s="1"/>
  <c r="I387" i="7"/>
  <c r="L387" i="7" s="1"/>
  <c r="I455" i="7"/>
  <c r="L455" i="7" s="1"/>
  <c r="I476" i="7"/>
  <c r="L476" i="7" s="1"/>
  <c r="I605" i="7"/>
  <c r="L605" i="7" s="1"/>
  <c r="I374" i="7"/>
  <c r="L374" i="7" s="1"/>
  <c r="I21" i="7"/>
  <c r="L21" i="7" s="1"/>
  <c r="I601" i="7"/>
  <c r="L601" i="7" s="1"/>
  <c r="I104" i="7"/>
  <c r="L104" i="7" s="1"/>
  <c r="I382" i="7"/>
  <c r="L382" i="7" s="1"/>
  <c r="I566" i="7"/>
  <c r="L566" i="7" s="1"/>
  <c r="I585" i="7"/>
  <c r="L585" i="7" s="1"/>
  <c r="I71" i="7"/>
  <c r="L71" i="7" s="1"/>
  <c r="I424" i="7"/>
  <c r="L424" i="7" s="1"/>
  <c r="I401" i="7"/>
  <c r="L401" i="7" s="1"/>
  <c r="I413" i="7"/>
  <c r="L413" i="7" s="1"/>
  <c r="I119" i="7"/>
  <c r="L119" i="7" s="1"/>
  <c r="I425" i="7"/>
  <c r="L425" i="7" s="1"/>
  <c r="I38" i="7"/>
  <c r="L38" i="7" s="1"/>
  <c r="I70" i="7"/>
  <c r="L70" i="7" s="1"/>
  <c r="I411" i="7"/>
  <c r="L411" i="7" s="1"/>
  <c r="I618" i="7"/>
  <c r="L618" i="7" s="1"/>
  <c r="I28" i="7"/>
  <c r="L28" i="7" s="1"/>
  <c r="I402" i="7"/>
  <c r="L402" i="7" s="1"/>
  <c r="I362" i="7"/>
  <c r="L362" i="7" s="1"/>
  <c r="I57" i="7"/>
  <c r="L57" i="7" s="1"/>
  <c r="I577" i="7"/>
  <c r="L577" i="7" s="1"/>
  <c r="I582" i="7"/>
  <c r="L582" i="7" s="1"/>
  <c r="I27" i="7"/>
  <c r="L27" i="7" s="1"/>
  <c r="I412" i="7"/>
  <c r="L412" i="7" s="1"/>
  <c r="I596" i="7"/>
  <c r="L596" i="7" s="1"/>
  <c r="I373" i="7"/>
  <c r="L373" i="7" s="1"/>
  <c r="I583" i="7"/>
  <c r="L583" i="7" s="1"/>
  <c r="I421" i="7"/>
  <c r="L421" i="7" s="1"/>
  <c r="I604" i="7"/>
  <c r="L604" i="7" s="1"/>
  <c r="I41" i="7"/>
  <c r="L41" i="7" s="1"/>
  <c r="I337" i="7"/>
  <c r="L337" i="7" s="1"/>
  <c r="I612" i="7"/>
  <c r="L612" i="7" s="1"/>
  <c r="I575" i="7"/>
  <c r="L575" i="7" s="1"/>
  <c r="I570" i="7"/>
  <c r="L570" i="7" s="1"/>
  <c r="I610" i="7"/>
  <c r="L610" i="7" s="1"/>
  <c r="I381" i="7"/>
  <c r="L381" i="7" s="1"/>
  <c r="I606" i="7"/>
  <c r="L606" i="7" s="1"/>
  <c r="I440" i="7"/>
  <c r="L440" i="7" s="1"/>
  <c r="I404" i="7"/>
  <c r="L404" i="7" s="1"/>
  <c r="I46" i="7"/>
  <c r="L46" i="7" s="1"/>
  <c r="I386" i="7"/>
  <c r="L386" i="7" s="1"/>
  <c r="I54" i="7"/>
  <c r="L54" i="7" s="1"/>
  <c r="I49" i="7"/>
  <c r="L49" i="7" s="1"/>
  <c r="I205" i="7"/>
  <c r="L205" i="7" s="1"/>
  <c r="I579" i="7"/>
  <c r="L579" i="7" s="1"/>
  <c r="I408" i="7"/>
  <c r="L408" i="7" s="1"/>
  <c r="I376" i="7"/>
  <c r="L376" i="7" s="1"/>
  <c r="I458" i="7"/>
  <c r="L458" i="7" s="1"/>
  <c r="I571" i="7"/>
  <c r="L571" i="7" s="1"/>
  <c r="I426" i="7"/>
  <c r="L426" i="7" s="1"/>
  <c r="I384" i="7"/>
  <c r="L384" i="7" s="1"/>
  <c r="I453" i="7"/>
  <c r="L453" i="7" s="1"/>
  <c r="I15" i="7"/>
  <c r="L15" i="7" s="1"/>
  <c r="I602" i="7"/>
  <c r="L602" i="7" s="1"/>
  <c r="I399" i="7"/>
  <c r="L399" i="7" s="1"/>
  <c r="I345" i="7"/>
  <c r="L345" i="7" s="1"/>
  <c r="I590" i="7"/>
  <c r="L590" i="7" s="1"/>
  <c r="I594" i="7"/>
  <c r="L594" i="7" s="1"/>
  <c r="I615" i="7"/>
  <c r="L615" i="7" s="1"/>
  <c r="I105" i="7"/>
  <c r="L105" i="7" s="1"/>
  <c r="I372" i="7"/>
  <c r="L372" i="7" s="1"/>
  <c r="I417" i="7"/>
  <c r="L417" i="7" s="1"/>
  <c r="I574" i="7"/>
  <c r="L574" i="7" s="1"/>
  <c r="I460" i="7"/>
  <c r="L460" i="7" s="1"/>
  <c r="I573" i="7"/>
  <c r="L573" i="7" s="1"/>
  <c r="I613" i="7"/>
  <c r="L613" i="7" s="1"/>
  <c r="I578" i="7"/>
  <c r="L578" i="7" s="1"/>
  <c r="I462" i="7"/>
  <c r="L462" i="7" s="1"/>
  <c r="I355" i="7"/>
  <c r="L355" i="7" s="1"/>
  <c r="I380" i="7"/>
  <c r="L380" i="7" s="1"/>
  <c r="I365" i="7"/>
  <c r="L365" i="7" s="1"/>
  <c r="I584" i="7"/>
  <c r="L584" i="7" s="1"/>
  <c r="I370" i="7"/>
  <c r="L370" i="7" s="1"/>
  <c r="I616" i="7"/>
  <c r="L616" i="7" s="1"/>
  <c r="I603" i="7"/>
  <c r="L603" i="7" s="1"/>
  <c r="I416" i="7"/>
  <c r="L416" i="7" s="1"/>
  <c r="I422" i="7"/>
  <c r="L422" i="7" s="1"/>
  <c r="I576" i="7"/>
  <c r="L576" i="7" s="1"/>
  <c r="I101" i="7"/>
  <c r="L101" i="7" s="1"/>
  <c r="I442" i="7"/>
  <c r="L442" i="7" s="1"/>
  <c r="I599" i="7"/>
  <c r="L599" i="7" s="1"/>
  <c r="I586" i="7"/>
  <c r="L586" i="7" s="1"/>
  <c r="I393" i="7"/>
  <c r="L393" i="7" s="1"/>
  <c r="I73" i="7"/>
  <c r="L73" i="7" s="1"/>
  <c r="I580" i="7"/>
  <c r="L580" i="7" s="1"/>
  <c r="I78" i="7"/>
  <c r="L78" i="7" s="1"/>
  <c r="I438" i="7"/>
  <c r="L438" i="7" s="1"/>
  <c r="I619" i="7"/>
  <c r="L619" i="7" s="1"/>
  <c r="I406" i="7"/>
  <c r="L406" i="7" s="1"/>
  <c r="I34" i="7"/>
  <c r="L34" i="7" s="1"/>
  <c r="I432" i="7"/>
  <c r="L432" i="7" s="1"/>
  <c r="I14" i="7"/>
  <c r="L14" i="7" s="1"/>
  <c r="I592" i="7"/>
  <c r="L592" i="7" s="1"/>
  <c r="I591" i="7"/>
  <c r="L591" i="7" s="1"/>
  <c r="I428" i="7"/>
  <c r="L428" i="7" s="1"/>
  <c r="I589" i="7"/>
  <c r="L589" i="7" s="1"/>
  <c r="I391" i="7"/>
  <c r="L391" i="7" s="1"/>
  <c r="I614" i="7"/>
  <c r="L614" i="7" s="1"/>
  <c r="I581" i="7"/>
  <c r="L581" i="7" s="1"/>
  <c r="I50" i="7"/>
  <c r="L50" i="7" s="1"/>
  <c r="I419" i="7"/>
  <c r="L419" i="7" s="1"/>
  <c r="I595" i="7"/>
  <c r="L595" i="7" s="1"/>
  <c r="I587" i="7"/>
  <c r="L587" i="7" s="1"/>
  <c r="I371" i="7"/>
  <c r="L371" i="7" s="1"/>
  <c r="I435" i="7"/>
  <c r="L435" i="7" s="1"/>
  <c r="I611" i="7"/>
  <c r="L611" i="7" s="1"/>
  <c r="I617" i="7"/>
  <c r="L617" i="7" s="1"/>
  <c r="I600" i="7"/>
  <c r="L600" i="7" s="1"/>
  <c r="I396" i="7"/>
  <c r="L396" i="7" s="1"/>
  <c r="I118" i="7"/>
  <c r="L118" i="7" s="1"/>
  <c r="I29" i="7"/>
  <c r="L29" i="7" s="1"/>
  <c r="I65" i="7"/>
  <c r="L65" i="7" s="1"/>
  <c r="I598" i="7"/>
  <c r="L598" i="7" s="1"/>
  <c r="I593" i="7"/>
  <c r="L593" i="7" s="1"/>
  <c r="I436" i="7"/>
  <c r="L436" i="7" s="1"/>
  <c r="I107" i="7"/>
  <c r="L107" i="7" s="1"/>
  <c r="I607" i="7"/>
  <c r="L607" i="7" s="1"/>
  <c r="I359" i="7"/>
  <c r="L359" i="7" s="1"/>
  <c r="I597" i="7"/>
  <c r="L597" i="7" s="1"/>
  <c r="I83" i="7"/>
  <c r="L83" i="7" s="1"/>
  <c r="I347" i="7"/>
  <c r="L347" i="7" s="1"/>
  <c r="I385" i="7"/>
  <c r="L385" i="7" s="1"/>
  <c r="U4" i="2"/>
  <c r="U213" i="4"/>
  <c r="U212" i="4"/>
  <c r="U92" i="5"/>
  <c r="U11" i="3"/>
  <c r="I157" i="7"/>
  <c r="L157" i="7" s="1"/>
  <c r="I37" i="7"/>
  <c r="L37" i="7" s="1"/>
  <c r="U9" i="5"/>
  <c r="I383" i="7"/>
  <c r="L383" i="7" s="1"/>
  <c r="U29" i="5"/>
  <c r="I246" i="7"/>
  <c r="L246" i="7" s="1"/>
  <c r="U76" i="4"/>
  <c r="I431" i="7"/>
  <c r="L431" i="7" s="1"/>
  <c r="I557" i="7"/>
  <c r="L557" i="7" s="1"/>
  <c r="I331" i="7"/>
  <c r="L331" i="7" s="1"/>
  <c r="U23" i="4"/>
  <c r="U168" i="4"/>
  <c r="U59" i="2"/>
  <c r="I568" i="7"/>
  <c r="L568" i="7" s="1"/>
  <c r="U128" i="4"/>
  <c r="U42" i="5"/>
  <c r="I91" i="7"/>
  <c r="L91" i="7" s="1"/>
  <c r="U111" i="3"/>
  <c r="U13" i="3"/>
  <c r="U136" i="4"/>
  <c r="U71" i="3"/>
  <c r="I256" i="7"/>
  <c r="L256" i="7" s="1"/>
  <c r="U51" i="5"/>
  <c r="U21" i="2"/>
  <c r="U17" i="3"/>
  <c r="I409" i="7"/>
  <c r="L409" i="7" s="1"/>
  <c r="U70" i="5"/>
  <c r="U6" i="3"/>
  <c r="U41" i="5"/>
  <c r="U49" i="4"/>
  <c r="I141" i="7"/>
  <c r="L141" i="7" s="1"/>
  <c r="I514" i="7"/>
  <c r="L514" i="7" s="1"/>
  <c r="I114" i="7"/>
  <c r="L114" i="7" s="1"/>
  <c r="I115" i="7"/>
  <c r="L115" i="7" s="1"/>
  <c r="U140" i="4"/>
  <c r="I201" i="7"/>
  <c r="L201" i="7" s="1"/>
  <c r="U56" i="4"/>
  <c r="U43" i="5"/>
  <c r="U66" i="3"/>
  <c r="U90" i="5"/>
  <c r="I323" i="7"/>
  <c r="L323" i="7" s="1"/>
  <c r="U185" i="4"/>
  <c r="I430" i="7"/>
  <c r="L430" i="7" s="1"/>
  <c r="U100" i="4"/>
  <c r="I160" i="7"/>
  <c r="L160" i="7" s="1"/>
  <c r="I44" i="7"/>
  <c r="L44" i="7" s="1"/>
  <c r="U101" i="4"/>
  <c r="U66" i="4"/>
  <c r="U40" i="4"/>
  <c r="U35" i="3"/>
  <c r="U8" i="2"/>
  <c r="U32" i="3"/>
  <c r="U62" i="3"/>
  <c r="I459" i="7"/>
  <c r="L459" i="7" s="1"/>
  <c r="U40" i="5"/>
  <c r="U24" i="5"/>
  <c r="U98" i="4"/>
  <c r="I252" i="7"/>
  <c r="L252" i="7" s="1"/>
  <c r="U127" i="5"/>
  <c r="U79" i="3"/>
  <c r="U19" i="3"/>
  <c r="U53" i="3"/>
  <c r="I198" i="7"/>
  <c r="L198" i="7" s="1"/>
  <c r="U115" i="5"/>
  <c r="I158" i="7"/>
  <c r="L158" i="7" s="1"/>
  <c r="I144" i="7"/>
  <c r="L144" i="7" s="1"/>
  <c r="I80" i="7"/>
  <c r="L80" i="7" s="1"/>
  <c r="U38" i="4"/>
  <c r="U57" i="5"/>
  <c r="U73" i="3"/>
  <c r="U13" i="5"/>
  <c r="I302" i="7"/>
  <c r="L302" i="7" s="1"/>
  <c r="U104" i="4"/>
  <c r="U210" i="4"/>
  <c r="U139" i="4"/>
  <c r="I67" i="7"/>
  <c r="L67" i="7" s="1"/>
  <c r="I558" i="7"/>
  <c r="L558" i="7" s="1"/>
  <c r="U75" i="2"/>
  <c r="U30" i="5"/>
  <c r="I309" i="7"/>
  <c r="L309" i="7" s="1"/>
  <c r="U129" i="5"/>
  <c r="U67" i="3"/>
  <c r="I519" i="7"/>
  <c r="L519" i="7" s="1"/>
  <c r="I140" i="7"/>
  <c r="L140" i="7" s="1"/>
  <c r="U58" i="5"/>
  <c r="U33" i="2"/>
  <c r="I485" i="7"/>
  <c r="L485" i="7" s="1"/>
  <c r="U40" i="2"/>
  <c r="I353" i="7"/>
  <c r="L353" i="7" s="1"/>
  <c r="U34" i="3"/>
  <c r="I77" i="7"/>
  <c r="L77" i="7" s="1"/>
  <c r="I545" i="7"/>
  <c r="L545" i="7" s="1"/>
  <c r="U91" i="3"/>
  <c r="U82" i="5"/>
  <c r="I368" i="7"/>
  <c r="L368" i="7" s="1"/>
  <c r="U7" i="4"/>
  <c r="I116" i="7"/>
  <c r="L116" i="7" s="1"/>
  <c r="U21" i="4"/>
  <c r="I303" i="7"/>
  <c r="L303" i="7" s="1"/>
  <c r="I567" i="7"/>
  <c r="L567" i="7" s="1"/>
  <c r="U3" i="4"/>
  <c r="I163" i="7"/>
  <c r="L163" i="7" s="1"/>
  <c r="I564" i="7"/>
  <c r="L564" i="7" s="1"/>
  <c r="U78" i="3"/>
  <c r="I536" i="7"/>
  <c r="L536" i="7" s="1"/>
  <c r="I282" i="7"/>
  <c r="L282" i="7" s="1"/>
  <c r="U7" i="2"/>
  <c r="I326" i="7"/>
  <c r="L326" i="7" s="1"/>
  <c r="I250" i="7"/>
  <c r="L250" i="7" s="1"/>
  <c r="U83" i="5"/>
  <c r="I497" i="7"/>
  <c r="L497" i="7" s="1"/>
  <c r="U47" i="5"/>
  <c r="I153" i="7"/>
  <c r="L153" i="7" s="1"/>
  <c r="U33" i="3"/>
  <c r="I122" i="7"/>
  <c r="L122" i="7" s="1"/>
  <c r="U23" i="3"/>
  <c r="I171" i="7"/>
  <c r="L171" i="7" s="1"/>
  <c r="U82" i="3"/>
  <c r="I346" i="7"/>
  <c r="L346" i="7" s="1"/>
  <c r="U84" i="4"/>
  <c r="I506" i="7"/>
  <c r="L506" i="7" s="1"/>
  <c r="U118" i="4"/>
  <c r="U105" i="5"/>
  <c r="I81" i="7"/>
  <c r="L81" i="7" s="1"/>
  <c r="U97" i="3"/>
  <c r="I522" i="7"/>
  <c r="L522" i="7" s="1"/>
  <c r="I295" i="7"/>
  <c r="L295" i="7" s="1"/>
  <c r="U26" i="5"/>
  <c r="I447" i="7"/>
  <c r="L447" i="7" s="1"/>
  <c r="U31" i="2"/>
  <c r="U22" i="2"/>
  <c r="I251" i="7"/>
  <c r="L251" i="7" s="1"/>
  <c r="I103" i="7"/>
  <c r="L103" i="7" s="1"/>
  <c r="U32" i="4"/>
  <c r="U77" i="4"/>
  <c r="U58" i="2"/>
  <c r="U10" i="3"/>
  <c r="I265" i="7"/>
  <c r="L265" i="7" s="1"/>
  <c r="I168" i="7"/>
  <c r="L168" i="7" s="1"/>
  <c r="U87" i="5"/>
  <c r="U111" i="5"/>
  <c r="I473" i="7"/>
  <c r="L473" i="7" s="1"/>
  <c r="U88" i="3"/>
  <c r="U29" i="3"/>
  <c r="U20" i="3"/>
  <c r="U97" i="5"/>
  <c r="U110" i="3"/>
  <c r="U60" i="3"/>
  <c r="U20" i="4"/>
  <c r="U55" i="5"/>
  <c r="I475" i="7"/>
  <c r="L475" i="7" s="1"/>
  <c r="U10" i="2"/>
  <c r="I95" i="7"/>
  <c r="L95" i="7" s="1"/>
  <c r="U99" i="3"/>
  <c r="I281" i="7"/>
  <c r="L281" i="7" s="1"/>
  <c r="I379" i="7"/>
  <c r="L379" i="7" s="1"/>
  <c r="I126" i="7"/>
  <c r="L126" i="7" s="1"/>
  <c r="I19" i="7"/>
  <c r="L19" i="7" s="1"/>
  <c r="U79" i="4"/>
  <c r="U115" i="4"/>
  <c r="I99" i="7"/>
  <c r="L99" i="7" s="1"/>
  <c r="U33" i="4"/>
  <c r="U8" i="4"/>
  <c r="U50" i="2"/>
  <c r="U17" i="5"/>
  <c r="I316" i="7"/>
  <c r="L316" i="7" s="1"/>
  <c r="U96" i="5"/>
  <c r="I526" i="7"/>
  <c r="L526" i="7" s="1"/>
  <c r="U107" i="5"/>
  <c r="I149" i="7"/>
  <c r="L149" i="7" s="1"/>
  <c r="U129" i="4"/>
  <c r="I111" i="7"/>
  <c r="L111" i="7" s="1"/>
  <c r="U80" i="5"/>
  <c r="U71" i="5"/>
  <c r="U52" i="5"/>
  <c r="I332" i="7"/>
  <c r="L332" i="7" s="1"/>
  <c r="U72" i="3"/>
  <c r="I51" i="7"/>
  <c r="L51" i="7" s="1"/>
  <c r="U153" i="4"/>
  <c r="U73" i="2"/>
  <c r="U72" i="4"/>
  <c r="I516" i="7"/>
  <c r="L516" i="7" s="1"/>
  <c r="I202" i="7"/>
  <c r="L202" i="7" s="1"/>
  <c r="U122" i="5"/>
  <c r="I284" i="7"/>
  <c r="L284" i="7" s="1"/>
  <c r="U120" i="5"/>
  <c r="I273" i="7"/>
  <c r="L273" i="7" s="1"/>
  <c r="U14" i="2"/>
  <c r="U45" i="2"/>
  <c r="U145" i="4"/>
  <c r="U69" i="4"/>
  <c r="U19" i="2"/>
  <c r="U51" i="4"/>
  <c r="U98" i="5"/>
  <c r="I481" i="7"/>
  <c r="L481" i="7" s="1"/>
  <c r="U16" i="3"/>
  <c r="U16" i="4"/>
  <c r="U80" i="3"/>
  <c r="I84" i="7"/>
  <c r="L84" i="7" s="1"/>
  <c r="U109" i="3"/>
  <c r="U119" i="5"/>
  <c r="U28" i="5"/>
  <c r="I352" i="7"/>
  <c r="L352" i="7" s="1"/>
  <c r="U7" i="3"/>
  <c r="I255" i="7"/>
  <c r="L255" i="7" s="1"/>
  <c r="U70" i="3"/>
  <c r="U24" i="2"/>
  <c r="U113" i="5"/>
  <c r="I529" i="7"/>
  <c r="L529" i="7" s="1"/>
  <c r="U19" i="5"/>
  <c r="I59" i="7"/>
  <c r="L59" i="7" s="1"/>
  <c r="U21" i="5"/>
  <c r="U71" i="2"/>
  <c r="I287" i="7"/>
  <c r="L287" i="7" s="1"/>
  <c r="U120" i="4"/>
  <c r="U103" i="4"/>
  <c r="I535" i="7"/>
  <c r="L535" i="7" s="1"/>
  <c r="U152" i="4"/>
  <c r="U62" i="4"/>
  <c r="U57" i="2"/>
  <c r="I389" i="7"/>
  <c r="L389" i="7" s="1"/>
  <c r="U67" i="4"/>
  <c r="U122" i="4"/>
  <c r="U20" i="5"/>
  <c r="U59" i="5"/>
  <c r="I390" i="7"/>
  <c r="L390" i="7" s="1"/>
  <c r="U76" i="5"/>
  <c r="I480" i="7"/>
  <c r="L480" i="7" s="1"/>
  <c r="U171" i="4"/>
  <c r="U36" i="2"/>
  <c r="I468" i="7"/>
  <c r="L468" i="7" s="1"/>
  <c r="U98" i="3"/>
  <c r="U116" i="5"/>
  <c r="I42" i="7"/>
  <c r="L42" i="7" s="1"/>
  <c r="U101" i="5"/>
  <c r="U52" i="2"/>
  <c r="I307" i="7"/>
  <c r="L307" i="7" s="1"/>
  <c r="U69" i="5"/>
  <c r="U55" i="3"/>
  <c r="U148" i="4"/>
  <c r="U175" i="4"/>
  <c r="U41" i="2"/>
  <c r="U74" i="5"/>
  <c r="U63" i="3"/>
  <c r="U28" i="4"/>
  <c r="U49" i="2"/>
  <c r="U5" i="3"/>
  <c r="I69" i="7"/>
  <c r="L69" i="7" s="1"/>
  <c r="U37" i="2"/>
  <c r="U14" i="3"/>
  <c r="U78" i="5"/>
  <c r="U4" i="3"/>
  <c r="I253" i="7"/>
  <c r="L253" i="7" s="1"/>
  <c r="U42" i="3"/>
  <c r="U15" i="5"/>
  <c r="U108" i="5"/>
  <c r="U104" i="3"/>
  <c r="I248" i="7"/>
  <c r="L248" i="7" s="1"/>
  <c r="U30" i="2"/>
  <c r="I127" i="7"/>
  <c r="L127" i="7" s="1"/>
  <c r="I569" i="7"/>
  <c r="L569" i="7" s="1"/>
  <c r="U86" i="5"/>
  <c r="U91" i="5"/>
  <c r="I285" i="7"/>
  <c r="L285" i="7" s="1"/>
  <c r="U22" i="4"/>
  <c r="U61" i="4"/>
  <c r="U77" i="2"/>
  <c r="U207" i="4"/>
  <c r="I278" i="7"/>
  <c r="L278" i="7" s="1"/>
  <c r="I495" i="7"/>
  <c r="L495" i="7" s="1"/>
  <c r="I131" i="7"/>
  <c r="L131" i="7" s="1"/>
  <c r="I92" i="7"/>
  <c r="L92" i="7" s="1"/>
  <c r="U125" i="5"/>
  <c r="I272" i="7"/>
  <c r="L272" i="7" s="1"/>
  <c r="U21" i="3"/>
  <c r="U39" i="3"/>
  <c r="I314" i="7"/>
  <c r="L314" i="7" s="1"/>
  <c r="I478" i="7"/>
  <c r="L478" i="7" s="1"/>
  <c r="I72" i="7"/>
  <c r="L72" i="7" s="1"/>
  <c r="U39" i="2"/>
  <c r="U64" i="5"/>
  <c r="U39" i="5"/>
  <c r="I483" i="7"/>
  <c r="L483" i="7" s="1"/>
  <c r="U34" i="5"/>
  <c r="U50" i="3"/>
  <c r="I292" i="7"/>
  <c r="L292" i="7" s="1"/>
  <c r="U34" i="2"/>
  <c r="U25" i="5"/>
  <c r="I328" i="7"/>
  <c r="L328" i="7" s="1"/>
  <c r="U68" i="5"/>
  <c r="U44" i="3"/>
  <c r="I45" i="7"/>
  <c r="L45" i="7" s="1"/>
  <c r="U54" i="5"/>
  <c r="U44" i="5"/>
  <c r="I33" i="7"/>
  <c r="L33" i="7" s="1"/>
  <c r="U29" i="2"/>
  <c r="U61" i="2"/>
  <c r="I317" i="7"/>
  <c r="L317" i="7" s="1"/>
  <c r="I109" i="7"/>
  <c r="L109" i="7" s="1"/>
  <c r="U117" i="5"/>
  <c r="U37" i="4"/>
  <c r="U60" i="5"/>
  <c r="I364" i="7"/>
  <c r="L364" i="7" s="1"/>
  <c r="U114" i="3"/>
  <c r="U79" i="5"/>
  <c r="I60" i="7"/>
  <c r="L60" i="7" s="1"/>
  <c r="I321" i="7"/>
  <c r="L321" i="7" s="1"/>
  <c r="U94" i="5"/>
  <c r="U61" i="5"/>
  <c r="I100" i="7"/>
  <c r="L100" i="7" s="1"/>
  <c r="I344" i="7"/>
  <c r="L344" i="7" s="1"/>
  <c r="I296" i="7"/>
  <c r="L296" i="7" s="1"/>
  <c r="U70" i="2"/>
  <c r="I501" i="7"/>
  <c r="L501" i="7" s="1"/>
  <c r="U174" i="4"/>
  <c r="I477" i="7"/>
  <c r="L477" i="7" s="1"/>
  <c r="I197" i="7"/>
  <c r="L197" i="7" s="1"/>
  <c r="I510" i="7"/>
  <c r="L510" i="7" s="1"/>
  <c r="U39" i="4"/>
  <c r="I515" i="7"/>
  <c r="L515" i="7" s="1"/>
  <c r="U70" i="4"/>
  <c r="I512" i="7"/>
  <c r="L512" i="7" s="1"/>
  <c r="I479" i="7"/>
  <c r="L479" i="7" s="1"/>
  <c r="U96" i="4"/>
  <c r="I418" i="7"/>
  <c r="L418" i="7" s="1"/>
  <c r="U102" i="3"/>
  <c r="U45" i="3"/>
  <c r="I489" i="7"/>
  <c r="L489" i="7" s="1"/>
  <c r="U6" i="2"/>
  <c r="U126" i="5"/>
  <c r="U81" i="5"/>
  <c r="U85" i="3"/>
  <c r="U46" i="3"/>
  <c r="I150" i="7"/>
  <c r="L150" i="7" s="1"/>
  <c r="I56" i="7"/>
  <c r="L56" i="7" s="1"/>
  <c r="U16" i="5"/>
  <c r="U49" i="5"/>
  <c r="I117" i="7"/>
  <c r="L117" i="7" s="1"/>
  <c r="I161" i="7"/>
  <c r="L161" i="7" s="1"/>
  <c r="U103" i="5"/>
  <c r="U26" i="3"/>
  <c r="U123" i="5"/>
  <c r="U104" i="5"/>
  <c r="I30" i="7"/>
  <c r="L30" i="7" s="1"/>
  <c r="U67" i="5"/>
  <c r="U54" i="3"/>
  <c r="I36" i="7"/>
  <c r="L36" i="7" s="1"/>
  <c r="U33" i="5"/>
  <c r="U100" i="3"/>
  <c r="I484" i="7"/>
  <c r="L484" i="7" s="1"/>
  <c r="I463" i="7"/>
  <c r="L463" i="7" s="1"/>
  <c r="U84" i="3"/>
  <c r="U63" i="2"/>
  <c r="U25" i="3"/>
  <c r="U4" i="5"/>
  <c r="I62" i="7"/>
  <c r="L62" i="7" s="1"/>
  <c r="I48" i="7"/>
  <c r="L48" i="7" s="1"/>
  <c r="U128" i="5"/>
  <c r="I449" i="7"/>
  <c r="L449" i="7" s="1"/>
  <c r="U117" i="4"/>
  <c r="U60" i="2"/>
  <c r="I167" i="7"/>
  <c r="L167" i="7" s="1"/>
  <c r="U177" i="4"/>
  <c r="I155" i="7"/>
  <c r="L155" i="7" s="1"/>
  <c r="U63" i="4"/>
  <c r="U114" i="4"/>
  <c r="I16" i="7"/>
  <c r="L16" i="7" s="1"/>
  <c r="U156" i="4"/>
  <c r="I76" i="7"/>
  <c r="L76" i="7" s="1"/>
  <c r="U160" i="4"/>
  <c r="I291" i="7"/>
  <c r="L291" i="7" s="1"/>
  <c r="U36" i="4"/>
  <c r="I548" i="7"/>
  <c r="L548" i="7" s="1"/>
  <c r="U62" i="2"/>
  <c r="U48" i="3"/>
  <c r="U30" i="3"/>
  <c r="I121" i="7"/>
  <c r="L121" i="7" s="1"/>
  <c r="U3" i="5"/>
  <c r="U6" i="5"/>
  <c r="I138" i="7"/>
  <c r="L138" i="7" s="1"/>
  <c r="U54" i="2"/>
  <c r="U87" i="4"/>
  <c r="U88" i="4"/>
  <c r="U75" i="5"/>
  <c r="U66" i="5"/>
  <c r="I304" i="7"/>
  <c r="L304" i="7" s="1"/>
  <c r="U109" i="5"/>
  <c r="U58" i="3"/>
  <c r="I513" i="7"/>
  <c r="L513" i="7" s="1"/>
  <c r="U74" i="3"/>
  <c r="U77" i="5"/>
  <c r="I61" i="7"/>
  <c r="L61" i="7" s="1"/>
  <c r="U92" i="3"/>
  <c r="U106" i="5"/>
  <c r="I262" i="7"/>
  <c r="L262" i="7" s="1"/>
  <c r="U8" i="5"/>
  <c r="U15" i="3"/>
  <c r="I311" i="7"/>
  <c r="L311" i="7" s="1"/>
  <c r="U53" i="2"/>
  <c r="U36" i="3"/>
  <c r="U47" i="2"/>
  <c r="I446" i="7"/>
  <c r="L446" i="7" s="1"/>
  <c r="U89" i="3"/>
  <c r="U51" i="2"/>
  <c r="I392" i="7"/>
  <c r="L392" i="7" s="1"/>
  <c r="U47" i="4"/>
  <c r="U49" i="3"/>
  <c r="A1" i="7"/>
  <c r="U93" i="4"/>
  <c r="I280" i="7"/>
  <c r="L280" i="7" s="1"/>
  <c r="I17" i="7"/>
  <c r="L17" i="7" s="1"/>
  <c r="U83" i="4"/>
  <c r="U188" i="4"/>
  <c r="I324" i="7"/>
  <c r="L324" i="7" s="1"/>
  <c r="I415" i="7"/>
  <c r="L415" i="7" s="1"/>
  <c r="I471" i="7"/>
  <c r="L471" i="7" s="1"/>
  <c r="U58" i="4"/>
  <c r="I164" i="7"/>
  <c r="L164" i="7" s="1"/>
  <c r="U68" i="2"/>
  <c r="U123" i="4"/>
  <c r="I301" i="7"/>
  <c r="L301" i="7" s="1"/>
  <c r="U59" i="4"/>
  <c r="U14" i="4"/>
  <c r="I488" i="7"/>
  <c r="L488" i="7" s="1"/>
  <c r="U32" i="5"/>
  <c r="U38" i="3"/>
  <c r="U132" i="5"/>
  <c r="U63" i="5"/>
  <c r="U95" i="3"/>
  <c r="I550" i="7"/>
  <c r="L550" i="7" s="1"/>
  <c r="I530" i="7"/>
  <c r="L530" i="7" s="1"/>
  <c r="U61" i="3"/>
  <c r="U76" i="3"/>
  <c r="U121" i="5"/>
  <c r="U107" i="3"/>
  <c r="U25" i="2"/>
  <c r="I43" i="7"/>
  <c r="L43" i="7" s="1"/>
  <c r="U24" i="4"/>
  <c r="U100" i="5"/>
  <c r="I486" i="7"/>
  <c r="L486" i="7" s="1"/>
  <c r="I448" i="7"/>
  <c r="L448" i="7" s="1"/>
  <c r="U77" i="3"/>
  <c r="U12" i="2"/>
  <c r="I407" i="7"/>
  <c r="L407" i="7" s="1"/>
  <c r="U35" i="2"/>
  <c r="U9" i="3"/>
  <c r="I132" i="7"/>
  <c r="L132" i="7" s="1"/>
  <c r="U43" i="3"/>
  <c r="U41" i="3"/>
  <c r="I505" i="7"/>
  <c r="L505" i="7" s="1"/>
  <c r="U56" i="5"/>
  <c r="U50" i="5"/>
  <c r="U3" i="3"/>
  <c r="I113" i="7"/>
  <c r="L113" i="7" s="1"/>
  <c r="U114" i="5"/>
  <c r="U8" i="3"/>
  <c r="U12" i="5"/>
  <c r="U47" i="3"/>
  <c r="I22" i="7"/>
  <c r="L22" i="7" s="1"/>
  <c r="U30" i="4"/>
  <c r="I135" i="7"/>
  <c r="L135" i="7" s="1"/>
  <c r="I367" i="7"/>
  <c r="L367" i="7" s="1"/>
  <c r="U35" i="4"/>
  <c r="U191" i="4"/>
  <c r="I544" i="7"/>
  <c r="L544" i="7" s="1"/>
  <c r="I123" i="7"/>
  <c r="L123" i="7" s="1"/>
  <c r="I203" i="7"/>
  <c r="L203" i="7" s="1"/>
  <c r="U94" i="3"/>
  <c r="U124" i="5"/>
  <c r="U28" i="2"/>
  <c r="I551" i="7"/>
  <c r="L551" i="7" s="1"/>
  <c r="U10" i="4"/>
  <c r="U133" i="4"/>
  <c r="U199" i="4"/>
  <c r="I318" i="7"/>
  <c r="L318" i="7" s="1"/>
  <c r="I128" i="7"/>
  <c r="L128" i="7" s="1"/>
  <c r="I538" i="7"/>
  <c r="L538" i="7" s="1"/>
  <c r="U154" i="4"/>
  <c r="I289" i="7"/>
  <c r="L289" i="7" s="1"/>
  <c r="U166" i="4"/>
  <c r="I266" i="7"/>
  <c r="L266" i="7" s="1"/>
  <c r="U134" i="4"/>
  <c r="I146" i="7"/>
  <c r="L146" i="7" s="1"/>
  <c r="U102" i="4"/>
  <c r="U12" i="4"/>
  <c r="I145" i="7"/>
  <c r="L145" i="7" s="1"/>
  <c r="U56" i="2"/>
  <c r="U82" i="4"/>
  <c r="U68" i="3"/>
  <c r="U89" i="5"/>
  <c r="U17" i="4"/>
  <c r="U10" i="5"/>
  <c r="I366" i="7"/>
  <c r="L366" i="7" s="1"/>
  <c r="U28" i="3"/>
  <c r="U59" i="3"/>
  <c r="I277" i="7"/>
  <c r="L277" i="7" s="1"/>
  <c r="U46" i="5"/>
  <c r="U16" i="2"/>
  <c r="U3" i="2"/>
  <c r="I492" i="7"/>
  <c r="L492" i="7" s="1"/>
  <c r="U57" i="3"/>
  <c r="U7" i="5"/>
  <c r="U24" i="3"/>
  <c r="I169" i="7"/>
  <c r="L169" i="7" s="1"/>
  <c r="U65" i="2"/>
  <c r="U40" i="3"/>
  <c r="I130" i="7"/>
  <c r="L130" i="7" s="1"/>
  <c r="U110" i="5"/>
  <c r="U53" i="5"/>
  <c r="U64" i="2"/>
  <c r="U83" i="3"/>
  <c r="I361" i="7"/>
  <c r="L361" i="7" s="1"/>
  <c r="U64" i="3"/>
  <c r="U27" i="3"/>
  <c r="U45" i="5"/>
  <c r="I276" i="7"/>
  <c r="L276" i="7" s="1"/>
  <c r="I553" i="7"/>
  <c r="L553" i="7" s="1"/>
  <c r="U102" i="5"/>
  <c r="U85" i="5"/>
  <c r="I98" i="7"/>
  <c r="L98" i="7" s="1"/>
  <c r="U18" i="5"/>
  <c r="U95" i="5"/>
  <c r="I537" i="7"/>
  <c r="L537" i="7" s="1"/>
  <c r="U50" i="4"/>
  <c r="U53" i="4"/>
  <c r="U200" i="4"/>
  <c r="I315" i="7"/>
  <c r="L315" i="7" s="1"/>
  <c r="U113" i="4"/>
  <c r="I369" i="7"/>
  <c r="L369" i="7" s="1"/>
  <c r="U11" i="4"/>
  <c r="I39" i="7"/>
  <c r="L39" i="7" s="1"/>
  <c r="U95" i="4"/>
  <c r="U29" i="4"/>
  <c r="U69" i="3"/>
  <c r="U107" i="4"/>
  <c r="U69" i="2"/>
  <c r="U46" i="2"/>
  <c r="U75" i="3"/>
  <c r="U14" i="5"/>
  <c r="I162" i="7"/>
  <c r="L162" i="7" s="1"/>
  <c r="I259" i="7"/>
  <c r="L259" i="7" s="1"/>
  <c r="I52" i="7"/>
  <c r="L52" i="7" s="1"/>
  <c r="U56" i="3"/>
  <c r="U15" i="2"/>
  <c r="I166" i="7"/>
  <c r="L166" i="7" s="1"/>
  <c r="U42" i="2"/>
  <c r="U113" i="3"/>
  <c r="U93" i="3"/>
  <c r="I313" i="7"/>
  <c r="L313" i="7" s="1"/>
  <c r="U5" i="2"/>
  <c r="U18" i="3"/>
  <c r="U22" i="3"/>
  <c r="U38" i="5"/>
  <c r="U134" i="5"/>
  <c r="U112" i="5"/>
  <c r="U62" i="5"/>
  <c r="I147" i="7"/>
  <c r="L147" i="7" s="1"/>
  <c r="I493" i="7"/>
  <c r="L493" i="7" s="1"/>
  <c r="U72" i="5"/>
  <c r="I403" i="7"/>
  <c r="L403" i="7" s="1"/>
  <c r="I110" i="7"/>
  <c r="L110" i="7" s="1"/>
  <c r="U87" i="3"/>
  <c r="U35" i="5"/>
  <c r="U130" i="5"/>
  <c r="I268" i="7"/>
  <c r="L268" i="7" s="1"/>
  <c r="I423" i="7"/>
  <c r="L423" i="7" s="1"/>
  <c r="U51" i="3"/>
  <c r="U105" i="3"/>
  <c r="U88" i="5"/>
  <c r="U112" i="3"/>
  <c r="U23" i="5"/>
  <c r="I466" i="7"/>
  <c r="L466" i="7" s="1"/>
  <c r="U26" i="2"/>
  <c r="I414" i="7"/>
  <c r="L414" i="7" s="1"/>
  <c r="I508" i="7"/>
  <c r="L508" i="7" s="1"/>
  <c r="I125" i="7"/>
  <c r="L125" i="7" s="1"/>
  <c r="U57" i="4"/>
  <c r="U41" i="4"/>
  <c r="U19" i="4"/>
  <c r="U201" i="4"/>
  <c r="I267" i="7"/>
  <c r="L267" i="7" s="1"/>
  <c r="I555" i="7"/>
  <c r="L555" i="7" s="1"/>
  <c r="I461" i="7"/>
  <c r="L461" i="7" s="1"/>
  <c r="I293" i="7"/>
  <c r="L293" i="7" s="1"/>
  <c r="U144" i="4"/>
  <c r="I139" i="7"/>
  <c r="L139" i="7" s="1"/>
  <c r="U27" i="4"/>
  <c r="U5" i="4"/>
  <c r="U74" i="2"/>
  <c r="U135" i="4"/>
  <c r="U137" i="4"/>
  <c r="U143" i="4"/>
  <c r="I354" i="7"/>
  <c r="L354" i="7" s="1"/>
  <c r="U22" i="5"/>
  <c r="U36" i="5"/>
  <c r="I124" i="7"/>
  <c r="L124" i="7" s="1"/>
  <c r="U52" i="3"/>
  <c r="U81" i="3"/>
  <c r="I552" i="7"/>
  <c r="L552" i="7" s="1"/>
  <c r="U93" i="5"/>
  <c r="I336" i="7"/>
  <c r="L336" i="7" s="1"/>
  <c r="U73" i="5"/>
  <c r="U37" i="3"/>
  <c r="U84" i="5"/>
  <c r="U37" i="5"/>
  <c r="I322" i="7"/>
  <c r="L322" i="7" s="1"/>
  <c r="U91" i="4"/>
  <c r="U118" i="5"/>
  <c r="U31" i="5"/>
  <c r="U27" i="2"/>
  <c r="U65" i="5"/>
  <c r="I120" i="7"/>
  <c r="L120" i="7" s="1"/>
  <c r="I143" i="7"/>
  <c r="L143" i="7" s="1"/>
  <c r="U103" i="3"/>
  <c r="I491" i="7"/>
  <c r="L491" i="7" s="1"/>
  <c r="I200" i="7"/>
  <c r="L200" i="7" s="1"/>
  <c r="U65" i="4"/>
  <c r="U86" i="3"/>
  <c r="U48" i="5"/>
  <c r="U96" i="3"/>
  <c r="I165" i="7"/>
  <c r="L165" i="7" s="1"/>
  <c r="U11" i="5"/>
  <c r="U5" i="5"/>
  <c r="I270" i="7"/>
  <c r="L270" i="7" s="1"/>
  <c r="U90" i="3"/>
  <c r="U101" i="3"/>
  <c r="I18" i="7"/>
  <c r="L18" i="7" s="1"/>
  <c r="I377" i="7"/>
  <c r="L377" i="7" s="1"/>
  <c r="U43" i="4"/>
  <c r="U124" i="4"/>
  <c r="U76" i="2"/>
  <c r="U206" i="4"/>
  <c r="I329" i="7"/>
  <c r="L329" i="7" s="1"/>
  <c r="U142" i="4"/>
  <c r="I439" i="7"/>
  <c r="L439" i="7" s="1"/>
  <c r="I319" i="7"/>
  <c r="L319" i="7" s="1"/>
  <c r="I75" i="7"/>
  <c r="L75" i="7" s="1"/>
  <c r="I518" i="7"/>
  <c r="L518" i="7" s="1"/>
  <c r="I465" i="7"/>
  <c r="L465" i="7" s="1"/>
  <c r="I288" i="7"/>
  <c r="L288" i="7" s="1"/>
  <c r="I400" i="7"/>
  <c r="L400" i="7" s="1"/>
  <c r="U132" i="4"/>
  <c r="U164" i="4"/>
  <c r="U74" i="4"/>
  <c r="I23" i="7"/>
  <c r="L23" i="7" s="1"/>
  <c r="U4" i="4"/>
  <c r="U121" i="4"/>
  <c r="U15" i="4"/>
  <c r="I156" i="7"/>
  <c r="L156" i="7" s="1"/>
  <c r="U146" i="4"/>
  <c r="U86" i="4"/>
  <c r="U131" i="4"/>
  <c r="U85" i="4"/>
  <c r="U78" i="2"/>
  <c r="U86" i="2"/>
  <c r="U178" i="4"/>
  <c r="U192" i="4"/>
  <c r="U202" i="4"/>
  <c r="U205" i="4"/>
  <c r="I562" i="7"/>
  <c r="L562" i="7" s="1"/>
  <c r="I394" i="7"/>
  <c r="L394" i="7" s="1"/>
  <c r="I89" i="7"/>
  <c r="L89" i="7" s="1"/>
  <c r="I543" i="7"/>
  <c r="L543" i="7" s="1"/>
  <c r="I490" i="7"/>
  <c r="L490" i="7" s="1"/>
  <c r="I87" i="7"/>
  <c r="L87" i="7" s="1"/>
  <c r="I64" i="7"/>
  <c r="L64" i="7" s="1"/>
  <c r="I290" i="7"/>
  <c r="L290" i="7" s="1"/>
  <c r="U115" i="3"/>
  <c r="U27" i="5"/>
  <c r="I136" i="7"/>
  <c r="L136" i="7" s="1"/>
  <c r="I335" i="7"/>
  <c r="L335" i="7" s="1"/>
  <c r="I310" i="7"/>
  <c r="L310" i="7" s="1"/>
  <c r="I97" i="7"/>
  <c r="L97" i="7" s="1"/>
  <c r="I82" i="7"/>
  <c r="L82" i="7" s="1"/>
  <c r="I532" i="7"/>
  <c r="L532" i="7" s="1"/>
  <c r="U13" i="4"/>
  <c r="I68" i="7"/>
  <c r="L68" i="7" s="1"/>
  <c r="U116" i="4"/>
  <c r="I327" i="7"/>
  <c r="L327" i="7" s="1"/>
  <c r="U55" i="2"/>
  <c r="U42" i="4"/>
  <c r="U73" i="4"/>
  <c r="I507" i="7"/>
  <c r="L507" i="7" s="1"/>
  <c r="U71" i="4"/>
  <c r="U26" i="4"/>
  <c r="I504" i="7"/>
  <c r="L504" i="7" s="1"/>
  <c r="U18" i="4"/>
  <c r="U94" i="4"/>
  <c r="U79" i="2"/>
  <c r="U179" i="4"/>
  <c r="U193" i="4"/>
  <c r="U204" i="4"/>
  <c r="I320" i="7"/>
  <c r="L320" i="7" s="1"/>
  <c r="I441" i="7"/>
  <c r="L441" i="7" s="1"/>
  <c r="I58" i="7"/>
  <c r="L58" i="7" s="1"/>
  <c r="I90" i="7"/>
  <c r="L90" i="7" s="1"/>
  <c r="I470" i="7"/>
  <c r="L470" i="7" s="1"/>
  <c r="I351" i="7"/>
  <c r="L351" i="7" s="1"/>
  <c r="I482" i="7"/>
  <c r="L482" i="7" s="1"/>
  <c r="I464" i="7"/>
  <c r="L464" i="7" s="1"/>
  <c r="I279" i="7"/>
  <c r="L279" i="7" s="1"/>
  <c r="I249" i="7"/>
  <c r="L249" i="7" s="1"/>
  <c r="I260" i="7"/>
  <c r="L260" i="7" s="1"/>
  <c r="I350" i="7"/>
  <c r="L350" i="7" s="1"/>
  <c r="I261" i="7"/>
  <c r="L261" i="7" s="1"/>
  <c r="I297" i="7"/>
  <c r="L297" i="7" s="1"/>
  <c r="I356" i="7"/>
  <c r="L356" i="7" s="1"/>
  <c r="U18" i="2"/>
  <c r="U159" i="4"/>
  <c r="I40" i="7"/>
  <c r="L40" i="7" s="1"/>
  <c r="I334" i="7"/>
  <c r="L334" i="7" s="1"/>
  <c r="U89" i="4"/>
  <c r="I565" i="7"/>
  <c r="L565" i="7" s="1"/>
  <c r="U81" i="4"/>
  <c r="U54" i="4"/>
  <c r="U25" i="4"/>
  <c r="U157" i="4"/>
  <c r="I342" i="7"/>
  <c r="L342" i="7" s="1"/>
  <c r="U105" i="4"/>
  <c r="U127" i="4"/>
  <c r="U80" i="2"/>
  <c r="U131" i="5"/>
  <c r="U137" i="5"/>
  <c r="U184" i="4"/>
  <c r="U190" i="4"/>
  <c r="U203" i="4"/>
  <c r="I531" i="7"/>
  <c r="L531" i="7" s="1"/>
  <c r="I142" i="7"/>
  <c r="L142" i="7" s="1"/>
  <c r="I454" i="7"/>
  <c r="L454" i="7" s="1"/>
  <c r="I549" i="7"/>
  <c r="L549" i="7" s="1"/>
  <c r="I257" i="7"/>
  <c r="L257" i="7" s="1"/>
  <c r="I509" i="7"/>
  <c r="L509" i="7" s="1"/>
  <c r="I74" i="7"/>
  <c r="L74" i="7" s="1"/>
  <c r="I300" i="7"/>
  <c r="L300" i="7" s="1"/>
  <c r="I540" i="7"/>
  <c r="L540" i="7" s="1"/>
  <c r="U106" i="3"/>
  <c r="I341" i="7"/>
  <c r="L341" i="7" s="1"/>
  <c r="I472" i="7"/>
  <c r="L472" i="7" s="1"/>
  <c r="I137" i="7"/>
  <c r="L137" i="7" s="1"/>
  <c r="I542" i="7"/>
  <c r="L542" i="7" s="1"/>
  <c r="I378" i="7"/>
  <c r="L378" i="7" s="1"/>
  <c r="I456" i="7"/>
  <c r="L456" i="7" s="1"/>
  <c r="U45" i="4"/>
  <c r="U99" i="4"/>
  <c r="I196" i="7"/>
  <c r="L196" i="7" s="1"/>
  <c r="U48" i="4"/>
  <c r="I25" i="7"/>
  <c r="L25" i="7" s="1"/>
  <c r="U48" i="2"/>
  <c r="U92" i="4"/>
  <c r="U147" i="4"/>
  <c r="U78" i="4"/>
  <c r="I363" i="7"/>
  <c r="L363" i="7" s="1"/>
  <c r="U32" i="2"/>
  <c r="U108" i="4"/>
  <c r="U81" i="2"/>
  <c r="U133" i="5"/>
  <c r="U165" i="4"/>
  <c r="U182" i="4"/>
  <c r="U189" i="4"/>
  <c r="I269" i="7"/>
  <c r="L269" i="7" s="1"/>
  <c r="I305" i="7"/>
  <c r="L305" i="7" s="1"/>
  <c r="I349" i="7"/>
  <c r="L349" i="7" s="1"/>
  <c r="I294" i="7"/>
  <c r="L294" i="7" s="1"/>
  <c r="I357" i="7"/>
  <c r="L357" i="7" s="1"/>
  <c r="I398" i="7"/>
  <c r="L398" i="7" s="1"/>
  <c r="I66" i="7"/>
  <c r="L66" i="7" s="1"/>
  <c r="I420" i="7"/>
  <c r="L420" i="7" s="1"/>
  <c r="I330" i="7"/>
  <c r="L330" i="7" s="1"/>
  <c r="I112" i="7"/>
  <c r="L112" i="7" s="1"/>
  <c r="U46" i="4"/>
  <c r="I275" i="7"/>
  <c r="L275" i="7" s="1"/>
  <c r="I457" i="7"/>
  <c r="L457" i="7" s="1"/>
  <c r="I306" i="7"/>
  <c r="L306" i="7" s="1"/>
  <c r="U112" i="4"/>
  <c r="U155" i="4"/>
  <c r="U158" i="4"/>
  <c r="U13" i="2"/>
  <c r="U149" i="4"/>
  <c r="I546" i="7"/>
  <c r="L546" i="7" s="1"/>
  <c r="U44" i="2"/>
  <c r="U34" i="4"/>
  <c r="U68" i="4"/>
  <c r="I79" i="7"/>
  <c r="L79" i="7" s="1"/>
  <c r="U66" i="2"/>
  <c r="U138" i="4"/>
  <c r="U82" i="2"/>
  <c r="U135" i="5"/>
  <c r="U169" i="4"/>
  <c r="U180" i="4"/>
  <c r="U195" i="4"/>
  <c r="I525" i="7"/>
  <c r="L525" i="7" s="1"/>
  <c r="I443" i="7"/>
  <c r="L443" i="7" s="1"/>
  <c r="I444" i="7"/>
  <c r="L444" i="7" s="1"/>
  <c r="I469" i="7"/>
  <c r="L469" i="7" s="1"/>
  <c r="I498" i="7"/>
  <c r="L498" i="7" s="1"/>
  <c r="I325" i="7"/>
  <c r="L325" i="7" s="1"/>
  <c r="I31" i="7"/>
  <c r="L31" i="7" s="1"/>
  <c r="I47" i="7"/>
  <c r="L47" i="7" s="1"/>
  <c r="I539" i="7"/>
  <c r="L539" i="7" s="1"/>
  <c r="I154" i="7"/>
  <c r="L154" i="7" s="1"/>
  <c r="H4" i="1"/>
  <c r="H44" i="28" s="1"/>
  <c r="I13" i="7"/>
  <c r="L13" i="7" s="1"/>
  <c r="I312" i="7"/>
  <c r="L312" i="7" s="1"/>
  <c r="U31" i="4"/>
  <c r="U161" i="4"/>
  <c r="I258" i="7"/>
  <c r="L258" i="7" s="1"/>
  <c r="U119" i="4"/>
  <c r="U55" i="4"/>
  <c r="I24" i="7"/>
  <c r="L24" i="7" s="1"/>
  <c r="U141" i="4"/>
  <c r="I102" i="7"/>
  <c r="L102" i="7" s="1"/>
  <c r="U52" i="4"/>
  <c r="U9" i="2"/>
  <c r="U38" i="2"/>
  <c r="U125" i="4"/>
  <c r="U75" i="4"/>
  <c r="U83" i="2"/>
  <c r="U136" i="5"/>
  <c r="U170" i="4"/>
  <c r="U181" i="4"/>
  <c r="U197" i="4"/>
  <c r="I133" i="7"/>
  <c r="L133" i="7" s="1"/>
  <c r="I494" i="7"/>
  <c r="L494" i="7" s="1"/>
  <c r="I527" i="7"/>
  <c r="L527" i="7" s="1"/>
  <c r="I35" i="7"/>
  <c r="L35" i="7" s="1"/>
  <c r="I524" i="7"/>
  <c r="L524" i="7" s="1"/>
  <c r="I63" i="7"/>
  <c r="L63" i="7" s="1"/>
  <c r="I410" i="7"/>
  <c r="L410" i="7" s="1"/>
  <c r="I511" i="7"/>
  <c r="L511" i="7" s="1"/>
  <c r="I434" i="7"/>
  <c r="L434" i="7" s="1"/>
  <c r="I445" i="7"/>
  <c r="L445" i="7" s="1"/>
  <c r="U20" i="2"/>
  <c r="U31" i="3"/>
  <c r="I521" i="7"/>
  <c r="L521" i="7" s="1"/>
  <c r="I274" i="7"/>
  <c r="L274" i="7" s="1"/>
  <c r="I159" i="7"/>
  <c r="L159" i="7" s="1"/>
  <c r="I94" i="7"/>
  <c r="L94" i="7" s="1"/>
  <c r="I559" i="7"/>
  <c r="L559" i="7" s="1"/>
  <c r="I500" i="7"/>
  <c r="L500" i="7" s="1"/>
  <c r="I106" i="7"/>
  <c r="L106" i="7" s="1"/>
  <c r="U44" i="4"/>
  <c r="U9" i="4"/>
  <c r="I26" i="7"/>
  <c r="L26" i="7" s="1"/>
  <c r="U126" i="4"/>
  <c r="I340" i="7"/>
  <c r="L340" i="7" s="1"/>
  <c r="I433" i="7"/>
  <c r="L433" i="7" s="1"/>
  <c r="U111" i="4"/>
  <c r="I53" i="7"/>
  <c r="L53" i="7" s="1"/>
  <c r="I451" i="7"/>
  <c r="L451" i="7" s="1"/>
  <c r="U6" i="4"/>
  <c r="U60" i="4"/>
  <c r="U150" i="4"/>
  <c r="I520" i="7"/>
  <c r="L520" i="7" s="1"/>
  <c r="U67" i="2"/>
  <c r="U17" i="2"/>
  <c r="U84" i="2"/>
  <c r="U172" i="4"/>
  <c r="U183" i="4"/>
  <c r="U196" i="4"/>
  <c r="U211" i="4"/>
  <c r="I502" i="7"/>
  <c r="L502" i="7" s="1"/>
  <c r="I427" i="7"/>
  <c r="L427" i="7" s="1"/>
  <c r="I286" i="7"/>
  <c r="L286" i="7" s="1"/>
  <c r="I499" i="7"/>
  <c r="L499" i="7" s="1"/>
  <c r="I108" i="7"/>
  <c r="L108" i="7" s="1"/>
  <c r="I93" i="7"/>
  <c r="L93" i="7" s="1"/>
  <c r="I547" i="7"/>
  <c r="L547" i="7" s="1"/>
  <c r="I474" i="7"/>
  <c r="L474" i="7" s="1"/>
  <c r="I170" i="7"/>
  <c r="L170" i="7" s="1"/>
  <c r="I561" i="7"/>
  <c r="L561" i="7" s="1"/>
  <c r="U108" i="3"/>
  <c r="U12" i="3"/>
  <c r="I487" i="7"/>
  <c r="L487" i="7" s="1"/>
  <c r="I405" i="7"/>
  <c r="L405" i="7" s="1"/>
  <c r="I528" i="7"/>
  <c r="L528" i="7" s="1"/>
  <c r="I556" i="7"/>
  <c r="L556" i="7" s="1"/>
  <c r="I88" i="7"/>
  <c r="L88" i="7" s="1"/>
  <c r="I533" i="7"/>
  <c r="L533" i="7" s="1"/>
  <c r="U151" i="4"/>
  <c r="U162" i="4"/>
  <c r="U106" i="4"/>
  <c r="U130" i="4"/>
  <c r="I450" i="7"/>
  <c r="L450" i="7" s="1"/>
  <c r="U110" i="4"/>
  <c r="U64" i="4"/>
  <c r="I96" i="7"/>
  <c r="L96" i="7" s="1"/>
  <c r="I496" i="7"/>
  <c r="L496" i="7" s="1"/>
  <c r="U43" i="2"/>
  <c r="U97" i="4"/>
  <c r="U85" i="2"/>
  <c r="U173" i="4"/>
  <c r="U186" i="4"/>
  <c r="U198" i="4"/>
  <c r="U208" i="4"/>
  <c r="I503" i="7"/>
  <c r="L503" i="7" s="1"/>
  <c r="I358" i="7"/>
  <c r="L358" i="7" s="1"/>
  <c r="I517" i="7"/>
  <c r="L517" i="7" s="1"/>
  <c r="I333" i="7"/>
  <c r="L333" i="7" s="1"/>
  <c r="I264" i="7"/>
  <c r="L264" i="7" s="1"/>
  <c r="I151" i="7"/>
  <c r="L151" i="7" s="1"/>
  <c r="I534" i="7"/>
  <c r="L534" i="7" s="1"/>
  <c r="I299" i="7"/>
  <c r="L299" i="7" s="1"/>
  <c r="I247" i="7"/>
  <c r="L247" i="7" s="1"/>
  <c r="I263" i="7"/>
  <c r="L263" i="7" s="1"/>
  <c r="U65" i="3"/>
  <c r="U99" i="5"/>
  <c r="I204" i="7"/>
  <c r="L204" i="7" s="1"/>
  <c r="I283" i="7"/>
  <c r="L283" i="7" s="1"/>
  <c r="I86" i="7"/>
  <c r="L86" i="7" s="1"/>
  <c r="I12" i="7"/>
  <c r="I199" i="7"/>
  <c r="L199" i="7" s="1"/>
  <c r="I554" i="7"/>
  <c r="L554" i="7" s="1"/>
  <c r="I254" i="7"/>
  <c r="L254" i="7" s="1"/>
  <c r="I152" i="7"/>
  <c r="L152" i="7" s="1"/>
  <c r="U11" i="2"/>
  <c r="I134" i="7"/>
  <c r="L134" i="7" s="1"/>
  <c r="U80" i="4"/>
  <c r="I467" i="7"/>
  <c r="L467" i="7" s="1"/>
  <c r="I298" i="7"/>
  <c r="L298" i="7" s="1"/>
  <c r="U23" i="2"/>
  <c r="U109" i="4"/>
  <c r="U72" i="2"/>
  <c r="U167" i="4"/>
  <c r="U90" i="4"/>
  <c r="U163" i="4"/>
  <c r="U176" i="4"/>
  <c r="U187" i="4"/>
  <c r="U194" i="4"/>
  <c r="U209" i="4"/>
  <c r="I271" i="7"/>
  <c r="L271" i="7" s="1"/>
  <c r="I338" i="7"/>
  <c r="L338" i="7" s="1"/>
  <c r="I429" i="7"/>
  <c r="L429" i="7" s="1"/>
  <c r="I523" i="7"/>
  <c r="L523" i="7" s="1"/>
  <c r="I85" i="7"/>
  <c r="L85" i="7" s="1"/>
  <c r="I541" i="7"/>
  <c r="L541" i="7" s="1"/>
  <c r="I308" i="7"/>
  <c r="L308" i="7" s="1"/>
  <c r="I560" i="7"/>
  <c r="L560" i="7" s="1"/>
  <c r="J4" i="7" l="1"/>
  <c r="Z30" i="28"/>
  <c r="H24" i="28"/>
  <c r="Q57" i="28"/>
  <c r="H64" i="28"/>
  <c r="Q27" i="28"/>
  <c r="Z60" i="28"/>
  <c r="H49" i="28"/>
  <c r="H15" i="28"/>
  <c r="H21" i="28"/>
  <c r="Z29" i="28"/>
  <c r="Q51" i="28"/>
  <c r="H12" i="28"/>
  <c r="H14" i="28"/>
  <c r="Z35" i="28"/>
  <c r="Z61" i="28"/>
  <c r="Z13" i="28"/>
  <c r="H55" i="28"/>
  <c r="Z49" i="28"/>
  <c r="Z63" i="28"/>
  <c r="Q33" i="28"/>
  <c r="Q29" i="28"/>
  <c r="H57" i="28"/>
  <c r="Q8" i="28"/>
  <c r="Z26" i="28"/>
  <c r="Z14" i="28"/>
  <c r="Z36" i="28"/>
  <c r="Z45" i="28"/>
  <c r="H30" i="28"/>
  <c r="Z33" i="28"/>
  <c r="Z41" i="28"/>
  <c r="Z58" i="28"/>
  <c r="Q41" i="28"/>
  <c r="Q13" i="28"/>
  <c r="Q37" i="28"/>
  <c r="H9" i="28"/>
  <c r="Z9" i="28"/>
  <c r="Z56" i="28"/>
  <c r="Z46" i="28"/>
  <c r="Z38" i="28"/>
  <c r="H11" i="28"/>
  <c r="Q62" i="28"/>
  <c r="Q45" i="28"/>
  <c r="Q9" i="28"/>
  <c r="Q38" i="28"/>
  <c r="Z59" i="28"/>
  <c r="Z27" i="28"/>
  <c r="Q23" i="28"/>
  <c r="Z57" i="28"/>
  <c r="Z23" i="28"/>
  <c r="Z34" i="28"/>
  <c r="H42" i="28"/>
  <c r="Q42" i="28"/>
  <c r="Z64" i="28"/>
  <c r="Z10" i="28"/>
  <c r="Z48" i="28"/>
  <c r="Z40" i="28"/>
  <c r="Z43" i="28"/>
  <c r="Q53" i="28"/>
  <c r="Q34" i="28"/>
  <c r="H50" i="28"/>
  <c r="H10" i="28"/>
  <c r="Z19" i="28"/>
  <c r="Z51" i="28"/>
  <c r="Z7" i="28"/>
  <c r="Q36" i="28"/>
  <c r="Q40" i="28"/>
  <c r="H63" i="28"/>
  <c r="Q61" i="28"/>
  <c r="G6" i="7"/>
  <c r="J2" i="7"/>
  <c r="Z62" i="28"/>
  <c r="H17" i="28"/>
  <c r="Z32" i="28"/>
  <c r="Z31" i="28"/>
  <c r="Z17" i="28"/>
  <c r="Z16" i="28"/>
  <c r="H53" i="28"/>
  <c r="Q16" i="28"/>
  <c r="Q31" i="28"/>
  <c r="Q5" i="28"/>
  <c r="Q48" i="28"/>
  <c r="G4" i="7"/>
  <c r="Z28" i="28"/>
  <c r="Q28" i="28"/>
  <c r="Q18" i="28"/>
  <c r="Q22" i="28"/>
  <c r="H47" i="28"/>
  <c r="Z53" i="28"/>
  <c r="Q20" i="28"/>
  <c r="Z24" i="28"/>
  <c r="H22" i="28"/>
  <c r="H52" i="28"/>
  <c r="H25" i="28"/>
  <c r="Z55" i="28"/>
  <c r="Z47" i="28"/>
  <c r="Z5" i="28"/>
  <c r="H40" i="28"/>
  <c r="Q25" i="28"/>
  <c r="Q50" i="28"/>
  <c r="Q52" i="28"/>
  <c r="Z12" i="28"/>
  <c r="Z52" i="28"/>
  <c r="H19" i="28"/>
  <c r="Z8" i="28"/>
  <c r="Z22" i="28"/>
  <c r="Q30" i="28"/>
  <c r="H48" i="28"/>
  <c r="H26" i="28"/>
  <c r="Q56" i="28"/>
  <c r="H29" i="28"/>
  <c r="Q44" i="28"/>
  <c r="Z44" i="28"/>
  <c r="Z39" i="28"/>
  <c r="Z6" i="28"/>
  <c r="Z54" i="28"/>
  <c r="H31" i="28"/>
  <c r="Q60" i="28"/>
  <c r="H27" i="28"/>
  <c r="H16" i="28"/>
  <c r="Q15" i="28"/>
  <c r="H43" i="28"/>
  <c r="H20" i="28"/>
  <c r="Z20" i="28"/>
  <c r="H6" i="28"/>
  <c r="Q46" i="28"/>
  <c r="Q47" i="28"/>
  <c r="Q54" i="28"/>
  <c r="H37" i="28"/>
  <c r="Q32" i="28"/>
  <c r="Q35" i="28"/>
  <c r="H39" i="28"/>
  <c r="Q10" i="28"/>
  <c r="Q43" i="28"/>
  <c r="Q58" i="28"/>
  <c r="J8" i="7"/>
  <c r="H13" i="28"/>
  <c r="G8" i="7"/>
  <c r="H7" i="28"/>
  <c r="H34" i="28"/>
  <c r="H18" i="28"/>
  <c r="Q14" i="28"/>
  <c r="H41" i="28"/>
  <c r="Z25" i="28"/>
  <c r="Q39" i="28"/>
  <c r="Q55" i="28"/>
  <c r="H59" i="28"/>
  <c r="Q49" i="28"/>
  <c r="H46" i="28"/>
  <c r="H56" i="28"/>
  <c r="H62" i="28"/>
  <c r="Q21" i="28"/>
  <c r="Z18" i="28"/>
  <c r="H54" i="28"/>
  <c r="H61" i="28"/>
  <c r="H28" i="28"/>
  <c r="H33" i="28"/>
  <c r="H38" i="28"/>
  <c r="Z21" i="28"/>
  <c r="Q26" i="28"/>
  <c r="H8" i="28"/>
  <c r="Q7" i="28"/>
  <c r="Z11" i="28"/>
  <c r="H58" i="28"/>
  <c r="H45" i="28"/>
  <c r="Q24" i="28"/>
  <c r="Q19" i="28"/>
  <c r="H51" i="28"/>
  <c r="Z42" i="28"/>
  <c r="H60" i="28"/>
  <c r="Q12" i="28"/>
  <c r="Q11" i="28"/>
  <c r="Q63" i="28"/>
  <c r="Q64" i="28"/>
  <c r="J6" i="7"/>
  <c r="H32" i="28"/>
  <c r="H5" i="28"/>
  <c r="Q17" i="28"/>
  <c r="Z37" i="28"/>
  <c r="Z50" i="28"/>
  <c r="Q6" i="28"/>
  <c r="Q59" i="28"/>
  <c r="Z15" i="28"/>
  <c r="H23" i="28"/>
  <c r="C2" i="7"/>
  <c r="C6" i="7"/>
  <c r="C4" i="7"/>
  <c r="C8" i="7"/>
  <c r="G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Bob Mello</author>
  </authors>
  <commentList>
    <comment ref="Q1" authorId="0" shapeId="0" xr:uid="{1673EFB4-1A7A-435B-B975-EC0C8907018B}">
      <text>
        <r>
          <rPr>
            <b/>
            <sz val="9"/>
            <color indexed="81"/>
            <rFont val="Tahoma"/>
            <family val="2"/>
          </rPr>
          <t xml:space="preserve">Bob:
</t>
        </r>
        <r>
          <rPr>
            <sz val="9"/>
            <color indexed="81"/>
            <rFont val="Tahoma"/>
            <family val="2"/>
          </rPr>
          <t xml:space="preserve">Use this to help calculate the value of yardage bonuses. E.g. if your league gives a 2 point bonus for 400 yards passing, add .005 to "points per yard" under QB scoring. This will help boost high yardage passers in ranks.
</t>
        </r>
      </text>
    </comment>
    <comment ref="F7" authorId="0" shapeId="0" xr:uid="{00000000-0006-0000-0100-000001000000}">
      <text>
        <r>
          <rPr>
            <sz val="9"/>
            <color rgb="FF000000"/>
            <rFont val="Tahoma"/>
            <family val="2"/>
          </rPr>
          <t>Choose your league site. This determines which column in "DefaultAuctionValues" to use to show you Skew on the auction sheet.</t>
        </r>
      </text>
    </comment>
    <comment ref="H7" authorId="0" shapeId="0" xr:uid="{00000000-0006-0000-0100-000002000000}">
      <text>
        <r>
          <rPr>
            <sz val="9"/>
            <color indexed="81"/>
            <rFont val="Tahoma"/>
            <family val="2"/>
          </rPr>
          <t>Choose Starter/Bench if you want to go top heavy Stars &amp; Scrubs approach. For more even valuations, use average VBD.</t>
        </r>
      </text>
    </comment>
    <comment ref="F8" authorId="0" shapeId="0" xr:uid="{00000000-0006-0000-0100-000003000000}">
      <text>
        <r>
          <rPr>
            <sz val="9"/>
            <color indexed="81"/>
            <rFont val="Tahoma"/>
            <family val="2"/>
          </rPr>
          <t xml:space="preserve">Choose different flex types. WR/TE isn't here now, but unless you have  TE scoring bonuses you won't want to start TEs at flex.
</t>
        </r>
      </text>
    </comment>
    <comment ref="D14" authorId="0" shapeId="0" xr:uid="{00000000-0006-0000-0100-000004000000}">
      <text>
        <r>
          <rPr>
            <sz val="9"/>
            <color indexed="81"/>
            <rFont val="Tahoma"/>
            <family val="2"/>
          </rPr>
          <t>Make sure your StarterPF &gt; BenchPF when adjusting this number. The cell next to it will tell you if there are problems.
My rule of thumb: I like StarterPF to come out 2 to 3 times BenchPF. I find this best tracks my leagues, where bidding tends to go high early in the auction and values are found later 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Bob Mello</author>
    <author>Bob</author>
  </authors>
  <commentList>
    <comment ref="K1" authorId="0" shapeId="0" xr:uid="{00000000-0006-0000-1300-000001000000}">
      <text>
        <r>
          <rPr>
            <b/>
            <sz val="9"/>
            <color indexed="81"/>
            <rFont val="Tahoma"/>
            <family val="2"/>
          </rPr>
          <t xml:space="preserve">Bob:
</t>
        </r>
        <r>
          <rPr>
            <sz val="9"/>
            <color indexed="81"/>
            <rFont val="Tahoma"/>
            <family val="2"/>
          </rPr>
          <t xml:space="preserve">This field is to show you dropoff between the top available player and the next available player at this position. It will highlight when there is a large dropoff (&gt;20%) to let you know.
</t>
        </r>
      </text>
    </comment>
    <comment ref="H12" authorId="0" shapeId="0" xr:uid="{00000000-0006-0000-1300-000003000000}">
      <text>
        <r>
          <rPr>
            <b/>
            <sz val="9"/>
            <color indexed="81"/>
            <rFont val="Tahoma"/>
            <family val="2"/>
          </rPr>
          <t>Bob:</t>
        </r>
        <r>
          <rPr>
            <sz val="9"/>
            <color indexed="81"/>
            <rFont val="Tahoma"/>
            <family val="2"/>
          </rPr>
          <t xml:space="preserve">
Enter the auction price a player sold for here</t>
        </r>
      </text>
    </comment>
    <comment ref="J12" authorId="0" shapeId="0" xr:uid="{00000000-0006-0000-1300-000004000000}">
      <text>
        <r>
          <rPr>
            <b/>
            <sz val="9"/>
            <color indexed="81"/>
            <rFont val="Tahoma"/>
            <family val="2"/>
          </rPr>
          <t>Bob:</t>
        </r>
        <r>
          <rPr>
            <sz val="9"/>
            <color indexed="81"/>
            <rFont val="Tahoma"/>
            <family val="2"/>
          </rPr>
          <t xml:space="preserve">
Use this to designate a keeper. Keepers do not affect auction spending % numbers.</t>
        </r>
      </text>
    </comment>
    <comment ref="L12" authorId="0" shapeId="0" xr:uid="{00000000-0006-0000-1300-000005000000}">
      <text>
        <r>
          <rPr>
            <b/>
            <sz val="9"/>
            <color indexed="81"/>
            <rFont val="Tahoma"/>
            <family val="2"/>
          </rPr>
          <t>Bob:</t>
        </r>
        <r>
          <rPr>
            <sz val="9"/>
            <color indexed="81"/>
            <rFont val="Tahoma"/>
            <family val="2"/>
          </rPr>
          <t xml:space="preserve">
This is the difference between the auction price listed on your site and the inflated price from this sheet</t>
        </r>
      </text>
    </comment>
    <comment ref="M12" authorId="0" shapeId="0" xr:uid="{00000000-0006-0000-1300-000006000000}">
      <text>
        <r>
          <rPr>
            <b/>
            <sz val="9"/>
            <color indexed="81"/>
            <rFont val="Tahoma"/>
            <family val="2"/>
          </rPr>
          <t>Bob:</t>
        </r>
        <r>
          <rPr>
            <sz val="9"/>
            <color indexed="81"/>
            <rFont val="Tahoma"/>
            <family val="2"/>
          </rPr>
          <t xml:space="preserve">
Use this to enter the team that drafted a player.</t>
        </r>
      </text>
    </comment>
    <comment ref="O12" authorId="1" shapeId="0" xr:uid="{00000000-0006-0000-1300-000007000000}">
      <text>
        <r>
          <rPr>
            <b/>
            <sz val="9"/>
            <color indexed="81"/>
            <rFont val="Tahoma"/>
            <family val="2"/>
          </rPr>
          <t>Bob:</t>
        </r>
        <r>
          <rPr>
            <sz val="9"/>
            <color indexed="81"/>
            <rFont val="Tahoma"/>
            <family val="2"/>
          </rPr>
          <t xml:space="preserve">
This is determined by the Target column on position sheets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Bob</author>
  </authors>
  <commentList>
    <comment ref="D4" authorId="0" shapeId="0" xr:uid="{00000000-0006-0000-1500-000001000000}">
      <text>
        <r>
          <rPr>
            <b/>
            <sz val="9"/>
            <color indexed="81"/>
            <rFont val="Tahoma"/>
            <family val="2"/>
          </rPr>
          <t>Bob:</t>
        </r>
        <r>
          <rPr>
            <sz val="9"/>
            <color indexed="81"/>
            <rFont val="Tahoma"/>
            <family val="2"/>
          </rPr>
          <t xml:space="preserve">
Mark an "x" here if the player has been drafted</t>
        </r>
      </text>
    </comment>
    <comment ref="E4" authorId="0" shapeId="0" xr:uid="{00000000-0006-0000-1500-000002000000}">
      <text>
        <r>
          <rPr>
            <b/>
            <sz val="9"/>
            <color indexed="81"/>
            <rFont val="Tahoma"/>
            <family val="2"/>
          </rPr>
          <t>Bob:</t>
        </r>
        <r>
          <rPr>
            <sz val="9"/>
            <color indexed="81"/>
            <rFont val="Tahoma"/>
            <family val="2"/>
          </rPr>
          <t xml:space="preserve">
VBD is the value based drafting points assigned to the player, which is defined as the number of fantasy points this player is expected to score above the baseline at his position.</t>
        </r>
      </text>
    </comment>
    <comment ref="F4" authorId="0" shapeId="0" xr:uid="{00000000-0006-0000-1500-000003000000}">
      <text>
        <r>
          <rPr>
            <b/>
            <sz val="9"/>
            <color indexed="81"/>
            <rFont val="Tahoma"/>
            <family val="2"/>
          </rPr>
          <t>Bob:</t>
        </r>
        <r>
          <rPr>
            <sz val="9"/>
            <color indexed="81"/>
            <rFont val="Tahoma"/>
            <family val="2"/>
          </rPr>
          <t xml:space="preserve">
Tiers are currently the number of Standard Deviations a player is away from the top player at his position. I hope to make this a better calculation at some point.</t>
        </r>
      </text>
    </comment>
    <comment ref="G4" authorId="0" shapeId="0" xr:uid="{00000000-0006-0000-1500-000004000000}">
      <text>
        <r>
          <rPr>
            <b/>
            <sz val="9"/>
            <color indexed="81"/>
            <rFont val="Tahoma"/>
            <family val="2"/>
          </rPr>
          <t>Bob:</t>
        </r>
        <r>
          <rPr>
            <sz val="9"/>
            <color indexed="81"/>
            <rFont val="Tahoma"/>
            <family val="2"/>
          </rPr>
          <t xml:space="preserve">
VAL% represents the ratio of a player's value to the sum of the value of all remaining undrafted players at his position. It shows you which remaining players are most valuable compared to who is left. Higher numbers are better.</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DEF" description="Connection to the 'DEF' query in the workbook." type="5" refreshedVersion="8" background="1" saveData="1">
    <dbPr connection="Provider=Microsoft.Mashup.OleDb.1;Data Source=$Workbook$;Location=DEF;Extended Properties=&quot;&quot;" command="SELECT * FROM [DEF]"/>
  </connection>
  <connection id="2" xr16:uid="{2EA5103E-C04E-4FDB-93A4-102946A553B6}" keepAlive="1" name="Query - Fantasy offensive depth charts" description="Connection to the 'Fantasy offensive depth charts' query in the workbook." type="5" refreshedVersion="8" background="1" saveData="1">
    <dbPr connection="Provider=Microsoft.Mashup.OleDb.1;Data Source=$Workbook$;Location=&quot;Fantasy offensive depth charts&quot;;Extended Properties=&quot;&quot;" command="SELECT * FROM [Fantasy offensive depth charts]"/>
  </connection>
  <connection id="3" xr16:uid="{00000000-0015-0000-FFFF-FFFF01000000}" keepAlive="1" name="Query - K" description="Connection to the 'K' query in the workbook." type="5" refreshedVersion="8" background="1" saveData="1">
    <dbPr connection="Provider=Microsoft.Mashup.OleDb.1;Data Source=$Workbook$;Location=K;Extended Properties=&quot;&quot;" command="SELECT * FROM [K]"/>
  </connection>
  <connection id="4" xr16:uid="{00000000-0015-0000-FFFF-FFFF02000000}" keepAlive="1" name="Query - QB" description="Connection to the 'QB' query in the workbook." type="5" refreshedVersion="8" saveData="1">
    <dbPr connection="Provider=Microsoft.Mashup.OleDb.1;Data Source=$Workbook$;Location=QB;Extended Properties=&quot;&quot;" command="SELECT * FROM [QB]"/>
  </connection>
  <connection id="5" xr16:uid="{00000000-0015-0000-FFFF-FFFF03000000}" keepAlive="1" name="Query - RB" description="Connection to the 'RB' query in the workbook." type="5" refreshedVersion="8" background="1" saveData="1">
    <dbPr connection="Provider=Microsoft.Mashup.OleDb.1;Data Source=$Workbook$;Location=RB;Extended Properties=&quot;&quot;" command="SELECT * FROM [RB]"/>
  </connection>
  <connection id="6" xr16:uid="{00000000-0015-0000-FFFF-FFFF04000000}" keepAlive="1" name="Query - TE" description="Connection to the 'TE' query in the workbook." type="5" refreshedVersion="8" background="1" saveData="1">
    <dbPr connection="Provider=Microsoft.Mashup.OleDb.1;Data Source=$Workbook$;Location=TE;Extended Properties=&quot;&quot;" command="SELECT * FROM [TE]"/>
  </connection>
  <connection id="7" xr16:uid="{00000000-0015-0000-FFFF-FFFF05000000}" keepAlive="1" name="Query - WR" description="Connection to the 'WR' query in the workbook." type="5" refreshedVersion="8" background="1" saveData="1">
    <dbPr connection="Provider=Microsoft.Mashup.OleDb.1;Data Source=$Workbook$;Location=WR;Extended Properties=&quot;&quot;" command="SELECT * FROM [W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<sst xmlns="http://schemas.openxmlformats.org/spreadsheetml/2006/main" count="10490" uniqueCount="1250">
  <si>
    <r>
      <t xml:space="preserve">Step 2) </t>
    </r>
    <r>
      <rPr>
        <sz val="11"/>
        <color theme="1"/>
        <rFont val="Calibri"/>
        <family val="2"/>
        <scheme val="minor"/>
      </rPr>
      <t xml:space="preserve">Fill out the number of teams in your league and the budget of each team on the </t>
    </r>
    <r>
      <rPr>
        <b/>
        <sz val="11"/>
        <color theme="1"/>
        <rFont val="Calibri"/>
        <family val="2"/>
        <scheme val="minor"/>
      </rPr>
      <t>LeagueInfo</t>
    </r>
    <r>
      <rPr>
        <sz val="11"/>
        <color theme="1"/>
        <rFont val="Calibri"/>
        <family val="2"/>
        <scheme val="minor"/>
      </rPr>
      <t xml:space="preserve"> sheet.</t>
    </r>
  </si>
  <si>
    <r>
      <t xml:space="preserve">Step 3) </t>
    </r>
    <r>
      <rPr>
        <sz val="11"/>
        <color theme="1"/>
        <rFont val="Calibri"/>
        <family val="2"/>
        <scheme val="minor"/>
      </rPr>
      <t xml:space="preserve">Enter your scoring settings on the </t>
    </r>
    <r>
      <rPr>
        <b/>
        <sz val="11"/>
        <color theme="1"/>
        <rFont val="Calibri"/>
        <family val="2"/>
        <scheme val="minor"/>
      </rPr>
      <t>LeagueInfo</t>
    </r>
    <r>
      <rPr>
        <sz val="11"/>
        <color theme="1"/>
        <rFont val="Calibri"/>
        <family val="2"/>
        <scheme val="minor"/>
      </rPr>
      <t xml:space="preserve"> sheet</t>
    </r>
  </si>
  <si>
    <r>
      <rPr>
        <b/>
        <sz val="11"/>
        <color theme="1"/>
        <rFont val="Calibri"/>
        <family val="2"/>
        <scheme val="minor"/>
      </rPr>
      <t>Step 4)</t>
    </r>
    <r>
      <rPr>
        <sz val="11"/>
        <color theme="1"/>
        <rFont val="Calibri"/>
        <family val="2"/>
        <scheme val="minor"/>
      </rPr>
      <t xml:space="preserve"> Choose Valuation Method on LeagueInfo sheet to use "Average VBD" (straight $ per point), or to break up budget between Starters/Bench. You can then choose Starter and Bench Budget % on the </t>
    </r>
    <r>
      <rPr>
        <b/>
        <sz val="11"/>
        <color theme="1"/>
        <rFont val="Calibri"/>
        <family val="2"/>
        <scheme val="minor"/>
      </rPr>
      <t>LeagueInfo</t>
    </r>
    <r>
      <rPr>
        <sz val="11"/>
        <color theme="1"/>
        <rFont val="Calibri"/>
        <family val="2"/>
        <scheme val="minor"/>
      </rPr>
      <t xml:space="preserve"> sheet. A balanced valuation will make your PriceFactor for starters and bench players more equal. A larger Starter % is good for a Stars &amp; Scrubs draft approach. If prices look weird, it's probably because your Starter % is too high or too low. Starter PriceFactor should be more than Bench PriceFactor. You will get a warning if it's not.</t>
    </r>
  </si>
  <si>
    <r>
      <t xml:space="preserve">Step 5) </t>
    </r>
    <r>
      <rPr>
        <sz val="11"/>
        <color theme="1"/>
        <rFont val="Calibri"/>
        <family val="2"/>
        <scheme val="minor"/>
      </rPr>
      <t xml:space="preserve">If doing an auction draft, choose your </t>
    </r>
    <r>
      <rPr>
        <b/>
        <sz val="11"/>
        <color theme="1"/>
        <rFont val="Calibri"/>
        <family val="2"/>
        <scheme val="minor"/>
      </rPr>
      <t>LeagueProvider</t>
    </r>
    <r>
      <rPr>
        <sz val="11"/>
        <color theme="1"/>
        <rFont val="Calibri"/>
        <family val="2"/>
        <scheme val="minor"/>
      </rPr>
      <t xml:space="preserve"> on the </t>
    </r>
    <r>
      <rPr>
        <b/>
        <sz val="11"/>
        <color theme="1"/>
        <rFont val="Calibri"/>
        <family val="2"/>
        <scheme val="minor"/>
      </rPr>
      <t>LeagueInfo</t>
    </r>
    <r>
      <rPr>
        <sz val="11"/>
        <color theme="1"/>
        <rFont val="Calibri"/>
        <family val="2"/>
        <scheme val="minor"/>
      </rPr>
      <t xml:space="preserve"> sheet from Yahoo, ESPN, or Custom. This drives the auction $ comparisons on the </t>
    </r>
    <r>
      <rPr>
        <b/>
        <sz val="11"/>
        <color theme="1"/>
        <rFont val="Calibri"/>
        <family val="2"/>
        <scheme val="minor"/>
      </rPr>
      <t>Auction</t>
    </r>
    <r>
      <rPr>
        <sz val="11"/>
        <color theme="1"/>
        <rFont val="Calibri"/>
        <family val="2"/>
        <scheme val="minor"/>
      </rPr>
      <t xml:space="preserve"> sheet. It is recommended you enter your league's custom values since the provided values are for default scoring 10 team leagues. To do so, choose Custom on </t>
    </r>
    <r>
      <rPr>
        <b/>
        <sz val="11"/>
        <color theme="1"/>
        <rFont val="Calibri"/>
        <family val="2"/>
        <scheme val="minor"/>
      </rPr>
      <t>LeagueInfo</t>
    </r>
    <r>
      <rPr>
        <sz val="11"/>
        <color theme="1"/>
        <rFont val="Calibri"/>
        <family val="2"/>
        <scheme val="minor"/>
      </rPr>
      <t xml:space="preserve"> then fill in the values your site uses in the Custom column on the </t>
    </r>
    <r>
      <rPr>
        <b/>
        <sz val="11"/>
        <color theme="1"/>
        <rFont val="Calibri"/>
        <family val="2"/>
        <scheme val="minor"/>
      </rPr>
      <t>DefaultAuctionValues</t>
    </r>
    <r>
      <rPr>
        <sz val="11"/>
        <color theme="1"/>
        <rFont val="Calibri"/>
        <family val="2"/>
        <scheme val="minor"/>
      </rPr>
      <t xml:space="preserve"> sheet. This will populate the K and L columns on the </t>
    </r>
    <r>
      <rPr>
        <b/>
        <sz val="11"/>
        <color theme="1"/>
        <rFont val="Calibri"/>
        <family val="2"/>
        <scheme val="minor"/>
      </rPr>
      <t>Auction</t>
    </r>
    <r>
      <rPr>
        <sz val="11"/>
        <color theme="1"/>
        <rFont val="Calibri"/>
        <family val="2"/>
        <scheme val="minor"/>
      </rPr>
      <t xml:space="preserve"> sheet, for site values and site skew.</t>
    </r>
  </si>
  <si>
    <r>
      <rPr>
        <b/>
        <sz val="11"/>
        <color theme="1"/>
        <rFont val="Calibri"/>
        <family val="2"/>
        <scheme val="minor"/>
      </rPr>
      <t>Step 7)</t>
    </r>
    <r>
      <rPr>
        <sz val="11"/>
        <color theme="1"/>
        <rFont val="Calibri"/>
        <family val="2"/>
        <scheme val="minor"/>
      </rPr>
      <t xml:space="preserve"> If doing a snake draft, use the </t>
    </r>
    <r>
      <rPr>
        <b/>
        <sz val="11"/>
        <color theme="1"/>
        <rFont val="Calibri"/>
        <family val="2"/>
        <scheme val="minor"/>
      </rPr>
      <t xml:space="preserve">CheatSheet </t>
    </r>
    <r>
      <rPr>
        <sz val="11"/>
        <color theme="1"/>
        <rFont val="Calibri"/>
        <family val="2"/>
        <scheme val="minor"/>
      </rPr>
      <t xml:space="preserve">worksheet. Enable macros and click the </t>
    </r>
    <r>
      <rPr>
        <b/>
        <sz val="11"/>
        <color theme="1"/>
        <rFont val="Calibri"/>
        <family val="2"/>
        <scheme val="minor"/>
      </rPr>
      <t>"Update Cheat Sheets"</t>
    </r>
    <r>
      <rPr>
        <sz val="11"/>
        <color theme="1"/>
        <rFont val="Calibri"/>
        <family val="2"/>
        <scheme val="minor"/>
      </rPr>
      <t xml:space="preserve"> button on the CheatSheet worksheet. It will grab the top scoring players and throw them into the cheat sheet, then sort them properly. </t>
    </r>
    <r>
      <rPr>
        <u/>
        <sz val="11"/>
        <color theme="1"/>
        <rFont val="Calibri"/>
        <family val="2"/>
        <scheme val="minor"/>
      </rPr>
      <t>Place an "x" (or any other character)</t>
    </r>
    <r>
      <rPr>
        <sz val="11"/>
        <color theme="1"/>
        <rFont val="Calibri"/>
        <family val="2"/>
        <scheme val="minor"/>
      </rPr>
      <t xml:space="preserve"> in </t>
    </r>
    <r>
      <rPr>
        <b/>
        <sz val="11"/>
        <color theme="1"/>
        <rFont val="Calibri"/>
        <family val="2"/>
        <scheme val="minor"/>
      </rPr>
      <t>Drafted</t>
    </r>
    <r>
      <rPr>
        <sz val="11"/>
        <color theme="1"/>
        <rFont val="Calibri"/>
        <family val="2"/>
        <scheme val="minor"/>
      </rPr>
      <t xml:space="preserve"> box to cross players off the list that have been drafted. The player with the highest remaining VBD will be highlighted in green.</t>
    </r>
  </si>
  <si>
    <r>
      <rPr>
        <b/>
        <sz val="11"/>
        <color theme="1"/>
        <rFont val="Calibri"/>
        <family val="2"/>
        <scheme val="minor"/>
      </rPr>
      <t>Step 8)</t>
    </r>
    <r>
      <rPr>
        <sz val="11"/>
        <color theme="1"/>
        <rFont val="Calibri"/>
        <family val="2"/>
        <scheme val="minor"/>
      </rPr>
      <t xml:space="preserve"> For all drafts, mark players in each positional sheet with </t>
    </r>
    <r>
      <rPr>
        <b/>
        <sz val="11"/>
        <color theme="1"/>
        <rFont val="Calibri"/>
        <family val="2"/>
        <scheme val="minor"/>
      </rPr>
      <t>"Target",</t>
    </r>
    <r>
      <rPr>
        <sz val="11"/>
        <color theme="1"/>
        <rFont val="Calibri"/>
        <family val="2"/>
        <scheme val="minor"/>
      </rPr>
      <t xml:space="preserve"> </t>
    </r>
    <r>
      <rPr>
        <b/>
        <sz val="11"/>
        <color theme="1"/>
        <rFont val="Calibri"/>
        <family val="2"/>
        <scheme val="minor"/>
      </rPr>
      <t>"Avoid",</t>
    </r>
    <r>
      <rPr>
        <sz val="11"/>
        <color theme="1"/>
        <rFont val="Calibri"/>
        <family val="2"/>
        <scheme val="minor"/>
      </rPr>
      <t xml:space="preserve"> </t>
    </r>
    <r>
      <rPr>
        <b/>
        <sz val="11"/>
        <color theme="1"/>
        <rFont val="Calibri"/>
        <family val="2"/>
        <scheme val="minor"/>
      </rPr>
      <t>"Sleeper"</t>
    </r>
    <r>
      <rPr>
        <sz val="11"/>
        <color theme="1"/>
        <rFont val="Calibri"/>
        <family val="2"/>
        <scheme val="minor"/>
      </rPr>
      <t xml:space="preserve"> designations. These will be reflected with colors on the </t>
    </r>
    <r>
      <rPr>
        <b/>
        <sz val="11"/>
        <color theme="1"/>
        <rFont val="Calibri"/>
        <family val="2"/>
        <scheme val="minor"/>
      </rPr>
      <t>Auction</t>
    </r>
    <r>
      <rPr>
        <sz val="11"/>
        <color theme="1"/>
        <rFont val="Calibri"/>
        <family val="2"/>
        <scheme val="minor"/>
      </rPr>
      <t xml:space="preserve"> and </t>
    </r>
    <r>
      <rPr>
        <b/>
        <sz val="11"/>
        <color theme="1"/>
        <rFont val="Calibri"/>
        <family val="2"/>
        <scheme val="minor"/>
      </rPr>
      <t>CheatSheet</t>
    </r>
    <r>
      <rPr>
        <sz val="11"/>
        <color theme="1"/>
        <rFont val="Calibri"/>
        <family val="2"/>
        <scheme val="minor"/>
      </rPr>
      <t xml:space="preserve"> sheets. </t>
    </r>
  </si>
  <si>
    <r>
      <t xml:space="preserve">Step 9) </t>
    </r>
    <r>
      <rPr>
        <sz val="11"/>
        <color theme="1"/>
        <rFont val="Calibri"/>
        <family val="2"/>
        <scheme val="minor"/>
      </rPr>
      <t xml:space="preserve">For auction drafters only, enter team names on the </t>
    </r>
    <r>
      <rPr>
        <b/>
        <sz val="11"/>
        <color theme="1"/>
        <rFont val="Calibri"/>
        <family val="2"/>
        <scheme val="minor"/>
      </rPr>
      <t>Teams</t>
    </r>
    <r>
      <rPr>
        <sz val="11"/>
        <color theme="1"/>
        <rFont val="Calibri"/>
        <family val="2"/>
        <scheme val="minor"/>
      </rPr>
      <t xml:space="preserve"> sheet. During the auction draft, you can choose who drafted a player and it will be reflected on the </t>
    </r>
    <r>
      <rPr>
        <b/>
        <sz val="11"/>
        <color theme="1"/>
        <rFont val="Calibri"/>
        <family val="2"/>
        <scheme val="minor"/>
      </rPr>
      <t>Teams</t>
    </r>
    <r>
      <rPr>
        <sz val="11"/>
        <color theme="1"/>
        <rFont val="Calibri"/>
        <family val="2"/>
        <scheme val="minor"/>
      </rPr>
      <t xml:space="preserve"> sheet along with updated budget info. You can use this sheet to set your goals and get updates on them.</t>
    </r>
  </si>
  <si>
    <t>All consensus projections sourced from http://www.fantasypros.com/nfl/projections</t>
  </si>
  <si>
    <t>Credit for Cheatsheet format goes to http://www.reddit.com/user/Beer4TheBeerGod</t>
  </si>
  <si>
    <t>Bilinear pricing model from http://www.reddit.com/user/theyreallthrowaways</t>
  </si>
  <si>
    <t>Credit for help with Teams sheet to http://www.reddit.com/user/CanadianSandGoggles</t>
  </si>
  <si>
    <t>VBD</t>
  </si>
  <si>
    <t>Starter Info</t>
  </si>
  <si>
    <t>League Info</t>
  </si>
  <si>
    <t>Auction Info</t>
  </si>
  <si>
    <t>QB Scoring</t>
  </si>
  <si>
    <t>WR Scoring</t>
  </si>
  <si>
    <t>Pos</t>
  </si>
  <si>
    <t>Baseline</t>
  </si>
  <si>
    <t># of Starters</t>
  </si>
  <si>
    <t>Teams</t>
  </si>
  <si>
    <t>Available $</t>
  </si>
  <si>
    <t>Passing TD</t>
  </si>
  <si>
    <t>points</t>
  </si>
  <si>
    <t>Rushing Att</t>
  </si>
  <si>
    <t>RB</t>
  </si>
  <si>
    <t>QB</t>
  </si>
  <si>
    <t>Budget</t>
  </si>
  <si>
    <t>Total Avg VBD</t>
  </si>
  <si>
    <t>Passing Yards</t>
  </si>
  <si>
    <t>points per yard</t>
  </si>
  <si>
    <t>Rushing TD</t>
  </si>
  <si>
    <t>WR</t>
  </si>
  <si>
    <t>Roster</t>
  </si>
  <si>
    <t>Inflation %</t>
  </si>
  <si>
    <t>Passing INT</t>
  </si>
  <si>
    <t>Rushing Yards</t>
  </si>
  <si>
    <t>Bench Size</t>
  </si>
  <si>
    <t>Total PF</t>
  </si>
  <si>
    <t>Receptions</t>
  </si>
  <si>
    <t>TE</t>
  </si>
  <si>
    <t>Total Spots</t>
  </si>
  <si>
    <t>Allow negative $ values?</t>
  </si>
  <si>
    <t>Yes</t>
  </si>
  <si>
    <t>Receiving TD</t>
  </si>
  <si>
    <t>K</t>
  </si>
  <si>
    <t>Auction $</t>
  </si>
  <si>
    <t>Yahoo</t>
  </si>
  <si>
    <t>Valuation Method</t>
  </si>
  <si>
    <t>Starter/Bench</t>
  </si>
  <si>
    <t>Receiving Yards</t>
  </si>
  <si>
    <t>DEF</t>
  </si>
  <si>
    <t>Flex Type</t>
  </si>
  <si>
    <t>WR/RB/TE</t>
  </si>
  <si>
    <t>Fumble Lost</t>
  </si>
  <si>
    <t>Total</t>
  </si>
  <si>
    <t>Team Def</t>
  </si>
  <si>
    <t>Passing Attempts</t>
  </si>
  <si>
    <t>Completions</t>
  </si>
  <si>
    <t>Starter Totals</t>
  </si>
  <si>
    <t>Total Budget</t>
  </si>
  <si>
    <t>RB Scoring</t>
  </si>
  <si>
    <t>TE Scoring</t>
  </si>
  <si>
    <t>#</t>
  </si>
  <si>
    <t>Starter VBD</t>
  </si>
  <si>
    <t>Bench VBD</t>
  </si>
  <si>
    <t>Starter %</t>
  </si>
  <si>
    <t>Bench %</t>
  </si>
  <si>
    <t>StarterPF</t>
  </si>
  <si>
    <t>BenchPF</t>
  </si>
  <si>
    <t>Bench Totals</t>
  </si>
  <si>
    <t>Starter Budget</t>
  </si>
  <si>
    <t>Bench Budget</t>
  </si>
  <si>
    <t>No</t>
  </si>
  <si>
    <t>Target</t>
  </si>
  <si>
    <t>WR/RB</t>
  </si>
  <si>
    <t>ESPN</t>
  </si>
  <si>
    <t>Sleeper</t>
  </si>
  <si>
    <t>QB/WR/RB/TE</t>
  </si>
  <si>
    <t>Avoid</t>
  </si>
  <si>
    <t>Average VBD</t>
  </si>
  <si>
    <t>Upside</t>
  </si>
  <si>
    <t>Player</t>
  </si>
  <si>
    <t>YahooAvg$</t>
  </si>
  <si>
    <t>ESPNAvg$</t>
  </si>
  <si>
    <t>Custom</t>
  </si>
  <si>
    <t>Use this sheet to enter the average auction values (AAV) your league site displays. This sheet  acts to fill in columns J and K in the Auction sheet for comparison only. It doesn't affect player values in any way.</t>
  </si>
  <si>
    <t>Default values provided are Yahoo and ESPN average auction values for 10 team leagues with standard scoring.</t>
  </si>
  <si>
    <t>Ezekiel Elliott</t>
  </si>
  <si>
    <t>Odell Beckham Jr.</t>
  </si>
  <si>
    <t>Mike Evans</t>
  </si>
  <si>
    <t>Michael Thomas</t>
  </si>
  <si>
    <t>Amari Cooper</t>
  </si>
  <si>
    <t>DeAndre Hopkins</t>
  </si>
  <si>
    <t>Leonard Fournette</t>
  </si>
  <si>
    <t>Aaron Rodgers</t>
  </si>
  <si>
    <t>Brandin Cooks</t>
  </si>
  <si>
    <t>Christian McCaffrey</t>
  </si>
  <si>
    <t>Joe Mixon</t>
  </si>
  <si>
    <t>Travis Kelce</t>
  </si>
  <si>
    <t>Davante Adams</t>
  </si>
  <si>
    <t>Keenan Allen</t>
  </si>
  <si>
    <t>Tyreek Hill</t>
  </si>
  <si>
    <t>Latavius Murray</t>
  </si>
  <si>
    <t>Dalvin Cook</t>
  </si>
  <si>
    <t>Marcus Mariota</t>
  </si>
  <si>
    <t>Russell Wilson</t>
  </si>
  <si>
    <t>Derrick Henry</t>
  </si>
  <si>
    <t>Jamison Crowder</t>
  </si>
  <si>
    <t>Denver Broncos</t>
  </si>
  <si>
    <t>Justin Tucker</t>
  </si>
  <si>
    <t>Ameer Abdullah</t>
  </si>
  <si>
    <t>Seattle Seahawks</t>
  </si>
  <si>
    <t>Kareem Hunt</t>
  </si>
  <si>
    <t>Jameis Winston</t>
  </si>
  <si>
    <t>Dak Prescott</t>
  </si>
  <si>
    <t>Samaje Perine</t>
  </si>
  <si>
    <t>Derek Carr</t>
  </si>
  <si>
    <t>Miami Dolphins</t>
  </si>
  <si>
    <t>Kirk Cousins</t>
  </si>
  <si>
    <t>Stefon Diggs</t>
  </si>
  <si>
    <t>Houston Texans</t>
  </si>
  <si>
    <t>Atlanta Falcons</t>
  </si>
  <si>
    <t>Chris Boswell</t>
  </si>
  <si>
    <t>Kansas City Chiefs</t>
  </si>
  <si>
    <t>New England Patriots</t>
  </si>
  <si>
    <t>Jamaal Williams</t>
  </si>
  <si>
    <t>Mike Williams</t>
  </si>
  <si>
    <t>Zach Ertz</t>
  </si>
  <si>
    <t>Matthew Stafford</t>
  </si>
  <si>
    <t>Los Angeles Rams</t>
  </si>
  <si>
    <t>Minnesota Vikings</t>
  </si>
  <si>
    <t>Andy Dalton</t>
  </si>
  <si>
    <t>Tyrod Taylor</t>
  </si>
  <si>
    <t>Tennessee Titans</t>
  </si>
  <si>
    <t>Carson Wentz</t>
  </si>
  <si>
    <t>Arizona Cardinals</t>
  </si>
  <si>
    <t>Deshaun Watson</t>
  </si>
  <si>
    <t>Adam Thielen</t>
  </si>
  <si>
    <t>Tyler Lockett</t>
  </si>
  <si>
    <t>Ryan Tannehill</t>
  </si>
  <si>
    <t>Sterling Shepard</t>
  </si>
  <si>
    <t>David Njoku</t>
  </si>
  <si>
    <t>Zay Jones</t>
  </si>
  <si>
    <t>Dallas Cowboys</t>
  </si>
  <si>
    <t>Evan Engram</t>
  </si>
  <si>
    <t>Wil Lutz</t>
  </si>
  <si>
    <t>Philadelphia Eagles</t>
  </si>
  <si>
    <t>Tampa Bay Buccaneers</t>
  </si>
  <si>
    <t>Austin Hooper</t>
  </si>
  <si>
    <t>Los Angeles Chargers</t>
  </si>
  <si>
    <t>Baltimore Ravens</t>
  </si>
  <si>
    <t>New York Giants</t>
  </si>
  <si>
    <t>Pittsburgh Steelers</t>
  </si>
  <si>
    <t>Green Bay Packers</t>
  </si>
  <si>
    <t>Jacksonville Jaguars</t>
  </si>
  <si>
    <t>Cincinnati Bengals</t>
  </si>
  <si>
    <t>Brandon McManus</t>
  </si>
  <si>
    <t>Matt Prater</t>
  </si>
  <si>
    <t>Cairo Santos</t>
  </si>
  <si>
    <t>New York Jets</t>
  </si>
  <si>
    <t>Graham Gano</t>
  </si>
  <si>
    <t>Buffalo Bills</t>
  </si>
  <si>
    <t>Ryan Succop</t>
  </si>
  <si>
    <t>Dustin Hopkins</t>
  </si>
  <si>
    <t>Passing</t>
  </si>
  <si>
    <t>Rushing</t>
  </si>
  <si>
    <t>Rank</t>
  </si>
  <si>
    <t>POS</t>
  </si>
  <si>
    <t>BYE</t>
  </si>
  <si>
    <t>TM</t>
  </si>
  <si>
    <t>ATT</t>
  </si>
  <si>
    <t>CMP</t>
  </si>
  <si>
    <t>YDS</t>
  </si>
  <si>
    <t>TDS</t>
  </si>
  <si>
    <t>INTS</t>
  </si>
  <si>
    <t>FL</t>
  </si>
  <si>
    <t>FPTS</t>
  </si>
  <si>
    <t>PlayerStatus</t>
  </si>
  <si>
    <t>StartVBD</t>
  </si>
  <si>
    <t>BenchVBD</t>
  </si>
  <si>
    <t>$</t>
  </si>
  <si>
    <t>Inflated $</t>
  </si>
  <si>
    <t>Drafted?</t>
  </si>
  <si>
    <t>Target?</t>
  </si>
  <si>
    <t>PS%</t>
  </si>
  <si>
    <t>AvgVBD</t>
  </si>
  <si>
    <t>Tier</t>
  </si>
  <si>
    <t>AvgVBD $</t>
  </si>
  <si>
    <t>GB</t>
  </si>
  <si>
    <t>NE</t>
  </si>
  <si>
    <t>NO</t>
  </si>
  <si>
    <t>ATL</t>
  </si>
  <si>
    <t>SEA</t>
  </si>
  <si>
    <t>IND</t>
  </si>
  <si>
    <t>TB</t>
  </si>
  <si>
    <t>CAR</t>
  </si>
  <si>
    <t>WAS</t>
  </si>
  <si>
    <t>TEN</t>
  </si>
  <si>
    <t>DAL</t>
  </si>
  <si>
    <t>LAC</t>
  </si>
  <si>
    <t>DET</t>
  </si>
  <si>
    <t>PIT</t>
  </si>
  <si>
    <t>BUF</t>
  </si>
  <si>
    <t>CIN</t>
  </si>
  <si>
    <t>JAC</t>
  </si>
  <si>
    <t>NYG</t>
  </si>
  <si>
    <t>PHI</t>
  </si>
  <si>
    <t>ARI</t>
  </si>
  <si>
    <t>BAL</t>
  </si>
  <si>
    <t>KC</t>
  </si>
  <si>
    <t>MIN</t>
  </si>
  <si>
    <t>MIA</t>
  </si>
  <si>
    <t>CHI</t>
  </si>
  <si>
    <t>SF</t>
  </si>
  <si>
    <t>Jared Goff</t>
  </si>
  <si>
    <t>LAR</t>
  </si>
  <si>
    <t>NYJ</t>
  </si>
  <si>
    <t>DEN</t>
  </si>
  <si>
    <t>HOU</t>
  </si>
  <si>
    <t>CLE</t>
  </si>
  <si>
    <t>Patrick Mahomes</t>
  </si>
  <si>
    <t>Geno Smith</t>
  </si>
  <si>
    <t>Case Keenum</t>
  </si>
  <si>
    <t>Jimmy Garoppolo</t>
  </si>
  <si>
    <t>Receiving</t>
  </si>
  <si>
    <t>REC</t>
  </si>
  <si>
    <t>Jerick McKinnon</t>
  </si>
  <si>
    <t>D'Onta Foreman</t>
  </si>
  <si>
    <t>Alvin Kamara</t>
  </si>
  <si>
    <t>James Conner</t>
  </si>
  <si>
    <t>Kyle Juszczyk</t>
  </si>
  <si>
    <t>Aaron Jones</t>
  </si>
  <si>
    <t>Raheem Mostert</t>
  </si>
  <si>
    <t>Michael Burton</t>
  </si>
  <si>
    <t>Robert Woods</t>
  </si>
  <si>
    <t>Curtis Samuel</t>
  </si>
  <si>
    <t>Kenny Golladay</t>
  </si>
  <si>
    <t>Tyler Boyd</t>
  </si>
  <si>
    <t>Cooper Kupp</t>
  </si>
  <si>
    <t>Chris Godwin</t>
  </si>
  <si>
    <t>JuJu Smith-Schuster</t>
  </si>
  <si>
    <t>Nelson Agholor</t>
  </si>
  <si>
    <t>Josh Reynolds</t>
  </si>
  <si>
    <t>Cordarrelle Patterson</t>
  </si>
  <si>
    <t>Demarcus Robinson</t>
  </si>
  <si>
    <t>Chris Moore</t>
  </si>
  <si>
    <t>Noah Brown</t>
  </si>
  <si>
    <t>Isaiah McKenzie</t>
  </si>
  <si>
    <t>Mack Hollins</t>
  </si>
  <si>
    <t>Name</t>
  </si>
  <si>
    <t>FlexStatus</t>
  </si>
  <si>
    <t>FlexFPTS</t>
  </si>
  <si>
    <t>PosRank</t>
  </si>
  <si>
    <t>StarterCount</t>
  </si>
  <si>
    <t>Tyler Higbee</t>
  </si>
  <si>
    <t>Gerald Everett</t>
  </si>
  <si>
    <t>George Kittle</t>
  </si>
  <si>
    <t>Jonnu Smith</t>
  </si>
  <si>
    <t>C.J. Uzomah</t>
  </si>
  <si>
    <t>Logan Thomas</t>
  </si>
  <si>
    <t xml:space="preserve">Player Name </t>
  </si>
  <si>
    <t>Bye</t>
  </si>
  <si>
    <t xml:space="preserve"> Team </t>
  </si>
  <si>
    <t xml:space="preserve">fg </t>
  </si>
  <si>
    <t xml:space="preserve">fga </t>
  </si>
  <si>
    <t xml:space="preserve">xpt </t>
  </si>
  <si>
    <t xml:space="preserve">fpts </t>
  </si>
  <si>
    <t>Jason Myers</t>
  </si>
  <si>
    <t>Greg Zuerlein</t>
  </si>
  <si>
    <t>Jake Elliott</t>
  </si>
  <si>
    <t>Harrison Butker</t>
  </si>
  <si>
    <t>Team</t>
  </si>
  <si>
    <t>Carolina Panthers</t>
  </si>
  <si>
    <t>Detroit Lions</t>
  </si>
  <si>
    <t>Chicago Bears</t>
  </si>
  <si>
    <t>Indianapolis Colts</t>
  </si>
  <si>
    <t>San Francisco 49ers</t>
  </si>
  <si>
    <t>Cleveland Browns</t>
  </si>
  <si>
    <t>New Orleans Saints</t>
  </si>
  <si>
    <t>FA</t>
  </si>
  <si>
    <t>RB Auction Spending %</t>
  </si>
  <si>
    <t>Avg Remaining RB</t>
  </si>
  <si>
    <t>Best Remaining RB</t>
  </si>
  <si>
    <t>2nd Best RB</t>
  </si>
  <si>
    <t>Dropoff</t>
  </si>
  <si>
    <t>Remaining Budget</t>
  </si>
  <si>
    <t>WR Auction Spending %</t>
  </si>
  <si>
    <t>Avg Remaining WR</t>
  </si>
  <si>
    <t>Best Remaining WR</t>
  </si>
  <si>
    <t>2nd Best WR</t>
  </si>
  <si>
    <t>Maximum Bid</t>
  </si>
  <si>
    <t>QB Auction Spending %</t>
  </si>
  <si>
    <t>Avg Remaining QB</t>
  </si>
  <si>
    <t>Best Remaining QB</t>
  </si>
  <si>
    <t>2nd Remaining QB</t>
  </si>
  <si>
    <t>Average Remaining Per</t>
  </si>
  <si>
    <t>TE Auction Spending %</t>
  </si>
  <si>
    <t>Avg Remaining TE</t>
  </si>
  <si>
    <t>Best Remaining TE</t>
  </si>
  <si>
    <t>2nd Remaining TE</t>
  </si>
  <si>
    <t>Projected $</t>
  </si>
  <si>
    <t>Skew</t>
  </si>
  <si>
    <t>Paid</t>
  </si>
  <si>
    <t>Keeper?</t>
  </si>
  <si>
    <t>Site Skew</t>
  </si>
  <si>
    <t>Drafted By?</t>
  </si>
  <si>
    <t>My Team</t>
  </si>
  <si>
    <t>Spending</t>
  </si>
  <si>
    <t>Goals</t>
  </si>
  <si>
    <t>Position</t>
  </si>
  <si>
    <t>Cost</t>
  </si>
  <si>
    <t>Value</t>
  </si>
  <si>
    <t>Number</t>
  </si>
  <si>
    <t>Max Bid</t>
  </si>
  <si>
    <t>Total Drafted</t>
  </si>
  <si>
    <t>QB Spend</t>
  </si>
  <si>
    <t>RB Spend</t>
  </si>
  <si>
    <t>WR Spend</t>
  </si>
  <si>
    <t>TE Spend</t>
  </si>
  <si>
    <t>Goal Spend at Position</t>
  </si>
  <si>
    <t>Actual Spend</t>
  </si>
  <si>
    <t>Remaining</t>
  </si>
  <si>
    <t>Enter up to 20 teams here and they will be available in the Drafted By dropdown in Auction</t>
  </si>
  <si>
    <t>Keep your team in row 1 for this sheet to work</t>
  </si>
  <si>
    <t xml:space="preserve"> </t>
  </si>
  <si>
    <t>OVERALL RANKS</t>
  </si>
  <si>
    <t>NAME</t>
  </si>
  <si>
    <t>DRAFT</t>
  </si>
  <si>
    <t>VAL%</t>
  </si>
  <si>
    <t>OVR</t>
  </si>
  <si>
    <t>Team 2</t>
  </si>
  <si>
    <t>Team 11</t>
  </si>
  <si>
    <t>Team 12</t>
  </si>
  <si>
    <t>Team 3</t>
  </si>
  <si>
    <t>Team 4</t>
  </si>
  <si>
    <t>Team 6</t>
  </si>
  <si>
    <t>Team 5</t>
  </si>
  <si>
    <t>Team 7</t>
  </si>
  <si>
    <t>Team 8</t>
  </si>
  <si>
    <t>Team 9</t>
  </si>
  <si>
    <t>Team 10</t>
  </si>
  <si>
    <t>Josh Allen</t>
  </si>
  <si>
    <t>Sam Darnold</t>
  </si>
  <si>
    <t>Baker Mayfield</t>
  </si>
  <si>
    <t>Lamar Jackson</t>
  </si>
  <si>
    <t>Jacoby Brissett</t>
  </si>
  <si>
    <t>Cooper Rush</t>
  </si>
  <si>
    <t>Mason Rudolph</t>
  </si>
  <si>
    <t>Taylor Heinicke</t>
  </si>
  <si>
    <t>Taysom Hill</t>
  </si>
  <si>
    <t>Saquon Barkley</t>
  </si>
  <si>
    <t>Royce Freeman</t>
  </si>
  <si>
    <t>Rashaad Penny</t>
  </si>
  <si>
    <t>Nick Chubb</t>
  </si>
  <si>
    <t>Austin Ekeler</t>
  </si>
  <si>
    <t>Nyheim Hines</t>
  </si>
  <si>
    <t>Chase Edmonds</t>
  </si>
  <si>
    <t>Boston Scott</t>
  </si>
  <si>
    <t>Calvin Ridley</t>
  </si>
  <si>
    <t>Courtland Sutton</t>
  </si>
  <si>
    <t>Michael Gallup</t>
  </si>
  <si>
    <t>Christian Kirk</t>
  </si>
  <si>
    <t>Tre'Quan Smith</t>
  </si>
  <si>
    <t>Kendrick Bourne</t>
  </si>
  <si>
    <t>Marquez Valdes-Scantling</t>
  </si>
  <si>
    <t>Equanimeous St. Brown</t>
  </si>
  <si>
    <t>Justin Watson</t>
  </si>
  <si>
    <t>Mike Gesicki</t>
  </si>
  <si>
    <t>Hayden Hurst</t>
  </si>
  <si>
    <t>Dallas Goedert</t>
  </si>
  <si>
    <t>Mark Andrews</t>
  </si>
  <si>
    <t>Jordan Akins</t>
  </si>
  <si>
    <t>Will Dissly</t>
  </si>
  <si>
    <t>Durham Smythe</t>
  </si>
  <si>
    <t>Ian Thomas</t>
  </si>
  <si>
    <t>Dalton Schultz</t>
  </si>
  <si>
    <t>Tyler Conklin</t>
  </si>
  <si>
    <t>Daniel Carlson</t>
  </si>
  <si>
    <t>Ka'imi Fairbairn</t>
  </si>
  <si>
    <t>Jason Sanders</t>
  </si>
  <si>
    <t>PASSING ATT</t>
  </si>
  <si>
    <t>PASSING CMP</t>
  </si>
  <si>
    <t>PASSING YDS</t>
  </si>
  <si>
    <t>PASSING TDS</t>
  </si>
  <si>
    <t>PASSING INTS</t>
  </si>
  <si>
    <t>RUSHING ATT</t>
  </si>
  <si>
    <t>RUSHING YDS</t>
  </si>
  <si>
    <t>RUSHING TDS</t>
  </si>
  <si>
    <t>MISC FL</t>
  </si>
  <si>
    <t>MISC FPTS</t>
  </si>
  <si>
    <t>RECEIVING REC</t>
  </si>
  <si>
    <t>RECEIVING YDS</t>
  </si>
  <si>
    <t>RECEIVING TDS</t>
  </si>
  <si>
    <t>FG</t>
  </si>
  <si>
    <t>FGA</t>
  </si>
  <si>
    <t>XPT</t>
  </si>
  <si>
    <t>SACK</t>
  </si>
  <si>
    <t>INT</t>
  </si>
  <si>
    <t>FR</t>
  </si>
  <si>
    <t>FF</t>
  </si>
  <si>
    <t>TD</t>
  </si>
  <si>
    <t>SAFETY</t>
  </si>
  <si>
    <t>PA</t>
  </si>
  <si>
    <t>YDS AGN</t>
  </si>
  <si>
    <t>Brett Maher</t>
  </si>
  <si>
    <t>Gus Edwards</t>
  </si>
  <si>
    <t>Mike Boone</t>
  </si>
  <si>
    <t>Tim Patrick</t>
  </si>
  <si>
    <t>David Moore</t>
  </si>
  <si>
    <t>Dan Arnold</t>
  </si>
  <si>
    <t>Zach Pascal</t>
  </si>
  <si>
    <t>Kyler Murray</t>
  </si>
  <si>
    <t>Drew Lock</t>
  </si>
  <si>
    <t>Daniel Jones</t>
  </si>
  <si>
    <t>Nick Mullens</t>
  </si>
  <si>
    <t>Joshua Dobbs</t>
  </si>
  <si>
    <t>Jarrett Stidham</t>
  </si>
  <si>
    <t>Kyle Allen</t>
  </si>
  <si>
    <t>Easton Stick</t>
  </si>
  <si>
    <t>Mike White</t>
  </si>
  <si>
    <t>Josh Jacobs</t>
  </si>
  <si>
    <t>David Montgomery</t>
  </si>
  <si>
    <t>Miles Sanders</t>
  </si>
  <si>
    <t>Alexander Mattison</t>
  </si>
  <si>
    <t>Justice Hill</t>
  </si>
  <si>
    <t>Devin Singletary</t>
  </si>
  <si>
    <t>Tony Pollard</t>
  </si>
  <si>
    <t>Myles Gaskin</t>
  </si>
  <si>
    <t>Travis Homer</t>
  </si>
  <si>
    <t>Trayveon Williams</t>
  </si>
  <si>
    <t>Dare Ogunbowale</t>
  </si>
  <si>
    <t>Parris Campbell</t>
  </si>
  <si>
    <t>Marquise Brown</t>
  </si>
  <si>
    <t>A.J. Brown</t>
  </si>
  <si>
    <t>Terry McLaurin</t>
  </si>
  <si>
    <t>Hunter Renfrow</t>
  </si>
  <si>
    <t>Diontae Johnson</t>
  </si>
  <si>
    <t>Darius Slayton</t>
  </si>
  <si>
    <t>Brandon Powell</t>
  </si>
  <si>
    <t>Braxton Berrios</t>
  </si>
  <si>
    <t>Kalif Raymond</t>
  </si>
  <si>
    <t>Allen Lazard</t>
  </si>
  <si>
    <t>Trent Sherfield</t>
  </si>
  <si>
    <t>Ashton Dulin</t>
  </si>
  <si>
    <t>Greg Dortch</t>
  </si>
  <si>
    <t>Hunter Henry</t>
  </si>
  <si>
    <t>Noah Fant</t>
  </si>
  <si>
    <t>T.J. Hockenson</t>
  </si>
  <si>
    <t>Josh Oliver</t>
  </si>
  <si>
    <t>Irv Smith Jr.</t>
  </si>
  <si>
    <t>Mo Alie-Cox</t>
  </si>
  <si>
    <t>Dawson Knox</t>
  </si>
  <si>
    <t>Tanner Hudson</t>
  </si>
  <si>
    <t>Drew Sample</t>
  </si>
  <si>
    <t>Foster Moreau</t>
  </si>
  <si>
    <t>Robert Tonyan</t>
  </si>
  <si>
    <t>Johnny Mundt</t>
  </si>
  <si>
    <t>Ross Dwelley</t>
  </si>
  <si>
    <t>Michael Badgley</t>
  </si>
  <si>
    <t>Matt Gay</t>
  </si>
  <si>
    <t>Greg Joseph</t>
  </si>
  <si>
    <t>Full Name</t>
  </si>
  <si>
    <t>Free Agent</t>
  </si>
  <si>
    <t>Age</t>
  </si>
  <si>
    <t>AGE</t>
  </si>
  <si>
    <t>Jakobi Meyers</t>
  </si>
  <si>
    <t>Jeff Wilson Jr.</t>
  </si>
  <si>
    <t>Nick Folk</t>
  </si>
  <si>
    <t>Younghoe Koo</t>
  </si>
  <si>
    <t>KhaDarel Hodge</t>
  </si>
  <si>
    <t>Scotty Miller</t>
  </si>
  <si>
    <t>Bonus Calculator</t>
  </si>
  <si>
    <t>points per</t>
  </si>
  <si>
    <t>yards</t>
  </si>
  <si>
    <t>Bonus</t>
  </si>
  <si>
    <t>D'Ernest Johnson</t>
  </si>
  <si>
    <t>Las Vegas Raiders</t>
  </si>
  <si>
    <t>LV</t>
  </si>
  <si>
    <t>Tyler Bass</t>
  </si>
  <si>
    <t>Cole Kmet</t>
  </si>
  <si>
    <t>Andrew Beck</t>
  </si>
  <si>
    <t>Stephen Sullivan</t>
  </si>
  <si>
    <t>Harrison Bryant</t>
  </si>
  <si>
    <t>Josiah Deguara</t>
  </si>
  <si>
    <t>Adam Trautman</t>
  </si>
  <si>
    <t>Charlie Woerner</t>
  </si>
  <si>
    <t>Colby Parkinson</t>
  </si>
  <si>
    <t>CeeDee Lamb</t>
  </si>
  <si>
    <t>Jerry Jeudy</t>
  </si>
  <si>
    <t>Justin Jefferson</t>
  </si>
  <si>
    <t>Michael Pittman Jr.</t>
  </si>
  <si>
    <t>Brandon Aiyuk</t>
  </si>
  <si>
    <t>Tee Higgins</t>
  </si>
  <si>
    <t>Chase Claypool</t>
  </si>
  <si>
    <t>KJ Hamler</t>
  </si>
  <si>
    <t>Laviska Shenault Jr.</t>
  </si>
  <si>
    <t>Devin Duvernay</t>
  </si>
  <si>
    <t>Van Jefferson</t>
  </si>
  <si>
    <t>Antonio Gibson</t>
  </si>
  <si>
    <t>Olamide Zaccheaus</t>
  </si>
  <si>
    <t>Donovan Peoples-Jones</t>
  </si>
  <si>
    <t>Darnell Mooney</t>
  </si>
  <si>
    <t>K.J. Osborn</t>
  </si>
  <si>
    <t>Quez Watkins</t>
  </si>
  <si>
    <t>Jalen Guyton</t>
  </si>
  <si>
    <t>Jauan Jennings</t>
  </si>
  <si>
    <t>Marquez Callaway</t>
  </si>
  <si>
    <t>Trenton Irwin</t>
  </si>
  <si>
    <t>Gardner Minshew II</t>
  </si>
  <si>
    <t>Joe Burrow</t>
  </si>
  <si>
    <t>Tua Tagovailoa</t>
  </si>
  <si>
    <t>Justin Herbert</t>
  </si>
  <si>
    <t>Jalen Hurts</t>
  </si>
  <si>
    <t>Jordan Love</t>
  </si>
  <si>
    <t>Clyde Edwards-Helaire</t>
  </si>
  <si>
    <t>Jonathan Taylor</t>
  </si>
  <si>
    <t>D'Andre Swift</t>
  </si>
  <si>
    <t>Cam Akers</t>
  </si>
  <si>
    <t>J.K. Dobbins</t>
  </si>
  <si>
    <t>Zack Moss</t>
  </si>
  <si>
    <t>Joshua Kelley</t>
  </si>
  <si>
    <t>DeeJay Dallas</t>
  </si>
  <si>
    <t>Alec Ingold</t>
  </si>
  <si>
    <t>JaMycal Hasty</t>
  </si>
  <si>
    <t>James Robinson</t>
  </si>
  <si>
    <t>Craig Reynolds</t>
  </si>
  <si>
    <t>AJ Dillon</t>
  </si>
  <si>
    <t>9.0</t>
  </si>
  <si>
    <t>Rico Dowdle</t>
  </si>
  <si>
    <t>Evan McPherson</t>
  </si>
  <si>
    <t>Patrick Mahomes II</t>
  </si>
  <si>
    <t>Trevor Lawrence</t>
  </si>
  <si>
    <t>Zach Wilson</t>
  </si>
  <si>
    <t>Justin Fields</t>
  </si>
  <si>
    <t>Trey Lance</t>
  </si>
  <si>
    <t>Mac Jones</t>
  </si>
  <si>
    <t>Davis Mills</t>
  </si>
  <si>
    <t>Kyle Trask</t>
  </si>
  <si>
    <t>Tyler Huntley</t>
  </si>
  <si>
    <t>Najee Harris</t>
  </si>
  <si>
    <t>Javonte Williams</t>
  </si>
  <si>
    <t>Michael Carter</t>
  </si>
  <si>
    <t>Kenneth Gainwell</t>
  </si>
  <si>
    <t>Chuba Hubbard</t>
  </si>
  <si>
    <t>Rhamondre Stevenson</t>
  </si>
  <si>
    <t>Elijah Mitchell</t>
  </si>
  <si>
    <t>Chris Evans</t>
  </si>
  <si>
    <t>Khalil Herbert</t>
  </si>
  <si>
    <t>Allen Robinson II</t>
  </si>
  <si>
    <t>Ja'Marr Chase</t>
  </si>
  <si>
    <t>DeVonta Smith</t>
  </si>
  <si>
    <t>Jaylen Waddle</t>
  </si>
  <si>
    <t>Rashod Bateman</t>
  </si>
  <si>
    <t>Elijah Moore</t>
  </si>
  <si>
    <t>Rondale Moore</t>
  </si>
  <si>
    <t>Terrace Marshall Jr.</t>
  </si>
  <si>
    <t>Amon-Ra St. Brown</t>
  </si>
  <si>
    <t>Kadarius Toney</t>
  </si>
  <si>
    <t>Nico Collins</t>
  </si>
  <si>
    <t>Dyami Brown</t>
  </si>
  <si>
    <t>Tutu Atwell</t>
  </si>
  <si>
    <t>Juwan Johnson</t>
  </si>
  <si>
    <t>Nick Westbrook-Ikhine</t>
  </si>
  <si>
    <t>Tylan Wallace</t>
  </si>
  <si>
    <t>Shi Smith</t>
  </si>
  <si>
    <t>Lawrence Cager</t>
  </si>
  <si>
    <t>Kyle Pitts</t>
  </si>
  <si>
    <t>Donald Parham Jr.</t>
  </si>
  <si>
    <t>Pat Freiermuth</t>
  </si>
  <si>
    <t>Hunter Long</t>
  </si>
  <si>
    <t>Noah Gray</t>
  </si>
  <si>
    <t>Brevin Jordan</t>
  </si>
  <si>
    <t>Luke Farrell</t>
  </si>
  <si>
    <t>John Bates</t>
  </si>
  <si>
    <t>Tommy Tremble</t>
  </si>
  <si>
    <t>Tre' McKitty</t>
  </si>
  <si>
    <t>Kylen Granson</t>
  </si>
  <si>
    <t>Joshua Palmer</t>
  </si>
  <si>
    <t>WR/TE</t>
  </si>
  <si>
    <t>Kenny Pickett</t>
  </si>
  <si>
    <t>Desmond Ridder</t>
  </si>
  <si>
    <t>Malik Willis</t>
  </si>
  <si>
    <t>Sam Howell</t>
  </si>
  <si>
    <t>Washington Commanders</t>
  </si>
  <si>
    <t>DJ Moore</t>
  </si>
  <si>
    <t>DK Metcalf</t>
  </si>
  <si>
    <t>Treylon Burks</t>
  </si>
  <si>
    <t>Drake London</t>
  </si>
  <si>
    <t>Chris Olave</t>
  </si>
  <si>
    <t>Garrett Wilson</t>
  </si>
  <si>
    <t>DJ Chark Jr.</t>
  </si>
  <si>
    <t>Jalen Tolbert</t>
  </si>
  <si>
    <t>Skyy Moore</t>
  </si>
  <si>
    <t>Jahan Dotson</t>
  </si>
  <si>
    <t>Christian Watson</t>
  </si>
  <si>
    <t>Jameson Williams</t>
  </si>
  <si>
    <t>George Pickens</t>
  </si>
  <si>
    <t>Alec Pierce</t>
  </si>
  <si>
    <t>Cedrick Wilson Jr.</t>
  </si>
  <si>
    <t>David Bell</t>
  </si>
  <si>
    <t>Velus Jones Jr.</t>
  </si>
  <si>
    <t>Wan'Dale Robinson</t>
  </si>
  <si>
    <t>Dee Eskridge</t>
  </si>
  <si>
    <t>Romeo Doubs</t>
  </si>
  <si>
    <t>Calvin Austin III</t>
  </si>
  <si>
    <t>Tyquan Thornton</t>
  </si>
  <si>
    <t>Khalil Shakir</t>
  </si>
  <si>
    <t>Danny Gray</t>
  </si>
  <si>
    <t>Deonte Harty</t>
  </si>
  <si>
    <t>Kyle Philips</t>
  </si>
  <si>
    <t>Jalen Nailor</t>
  </si>
  <si>
    <t>Bo Melton</t>
  </si>
  <si>
    <t>Breece Hall</t>
  </si>
  <si>
    <t>Travis Etienne Jr.</t>
  </si>
  <si>
    <t>James Cook</t>
  </si>
  <si>
    <t>Dameon Pierce</t>
  </si>
  <si>
    <t>Rachaad White</t>
  </si>
  <si>
    <t>Isaiah Spiller</t>
  </si>
  <si>
    <t>Tyler Allgeier</t>
  </si>
  <si>
    <t>Brian Robinson Jr.</t>
  </si>
  <si>
    <t>Zamir White</t>
  </si>
  <si>
    <t>Hassan Haskins</t>
  </si>
  <si>
    <t>Tyrion Davis-Price</t>
  </si>
  <si>
    <t>Pierre Strong Jr.</t>
  </si>
  <si>
    <t>Keaontay Ingram</t>
  </si>
  <si>
    <t>Kyren Williams</t>
  </si>
  <si>
    <t>Jerome Ford</t>
  </si>
  <si>
    <t>Ty Chandler</t>
  </si>
  <si>
    <t>Isiah Pacheco</t>
  </si>
  <si>
    <t>Giovanni Ricci</t>
  </si>
  <si>
    <t>Adam Prentice</t>
  </si>
  <si>
    <t>Jelani Woods</t>
  </si>
  <si>
    <t>Cade Otton</t>
  </si>
  <si>
    <t>Trey McBride</t>
  </si>
  <si>
    <t>Greg Dulcich</t>
  </si>
  <si>
    <t>Charlie Kolar</t>
  </si>
  <si>
    <t>Daniel Bellinger</t>
  </si>
  <si>
    <t>Jake Ferguson</t>
  </si>
  <si>
    <t>Brock Wright</t>
  </si>
  <si>
    <t>Connor Heyward</t>
  </si>
  <si>
    <t>Ko Kieft</t>
  </si>
  <si>
    <t>Cole Turner</t>
  </si>
  <si>
    <t>Isaiah Likely</t>
  </si>
  <si>
    <t>Teagan Quitoriano</t>
  </si>
  <si>
    <t>Grant Calcaterra</t>
  </si>
  <si>
    <t>James Mitchell</t>
  </si>
  <si>
    <t>Chigoziem Okonkwo</t>
  </si>
  <si>
    <t>Jack Stoll</t>
  </si>
  <si>
    <t>Jeremy Ruckert</t>
  </si>
  <si>
    <t>Mitchell Wilcox</t>
  </si>
  <si>
    <t>Riley Patterson</t>
  </si>
  <si>
    <r>
      <t>Step 1)</t>
    </r>
    <r>
      <rPr>
        <sz val="11"/>
        <color theme="1"/>
        <rFont val="Calibri"/>
        <family val="2"/>
        <scheme val="minor"/>
      </rPr>
      <t xml:space="preserve"> Fill in your starting roster info on the </t>
    </r>
    <r>
      <rPr>
        <b/>
        <sz val="11"/>
        <color theme="1"/>
        <rFont val="Calibri"/>
        <family val="2"/>
        <scheme val="minor"/>
      </rPr>
      <t>LeagueInfo</t>
    </r>
    <r>
      <rPr>
        <sz val="11"/>
        <color theme="1"/>
        <rFont val="Calibri"/>
        <family val="2"/>
        <scheme val="minor"/>
      </rPr>
      <t xml:space="preserve"> sheet. This sheet uses estimates for VBD baselines, so it is not required to be filled in by hand. You can do so if you want to and override the formulas.</t>
    </r>
    <r>
      <rPr>
        <b/>
        <sz val="11"/>
        <color theme="1"/>
        <rFont val="Calibri"/>
        <family val="2"/>
        <scheme val="minor"/>
      </rPr>
      <t xml:space="preserve"> </t>
    </r>
    <r>
      <rPr>
        <sz val="11"/>
        <color theme="1"/>
        <rFont val="Calibri"/>
        <family val="2"/>
        <scheme val="minor"/>
      </rPr>
      <t>If you know how your league drafts and have past draft data, edit these baselines to represent the last player drafted at each position for more accurate values.</t>
    </r>
    <r>
      <rPr>
        <b/>
        <sz val="11"/>
        <color theme="1"/>
        <rFont val="Calibri"/>
        <family val="2"/>
        <scheme val="minor"/>
      </rPr>
      <t xml:space="preserve">
</t>
    </r>
    <r>
      <rPr>
        <sz val="11"/>
        <color theme="1"/>
        <rFont val="Calibri"/>
        <family val="2"/>
        <scheme val="minor"/>
      </rPr>
      <t>If you want to fill in custom VBD baselines, this article is a good place to start https://web.archive.org/web/20170902090712/http://www.rotoworld.com:80/articles/nfl/41100/71/draft-analysis</t>
    </r>
  </si>
  <si>
    <r>
      <t xml:space="preserve">IMPORTANT NOTE: </t>
    </r>
    <r>
      <rPr>
        <sz val="11"/>
        <color theme="1"/>
        <rFont val="Calibri"/>
        <family val="2"/>
        <scheme val="minor"/>
      </rPr>
      <t xml:space="preserve">Throughout the sheet, any fields that you can and should edit are highlighted in </t>
    </r>
    <r>
      <rPr>
        <b/>
        <sz val="11"/>
        <color theme="1"/>
        <rFont val="Calibri"/>
        <family val="2"/>
        <scheme val="minor"/>
      </rPr>
      <t>light yellow</t>
    </r>
    <r>
      <rPr>
        <sz val="11"/>
        <color theme="1"/>
        <rFont val="Calibri"/>
        <family val="2"/>
        <scheme val="minor"/>
      </rPr>
      <t>. Feel free to alter player projections using the hidden "RAW" tabs, everything will update automatically</t>
    </r>
  </si>
  <si>
    <t>P</t>
  </si>
  <si>
    <t>Bradley Pinion</t>
  </si>
  <si>
    <t>Jordan Stout</t>
  </si>
  <si>
    <t>Johnny Hekker</t>
  </si>
  <si>
    <t>Corey Bojorquez</t>
  </si>
  <si>
    <t>Malik Davis</t>
  </si>
  <si>
    <t>Bryan Anger</t>
  </si>
  <si>
    <t>Sam Martin</t>
  </si>
  <si>
    <t>Jack Fox</t>
  </si>
  <si>
    <t>Cameron Johnston</t>
  </si>
  <si>
    <t>Logan Cooke</t>
  </si>
  <si>
    <t>Tommy Townsend</t>
  </si>
  <si>
    <t>A.J. Cole III</t>
  </si>
  <si>
    <t>Riley Dixon</t>
  </si>
  <si>
    <t>Cedrick Wilson</t>
  </si>
  <si>
    <t>Thomas Morstead</t>
  </si>
  <si>
    <t>Jake Bailey</t>
  </si>
  <si>
    <t>Blake Gillikin</t>
  </si>
  <si>
    <t>Jamie Gillan</t>
  </si>
  <si>
    <t>Mitchell Trubisky</t>
  </si>
  <si>
    <t>Ray-Ray McCloud III</t>
  </si>
  <si>
    <t>Mitch Wishnowsky</t>
  </si>
  <si>
    <t>Michael Dickson</t>
  </si>
  <si>
    <t>Jake Camarda</t>
  </si>
  <si>
    <t>Tress Way</t>
  </si>
  <si>
    <t>QB1</t>
  </si>
  <si>
    <t>QB2</t>
  </si>
  <si>
    <t>RB1</t>
  </si>
  <si>
    <t>RB2</t>
  </si>
  <si>
    <t>RB3</t>
  </si>
  <si>
    <t>TE1</t>
  </si>
  <si>
    <t>TE2</t>
  </si>
  <si>
    <t>TE3</t>
  </si>
  <si>
    <t>Credit for the DepthChart sheet addition goes to  /u/T-Jacks</t>
  </si>
  <si>
    <t>Jaylen Warren</t>
  </si>
  <si>
    <t>MyCole Pruitt</t>
  </si>
  <si>
    <t>Julius Chestnut</t>
  </si>
  <si>
    <t>RB4</t>
  </si>
  <si>
    <t>WR1</t>
  </si>
  <si>
    <t>WR2</t>
  </si>
  <si>
    <t>WR3</t>
  </si>
  <si>
    <t>WR4</t>
  </si>
  <si>
    <t>WR5</t>
  </si>
  <si>
    <t>Ryan Wright</t>
  </si>
  <si>
    <r>
      <t xml:space="preserve">Spreadsheet created by http://www.reddit.com/user/elboberto. </t>
    </r>
    <r>
      <rPr>
        <b/>
        <sz val="11"/>
        <color theme="1"/>
        <rFont val="Calibri"/>
        <family val="2"/>
        <scheme val="minor"/>
      </rPr>
      <t>Venmo</t>
    </r>
    <r>
      <rPr>
        <sz val="11"/>
        <color theme="1"/>
        <rFont val="Calibri"/>
        <family val="2"/>
        <scheme val="minor"/>
      </rPr>
      <t xml:space="preserve"> @Bob-Mello if you want to buy me a beer!</t>
    </r>
  </si>
  <si>
    <t>Armani Rogers</t>
  </si>
  <si>
    <t>Stone Smartt</t>
  </si>
  <si>
    <t>Jordan Mason</t>
  </si>
  <si>
    <t>Zonovan Knight</t>
  </si>
  <si>
    <t>KaVontae Turpin</t>
  </si>
  <si>
    <t>Peyton Hendershot</t>
  </si>
  <si>
    <t>Quintin Morris</t>
  </si>
  <si>
    <t>Eddy Pineiro</t>
  </si>
  <si>
    <t>Trey Sermon</t>
  </si>
  <si>
    <t>9.6</t>
  </si>
  <si>
    <t>Michael Wilson</t>
  </si>
  <si>
    <t>Bijan Robinson</t>
  </si>
  <si>
    <t>Zay Flowers</t>
  </si>
  <si>
    <t>Dalton Kincaid</t>
  </si>
  <si>
    <t>Bryce Young</t>
  </si>
  <si>
    <t>Raheem Blackshear</t>
  </si>
  <si>
    <t>Jonathan Mingo</t>
  </si>
  <si>
    <t>Roschon Johnson</t>
  </si>
  <si>
    <t>Chase Brown</t>
  </si>
  <si>
    <t>Charlie Jones</t>
  </si>
  <si>
    <t>Cedric Tillman</t>
  </si>
  <si>
    <t>Deuce Vaughn</t>
  </si>
  <si>
    <t>Luke Schoonmaker</t>
  </si>
  <si>
    <t>Marvin Mims Jr.</t>
  </si>
  <si>
    <t>Hendon Hooker</t>
  </si>
  <si>
    <t>Jahmyr Gibbs</t>
  </si>
  <si>
    <t>Sam LaPorta</t>
  </si>
  <si>
    <t>Sean Clifford</t>
  </si>
  <si>
    <t>Jayden Reed</t>
  </si>
  <si>
    <t>Dontayvion Wicks</t>
  </si>
  <si>
    <t>Luke Musgrave</t>
  </si>
  <si>
    <t>Tucker Kraft</t>
  </si>
  <si>
    <t>Anders Carlson</t>
  </si>
  <si>
    <t>C.J. Stroud</t>
  </si>
  <si>
    <t>John Metchie III</t>
  </si>
  <si>
    <t>Anthony Richardson</t>
  </si>
  <si>
    <t>Evan Hull</t>
  </si>
  <si>
    <t>Josh Downs</t>
  </si>
  <si>
    <t>Will Mallory</t>
  </si>
  <si>
    <t>Rigoberto Sanchez</t>
  </si>
  <si>
    <t>Tank Bigsby</t>
  </si>
  <si>
    <t>Parker Washington</t>
  </si>
  <si>
    <t>Brenton Strange</t>
  </si>
  <si>
    <t>Deneric Prince</t>
  </si>
  <si>
    <t>Rashee Rice</t>
  </si>
  <si>
    <t>Tre Tucker</t>
  </si>
  <si>
    <t>Michael Mayer</t>
  </si>
  <si>
    <t>Quentin Johnston</t>
  </si>
  <si>
    <t>Cameron Dicker</t>
  </si>
  <si>
    <t>J.K. Scott</t>
  </si>
  <si>
    <t>Stetson Bennett</t>
  </si>
  <si>
    <t>Zach Evans</t>
  </si>
  <si>
    <t>Ethan Evans</t>
  </si>
  <si>
    <t>DeWayne McBride</t>
  </si>
  <si>
    <t>Jordan Addison</t>
  </si>
  <si>
    <t>Bailey Zappe</t>
  </si>
  <si>
    <t>Kevin Harris</t>
  </si>
  <si>
    <t>Chad Ryland</t>
  </si>
  <si>
    <t>Bryce Baringer</t>
  </si>
  <si>
    <t>Kendre Miller</t>
  </si>
  <si>
    <t>Rashid Shaheed</t>
  </si>
  <si>
    <t>Eric Gray</t>
  </si>
  <si>
    <t>Isaiah Hodgins</t>
  </si>
  <si>
    <t>Israel Abanikanda</t>
  </si>
  <si>
    <t>Darnell Washington</t>
  </si>
  <si>
    <t>Brock Purdy</t>
  </si>
  <si>
    <t>Cameron Latu</t>
  </si>
  <si>
    <t>Jake Moody</t>
  </si>
  <si>
    <t>Zach Charbonnet</t>
  </si>
  <si>
    <t>Kenny McIntosh</t>
  </si>
  <si>
    <t>Jaxon Smith-Njigba</t>
  </si>
  <si>
    <t>Sean Tucker</t>
  </si>
  <si>
    <t>Deven Thompkins</t>
  </si>
  <si>
    <t>Payne Durham</t>
  </si>
  <si>
    <t>Chase McLaughlin</t>
  </si>
  <si>
    <t>Will Levis</t>
  </si>
  <si>
    <t>Tyjae Spears</t>
  </si>
  <si>
    <t>Clayton Tune</t>
  </si>
  <si>
    <t>Aidan O'Connell</t>
  </si>
  <si>
    <t>Jaren Hall</t>
  </si>
  <si>
    <t>Kenneth Walker III</t>
  </si>
  <si>
    <t>De'Von Achane</t>
  </si>
  <si>
    <t>Chris Rodriguez Jr.</t>
  </si>
  <si>
    <t>Keaton Mitchell</t>
  </si>
  <si>
    <t>Ronnie Rivers</t>
  </si>
  <si>
    <t>Hunter Luepke</t>
  </si>
  <si>
    <t>Gabe Davis</t>
  </si>
  <si>
    <t>Mecole Hardman Jr.</t>
  </si>
  <si>
    <t>Jalin Hyatt</t>
  </si>
  <si>
    <t>Kayshon Boutte</t>
  </si>
  <si>
    <t>Puka Nacua</t>
  </si>
  <si>
    <t>Tank Dell</t>
  </si>
  <si>
    <t>Xavier Hutchinson</t>
  </si>
  <si>
    <t>A.T. Perry</t>
  </si>
  <si>
    <t>Tyler Scott</t>
  </si>
  <si>
    <t>Trey Palmer</t>
  </si>
  <si>
    <t>Justyn Ross</t>
  </si>
  <si>
    <t>Andrei Iosivas</t>
  </si>
  <si>
    <t>Jason Brownlee</t>
  </si>
  <si>
    <t>Brandon Johnson</t>
  </si>
  <si>
    <t>Elijah Higgins</t>
  </si>
  <si>
    <t>Davis Allen</t>
  </si>
  <si>
    <t>Brayden Willis</t>
  </si>
  <si>
    <t>Josh Whyle</t>
  </si>
  <si>
    <t>Zack Kuntz</t>
  </si>
  <si>
    <t>0.0</t>
  </si>
  <si>
    <t>CustomLeagueSite</t>
  </si>
  <si>
    <t>Marcedes Lewis</t>
  </si>
  <si>
    <t>Randy Bullock</t>
  </si>
  <si>
    <t>Derius Davis</t>
  </si>
  <si>
    <t>Rakim Jarrett</t>
  </si>
  <si>
    <t>Ronnie Bell</t>
  </si>
  <si>
    <t>Ty Johnson</t>
  </si>
  <si>
    <t>Dontay Demus</t>
  </si>
  <si>
    <t>Tyler Johnson</t>
  </si>
  <si>
    <t>Benny Snell Jr.</t>
  </si>
  <si>
    <t>-</t>
  </si>
  <si>
    <t>Mean</t>
  </si>
  <si>
    <t>StdDev</t>
  </si>
  <si>
    <t>AgeFactor</t>
  </si>
  <si>
    <t>Inf $</t>
  </si>
  <si>
    <t>MeanQB</t>
  </si>
  <si>
    <t>STdDevQB</t>
  </si>
  <si>
    <t>MeanRB</t>
  </si>
  <si>
    <t>StdDevRB</t>
  </si>
  <si>
    <t>MeanWR</t>
  </si>
  <si>
    <t>StdDevWR</t>
  </si>
  <si>
    <t>MeanTE</t>
  </si>
  <si>
    <t>StdDevTE</t>
  </si>
  <si>
    <t>Age $</t>
  </si>
  <si>
    <t>Brandon Aubrey</t>
  </si>
  <si>
    <t>Jaleel McLaughlin</t>
  </si>
  <si>
    <t>BACK TO TOP</t>
  </si>
  <si>
    <r>
      <rPr>
        <b/>
        <sz val="11"/>
        <color theme="1"/>
        <rFont val="Calibri"/>
        <family val="2"/>
        <scheme val="minor"/>
      </rPr>
      <t>Step 6)</t>
    </r>
    <r>
      <rPr>
        <sz val="11"/>
        <color theme="1"/>
        <rFont val="Calibri"/>
        <family val="2"/>
        <scheme val="minor"/>
      </rPr>
      <t xml:space="preserve"> If doing an auction draft, go to the </t>
    </r>
    <r>
      <rPr>
        <b/>
        <sz val="11"/>
        <color theme="1"/>
        <rFont val="Calibri"/>
        <family val="2"/>
        <scheme val="minor"/>
      </rPr>
      <t>Auction</t>
    </r>
    <r>
      <rPr>
        <sz val="11"/>
        <color theme="1"/>
        <rFont val="Calibri"/>
        <family val="2"/>
        <scheme val="minor"/>
      </rPr>
      <t xml:space="preserve"> worksheet for your auction. The projected value of each player is shown. To use during an auction, find a players name with CTRL+F, enter the amount the player was drafted for in "Paid", then enter a team in "Drafted By" This can be used for keepers (enter kept $ amount before draft, mark Keeper as "Yes") or in-draft. Inflation will be calculated on the fly and inflated (or deflated) player values will be shown to the right, factoring in the money that is no longer on the table to be spent.</t>
    </r>
  </si>
  <si>
    <t>Jalen Brooks</t>
  </si>
  <si>
    <t>Blake Grupe</t>
  </si>
  <si>
    <t>Tyson Bagent</t>
  </si>
  <si>
    <t>Jake Browning</t>
  </si>
  <si>
    <t>Emari Demercado</t>
  </si>
  <si>
    <t>Julian Hill</t>
  </si>
  <si>
    <t>Nathan Peterman</t>
  </si>
  <si>
    <t>Emanuel Wilson</t>
  </si>
  <si>
    <t>Zander Horvath</t>
  </si>
  <si>
    <t>Nick Bawden</t>
  </si>
  <si>
    <t>Ben Sims</t>
  </si>
  <si>
    <t>Pharaoh Brown</t>
  </si>
  <si>
    <t>Jake Bobo</t>
  </si>
  <si>
    <t>Chris Conley</t>
  </si>
  <si>
    <t>Xavier Gipson</t>
  </si>
  <si>
    <t>Irvin Charles</t>
  </si>
  <si>
    <t>D.J. Montgomery</t>
  </si>
  <si>
    <t>11.5</t>
  </si>
  <si>
    <t>Jayden Daniels</t>
  </si>
  <si>
    <t>Caleb Williams</t>
  </si>
  <si>
    <t>J.J. McCarthy</t>
  </si>
  <si>
    <t>Bo Nix</t>
  </si>
  <si>
    <t>Drake Maye</t>
  </si>
  <si>
    <t>Josh Johnson</t>
  </si>
  <si>
    <t>Michael Penix Jr.</t>
  </si>
  <si>
    <t>Joe Flacco</t>
  </si>
  <si>
    <t>Michael Pratt</t>
  </si>
  <si>
    <t>Spencer Rattler</t>
  </si>
  <si>
    <t>Jonathon Brooks</t>
  </si>
  <si>
    <t>Trey Benson</t>
  </si>
  <si>
    <t>Blake Corum</t>
  </si>
  <si>
    <t>MarShawn Lloyd</t>
  </si>
  <si>
    <t>Jaylen Wright</t>
  </si>
  <si>
    <t>Tyrone Tracy Jr.</t>
  </si>
  <si>
    <t>Braelon Allen</t>
  </si>
  <si>
    <t>Ray Davis</t>
  </si>
  <si>
    <t>Bucky Irving</t>
  </si>
  <si>
    <t>Isaiah Davis</t>
  </si>
  <si>
    <t>Audric Estime</t>
  </si>
  <si>
    <t>Kendall Milton</t>
  </si>
  <si>
    <t>Will Shipley</t>
  </si>
  <si>
    <t>Jeremy McNichols</t>
  </si>
  <si>
    <t>Jase McClellan</t>
  </si>
  <si>
    <t>Cody Schrader</t>
  </si>
  <si>
    <t>Isaac Guerendo</t>
  </si>
  <si>
    <t>Rasheen Ali</t>
  </si>
  <si>
    <t>Dylan Laube</t>
  </si>
  <si>
    <t>Kimani Vidal</t>
  </si>
  <si>
    <t>Dante Miller</t>
  </si>
  <si>
    <t>Jawhar Jordan</t>
  </si>
  <si>
    <t>Sione Vaki</t>
  </si>
  <si>
    <t>Avery Williams</t>
  </si>
  <si>
    <t>14.4</t>
  </si>
  <si>
    <t>13.2</t>
  </si>
  <si>
    <t>2.7</t>
  </si>
  <si>
    <t>15.5</t>
  </si>
  <si>
    <t>14.7</t>
  </si>
  <si>
    <t>11.3</t>
  </si>
  <si>
    <t>11.9</t>
  </si>
  <si>
    <t>2.8</t>
  </si>
  <si>
    <t>13.8</t>
  </si>
  <si>
    <t>12.8</t>
  </si>
  <si>
    <t>18.0</t>
  </si>
  <si>
    <t>15.8</t>
  </si>
  <si>
    <t>11.4</t>
  </si>
  <si>
    <t>13.9</t>
  </si>
  <si>
    <t>11.1</t>
  </si>
  <si>
    <t>13.4</t>
  </si>
  <si>
    <t>13.3</t>
  </si>
  <si>
    <t>10.9</t>
  </si>
  <si>
    <t>2.6</t>
  </si>
  <si>
    <t>2.5</t>
  </si>
  <si>
    <t>8.8</t>
  </si>
  <si>
    <t>Deebo Samuel Sr.</t>
  </si>
  <si>
    <t>Marvin Harrison Jr.</t>
  </si>
  <si>
    <t>Malik Nabers</t>
  </si>
  <si>
    <t>Hollywood Brown</t>
  </si>
  <si>
    <t>Xavier Worthy</t>
  </si>
  <si>
    <t>Ladd McConkey</t>
  </si>
  <si>
    <t>Rome Odunze</t>
  </si>
  <si>
    <t>Keon Coleman</t>
  </si>
  <si>
    <t>Brian Thomas Jr.</t>
  </si>
  <si>
    <t>DeMario Douglas</t>
  </si>
  <si>
    <t>Xavier Legette</t>
  </si>
  <si>
    <t>Adonai Mitchell</t>
  </si>
  <si>
    <t>Jermaine Burton</t>
  </si>
  <si>
    <t>Ja'Lynn Polk</t>
  </si>
  <si>
    <t>Roman Wilson</t>
  </si>
  <si>
    <t>Malachi Corley</t>
  </si>
  <si>
    <t>Troy Franklin</t>
  </si>
  <si>
    <t>Ricky Pearsall</t>
  </si>
  <si>
    <t>Luke McCaffrey</t>
  </si>
  <si>
    <t>Jalen McMillan</t>
  </si>
  <si>
    <t>Devontez Walker</t>
  </si>
  <si>
    <t>Bub Means</t>
  </si>
  <si>
    <t>Ryan Flournoy</t>
  </si>
  <si>
    <t>Malik Washington</t>
  </si>
  <si>
    <t>Jordan Whittington</t>
  </si>
  <si>
    <t>Trent Sherfield Sr.</t>
  </si>
  <si>
    <t>Ainias Smith</t>
  </si>
  <si>
    <t>Javon Baker</t>
  </si>
  <si>
    <t>Johnny Wilson</t>
  </si>
  <si>
    <t>Anthony Gould</t>
  </si>
  <si>
    <t>Brock Bowers</t>
  </si>
  <si>
    <t>Ben Sinnott</t>
  </si>
  <si>
    <t>Theo Johnson</t>
  </si>
  <si>
    <t>Ja'Tavion Sanders</t>
  </si>
  <si>
    <t>Trey Knox</t>
  </si>
  <si>
    <t>Tanner McLachlan</t>
  </si>
  <si>
    <t>Cade Stover</t>
  </si>
  <si>
    <t>Dallin Holker</t>
  </si>
  <si>
    <t>Albert Okwuegbunam Jr.</t>
  </si>
  <si>
    <t>Travis Vokolek</t>
  </si>
  <si>
    <t>Drew Ogletree</t>
  </si>
  <si>
    <t>Erick All Jr.</t>
  </si>
  <si>
    <t>La'Michael Pettway</t>
  </si>
  <si>
    <t>Jaheim Bell</t>
  </si>
  <si>
    <t>AJ Barner</t>
  </si>
  <si>
    <t>Tip Reiman</t>
  </si>
  <si>
    <t>Jared Wiley</t>
  </si>
  <si>
    <t>Lucas Krull</t>
  </si>
  <si>
    <t>Jake Bates</t>
  </si>
  <si>
    <t>Joshua Karty</t>
  </si>
  <si>
    <t>Will Reichard</t>
  </si>
  <si>
    <t>Ramiz Ahmed</t>
  </si>
  <si>
    <t>Cam Little</t>
  </si>
  <si>
    <t>Daniel Whelan</t>
  </si>
  <si>
    <t>Tyler Goodson</t>
  </si>
  <si>
    <t>Jordan Mims</t>
  </si>
  <si>
    <t>Braden Mann</t>
  </si>
  <si>
    <t>9.5</t>
  </si>
  <si>
    <t>1.0</t>
  </si>
  <si>
    <t>10.7</t>
  </si>
  <si>
    <t>2.4</t>
  </si>
  <si>
    <t>0.5</t>
  </si>
  <si>
    <t>9.4</t>
  </si>
  <si>
    <t>12.6</t>
  </si>
  <si>
    <t>9.9</t>
  </si>
  <si>
    <t>9.8</t>
  </si>
  <si>
    <t>13.6</t>
  </si>
  <si>
    <t>10.6</t>
  </si>
  <si>
    <t>2.2</t>
  </si>
  <si>
    <t>9.2</t>
  </si>
  <si>
    <t>10.0</t>
  </si>
  <si>
    <t>10.1</t>
  </si>
  <si>
    <t>43.9</t>
  </si>
  <si>
    <t>2.3</t>
  </si>
  <si>
    <t>12.3</t>
  </si>
  <si>
    <t>8.9</t>
  </si>
  <si>
    <t>2.1</t>
  </si>
  <si>
    <t>8.2</t>
  </si>
  <si>
    <t>Tommy DeVito</t>
  </si>
  <si>
    <t>Jordan Travis</t>
  </si>
  <si>
    <t>Skylar Thompson</t>
  </si>
  <si>
    <t>Joe Milton III</t>
  </si>
  <si>
    <t>Sam Hartman</t>
  </si>
  <si>
    <t>Tanner McKee</t>
  </si>
  <si>
    <t>Sam Ehlinger</t>
  </si>
  <si>
    <t>Dorian Thompson-Robinson</t>
  </si>
  <si>
    <t>Devin Leary</t>
  </si>
  <si>
    <t>Emani Bailey</t>
  </si>
  <si>
    <t>Blake Watson</t>
  </si>
  <si>
    <t>Elijah Dotson</t>
  </si>
  <si>
    <t>Reggie Gilliam</t>
  </si>
  <si>
    <t>Keilan Robinson</t>
  </si>
  <si>
    <t>Patrick Ricard</t>
  </si>
  <si>
    <t>Patrick Taylor Jr.</t>
  </si>
  <si>
    <t>C.J. Ham</t>
  </si>
  <si>
    <t>Devin Culp</t>
  </si>
  <si>
    <t>Izaiah Gathings</t>
  </si>
  <si>
    <t>Miller Forristall</t>
  </si>
  <si>
    <t>Kenny Yeboah</t>
  </si>
  <si>
    <t>Tommy Hudson</t>
  </si>
  <si>
    <t>Brady Russell</t>
  </si>
  <si>
    <t>Nate Adkins</t>
  </si>
  <si>
    <t>Chris Manhertz</t>
  </si>
  <si>
    <t>Brenden Rice</t>
  </si>
  <si>
    <t>Jamari Thrash</t>
  </si>
  <si>
    <t>Jacob Cowing</t>
  </si>
  <si>
    <t>Marcus Rosemy-Jacksaint</t>
  </si>
  <si>
    <t>Michael Woods II</t>
  </si>
  <si>
    <t>Malik Heath</t>
  </si>
  <si>
    <t>Tim Jones</t>
  </si>
  <si>
    <t>Simi Fehoko</t>
  </si>
  <si>
    <t>River Cracraft</t>
  </si>
  <si>
    <t>Dareke Young</t>
  </si>
  <si>
    <t>Easop Winston Jr.</t>
  </si>
  <si>
    <t>David Sills</t>
  </si>
  <si>
    <t>Montrell Washington</t>
  </si>
  <si>
    <t>Cody White</t>
  </si>
  <si>
    <t>Britain Covey</t>
  </si>
  <si>
    <t>DJ Turner</t>
  </si>
  <si>
    <t>Kristian Wilkerson</t>
  </si>
  <si>
    <t>Trishton Jackson</t>
  </si>
  <si>
    <t>Gunner Olszewski</t>
  </si>
  <si>
    <t>Quintez Cephus</t>
  </si>
  <si>
    <t>fpts</t>
  </si>
  <si>
    <t>Column1</t>
  </si>
  <si>
    <t>Column2</t>
  </si>
  <si>
    <t/>
  </si>
  <si>
    <t>ARIZONA CARDINALS</t>
  </si>
  <si>
    <t>ATLANTA FALCONS</t>
  </si>
  <si>
    <t>BALTIMORE RAVENS</t>
  </si>
  <si>
    <t>BUFFALO BILLS</t>
  </si>
  <si>
    <t>CAROLINA PANTHERS</t>
  </si>
  <si>
    <t>CHICAGO BEARS</t>
  </si>
  <si>
    <t>Tory Taylor</t>
  </si>
  <si>
    <t>CINCINNATI BENGALS</t>
  </si>
  <si>
    <t>CLEVELAND BROWNS</t>
  </si>
  <si>
    <t>DALLAS COWBOYS</t>
  </si>
  <si>
    <t>DENVER BRONCOS</t>
  </si>
  <si>
    <t>DETROIT LIONS</t>
  </si>
  <si>
    <t>GREEN BAY PACKERS</t>
  </si>
  <si>
    <t>HOUSTON TEXANS</t>
  </si>
  <si>
    <t>INDIANAPOLIS COLTS</t>
  </si>
  <si>
    <t>Andrew Ogletree</t>
  </si>
  <si>
    <t>JACKSONVILLE JAGUARS</t>
  </si>
  <si>
    <t>KANSAS CITY CHIEFS</t>
  </si>
  <si>
    <t>Matt Araiza</t>
  </si>
  <si>
    <t>LAS VEGAS RAIDERS</t>
  </si>
  <si>
    <t>LOS ANGELES CHARGERS</t>
  </si>
  <si>
    <t>LOS ANGELES RAMS</t>
  </si>
  <si>
    <t>MIAMI DOLPHINS</t>
  </si>
  <si>
    <t>MINNESOTA VIKINGS</t>
  </si>
  <si>
    <t>NEW ENGLAND PATRIOTS</t>
  </si>
  <si>
    <t>NEW ORLEANS SAINTS</t>
  </si>
  <si>
    <t>NEW YORK GIANTS</t>
  </si>
  <si>
    <t>NEW YORK JETS</t>
  </si>
  <si>
    <t>PHILADELPHIA EAGLES</t>
  </si>
  <si>
    <t>PITTSBURGH STEELERS</t>
  </si>
  <si>
    <t>SAN FRANCISCO 49ERS</t>
  </si>
  <si>
    <t>SEATTLE SEAHAWKS</t>
  </si>
  <si>
    <t>TAMPA BAY BUCCANEERS</t>
  </si>
  <si>
    <t>TENNESSEE TITANS</t>
  </si>
  <si>
    <t>Ryan Stonehouse</t>
  </si>
  <si>
    <t>WASHINGTON COMMANDERS</t>
  </si>
  <si>
    <t>Clyde Edwards0Helaire</t>
  </si>
  <si>
    <t>Mo Alie0Cox</t>
  </si>
  <si>
    <t>JuJu Smith0Schuster</t>
  </si>
  <si>
    <t>Marquez Valdes0Scantling</t>
  </si>
  <si>
    <t>Marcus Rosemy0Jacksaint</t>
  </si>
  <si>
    <t>Ray0Ray McCloud III</t>
  </si>
  <si>
    <t>Donovan Peoples0Jones</t>
  </si>
  <si>
    <t>Frank Gore Jr.</t>
  </si>
  <si>
    <t>Jalen Coker</t>
  </si>
  <si>
    <t>Dillon Johnson</t>
  </si>
  <si>
    <t>Casey Washington</t>
  </si>
  <si>
    <t>Tahj Washington</t>
  </si>
  <si>
    <t>Jaret Patterson</t>
  </si>
  <si>
    <t>John Stephens Jr.</t>
  </si>
  <si>
    <t>3.1</t>
  </si>
  <si>
    <t>2.9</t>
  </si>
  <si>
    <t>15.7</t>
  </si>
  <si>
    <t>10.4</t>
  </si>
  <si>
    <t>13.1</t>
  </si>
  <si>
    <t>Mason Tipton</t>
  </si>
  <si>
    <t>Nikko Remigio</t>
  </si>
  <si>
    <t>Byron Pringle</t>
  </si>
  <si>
    <t>DeAndre Carter</t>
  </si>
  <si>
    <t>Carson Steele</t>
  </si>
  <si>
    <t>Anthony Firkser</t>
  </si>
  <si>
    <t>Z-Score</t>
  </si>
  <si>
    <t>Cornelius Johnson</t>
  </si>
  <si>
    <t>Devaughn Vele</t>
  </si>
  <si>
    <t>Tejhaun Palmer</t>
  </si>
  <si>
    <t>Jha'Quan Jackson</t>
  </si>
  <si>
    <t>14.2</t>
  </si>
  <si>
    <t>11.0</t>
  </si>
  <si>
    <t>47.9</t>
  </si>
  <si>
    <t>9.7</t>
  </si>
  <si>
    <t>13.0</t>
  </si>
  <si>
    <t>12.4</t>
  </si>
  <si>
    <t>49.0</t>
  </si>
  <si>
    <t>16.1</t>
  </si>
  <si>
    <t>11.6</t>
  </si>
  <si>
    <t>19.5</t>
  </si>
  <si>
    <t>40.9</t>
  </si>
  <si>
    <t>9.1</t>
  </si>
  <si>
    <t>403.1</t>
  </si>
  <si>
    <t>Carlos Washington Jr.</t>
  </si>
  <si>
    <t>50.1</t>
  </si>
  <si>
    <t>15.1</t>
  </si>
  <si>
    <t>12.1</t>
  </si>
  <si>
    <t>8.3</t>
  </si>
  <si>
    <t>Cade York</t>
  </si>
  <si>
    <t>16.6</t>
  </si>
  <si>
    <t>48.5</t>
  </si>
  <si>
    <t>381.6</t>
  </si>
  <si>
    <t>41.7</t>
  </si>
  <si>
    <t>44.7</t>
  </si>
  <si>
    <t>12.2</t>
  </si>
  <si>
    <t>376.7</t>
  </si>
  <si>
    <t>427.0</t>
  </si>
  <si>
    <t>Jake Haener</t>
  </si>
  <si>
    <t>Isaiah Williams</t>
  </si>
  <si>
    <t>Bryce Ford-Wheaton</t>
  </si>
  <si>
    <t>Kameron Johnson</t>
  </si>
  <si>
    <t>50.9</t>
  </si>
  <si>
    <t>16.5</t>
  </si>
  <si>
    <t>323.8</t>
  </si>
  <si>
    <t>14.5</t>
  </si>
  <si>
    <t>339.9</t>
  </si>
  <si>
    <t>50.8</t>
  </si>
  <si>
    <t>10.3</t>
  </si>
  <si>
    <t>15.0</t>
  </si>
  <si>
    <t>393.2</t>
  </si>
  <si>
    <t>337.9</t>
  </si>
  <si>
    <t>351.6</t>
  </si>
  <si>
    <t>44.3</t>
  </si>
  <si>
    <t>327.4</t>
  </si>
  <si>
    <t>47.5</t>
  </si>
  <si>
    <t>358.1</t>
  </si>
  <si>
    <t>46.0</t>
  </si>
  <si>
    <t>409.0</t>
  </si>
  <si>
    <t>5,693.4</t>
  </si>
  <si>
    <t>47.2</t>
  </si>
  <si>
    <t>365.6</t>
  </si>
  <si>
    <t>18.1</t>
  </si>
  <si>
    <t>5,711.8</t>
  </si>
  <si>
    <t>41.2</t>
  </si>
  <si>
    <t>16.2</t>
  </si>
  <si>
    <t>384.0</t>
  </si>
  <si>
    <t>47.8</t>
  </si>
  <si>
    <t>431.3</t>
  </si>
  <si>
    <t>5,812.9</t>
  </si>
  <si>
    <t>362.0</t>
  </si>
  <si>
    <t>45.0</t>
  </si>
  <si>
    <t>14.3</t>
  </si>
  <si>
    <t>396.7</t>
  </si>
  <si>
    <t>45.3</t>
  </si>
  <si>
    <t>372.4</t>
  </si>
  <si>
    <t>5,672.1</t>
  </si>
  <si>
    <t>387.3</t>
  </si>
  <si>
    <t>376.4</t>
  </si>
  <si>
    <t>18.9</t>
  </si>
  <si>
    <t>406.7</t>
  </si>
  <si>
    <t>43.6</t>
  </si>
  <si>
    <t>17.1</t>
  </si>
  <si>
    <t>37.3</t>
  </si>
  <si>
    <t>376.5</t>
  </si>
  <si>
    <t>406.8</t>
  </si>
  <si>
    <t>43.4</t>
  </si>
  <si>
    <t>393.8</t>
  </si>
  <si>
    <t>12.5</t>
  </si>
  <si>
    <t>38.4</t>
  </si>
  <si>
    <t>13.5</t>
  </si>
  <si>
    <t>36.4</t>
  </si>
  <si>
    <t>Brenden Bates</t>
  </si>
  <si>
    <t>Jake Tonges</t>
  </si>
  <si>
    <t>Parker Hesse</t>
  </si>
  <si>
    <t>Nick Muse</t>
  </si>
  <si>
    <t>Stephen Carlson</t>
  </si>
  <si>
    <t>Brayden Narveson</t>
  </si>
  <si>
    <t>Joey Slye</t>
  </si>
  <si>
    <t>TBA CIN RB</t>
  </si>
  <si>
    <t>Ryan Rehkow</t>
  </si>
  <si>
    <t>TBA CLE RB</t>
  </si>
  <si>
    <t>Ramel Keyton</t>
  </si>
  <si>
    <t>TBA MIN RB</t>
  </si>
  <si>
    <t>Matthew Hayball</t>
  </si>
  <si>
    <t>Patrick Taylor</t>
  </si>
  <si>
    <t>Thomas Odukoya</t>
  </si>
  <si>
    <t>Yahoo Source</t>
  </si>
  <si>
    <t>ESPN Source</t>
  </si>
  <si>
    <t>https://football.fantasysports.yahoo.com/f1/draftanalysis?type=salcap</t>
  </si>
  <si>
    <t>https://fantasy.espn.com/football/livedraftresults?</t>
  </si>
  <si>
    <r>
      <rPr>
        <b/>
        <sz val="11"/>
        <color theme="1"/>
        <rFont val="Calibri"/>
        <family val="2"/>
        <scheme val="minor"/>
      </rPr>
      <t>Step 10)</t>
    </r>
    <r>
      <rPr>
        <sz val="11"/>
        <color theme="1"/>
        <rFont val="Calibri"/>
        <family val="2"/>
        <scheme val="minor"/>
      </rPr>
      <t xml:space="preserve"> Hide any sheets you don't use during the draft to avoid distractions. I like to hide </t>
    </r>
    <r>
      <rPr>
        <b/>
        <sz val="11"/>
        <color theme="1"/>
        <rFont val="Calibri"/>
        <family val="2"/>
        <scheme val="minor"/>
      </rPr>
      <t>Intro</t>
    </r>
    <r>
      <rPr>
        <sz val="11"/>
        <color theme="1"/>
        <rFont val="Calibri"/>
        <family val="2"/>
        <scheme val="minor"/>
      </rPr>
      <t xml:space="preserve">, </t>
    </r>
    <r>
      <rPr>
        <b/>
        <sz val="11"/>
        <color theme="1"/>
        <rFont val="Calibri"/>
        <family val="2"/>
        <scheme val="minor"/>
      </rPr>
      <t>LeagueInfo</t>
    </r>
    <r>
      <rPr>
        <sz val="11"/>
        <color theme="1"/>
        <rFont val="Calibri"/>
        <family val="2"/>
        <scheme val="minor"/>
      </rPr>
      <t xml:space="preserve">, and </t>
    </r>
    <r>
      <rPr>
        <b/>
        <sz val="11"/>
        <color theme="1"/>
        <rFont val="Calibri"/>
        <family val="2"/>
        <scheme val="minor"/>
      </rPr>
      <t>DefaultAuctionValues</t>
    </r>
    <r>
      <rPr>
        <sz val="11"/>
        <color theme="1"/>
        <rFont val="Calibri"/>
        <family val="2"/>
        <scheme val="minor"/>
      </rPr>
      <t xml:space="preserve"> sheets during a draft.</t>
    </r>
  </si>
  <si>
    <t>About</t>
  </si>
  <si>
    <t>Instructions</t>
  </si>
  <si>
    <t>Jalen Reagor</t>
  </si>
  <si>
    <t>Robbie Chosen</t>
  </si>
  <si>
    <t>Eric Saubert</t>
  </si>
  <si>
    <t>346.9</t>
  </si>
  <si>
    <t>5,446.6</t>
  </si>
  <si>
    <t>5,268.8</t>
  </si>
  <si>
    <t>5,168.9</t>
  </si>
  <si>
    <t>382.3</t>
  </si>
  <si>
    <t>5,583.7</t>
  </si>
  <si>
    <t>5,710.2</t>
  </si>
  <si>
    <t>49.9</t>
  </si>
  <si>
    <t>5,287.7</t>
  </si>
  <si>
    <t>5,616.6</t>
  </si>
  <si>
    <t>5,498.8</t>
  </si>
  <si>
    <t>5,228.0</t>
  </si>
  <si>
    <t>349.1</t>
  </si>
  <si>
    <t>5,608.3</t>
  </si>
  <si>
    <t>5,516.4</t>
  </si>
  <si>
    <t>47.3</t>
  </si>
  <si>
    <t>5,756.6</t>
  </si>
  <si>
    <t>45.9</t>
  </si>
  <si>
    <t>385.1</t>
  </si>
  <si>
    <t>5,643.7</t>
  </si>
  <si>
    <t>5,799.6</t>
  </si>
  <si>
    <t>5,760.0</t>
  </si>
  <si>
    <t>398.3</t>
  </si>
  <si>
    <t>41.9</t>
  </si>
  <si>
    <t>5,533.3</t>
  </si>
  <si>
    <t>5,846.3</t>
  </si>
  <si>
    <t>15.2</t>
  </si>
  <si>
    <t>5,651.4</t>
  </si>
  <si>
    <t>45.7</t>
  </si>
  <si>
    <t>5,368.4</t>
  </si>
  <si>
    <t>5,966.2</t>
  </si>
  <si>
    <t>404.8</t>
  </si>
  <si>
    <t>5,651.6</t>
  </si>
  <si>
    <t>401.3</t>
  </si>
  <si>
    <t>5,834.8</t>
  </si>
  <si>
    <t>5,534.9</t>
  </si>
  <si>
    <t>41.1</t>
  </si>
  <si>
    <t>5,855.3</t>
  </si>
  <si>
    <t>12.9</t>
  </si>
  <si>
    <t>5,700.8</t>
  </si>
  <si>
    <t>35.8</t>
  </si>
  <si>
    <t>405.4</t>
  </si>
  <si>
    <t>5,671.0</t>
  </si>
  <si>
    <t>6,040.9</t>
  </si>
  <si>
    <t>5,564.5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</si>
</sst>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8" formatCode="&quot;$&quot;#,##0.00_);[Red]\(&quot;$&quot;#,##0.00\)"/>
    <numFmt numFmtId="44" formatCode="_(&quot;$&quot;* #,##0.00_);_(&quot;$&quot;* \(#,##0.00\);_(&quot;$&quot;* &quot;-&quot;??_);_(@_)"/>
    <numFmt numFmtId="43" formatCode="_(* #,##0.00_);_(* \(#,##0.00\);_(* &quot;-&quot;??_);_(@_)"/>
    <numFmt numFmtId="164" formatCode="&quot;$&quot;#,##0"/>
    <numFmt numFmtId="165" formatCode="0.0%"/>
    <numFmt numFmtId="166" formatCode="0.0"/>
    <numFmt numFmtId="167" formatCode="&quot;$&quot;#,##0.00"/>
    <numFmt numFmtId="168" formatCode="_(&quot;$&quot;* #,##0_);_(&quot;$&quot;* \(#,##0\);_(&quot;$&quot;* &quot;-&quot;??_);_(@_)"/>
    <numFmt numFmtId="169" formatCode="[$$-409]#,##0_);[Red]\([$$-409]#,##0\)"/>
  </numFmts>
  <fonts count="29" x14ac:knownFonts="1">
    <font>
      <sz val="11"/>
      <color theme="1"/>
      <name val="Calibri"/>
      <family val="2"/>
      <scheme val="minor"/>
    </font>
    <font>
      <b/>
      <sz val="8"/>
      <color rgb="FF333333"/>
      <name val="Arial"/>
      <family val="2"/>
    </font>
    <font>
      <b/>
      <sz val="9"/>
      <color rgb="FF333333"/>
      <name val="Arial"/>
      <family val="2"/>
    </font>
    <font>
      <b/>
      <sz val="11"/>
      <color theme="1"/>
      <name val="Calibri"/>
      <family val="2"/>
      <scheme val="minor"/>
    </font>
    <font>
      <sz val="11"/>
      <color rgb="FF333333"/>
      <name val="Calibri"/>
      <family val="2"/>
      <scheme val="minor"/>
    </font>
    <font>
      <sz val="11"/>
      <color theme="1"/>
      <name val="Calibri"/>
      <family val="2"/>
      <scheme val="minor"/>
    </font>
    <font>
      <sz val="11"/>
      <name val="Calibri"/>
      <family val="2"/>
      <scheme val="minor"/>
    </font>
    <font>
      <b/>
      <sz val="11"/>
      <name val="Calibri"/>
      <family val="2"/>
      <scheme val="minor"/>
    </font>
    <font>
      <sz val="9"/>
      <color indexed="81"/>
      <name val="Tahoma"/>
      <family val="2"/>
    </font>
    <font>
      <b/>
      <sz val="9"/>
      <color indexed="81"/>
      <name val="Tahoma"/>
      <family val="2"/>
    </font>
    <font>
      <b/>
      <sz val="10"/>
      <color theme="1"/>
      <name val="Calibri"/>
      <family val="2"/>
      <scheme val="minor"/>
    </font>
    <font>
      <sz val="10"/>
      <color theme="1"/>
      <name val="Calibri"/>
      <family val="2"/>
      <scheme val="minor"/>
    </font>
    <font>
      <b/>
      <sz val="10"/>
      <color theme="1"/>
      <name val="Arial"/>
      <family val="2"/>
    </font>
    <font>
      <sz val="9"/>
      <color theme="1"/>
      <name val="Calibri"/>
      <family val="2"/>
      <scheme val="minor"/>
    </font>
    <font>
      <b/>
      <sz val="9"/>
      <color theme="1"/>
      <name val="Calibri"/>
      <family val="2"/>
      <scheme val="minor"/>
    </font>
    <font>
      <u/>
      <sz val="11"/>
      <color theme="1"/>
      <name val="Calibri"/>
      <family val="2"/>
      <scheme val="minor"/>
    </font>
    <font>
      <b/>
      <u/>
      <sz val="9"/>
      <color theme="1"/>
      <name val="Calibri"/>
      <family val="2"/>
      <scheme val="minor"/>
    </font>
    <font>
      <i/>
      <sz val="11"/>
      <color theme="1"/>
      <name val="Calibri"/>
      <family val="2"/>
      <scheme val="minor"/>
    </font>
    <font>
      <b/>
      <sz val="11"/>
      <color theme="0"/>
      <name val="Calibri"/>
      <family val="2"/>
      <scheme val="minor"/>
    </font>
    <font>
      <b/>
      <sz val="20"/>
      <color theme="0"/>
      <name val="Calibri"/>
      <family val="2"/>
      <scheme val="minor"/>
    </font>
    <font>
      <sz val="8"/>
      <name val="Calibri"/>
      <family val="2"/>
      <scheme val="minor"/>
    </font>
    <font>
      <sz val="11"/>
      <color rgb="FF000000"/>
      <name val="Calibri"/>
      <family val="2"/>
    </font>
    <font>
      <sz val="10"/>
      <color rgb="FF000000"/>
      <name val="Calibri"/>
      <family val="2"/>
    </font>
    <font>
      <sz val="9"/>
      <color rgb="FF000000"/>
      <name val="Tahoma"/>
      <family val="2"/>
    </font>
    <font>
      <b/>
      <u/>
      <sz val="10"/>
      <color theme="1"/>
      <name val="Calibri"/>
      <family val="2"/>
      <scheme val="minor"/>
    </font>
    <font>
      <b/>
      <sz val="11"/>
      <color rgb="FFC00000"/>
      <name val="Calibri"/>
      <family val="2"/>
      <scheme val="minor"/>
    </font>
    <font>
      <sz val="9"/>
      <color theme="1"/>
      <name val="Arial"/>
      <family val="2"/>
    </font>
    <font>
      <sz val="9"/>
      <color theme="0"/>
      <name val="Arial"/>
      <family val="2"/>
    </font>
    <font>
      <b/>
      <i/>
      <sz val="11"/>
      <color theme="0"/>
      <name val="Calibri"/>
      <family val="2"/>
      <scheme val="minor"/>
    </font>
  </fonts>
  <fills count="24">
    <fill>
      <patternFill patternType="none"/>
    </fill>
    <fill>
      <patternFill patternType="gray125"/>
    </fill>
    <fill>
      <patternFill patternType="solid">
        <fgColor rgb="FFFFFFFF"/>
        <bgColor indexed="64"/>
      </patternFill>
    </fill>
    <fill>
      <patternFill patternType="solid">
        <fgColor rgb="FFF9F9F9"/>
        <bgColor indexed="64"/>
      </patternFill>
    </fill>
    <fill>
      <patternFill patternType="solid">
        <fgColor theme="0" tint="-0.14999847407452621"/>
        <bgColor indexed="64"/>
      </patternFill>
    </fill>
    <fill>
      <patternFill patternType="solid">
        <fgColor rgb="FFFFFF99"/>
        <bgColor indexed="64"/>
      </patternFill>
    </fill>
    <fill>
      <patternFill patternType="solid">
        <fgColor theme="0"/>
        <bgColor indexed="64"/>
      </patternFill>
    </fill>
    <fill>
      <patternFill patternType="solid">
        <fgColor theme="0" tint="-0.34998626667073579"/>
        <bgColor indexed="64"/>
      </patternFill>
    </fill>
    <fill>
      <patternFill patternType="solid">
        <fgColor theme="2"/>
        <bgColor indexed="64"/>
      </patternFill>
    </fill>
    <fill>
      <patternFill patternType="solid">
        <fgColor rgb="FFCCFFCC"/>
        <bgColor indexed="64"/>
      </patternFill>
    </fill>
    <fill>
      <patternFill patternType="solid">
        <fgColor theme="1" tint="0.499984740745262"/>
        <bgColor indexed="64"/>
      </patternFill>
    </fill>
    <fill>
      <patternFill patternType="solid">
        <fgColor theme="2" tint="-9.9978637043366805E-2"/>
        <bgColor indexed="64"/>
      </patternFill>
    </fill>
    <fill>
      <patternFill patternType="solid">
        <fgColor rgb="FFB4FF81"/>
        <bgColor indexed="64"/>
      </patternFill>
    </fill>
    <fill>
      <patternFill patternType="solid">
        <fgColor theme="4" tint="0.79998168889431442"/>
        <bgColor indexed="64"/>
      </patternFill>
    </fill>
    <fill>
      <patternFill patternType="solid">
        <fgColor rgb="FF99FF99"/>
        <bgColor indexed="64"/>
      </patternFill>
    </fill>
    <fill>
      <patternFill patternType="solid">
        <fgColor rgb="FF99CCFF"/>
        <bgColor indexed="64"/>
      </patternFill>
    </fill>
    <fill>
      <patternFill patternType="solid">
        <fgColor rgb="FFFFCC99"/>
        <bgColor indexed="64"/>
      </patternFill>
    </fill>
    <fill>
      <patternFill patternType="solid">
        <fgColor rgb="FFCCFFFF"/>
        <bgColor indexed="64"/>
      </patternFill>
    </fill>
    <fill>
      <patternFill patternType="solid">
        <fgColor theme="1"/>
        <bgColor indexed="64"/>
      </patternFill>
    </fill>
    <fill>
      <patternFill patternType="solid">
        <fgColor rgb="FFDDBEFF"/>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CCFF99"/>
        <bgColor indexed="64"/>
      </patternFill>
    </fill>
    <fill>
      <patternFill patternType="solid">
        <fgColor theme="9" tint="0.79998168889431442"/>
        <bgColor indexed="64"/>
      </patternFill>
    </fill>
  </fills>
  <borders count="68">
    <border>
      <left/>
      <right/>
      <top/>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thin">
        <color auto="1"/>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style="thin">
        <color auto="1"/>
      </left>
      <right/>
      <top style="thin">
        <color auto="1"/>
      </top>
      <bottom/>
      <diagonal/>
    </border>
    <border>
      <left/>
      <right/>
      <top style="thin">
        <color auto="1"/>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dashed">
        <color auto="1"/>
      </bottom>
      <diagonal/>
    </border>
    <border>
      <left/>
      <right/>
      <top style="medium">
        <color auto="1"/>
      </top>
      <bottom style="dashed">
        <color auto="1"/>
      </bottom>
      <diagonal/>
    </border>
    <border>
      <left/>
      <right style="medium">
        <color auto="1"/>
      </right>
      <top style="medium">
        <color auto="1"/>
      </top>
      <bottom style="dashed">
        <color auto="1"/>
      </bottom>
      <diagonal/>
    </border>
    <border>
      <left style="medium">
        <color auto="1"/>
      </left>
      <right/>
      <top style="dashed">
        <color auto="1"/>
      </top>
      <bottom style="dashed">
        <color auto="1"/>
      </bottom>
      <diagonal/>
    </border>
    <border>
      <left/>
      <right/>
      <top style="dashed">
        <color auto="1"/>
      </top>
      <bottom style="dashed">
        <color auto="1"/>
      </bottom>
      <diagonal/>
    </border>
    <border>
      <left/>
      <right style="medium">
        <color auto="1"/>
      </right>
      <top style="dashed">
        <color auto="1"/>
      </top>
      <bottom style="dashed">
        <color auto="1"/>
      </bottom>
      <diagonal/>
    </border>
    <border>
      <left style="medium">
        <color auto="1"/>
      </left>
      <right/>
      <top style="dashed">
        <color auto="1"/>
      </top>
      <bottom style="medium">
        <color auto="1"/>
      </bottom>
      <diagonal/>
    </border>
    <border>
      <left/>
      <right/>
      <top style="dashed">
        <color auto="1"/>
      </top>
      <bottom style="medium">
        <color auto="1"/>
      </bottom>
      <diagonal/>
    </border>
    <border>
      <left/>
      <right style="medium">
        <color auto="1"/>
      </right>
      <top style="dashed">
        <color auto="1"/>
      </top>
      <bottom style="medium">
        <color auto="1"/>
      </bottom>
      <diagonal/>
    </border>
    <border>
      <left/>
      <right/>
      <top/>
      <bottom style="dashed">
        <color auto="1"/>
      </bottom>
      <diagonal/>
    </border>
    <border>
      <left style="thin">
        <color auto="1"/>
      </left>
      <right style="thin">
        <color auto="1"/>
      </right>
      <top/>
      <bottom style="thin">
        <color auto="1"/>
      </bottom>
      <diagonal/>
    </border>
    <border>
      <left style="medium">
        <color auto="1"/>
      </left>
      <right style="medium">
        <color auto="1"/>
      </right>
      <top style="hair">
        <color auto="1"/>
      </top>
      <bottom style="hair">
        <color auto="1"/>
      </bottom>
      <diagonal/>
    </border>
    <border>
      <left style="medium">
        <color auto="1"/>
      </left>
      <right/>
      <top style="hair">
        <color auto="1"/>
      </top>
      <bottom style="hair">
        <color auto="1"/>
      </bottom>
      <diagonal/>
    </border>
    <border>
      <left/>
      <right style="medium">
        <color auto="1"/>
      </right>
      <top style="hair">
        <color auto="1"/>
      </top>
      <bottom style="hair">
        <color auto="1"/>
      </bottom>
      <diagonal/>
    </border>
    <border>
      <left/>
      <right/>
      <top style="hair">
        <color auto="1"/>
      </top>
      <bottom style="hair">
        <color auto="1"/>
      </bottom>
      <diagonal/>
    </border>
    <border>
      <left/>
      <right style="hair">
        <color auto="1"/>
      </right>
      <top/>
      <bottom style="hair">
        <color auto="1"/>
      </bottom>
      <diagonal/>
    </border>
    <border>
      <left style="hair">
        <color auto="1"/>
      </left>
      <right style="hair">
        <color auto="1"/>
      </right>
      <top/>
      <bottom style="hair">
        <color auto="1"/>
      </bottom>
      <diagonal/>
    </border>
    <border>
      <left style="hair">
        <color auto="1"/>
      </left>
      <right/>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dashed">
        <color auto="1"/>
      </left>
      <right style="dashed">
        <color auto="1"/>
      </right>
      <top style="dashed">
        <color auto="1"/>
      </top>
      <bottom style="dashed">
        <color auto="1"/>
      </bottom>
      <diagonal/>
    </border>
    <border>
      <left/>
      <right/>
      <top style="dashed">
        <color auto="1"/>
      </top>
      <bottom/>
      <diagonal/>
    </border>
    <border>
      <left style="thin">
        <color auto="1"/>
      </left>
      <right/>
      <top style="dashed">
        <color auto="1"/>
      </top>
      <bottom/>
      <diagonal/>
    </border>
    <border>
      <left/>
      <right style="thin">
        <color auto="1"/>
      </right>
      <top style="dashed">
        <color auto="1"/>
      </top>
      <bottom/>
      <diagonal/>
    </border>
    <border>
      <left style="medium">
        <color auto="1"/>
      </left>
      <right style="dashed">
        <color auto="1"/>
      </right>
      <top/>
      <bottom style="medium">
        <color auto="1"/>
      </bottom>
      <diagonal/>
    </border>
    <border>
      <left style="dashed">
        <color auto="1"/>
      </left>
      <right style="dashed">
        <color auto="1"/>
      </right>
      <top/>
      <bottom style="medium">
        <color auto="1"/>
      </bottom>
      <diagonal/>
    </border>
    <border>
      <left style="dashed">
        <color auto="1"/>
      </left>
      <right style="medium">
        <color auto="1"/>
      </right>
      <top/>
      <bottom style="medium">
        <color auto="1"/>
      </bottom>
      <diagonal/>
    </border>
    <border>
      <left style="dashed">
        <color auto="1"/>
      </left>
      <right/>
      <top/>
      <bottom style="medium">
        <color auto="1"/>
      </bottom>
      <diagonal/>
    </border>
    <border>
      <left/>
      <right style="dashed">
        <color auto="1"/>
      </right>
      <top/>
      <bottom style="dashed">
        <color auto="1"/>
      </bottom>
      <diagonal/>
    </border>
    <border>
      <left style="dashed">
        <color auto="1"/>
      </left>
      <right style="dashed">
        <color auto="1"/>
      </right>
      <top/>
      <bottom style="dashed">
        <color auto="1"/>
      </bottom>
      <diagonal/>
    </border>
    <border>
      <left style="dashed">
        <color auto="1"/>
      </left>
      <right/>
      <top/>
      <bottom style="dashed">
        <color auto="1"/>
      </bottom>
      <diagonal/>
    </border>
    <border>
      <left/>
      <right style="dashed">
        <color auto="1"/>
      </right>
      <top style="dashed">
        <color auto="1"/>
      </top>
      <bottom style="dashed">
        <color auto="1"/>
      </bottom>
      <diagonal/>
    </border>
    <border>
      <left/>
      <right style="dashed">
        <color auto="1"/>
      </right>
      <top style="dashed">
        <color auto="1"/>
      </top>
      <bottom/>
      <diagonal/>
    </border>
    <border>
      <left style="dashed">
        <color auto="1"/>
      </left>
      <right style="dashed">
        <color auto="1"/>
      </right>
      <top style="dashed">
        <color auto="1"/>
      </top>
      <bottom/>
      <diagonal/>
    </border>
    <border>
      <left style="dashed">
        <color auto="1"/>
      </left>
      <right style="thin">
        <color auto="1"/>
      </right>
      <top/>
      <bottom style="dashed">
        <color auto="1"/>
      </bottom>
      <diagonal/>
    </border>
    <border>
      <left style="dashed">
        <color auto="1"/>
      </left>
      <right style="thin">
        <color auto="1"/>
      </right>
      <top style="dashed">
        <color auto="1"/>
      </top>
      <bottom style="dashed">
        <color auto="1"/>
      </bottom>
      <diagonal/>
    </border>
    <border>
      <left style="dashed">
        <color auto="1"/>
      </left>
      <right style="thin">
        <color auto="1"/>
      </right>
      <top style="dashed">
        <color auto="1"/>
      </top>
      <bottom/>
      <diagonal/>
    </border>
    <border>
      <left style="dashed">
        <color auto="1"/>
      </left>
      <right style="dashed">
        <color auto="1"/>
      </right>
      <top style="hair">
        <color auto="1"/>
      </top>
      <bottom style="dashed">
        <color auto="1"/>
      </bottom>
      <diagonal/>
    </border>
    <border>
      <left style="thin">
        <color auto="1"/>
      </left>
      <right style="dashed">
        <color auto="1"/>
      </right>
      <top style="dashed">
        <color auto="1"/>
      </top>
      <bottom style="dashed">
        <color auto="1"/>
      </bottom>
      <diagonal/>
    </border>
    <border>
      <left style="medium">
        <color auto="1"/>
      </left>
      <right/>
      <top/>
      <bottom/>
      <diagonal/>
    </border>
    <border>
      <left style="medium">
        <color rgb="FFDDDDDD"/>
      </left>
      <right/>
      <top style="medium">
        <color rgb="FFDDDDDD"/>
      </top>
      <bottom style="medium">
        <color rgb="FFDDDDDD"/>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medium">
        <color auto="1"/>
      </right>
      <top style="medium">
        <color auto="1"/>
      </top>
      <bottom style="medium">
        <color auto="1"/>
      </bottom>
      <diagonal/>
    </border>
    <border>
      <left style="medium">
        <color indexed="64"/>
      </left>
      <right/>
      <top/>
      <bottom style="medium">
        <color indexed="64"/>
      </bottom>
      <diagonal/>
    </border>
    <border>
      <left/>
      <right/>
      <top/>
      <bottom style="medium">
        <color indexed="64"/>
      </bottom>
      <diagonal/>
    </border>
  </borders>
  <cellStyleXfs count="4">
    <xf numFmtId="0" fontId="0"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cellStyleXfs>
  <cellXfs count="281">
    <xf numFmtId="0" fontId="0" fillId="0" borderId="0" xfId="0"/>
    <xf numFmtId="0" fontId="1" fillId="2" borderId="1" xfId="0" applyFont="1" applyFill="1" applyBorder="1" applyAlignment="1">
      <alignment horizontal="left" wrapText="1"/>
    </xf>
    <xf numFmtId="0" fontId="1" fillId="2" borderId="2" xfId="0" applyFont="1" applyFill="1" applyBorder="1" applyAlignment="1">
      <alignment horizontal="left" wrapText="1"/>
    </xf>
    <xf numFmtId="164" fontId="0" fillId="0" borderId="0" xfId="0" applyNumberFormat="1"/>
    <xf numFmtId="0" fontId="3" fillId="0" borderId="0" xfId="0" applyFont="1"/>
    <xf numFmtId="0" fontId="0" fillId="0" borderId="0" xfId="0" applyAlignment="1">
      <alignment horizontal="right"/>
    </xf>
    <xf numFmtId="0" fontId="0" fillId="0" borderId="0" xfId="0" applyAlignment="1">
      <alignment vertical="top" wrapText="1"/>
    </xf>
    <xf numFmtId="0" fontId="3" fillId="0" borderId="4" xfId="0" applyFont="1" applyBorder="1"/>
    <xf numFmtId="0" fontId="0" fillId="0" borderId="5" xfId="0" applyBorder="1"/>
    <xf numFmtId="0" fontId="3" fillId="0" borderId="5" xfId="0" applyFont="1" applyBorder="1"/>
    <xf numFmtId="0" fontId="0" fillId="0" borderId="4" xfId="0" applyBorder="1"/>
    <xf numFmtId="9" fontId="0" fillId="0" borderId="5" xfId="0" applyNumberFormat="1" applyBorder="1"/>
    <xf numFmtId="0" fontId="0" fillId="4" borderId="5" xfId="0" applyFill="1" applyBorder="1"/>
    <xf numFmtId="0" fontId="0" fillId="0" borderId="6" xfId="0" applyBorder="1"/>
    <xf numFmtId="0" fontId="0" fillId="0" borderId="7" xfId="0" applyBorder="1"/>
    <xf numFmtId="0" fontId="0" fillId="5" borderId="3" xfId="0" applyFill="1" applyBorder="1"/>
    <xf numFmtId="165" fontId="0" fillId="5" borderId="3" xfId="0" applyNumberFormat="1" applyFill="1" applyBorder="1"/>
    <xf numFmtId="0" fontId="0" fillId="6" borderId="0" xfId="0" applyFill="1"/>
    <xf numFmtId="0" fontId="0" fillId="6" borderId="0" xfId="0" applyFill="1" applyAlignment="1">
      <alignment horizontal="center"/>
    </xf>
    <xf numFmtId="165" fontId="0" fillId="6" borderId="0" xfId="1" applyNumberFormat="1" applyFont="1" applyFill="1" applyBorder="1" applyAlignment="1">
      <alignment horizontal="center"/>
    </xf>
    <xf numFmtId="1" fontId="0" fillId="6" borderId="0" xfId="0" applyNumberFormat="1" applyFill="1" applyAlignment="1">
      <alignment horizontal="center"/>
    </xf>
    <xf numFmtId="0" fontId="0" fillId="0" borderId="14" xfId="0" applyBorder="1"/>
    <xf numFmtId="0" fontId="0" fillId="6" borderId="0" xfId="0" applyFill="1" applyAlignment="1">
      <alignment horizontal="center" vertical="center"/>
    </xf>
    <xf numFmtId="0" fontId="0" fillId="0" borderId="17" xfId="0" applyBorder="1"/>
    <xf numFmtId="166" fontId="3" fillId="0" borderId="18" xfId="0" applyNumberFormat="1" applyFont="1" applyBorder="1" applyAlignment="1">
      <alignment horizontal="center"/>
    </xf>
    <xf numFmtId="0" fontId="0" fillId="0" borderId="20" xfId="0" applyBorder="1"/>
    <xf numFmtId="166" fontId="3" fillId="0" borderId="21" xfId="0" applyNumberFormat="1" applyFont="1" applyBorder="1" applyAlignment="1">
      <alignment horizontal="center"/>
    </xf>
    <xf numFmtId="0" fontId="0" fillId="0" borderId="15" xfId="0" applyBorder="1" applyAlignment="1">
      <alignment horizontal="center"/>
    </xf>
    <xf numFmtId="0" fontId="0" fillId="0" borderId="18" xfId="0" applyBorder="1" applyAlignment="1">
      <alignment horizontal="center"/>
    </xf>
    <xf numFmtId="1" fontId="0" fillId="0" borderId="16" xfId="1" applyNumberFormat="1" applyFont="1" applyFill="1" applyBorder="1" applyAlignment="1">
      <alignment horizontal="center"/>
    </xf>
    <xf numFmtId="1" fontId="0" fillId="0" borderId="19" xfId="1" applyNumberFormat="1" applyFont="1" applyFill="1" applyBorder="1" applyAlignment="1">
      <alignment horizontal="center"/>
    </xf>
    <xf numFmtId="1" fontId="0" fillId="0" borderId="22" xfId="1" applyNumberFormat="1" applyFont="1" applyFill="1" applyBorder="1" applyAlignment="1">
      <alignment horizontal="center"/>
    </xf>
    <xf numFmtId="0" fontId="3" fillId="0" borderId="9" xfId="0" applyFont="1" applyBorder="1"/>
    <xf numFmtId="166" fontId="3" fillId="0" borderId="23" xfId="0" applyNumberFormat="1" applyFont="1" applyBorder="1" applyAlignment="1">
      <alignment horizontal="center"/>
    </xf>
    <xf numFmtId="1" fontId="0" fillId="4" borderId="5" xfId="0" applyNumberFormat="1" applyFill="1" applyBorder="1"/>
    <xf numFmtId="1" fontId="3" fillId="4" borderId="5" xfId="0" applyNumberFormat="1" applyFont="1" applyFill="1" applyBorder="1"/>
    <xf numFmtId="0" fontId="0" fillId="5" borderId="24" xfId="0" applyFill="1" applyBorder="1"/>
    <xf numFmtId="165" fontId="3" fillId="0" borderId="23" xfId="0" applyNumberFormat="1" applyFont="1" applyBorder="1" applyAlignment="1">
      <alignment horizontal="center"/>
    </xf>
    <xf numFmtId="165" fontId="3" fillId="0" borderId="18" xfId="0" applyNumberFormat="1" applyFont="1" applyBorder="1" applyAlignment="1">
      <alignment horizontal="center"/>
    </xf>
    <xf numFmtId="165" fontId="3" fillId="0" borderId="21" xfId="0" applyNumberFormat="1" applyFont="1" applyBorder="1" applyAlignment="1">
      <alignment horizontal="center"/>
    </xf>
    <xf numFmtId="0" fontId="6" fillId="0" borderId="14" xfId="0" applyFont="1" applyBorder="1"/>
    <xf numFmtId="0" fontId="6" fillId="0" borderId="15" xfId="0" applyFont="1" applyBorder="1" applyAlignment="1">
      <alignment horizontal="center"/>
    </xf>
    <xf numFmtId="166" fontId="7" fillId="0" borderId="18" xfId="0" applyNumberFormat="1" applyFont="1" applyBorder="1" applyAlignment="1">
      <alignment horizontal="center"/>
    </xf>
    <xf numFmtId="166" fontId="7" fillId="0" borderId="23" xfId="0" applyNumberFormat="1" applyFont="1" applyBorder="1" applyAlignment="1">
      <alignment horizontal="center"/>
    </xf>
    <xf numFmtId="165" fontId="7" fillId="0" borderId="23" xfId="0" applyNumberFormat="1" applyFont="1" applyBorder="1" applyAlignment="1">
      <alignment horizontal="center"/>
    </xf>
    <xf numFmtId="1" fontId="6" fillId="0" borderId="16" xfId="1" applyNumberFormat="1" applyFont="1" applyFill="1" applyBorder="1" applyAlignment="1">
      <alignment horizontal="center"/>
    </xf>
    <xf numFmtId="0" fontId="6" fillId="0" borderId="17" xfId="0" applyFont="1" applyBorder="1"/>
    <xf numFmtId="0" fontId="6" fillId="0" borderId="18" xfId="0" applyFont="1" applyBorder="1" applyAlignment="1">
      <alignment horizontal="center"/>
    </xf>
    <xf numFmtId="165" fontId="7" fillId="0" borderId="18" xfId="0" applyNumberFormat="1" applyFont="1" applyBorder="1" applyAlignment="1">
      <alignment horizontal="center"/>
    </xf>
    <xf numFmtId="1" fontId="6" fillId="0" borderId="19" xfId="1" applyNumberFormat="1" applyFont="1" applyFill="1" applyBorder="1" applyAlignment="1">
      <alignment horizontal="center"/>
    </xf>
    <xf numFmtId="0" fontId="6" fillId="0" borderId="20" xfId="0" applyFont="1" applyBorder="1"/>
    <xf numFmtId="0" fontId="6" fillId="0" borderId="21" xfId="0" applyFont="1" applyBorder="1" applyAlignment="1">
      <alignment horizontal="center"/>
    </xf>
    <xf numFmtId="166" fontId="7" fillId="0" borderId="21" xfId="0" applyNumberFormat="1" applyFont="1" applyBorder="1" applyAlignment="1">
      <alignment horizontal="center"/>
    </xf>
    <xf numFmtId="165" fontId="7" fillId="0" borderId="21" xfId="0" applyNumberFormat="1" applyFont="1" applyBorder="1" applyAlignment="1">
      <alignment horizontal="center"/>
    </xf>
    <xf numFmtId="1" fontId="6" fillId="0" borderId="22" xfId="1" applyNumberFormat="1" applyFont="1" applyFill="1" applyBorder="1" applyAlignment="1">
      <alignment horizontal="center"/>
    </xf>
    <xf numFmtId="0" fontId="6" fillId="0" borderId="18" xfId="0" applyFont="1" applyBorder="1"/>
    <xf numFmtId="0" fontId="6" fillId="0" borderId="21" xfId="0" applyFont="1" applyBorder="1"/>
    <xf numFmtId="0" fontId="0" fillId="0" borderId="18" xfId="0" applyBorder="1"/>
    <xf numFmtId="0" fontId="0" fillId="0" borderId="21" xfId="0" applyBorder="1"/>
    <xf numFmtId="0" fontId="0" fillId="0" borderId="18" xfId="0" applyBorder="1" applyAlignment="1">
      <alignment horizontal="left"/>
    </xf>
    <xf numFmtId="0" fontId="6" fillId="0" borderId="15" xfId="0" applyFont="1" applyBorder="1"/>
    <xf numFmtId="0" fontId="6" fillId="0" borderId="18" xfId="0" applyFont="1" applyBorder="1" applyAlignment="1">
      <alignment horizontal="left"/>
    </xf>
    <xf numFmtId="0" fontId="11" fillId="0" borderId="0" xfId="0" applyFont="1"/>
    <xf numFmtId="0" fontId="10" fillId="4" borderId="25" xfId="0" applyFont="1" applyFill="1" applyBorder="1"/>
    <xf numFmtId="164" fontId="10" fillId="4" borderId="26" xfId="0" applyNumberFormat="1" applyFont="1" applyFill="1" applyBorder="1" applyAlignment="1">
      <alignment horizontal="left"/>
    </xf>
    <xf numFmtId="164" fontId="10" fillId="4" borderId="27" xfId="0" applyNumberFormat="1" applyFont="1" applyFill="1" applyBorder="1" applyAlignment="1">
      <alignment horizontal="left"/>
    </xf>
    <xf numFmtId="164" fontId="10" fillId="4" borderId="26" xfId="0" applyNumberFormat="1" applyFont="1" applyFill="1" applyBorder="1"/>
    <xf numFmtId="164" fontId="10" fillId="4" borderId="28" xfId="0" applyNumberFormat="1" applyFont="1" applyFill="1" applyBorder="1" applyAlignment="1">
      <alignment horizontal="right"/>
    </xf>
    <xf numFmtId="1" fontId="10" fillId="4" borderId="27" xfId="0" applyNumberFormat="1" applyFont="1" applyFill="1" applyBorder="1" applyAlignment="1">
      <alignment horizontal="right"/>
    </xf>
    <xf numFmtId="10" fontId="11" fillId="0" borderId="25" xfId="0" applyNumberFormat="1" applyFont="1" applyBorder="1"/>
    <xf numFmtId="0" fontId="11" fillId="0" borderId="26" xfId="0" applyFont="1" applyBorder="1"/>
    <xf numFmtId="164" fontId="10" fillId="4" borderId="28" xfId="0" applyNumberFormat="1" applyFont="1" applyFill="1" applyBorder="1" applyAlignment="1">
      <alignment horizontal="left"/>
    </xf>
    <xf numFmtId="1" fontId="10" fillId="4" borderId="25" xfId="0" applyNumberFormat="1" applyFont="1" applyFill="1" applyBorder="1" applyAlignment="1">
      <alignment horizontal="right"/>
    </xf>
    <xf numFmtId="164" fontId="11" fillId="0" borderId="25" xfId="0" applyNumberFormat="1" applyFont="1" applyBorder="1"/>
    <xf numFmtId="6" fontId="0" fillId="0" borderId="0" xfId="0" applyNumberFormat="1"/>
    <xf numFmtId="0" fontId="0" fillId="0" borderId="15" xfId="0" applyBorder="1"/>
    <xf numFmtId="0" fontId="0" fillId="0" borderId="21" xfId="0" applyBorder="1" applyAlignment="1">
      <alignment horizontal="center"/>
    </xf>
    <xf numFmtId="10" fontId="0" fillId="0" borderId="0" xfId="0" applyNumberFormat="1"/>
    <xf numFmtId="0" fontId="0" fillId="0" borderId="34" xfId="0" applyBorder="1"/>
    <xf numFmtId="0" fontId="3" fillId="0" borderId="29" xfId="0" applyFont="1" applyBorder="1" applyAlignment="1">
      <alignment horizontal="left"/>
    </xf>
    <xf numFmtId="0" fontId="3" fillId="0" borderId="30" xfId="0" applyFont="1" applyBorder="1" applyAlignment="1">
      <alignment horizontal="left"/>
    </xf>
    <xf numFmtId="0" fontId="3" fillId="0" borderId="33" xfId="0" applyFont="1" applyBorder="1" applyAlignment="1">
      <alignment horizontal="left"/>
    </xf>
    <xf numFmtId="0" fontId="3" fillId="0" borderId="31" xfId="0" applyFont="1" applyBorder="1" applyAlignment="1">
      <alignment horizontal="left"/>
    </xf>
    <xf numFmtId="0" fontId="3" fillId="0" borderId="0" xfId="0" applyFont="1" applyAlignment="1">
      <alignment horizontal="left"/>
    </xf>
    <xf numFmtId="167" fontId="0" fillId="0" borderId="0" xfId="0" applyNumberFormat="1"/>
    <xf numFmtId="0" fontId="3" fillId="0" borderId="10" xfId="0" applyFont="1" applyBorder="1"/>
    <xf numFmtId="0" fontId="3" fillId="0" borderId="8" xfId="0" applyFont="1" applyBorder="1"/>
    <xf numFmtId="1" fontId="3" fillId="4" borderId="7" xfId="0" applyNumberFormat="1" applyFont="1" applyFill="1" applyBorder="1"/>
    <xf numFmtId="0" fontId="0" fillId="4" borderId="34" xfId="0" applyFill="1" applyBorder="1"/>
    <xf numFmtId="165" fontId="0" fillId="4" borderId="5" xfId="0" applyNumberFormat="1" applyFill="1" applyBorder="1"/>
    <xf numFmtId="0" fontId="0" fillId="4" borderId="7" xfId="0" applyFill="1" applyBorder="1"/>
    <xf numFmtId="0" fontId="0" fillId="5" borderId="35" xfId="0" applyFill="1" applyBorder="1"/>
    <xf numFmtId="0" fontId="0" fillId="4" borderId="36" xfId="0" applyFill="1" applyBorder="1"/>
    <xf numFmtId="0" fontId="11" fillId="0" borderId="4" xfId="0" applyFont="1" applyBorder="1"/>
    <xf numFmtId="0" fontId="11" fillId="0" borderId="8" xfId="0" applyFont="1" applyBorder="1"/>
    <xf numFmtId="0" fontId="11" fillId="0" borderId="9" xfId="0" applyFont="1" applyBorder="1"/>
    <xf numFmtId="0" fontId="11" fillId="0" borderId="34" xfId="0" applyFont="1" applyBorder="1"/>
    <xf numFmtId="0" fontId="11" fillId="0" borderId="5" xfId="0" applyFont="1" applyBorder="1"/>
    <xf numFmtId="0" fontId="11" fillId="0" borderId="7" xfId="0" applyFont="1" applyBorder="1"/>
    <xf numFmtId="0" fontId="1" fillId="2" borderId="37" xfId="0" applyFont="1" applyFill="1" applyBorder="1" applyAlignment="1">
      <alignment horizontal="left" wrapText="1"/>
    </xf>
    <xf numFmtId="0" fontId="3" fillId="0" borderId="41" xfId="0" applyFont="1" applyBorder="1" applyAlignment="1">
      <alignment horizontal="center"/>
    </xf>
    <xf numFmtId="0" fontId="3" fillId="0" borderId="42" xfId="0" applyFont="1" applyBorder="1" applyAlignment="1">
      <alignment horizontal="center"/>
    </xf>
    <xf numFmtId="9" fontId="3" fillId="0" borderId="43" xfId="1" applyFont="1" applyFill="1" applyBorder="1" applyAlignment="1">
      <alignment horizontal="center"/>
    </xf>
    <xf numFmtId="165" fontId="11" fillId="0" borderId="25" xfId="0" applyNumberFormat="1" applyFont="1" applyBorder="1"/>
    <xf numFmtId="0" fontId="3" fillId="0" borderId="43" xfId="0" applyFont="1" applyBorder="1" applyAlignment="1">
      <alignment horizontal="center"/>
    </xf>
    <xf numFmtId="0" fontId="0" fillId="0" borderId="15" xfId="0" applyBorder="1" applyAlignment="1">
      <alignment horizontal="left"/>
    </xf>
    <xf numFmtId="165" fontId="0" fillId="0" borderId="23" xfId="0" applyNumberFormat="1" applyBorder="1" applyAlignment="1">
      <alignment horizontal="left"/>
    </xf>
    <xf numFmtId="165" fontId="0" fillId="0" borderId="21" xfId="0" applyNumberFormat="1" applyBorder="1" applyAlignment="1">
      <alignment horizontal="left"/>
    </xf>
    <xf numFmtId="2" fontId="0" fillId="0" borderId="16" xfId="0" applyNumberFormat="1" applyBorder="1" applyAlignment="1">
      <alignment horizontal="center"/>
    </xf>
    <xf numFmtId="2" fontId="0" fillId="0" borderId="19" xfId="1" applyNumberFormat="1" applyFont="1" applyFill="1" applyBorder="1" applyAlignment="1">
      <alignment horizontal="center"/>
    </xf>
    <xf numFmtId="2" fontId="0" fillId="0" borderId="22" xfId="1" applyNumberFormat="1" applyFont="1" applyFill="1" applyBorder="1" applyAlignment="1">
      <alignment horizontal="center"/>
    </xf>
    <xf numFmtId="10" fontId="0" fillId="4" borderId="5" xfId="0" applyNumberFormat="1" applyFill="1" applyBorder="1"/>
    <xf numFmtId="0" fontId="3" fillId="0" borderId="44" xfId="0" applyFont="1" applyBorder="1" applyAlignment="1">
      <alignment horizontal="center"/>
    </xf>
    <xf numFmtId="10" fontId="0" fillId="0" borderId="0" xfId="1" applyNumberFormat="1" applyFont="1"/>
    <xf numFmtId="1" fontId="0" fillId="0" borderId="0" xfId="0" applyNumberFormat="1"/>
    <xf numFmtId="0" fontId="0" fillId="0" borderId="0" xfId="0" applyAlignment="1">
      <alignment horizontal="left"/>
    </xf>
    <xf numFmtId="0" fontId="13" fillId="0" borderId="37" xfId="0" applyFont="1" applyBorder="1" applyAlignment="1">
      <alignment horizontal="center"/>
    </xf>
    <xf numFmtId="0" fontId="13" fillId="0" borderId="50" xfId="0" applyFont="1" applyBorder="1" applyAlignment="1">
      <alignment horizontal="center"/>
    </xf>
    <xf numFmtId="6" fontId="14" fillId="0" borderId="37" xfId="0" applyNumberFormat="1" applyFont="1" applyBorder="1" applyAlignment="1">
      <alignment vertical="center"/>
    </xf>
    <xf numFmtId="6" fontId="14" fillId="0" borderId="37" xfId="0" applyNumberFormat="1" applyFont="1" applyBorder="1"/>
    <xf numFmtId="6" fontId="14" fillId="0" borderId="50" xfId="0" applyNumberFormat="1" applyFont="1" applyBorder="1" applyAlignment="1">
      <alignment vertical="center"/>
    </xf>
    <xf numFmtId="6" fontId="14" fillId="0" borderId="50" xfId="0" applyNumberFormat="1" applyFont="1" applyBorder="1"/>
    <xf numFmtId="6" fontId="14" fillId="13" borderId="46" xfId="0" applyNumberFormat="1" applyFont="1" applyFill="1" applyBorder="1" applyAlignment="1">
      <alignment vertical="center"/>
    </xf>
    <xf numFmtId="6" fontId="14" fillId="13" borderId="46" xfId="0" applyNumberFormat="1" applyFont="1" applyFill="1" applyBorder="1"/>
    <xf numFmtId="0" fontId="13" fillId="13" borderId="46" xfId="0" applyFont="1" applyFill="1" applyBorder="1" applyAlignment="1">
      <alignment horizontal="center"/>
    </xf>
    <xf numFmtId="6" fontId="14" fillId="13" borderId="37" xfId="0" applyNumberFormat="1" applyFont="1" applyFill="1" applyBorder="1" applyAlignment="1">
      <alignment vertical="center"/>
    </xf>
    <xf numFmtId="6" fontId="14" fillId="13" borderId="37" xfId="0" applyNumberFormat="1" applyFont="1" applyFill="1" applyBorder="1"/>
    <xf numFmtId="0" fontId="13" fillId="13" borderId="37" xfId="0" applyFont="1" applyFill="1" applyBorder="1" applyAlignment="1">
      <alignment horizontal="center"/>
    </xf>
    <xf numFmtId="0" fontId="10" fillId="7" borderId="4" xfId="0" applyFont="1" applyFill="1" applyBorder="1" applyAlignment="1">
      <alignment vertical="center"/>
    </xf>
    <xf numFmtId="0" fontId="10" fillId="7" borderId="0" xfId="0" applyFont="1" applyFill="1" applyAlignment="1">
      <alignment vertical="center"/>
    </xf>
    <xf numFmtId="0" fontId="10" fillId="7" borderId="0" xfId="0" applyFont="1" applyFill="1" applyAlignment="1">
      <alignment horizontal="center" vertical="center"/>
    </xf>
    <xf numFmtId="0" fontId="10" fillId="7" borderId="5" xfId="0" applyFont="1" applyFill="1" applyBorder="1" applyAlignment="1">
      <alignment horizontal="center" vertical="center"/>
    </xf>
    <xf numFmtId="0" fontId="10" fillId="4" borderId="4" xfId="0" applyFont="1" applyFill="1" applyBorder="1"/>
    <xf numFmtId="0" fontId="13" fillId="13" borderId="51" xfId="0" applyFont="1" applyFill="1" applyBorder="1" applyAlignment="1">
      <alignment horizontal="center"/>
    </xf>
    <xf numFmtId="0" fontId="13" fillId="0" borderId="52" xfId="0" applyFont="1" applyBorder="1" applyAlignment="1">
      <alignment horizontal="center"/>
    </xf>
    <xf numFmtId="0" fontId="13" fillId="13" borderId="52" xfId="0" applyFont="1" applyFill="1" applyBorder="1" applyAlignment="1">
      <alignment horizontal="center"/>
    </xf>
    <xf numFmtId="0" fontId="13" fillId="0" borderId="53" xfId="0" applyFont="1" applyBorder="1" applyAlignment="1">
      <alignment horizontal="center"/>
    </xf>
    <xf numFmtId="0" fontId="10" fillId="4" borderId="8" xfId="0" applyFont="1" applyFill="1" applyBorder="1"/>
    <xf numFmtId="0" fontId="7" fillId="11" borderId="6" xfId="0" applyFont="1" applyFill="1" applyBorder="1"/>
    <xf numFmtId="0" fontId="10" fillId="7" borderId="4" xfId="0" applyFont="1" applyFill="1" applyBorder="1"/>
    <xf numFmtId="0" fontId="10" fillId="7" borderId="5" xfId="0" applyFont="1" applyFill="1" applyBorder="1" applyAlignment="1">
      <alignment vertical="center"/>
    </xf>
    <xf numFmtId="6" fontId="11" fillId="9" borderId="0" xfId="0" applyNumberFormat="1" applyFont="1" applyFill="1" applyAlignment="1">
      <alignment vertical="center"/>
    </xf>
    <xf numFmtId="6" fontId="11" fillId="0" borderId="0" xfId="0" applyNumberFormat="1" applyFont="1" applyAlignment="1">
      <alignment vertical="center"/>
    </xf>
    <xf numFmtId="0" fontId="0" fillId="10" borderId="4" xfId="0" applyFill="1" applyBorder="1"/>
    <xf numFmtId="6" fontId="3" fillId="10" borderId="0" xfId="0" applyNumberFormat="1" applyFont="1" applyFill="1"/>
    <xf numFmtId="6" fontId="3" fillId="10" borderId="5" xfId="0" applyNumberFormat="1" applyFont="1" applyFill="1" applyBorder="1"/>
    <xf numFmtId="0" fontId="0" fillId="0" borderId="8" xfId="0" applyBorder="1"/>
    <xf numFmtId="0" fontId="10" fillId="7" borderId="0" xfId="0" applyFont="1" applyFill="1"/>
    <xf numFmtId="38" fontId="11" fillId="0" borderId="5" xfId="0" applyNumberFormat="1" applyFont="1" applyBorder="1" applyAlignment="1">
      <alignment horizontal="center" vertical="center"/>
    </xf>
    <xf numFmtId="38" fontId="11" fillId="0" borderId="5" xfId="0" applyNumberFormat="1" applyFont="1" applyBorder="1" applyAlignment="1">
      <alignment horizontal="center"/>
    </xf>
    <xf numFmtId="0" fontId="0" fillId="10" borderId="8" xfId="0" applyFill="1" applyBorder="1"/>
    <xf numFmtId="0" fontId="0" fillId="10" borderId="6" xfId="0" applyFill="1" applyBorder="1"/>
    <xf numFmtId="6" fontId="3" fillId="10" borderId="6" xfId="0" applyNumberFormat="1" applyFont="1" applyFill="1" applyBorder="1"/>
    <xf numFmtId="6" fontId="3" fillId="10" borderId="7" xfId="0" applyNumberFormat="1" applyFont="1" applyFill="1" applyBorder="1"/>
    <xf numFmtId="0" fontId="3" fillId="14" borderId="0" xfId="0" applyFont="1" applyFill="1"/>
    <xf numFmtId="0" fontId="17" fillId="15" borderId="0" xfId="0" applyFont="1" applyFill="1"/>
    <xf numFmtId="0" fontId="15" fillId="16" borderId="0" xfId="0" applyFont="1" applyFill="1"/>
    <xf numFmtId="0" fontId="0" fillId="0" borderId="37" xfId="0" applyBorder="1"/>
    <xf numFmtId="164" fontId="0" fillId="0" borderId="37" xfId="0" applyNumberFormat="1" applyBorder="1" applyAlignment="1">
      <alignment horizontal="right"/>
    </xf>
    <xf numFmtId="164" fontId="0" fillId="0" borderId="37" xfId="0" applyNumberFormat="1" applyBorder="1"/>
    <xf numFmtId="164" fontId="0" fillId="5" borderId="37" xfId="0" applyNumberFormat="1" applyFill="1" applyBorder="1"/>
    <xf numFmtId="0" fontId="0" fillId="5" borderId="32" xfId="0" applyFill="1" applyBorder="1"/>
    <xf numFmtId="0" fontId="0" fillId="5" borderId="32" xfId="0" applyFill="1" applyBorder="1" applyAlignment="1">
      <alignment horizontal="right"/>
    </xf>
    <xf numFmtId="0" fontId="0" fillId="5" borderId="32" xfId="0" applyFill="1" applyBorder="1" applyAlignment="1">
      <alignment wrapText="1"/>
    </xf>
    <xf numFmtId="6" fontId="0" fillId="5" borderId="32" xfId="0" applyNumberFormat="1" applyFill="1" applyBorder="1"/>
    <xf numFmtId="8" fontId="11" fillId="0" borderId="25" xfId="0" applyNumberFormat="1" applyFont="1" applyBorder="1"/>
    <xf numFmtId="4" fontId="0" fillId="0" borderId="37" xfId="0" applyNumberFormat="1" applyBorder="1"/>
    <xf numFmtId="43" fontId="11" fillId="8" borderId="28" xfId="2" applyFont="1" applyFill="1" applyBorder="1"/>
    <xf numFmtId="168" fontId="11" fillId="0" borderId="27" xfId="3" applyNumberFormat="1" applyFont="1" applyBorder="1"/>
    <xf numFmtId="39" fontId="11" fillId="8" borderId="28" xfId="2" applyNumberFormat="1" applyFont="1" applyFill="1" applyBorder="1"/>
    <xf numFmtId="0" fontId="7" fillId="11" borderId="3" xfId="0" applyFont="1" applyFill="1" applyBorder="1" applyAlignment="1">
      <alignment horizontal="center" vertical="center"/>
    </xf>
    <xf numFmtId="0" fontId="0" fillId="5" borderId="47" xfId="0" applyFill="1" applyBorder="1"/>
    <xf numFmtId="1" fontId="10" fillId="0" borderId="0" xfId="0" applyNumberFormat="1" applyFont="1" applyAlignment="1">
      <alignment horizontal="right"/>
    </xf>
    <xf numFmtId="165" fontId="11" fillId="0" borderId="0" xfId="0" applyNumberFormat="1" applyFont="1"/>
    <xf numFmtId="2" fontId="0" fillId="0" borderId="0" xfId="0" applyNumberFormat="1"/>
    <xf numFmtId="0" fontId="0" fillId="5" borderId="0" xfId="0" applyFill="1"/>
    <xf numFmtId="164" fontId="0" fillId="5" borderId="0" xfId="0" applyNumberFormat="1" applyFill="1"/>
    <xf numFmtId="0" fontId="0" fillId="5" borderId="18" xfId="0" applyFill="1" applyBorder="1" applyAlignment="1">
      <alignment horizontal="center"/>
    </xf>
    <xf numFmtId="1" fontId="6" fillId="5" borderId="18" xfId="0" applyNumberFormat="1" applyFont="1" applyFill="1" applyBorder="1" applyAlignment="1">
      <alignment horizontal="center"/>
    </xf>
    <xf numFmtId="1" fontId="6" fillId="5" borderId="21" xfId="0" applyNumberFormat="1" applyFont="1" applyFill="1" applyBorder="1" applyAlignment="1">
      <alignment horizontal="center"/>
    </xf>
    <xf numFmtId="1" fontId="0" fillId="5" borderId="18" xfId="0" applyNumberFormat="1" applyFill="1" applyBorder="1" applyAlignment="1">
      <alignment horizontal="center"/>
    </xf>
    <xf numFmtId="1" fontId="0" fillId="5" borderId="21" xfId="0" applyNumberFormat="1" applyFill="1" applyBorder="1" applyAlignment="1">
      <alignment horizontal="center"/>
    </xf>
    <xf numFmtId="0" fontId="0" fillId="5" borderId="15" xfId="0" applyFill="1" applyBorder="1" applyAlignment="1">
      <alignment horizontal="center"/>
    </xf>
    <xf numFmtId="0" fontId="0" fillId="5" borderId="21" xfId="0" applyFill="1" applyBorder="1" applyAlignment="1">
      <alignment horizontal="center"/>
    </xf>
    <xf numFmtId="164" fontId="11" fillId="17" borderId="0" xfId="3" applyNumberFormat="1" applyFont="1" applyFill="1" applyBorder="1"/>
    <xf numFmtId="164" fontId="11" fillId="5" borderId="0" xfId="3" applyNumberFormat="1" applyFont="1" applyFill="1" applyBorder="1"/>
    <xf numFmtId="6" fontId="11" fillId="17" borderId="0" xfId="3" applyNumberFormat="1" applyFont="1" applyFill="1" applyBorder="1"/>
    <xf numFmtId="169" fontId="13" fillId="13" borderId="37" xfId="3" applyNumberFormat="1" applyFont="1" applyFill="1" applyBorder="1" applyAlignment="1">
      <alignment horizontal="center"/>
    </xf>
    <xf numFmtId="169" fontId="13" fillId="0" borderId="37" xfId="3" applyNumberFormat="1" applyFont="1" applyBorder="1" applyAlignment="1">
      <alignment horizontal="center"/>
    </xf>
    <xf numFmtId="169" fontId="7" fillId="11" borderId="3" xfId="0" applyNumberFormat="1" applyFont="1" applyFill="1" applyBorder="1" applyAlignment="1">
      <alignment horizontal="center" vertical="center"/>
    </xf>
    <xf numFmtId="0" fontId="10" fillId="7" borderId="4" xfId="0" applyFont="1" applyFill="1" applyBorder="1" applyAlignment="1">
      <alignment horizontal="center" vertical="center"/>
    </xf>
    <xf numFmtId="169" fontId="13" fillId="13" borderId="55" xfId="3" applyNumberFormat="1" applyFont="1" applyFill="1" applyBorder="1" applyAlignment="1">
      <alignment horizontal="center"/>
    </xf>
    <xf numFmtId="169" fontId="13" fillId="13" borderId="52" xfId="3" applyNumberFormat="1" applyFont="1" applyFill="1" applyBorder="1" applyAlignment="1">
      <alignment horizontal="center"/>
    </xf>
    <xf numFmtId="169" fontId="13" fillId="0" borderId="55" xfId="3" applyNumberFormat="1" applyFont="1" applyBorder="1" applyAlignment="1">
      <alignment horizontal="center"/>
    </xf>
    <xf numFmtId="169" fontId="13" fillId="0" borderId="52" xfId="3" applyNumberFormat="1" applyFont="1" applyBorder="1" applyAlignment="1">
      <alignment horizontal="center"/>
    </xf>
    <xf numFmtId="0" fontId="11" fillId="5" borderId="3" xfId="0" applyFont="1" applyFill="1" applyBorder="1"/>
    <xf numFmtId="8" fontId="0" fillId="0" borderId="0" xfId="0" applyNumberFormat="1"/>
    <xf numFmtId="0" fontId="3" fillId="0" borderId="0" xfId="0" applyFont="1" applyAlignment="1">
      <alignment horizontal="center"/>
    </xf>
    <xf numFmtId="166" fontId="0" fillId="0" borderId="39" xfId="0" applyNumberFormat="1" applyBorder="1"/>
    <xf numFmtId="166" fontId="0" fillId="0" borderId="40" xfId="0" applyNumberFormat="1" applyBorder="1"/>
    <xf numFmtId="166" fontId="0" fillId="0" borderId="0" xfId="0" applyNumberFormat="1"/>
    <xf numFmtId="166" fontId="0" fillId="0" borderId="38" xfId="0" applyNumberFormat="1" applyBorder="1"/>
    <xf numFmtId="166" fontId="0" fillId="0" borderId="4" xfId="0" applyNumberFormat="1" applyBorder="1"/>
    <xf numFmtId="166" fontId="0" fillId="0" borderId="5" xfId="0" applyNumberFormat="1" applyBorder="1"/>
    <xf numFmtId="166" fontId="4" fillId="3" borderId="1" xfId="0" applyNumberFormat="1" applyFont="1" applyFill="1" applyBorder="1" applyAlignment="1">
      <alignment horizontal="right" wrapText="1"/>
    </xf>
    <xf numFmtId="166" fontId="4" fillId="3" borderId="0" xfId="0" applyNumberFormat="1" applyFont="1" applyFill="1" applyAlignment="1">
      <alignment horizontal="right" wrapText="1"/>
    </xf>
    <xf numFmtId="0" fontId="11" fillId="17" borderId="0" xfId="0" applyFont="1" applyFill="1"/>
    <xf numFmtId="0" fontId="0" fillId="19" borderId="0" xfId="0" applyFill="1"/>
    <xf numFmtId="0" fontId="2" fillId="2" borderId="57" xfId="0" applyFont="1" applyFill="1" applyBorder="1" applyAlignment="1">
      <alignment horizontal="left" wrapText="1"/>
    </xf>
    <xf numFmtId="164" fontId="3" fillId="0" borderId="0" xfId="0" applyNumberFormat="1" applyFont="1"/>
    <xf numFmtId="0" fontId="0" fillId="0" borderId="0" xfId="0" applyAlignment="1">
      <alignment horizontal="left" vertical="top" wrapText="1"/>
    </xf>
    <xf numFmtId="0" fontId="0" fillId="0" borderId="0" xfId="0" applyAlignment="1">
      <alignment horizontal="center"/>
    </xf>
    <xf numFmtId="9" fontId="11" fillId="0" borderId="25" xfId="1" applyFont="1" applyBorder="1"/>
    <xf numFmtId="0" fontId="0" fillId="0" borderId="54" xfId="0" applyBorder="1" applyAlignment="1">
      <alignment horizontal="right"/>
    </xf>
    <xf numFmtId="0" fontId="0" fillId="0" borderId="37" xfId="0" applyBorder="1" applyAlignment="1">
      <alignment horizontal="right"/>
    </xf>
    <xf numFmtId="1" fontId="0" fillId="4" borderId="36" xfId="0" applyNumberFormat="1" applyFill="1" applyBorder="1"/>
    <xf numFmtId="0" fontId="3" fillId="4" borderId="3" xfId="0" applyFont="1" applyFill="1" applyBorder="1"/>
    <xf numFmtId="0" fontId="11" fillId="0" borderId="24" xfId="0" applyFont="1" applyBorder="1"/>
    <xf numFmtId="0" fontId="10" fillId="0" borderId="60" xfId="0" applyFont="1" applyBorder="1"/>
    <xf numFmtId="0" fontId="3" fillId="0" borderId="0" xfId="0" applyFont="1" applyAlignment="1">
      <alignment vertical="top" wrapText="1"/>
    </xf>
    <xf numFmtId="0" fontId="3" fillId="5" borderId="0" xfId="0" applyFont="1" applyFill="1" applyAlignment="1">
      <alignment wrapText="1"/>
    </xf>
    <xf numFmtId="0" fontId="13" fillId="5" borderId="45" xfId="0" applyFont="1" applyFill="1" applyBorder="1"/>
    <xf numFmtId="0" fontId="13" fillId="5" borderId="48" xfId="0" applyFont="1" applyFill="1" applyBorder="1"/>
    <xf numFmtId="0" fontId="13" fillId="5" borderId="49" xfId="0" applyFont="1" applyFill="1" applyBorder="1"/>
    <xf numFmtId="0" fontId="26" fillId="6" borderId="61" xfId="0" applyFont="1" applyFill="1" applyBorder="1"/>
    <xf numFmtId="0" fontId="26" fillId="20" borderId="0" xfId="0" applyFont="1" applyFill="1"/>
    <xf numFmtId="6" fontId="26" fillId="20" borderId="63" xfId="0" applyNumberFormat="1" applyFont="1" applyFill="1" applyBorder="1"/>
    <xf numFmtId="0" fontId="26" fillId="21" borderId="0" xfId="0" applyFont="1" applyFill="1"/>
    <xf numFmtId="6" fontId="26" fillId="21" borderId="63" xfId="0" applyNumberFormat="1" applyFont="1" applyFill="1" applyBorder="1"/>
    <xf numFmtId="0" fontId="26" fillId="22" borderId="0" xfId="0" applyFont="1" applyFill="1"/>
    <xf numFmtId="0" fontId="26" fillId="22" borderId="63" xfId="0" applyFont="1" applyFill="1" applyBorder="1"/>
    <xf numFmtId="0" fontId="26" fillId="23" borderId="0" xfId="0" applyFont="1" applyFill="1"/>
    <xf numFmtId="0" fontId="26" fillId="23" borderId="63" xfId="0" applyFont="1" applyFill="1" applyBorder="1"/>
    <xf numFmtId="0" fontId="26" fillId="21" borderId="63" xfId="0" applyFont="1" applyFill="1" applyBorder="1"/>
    <xf numFmtId="6" fontId="26" fillId="22" borderId="63" xfId="0" applyNumberFormat="1" applyFont="1" applyFill="1" applyBorder="1"/>
    <xf numFmtId="0" fontId="26" fillId="6" borderId="5" xfId="0" applyFont="1" applyFill="1" applyBorder="1"/>
    <xf numFmtId="6" fontId="26" fillId="23" borderId="63" xfId="0" applyNumberFormat="1" applyFont="1" applyFill="1" applyBorder="1"/>
    <xf numFmtId="6" fontId="26" fillId="6" borderId="5" xfId="0" applyNumberFormat="1" applyFont="1" applyFill="1" applyBorder="1"/>
    <xf numFmtId="0" fontId="26" fillId="6" borderId="66" xfId="0" applyFont="1" applyFill="1" applyBorder="1"/>
    <xf numFmtId="0" fontId="26" fillId="17" borderId="67" xfId="0" applyFont="1" applyFill="1" applyBorder="1"/>
    <xf numFmtId="0" fontId="26" fillId="17" borderId="64" xfId="0" applyFont="1" applyFill="1" applyBorder="1"/>
    <xf numFmtId="1" fontId="25" fillId="0" borderId="0" xfId="0" applyNumberFormat="1" applyFont="1"/>
    <xf numFmtId="6" fontId="26" fillId="17" borderId="64" xfId="0" applyNumberFormat="1" applyFont="1" applyFill="1" applyBorder="1"/>
    <xf numFmtId="0" fontId="27" fillId="6" borderId="62" xfId="0" applyFont="1" applyFill="1" applyBorder="1"/>
    <xf numFmtId="0" fontId="27" fillId="6" borderId="61" xfId="0" applyFont="1" applyFill="1" applyBorder="1"/>
    <xf numFmtId="0" fontId="26" fillId="20" borderId="63" xfId="0" applyFont="1" applyFill="1" applyBorder="1"/>
    <xf numFmtId="0" fontId="26" fillId="22" borderId="56" xfId="0" applyFont="1" applyFill="1" applyBorder="1"/>
    <xf numFmtId="0" fontId="26" fillId="23" borderId="56" xfId="0" applyFont="1" applyFill="1" applyBorder="1"/>
    <xf numFmtId="0" fontId="27" fillId="6" borderId="65" xfId="0" applyFont="1" applyFill="1" applyBorder="1"/>
    <xf numFmtId="0" fontId="27" fillId="6" borderId="64" xfId="0" applyFont="1" applyFill="1" applyBorder="1"/>
    <xf numFmtId="0" fontId="15" fillId="0" borderId="0" xfId="0" applyFont="1"/>
    <xf numFmtId="0" fontId="0" fillId="0" borderId="35" xfId="0" applyBorder="1"/>
    <xf numFmtId="0" fontId="0" fillId="0" borderId="36" xfId="0" applyBorder="1"/>
    <xf numFmtId="0" fontId="0" fillId="0" borderId="24" xfId="0" applyBorder="1"/>
    <xf numFmtId="0" fontId="28" fillId="18" borderId="0" xfId="0" applyFont="1" applyFill="1" applyAlignment="1">
      <alignment vertical="top" wrapText="1"/>
    </xf>
    <xf numFmtId="0" fontId="28" fillId="18" borderId="0" xfId="0" applyFont="1" applyFill="1" applyAlignment="1">
      <alignment wrapText="1"/>
    </xf>
    <xf numFmtId="0" fontId="0" fillId="0" borderId="4" xfId="0" applyBorder="1" applyAlignment="1">
      <alignment horizontal="center"/>
    </xf>
    <xf numFmtId="0" fontId="0" fillId="0" borderId="0" xfId="0" applyAlignment="1">
      <alignment horizontal="center"/>
    </xf>
    <xf numFmtId="0" fontId="3" fillId="0" borderId="59" xfId="0" applyFont="1" applyBorder="1" applyAlignment="1">
      <alignment horizontal="center"/>
    </xf>
    <xf numFmtId="0" fontId="3" fillId="0" borderId="58" xfId="0" applyFont="1" applyBorder="1" applyAlignment="1">
      <alignment horizontal="center"/>
    </xf>
    <xf numFmtId="0" fontId="3" fillId="0" borderId="60" xfId="0" applyFont="1" applyBorder="1" applyAlignment="1">
      <alignment horizontal="center"/>
    </xf>
    <xf numFmtId="0" fontId="12" fillId="0" borderId="4" xfId="0" applyFont="1" applyBorder="1" applyAlignment="1">
      <alignment horizontal="center"/>
    </xf>
    <xf numFmtId="0" fontId="12" fillId="0" borderId="0" xfId="0" applyFont="1" applyAlignment="1">
      <alignment horizontal="center"/>
    </xf>
    <xf numFmtId="0" fontId="12" fillId="0" borderId="5" xfId="0" applyFont="1" applyBorder="1" applyAlignment="1">
      <alignment horizontal="center"/>
    </xf>
    <xf numFmtId="0" fontId="3" fillId="0" borderId="35" xfId="0" applyFont="1" applyBorder="1" applyAlignment="1">
      <alignment horizontal="center"/>
    </xf>
    <xf numFmtId="164" fontId="11" fillId="0" borderId="28" xfId="0" applyNumberFormat="1" applyFont="1" applyBorder="1" applyAlignment="1">
      <alignment horizontal="right"/>
    </xf>
    <xf numFmtId="164" fontId="11" fillId="0" borderId="27" xfId="0" applyNumberFormat="1" applyFont="1" applyBorder="1" applyAlignment="1">
      <alignment horizontal="right"/>
    </xf>
    <xf numFmtId="0" fontId="3" fillId="12" borderId="9" xfId="0" applyFont="1" applyFill="1" applyBorder="1" applyAlignment="1">
      <alignment horizontal="center"/>
    </xf>
    <xf numFmtId="0" fontId="3" fillId="12" borderId="10" xfId="0" applyFont="1" applyFill="1" applyBorder="1" applyAlignment="1">
      <alignment horizontal="center"/>
    </xf>
    <xf numFmtId="0" fontId="3" fillId="12" borderId="34" xfId="0" applyFont="1" applyFill="1" applyBorder="1" applyAlignment="1">
      <alignment horizontal="center"/>
    </xf>
    <xf numFmtId="0" fontId="3" fillId="12" borderId="4" xfId="0" applyFont="1" applyFill="1" applyBorder="1" applyAlignment="1">
      <alignment horizontal="center"/>
    </xf>
    <xf numFmtId="0" fontId="3" fillId="12" borderId="0" xfId="0" applyFont="1" applyFill="1" applyAlignment="1">
      <alignment horizontal="center"/>
    </xf>
    <xf numFmtId="0" fontId="3" fillId="12" borderId="5" xfId="0" applyFont="1" applyFill="1" applyBorder="1" applyAlignment="1">
      <alignment horizontal="center"/>
    </xf>
    <xf numFmtId="0" fontId="24" fillId="0" borderId="10" xfId="0" applyFont="1" applyBorder="1" applyAlignment="1">
      <alignment horizontal="center"/>
    </xf>
    <xf numFmtId="0" fontId="16" fillId="0" borderId="10" xfId="0" applyFont="1" applyBorder="1" applyAlignment="1">
      <alignment horizontal="center"/>
    </xf>
    <xf numFmtId="0" fontId="24" fillId="0" borderId="0" xfId="0" applyFont="1" applyAlignment="1">
      <alignment horizontal="center"/>
    </xf>
    <xf numFmtId="0" fontId="19" fillId="18" borderId="56" xfId="0" applyFont="1" applyFill="1" applyBorder="1" applyAlignment="1">
      <alignment horizontal="center"/>
    </xf>
    <xf numFmtId="0" fontId="19" fillId="18" borderId="0" xfId="0" applyFont="1" applyFill="1" applyAlignment="1">
      <alignment horizontal="center"/>
    </xf>
    <xf numFmtId="10" fontId="18" fillId="18" borderId="11" xfId="1" applyNumberFormat="1" applyFont="1" applyFill="1" applyBorder="1" applyAlignment="1">
      <alignment horizontal="center"/>
    </xf>
    <xf numFmtId="10" fontId="18" fillId="18" borderId="12" xfId="1" applyNumberFormat="1" applyFont="1" applyFill="1" applyBorder="1" applyAlignment="1">
      <alignment horizontal="center"/>
    </xf>
    <xf numFmtId="10" fontId="18" fillId="18" borderId="13" xfId="1" applyNumberFormat="1" applyFont="1" applyFill="1" applyBorder="1" applyAlignment="1">
      <alignment horizontal="center"/>
    </xf>
  </cellXfs>
  <cellStyles count="4">
    <cellStyle name="Comma" xfId="2" builtinId="3"/>
    <cellStyle name="Currency" xfId="3" builtinId="4"/>
    <cellStyle name="Normal" xfId="0" builtinId="0"/>
    <cellStyle name="Percent" xfId="1" builtinId="5"/>
  </cellStyles>
  <dxfs count="91">
    <dxf>
      <fill>
        <patternFill>
          <bgColor theme="9"/>
        </patternFill>
      </fill>
    </dxf>
    <dxf>
      <font>
        <strike/>
        <color theme="0" tint="-0.24994659260841701"/>
      </font>
    </dxf>
    <dxf>
      <font>
        <b/>
        <i val="0"/>
      </font>
      <fill>
        <patternFill>
          <bgColor rgb="FF66FF66"/>
        </patternFill>
      </fill>
    </dxf>
    <dxf>
      <font>
        <b val="0"/>
        <i/>
      </font>
      <fill>
        <patternFill>
          <bgColor theme="9" tint="0.39994506668294322"/>
        </patternFill>
      </fill>
    </dxf>
    <dxf>
      <font>
        <u/>
      </font>
      <fill>
        <patternFill>
          <bgColor theme="4" tint="0.39994506668294322"/>
        </patternFill>
      </fill>
    </dxf>
    <dxf>
      <font>
        <color auto="1"/>
      </font>
      <fill>
        <patternFill>
          <bgColor rgb="FFDDBEFF"/>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auto="1"/>
      </font>
      <fill>
        <patternFill>
          <bgColor rgb="FFDDBEFF"/>
        </patternFill>
      </fill>
    </dxf>
    <dxf>
      <font>
        <b/>
        <i val="0"/>
        <color theme="0"/>
      </font>
      <fill>
        <patternFill>
          <bgColor rgb="FF00B050"/>
        </patternFill>
      </fill>
    </dxf>
    <dxf>
      <font>
        <strike/>
        <color rgb="FFFF0000"/>
      </font>
      <fill>
        <patternFill>
          <bgColor theme="5" tint="0.79998168889431442"/>
        </patternFill>
      </fill>
    </dxf>
    <dxf>
      <font>
        <b val="0"/>
        <i/>
      </font>
      <fill>
        <patternFill>
          <bgColor theme="9" tint="0.39994506668294322"/>
        </patternFill>
      </fill>
    </dxf>
    <dxf>
      <font>
        <u/>
      </font>
      <fill>
        <patternFill>
          <bgColor theme="4" tint="0.39994506668294322"/>
        </patternFill>
      </fill>
    </dxf>
    <dxf>
      <font>
        <b/>
        <i val="0"/>
      </font>
      <fill>
        <patternFill>
          <bgColor rgb="FF66FF66"/>
        </patternFill>
      </fill>
    </dxf>
    <dxf>
      <font>
        <color theme="1"/>
      </font>
      <fill>
        <patternFill>
          <bgColor rgb="FFDDBEFF"/>
        </patternFill>
      </fill>
    </dxf>
    <dxf>
      <font>
        <b/>
        <i val="0"/>
        <strike val="0"/>
        <color theme="0"/>
      </font>
      <fill>
        <patternFill patternType="solid">
          <fgColor auto="1"/>
          <bgColor rgb="FF00B050"/>
        </patternFill>
      </fill>
    </dxf>
    <dxf>
      <font>
        <strike/>
        <color rgb="FFFF0000"/>
      </font>
      <fill>
        <patternFill>
          <bgColor theme="5" tint="0.79998168889431442"/>
        </patternFill>
      </fill>
    </dxf>
    <dxf>
      <font>
        <b val="0"/>
        <i/>
        <strike/>
        <color theme="0" tint="-0.34998626667073579"/>
      </font>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font>
        <b/>
        <i val="0"/>
      </font>
      <fill>
        <patternFill>
          <bgColor rgb="FFFFFF00"/>
        </patternFill>
      </fill>
    </dxf>
    <dxf>
      <font>
        <b val="0"/>
        <i/>
        <strike/>
        <color theme="0" tint="-0.34998626667073579"/>
      </font>
    </dxf>
    <dxf>
      <font>
        <b val="0"/>
        <i/>
        <strike val="0"/>
        <u val="none"/>
      </font>
      <fill>
        <patternFill>
          <bgColor theme="9" tint="0.39994506668294322"/>
        </patternFill>
      </fill>
    </dxf>
    <dxf>
      <font>
        <b/>
        <i val="0"/>
      </font>
      <fill>
        <patternFill>
          <bgColor rgb="FF66FF66"/>
        </patternFill>
      </fill>
    </dxf>
    <dxf>
      <font>
        <b val="0"/>
        <i val="0"/>
        <u/>
      </font>
      <fill>
        <patternFill>
          <bgColor rgb="FFB6CBE4"/>
        </patternFill>
      </fill>
    </dxf>
    <dxf>
      <font>
        <b val="0"/>
        <i val="0"/>
        <strike val="0"/>
        <color theme="1"/>
      </font>
      <fill>
        <patternFill>
          <bgColor rgb="FFDDBEFF"/>
        </patternFill>
      </fill>
    </dxf>
    <dxf>
      <font>
        <b val="0"/>
        <i/>
        <strike/>
        <color theme="0" tint="-0.34998626667073579"/>
      </font>
    </dxf>
    <dxf>
      <font>
        <color rgb="FF00B050"/>
      </font>
    </dxf>
    <dxf>
      <font>
        <strike val="0"/>
        <color rgb="FFFF0000"/>
      </font>
    </dxf>
    <dxf>
      <font>
        <strike val="0"/>
        <color rgb="FF00B050"/>
      </font>
    </dxf>
    <dxf>
      <font>
        <strike val="0"/>
        <color rgb="FFFF0000"/>
      </font>
    </dxf>
    <dxf>
      <numFmt numFmtId="0" formatCode="General"/>
    </dxf>
    <dxf>
      <numFmt numFmtId="0" formatCode="General"/>
    </dxf>
    <dxf>
      <font>
        <b val="0"/>
        <i/>
        <strike/>
        <color theme="0" tint="-0.499984740745262"/>
      </font>
    </dxf>
    <dxf>
      <font>
        <b val="0"/>
        <i/>
        <strike val="0"/>
        <u val="none"/>
      </font>
      <fill>
        <patternFill>
          <bgColor theme="9" tint="0.39994506668294322"/>
        </patternFill>
      </fill>
    </dxf>
    <dxf>
      <font>
        <b/>
        <i val="0"/>
      </font>
      <fill>
        <patternFill>
          <bgColor rgb="FF66FF66"/>
        </patternFill>
      </fill>
    </dxf>
    <dxf>
      <font>
        <b val="0"/>
        <i val="0"/>
        <u/>
      </font>
      <fill>
        <patternFill>
          <bgColor theme="4" tint="0.39994506668294322"/>
        </patternFill>
      </fill>
    </dxf>
    <dxf>
      <font>
        <b val="0"/>
        <i val="0"/>
        <strike val="0"/>
        <color theme="1"/>
      </font>
      <fill>
        <patternFill>
          <bgColor rgb="FFDDBEFF"/>
        </patternFill>
      </fill>
    </dxf>
    <dxf>
      <font>
        <b val="0"/>
        <i/>
        <strike/>
        <color theme="0" tint="-0.34998626667073579"/>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strike/>
        <color theme="0" tint="-0.24994659260841701"/>
      </font>
    </dxf>
    <dxf>
      <font>
        <color rgb="FFFFCCCC"/>
      </font>
      <fill>
        <patternFill>
          <bgColor rgb="FFFF0000"/>
        </patternFill>
      </fill>
    </dxf>
    <dxf>
      <font>
        <b val="0"/>
        <i/>
        <color theme="0" tint="-0.14996795556505021"/>
      </font>
    </dxf>
    <dxf>
      <fill>
        <patternFill>
          <bgColor rgb="FFB4FF81"/>
        </patternFill>
      </fill>
    </dxf>
    <dxf>
      <fill>
        <patternFill>
          <bgColor theme="5" tint="0.59996337778862885"/>
        </patternFill>
      </fill>
    </dxf>
    <dxf>
      <fill>
        <patternFill>
          <bgColor theme="5" tint="0.59996337778862885"/>
        </patternFill>
      </fill>
    </dxf>
  </dxfs>
  <tableStyles count="0" defaultTableStyle="TableStyleMedium2" defaultPivotStyle="PivotStyleLight16"/>
  <colors>
    <mruColors>
      <color rgb="FFFFFF99"/>
      <color rgb="FFFFCCCC"/>
      <color rgb="FFCCFFFF"/>
      <color rgb="FFB6CBE4"/>
      <color rgb="FFCCFF99"/>
      <color rgb="FFDDBEFF"/>
      <color rgb="FFC99AFF"/>
      <color rgb="FFFFCC99"/>
      <color rgb="FF66FF66"/>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gif"/><Relationship Id="rId13" Type="http://schemas.openxmlformats.org/officeDocument/2006/relationships/image" Target="../media/image13.gif"/><Relationship Id="rId18" Type="http://schemas.openxmlformats.org/officeDocument/2006/relationships/image" Target="../media/image18.gif"/><Relationship Id="rId26" Type="http://schemas.openxmlformats.org/officeDocument/2006/relationships/image" Target="../media/image26.gif"/><Relationship Id="rId3" Type="http://schemas.openxmlformats.org/officeDocument/2006/relationships/image" Target="../media/image3.gif"/><Relationship Id="rId21" Type="http://schemas.openxmlformats.org/officeDocument/2006/relationships/image" Target="../media/image21.gif"/><Relationship Id="rId7" Type="http://schemas.openxmlformats.org/officeDocument/2006/relationships/image" Target="../media/image7.gif"/><Relationship Id="rId12" Type="http://schemas.openxmlformats.org/officeDocument/2006/relationships/image" Target="../media/image12.gif"/><Relationship Id="rId17" Type="http://schemas.openxmlformats.org/officeDocument/2006/relationships/image" Target="../media/image17.gif"/><Relationship Id="rId25" Type="http://schemas.openxmlformats.org/officeDocument/2006/relationships/image" Target="../media/image25.gif"/><Relationship Id="rId2" Type="http://schemas.openxmlformats.org/officeDocument/2006/relationships/image" Target="../media/image2.gif"/><Relationship Id="rId16" Type="http://schemas.openxmlformats.org/officeDocument/2006/relationships/image" Target="../media/image16.gif"/><Relationship Id="rId20" Type="http://schemas.openxmlformats.org/officeDocument/2006/relationships/image" Target="../media/image20.gif"/><Relationship Id="rId29" Type="http://schemas.openxmlformats.org/officeDocument/2006/relationships/image" Target="../media/image29.gif"/><Relationship Id="rId1" Type="http://schemas.openxmlformats.org/officeDocument/2006/relationships/image" Target="../media/image1.gif"/><Relationship Id="rId6" Type="http://schemas.openxmlformats.org/officeDocument/2006/relationships/image" Target="../media/image6.gif"/><Relationship Id="rId11" Type="http://schemas.openxmlformats.org/officeDocument/2006/relationships/image" Target="../media/image11.gif"/><Relationship Id="rId24" Type="http://schemas.openxmlformats.org/officeDocument/2006/relationships/image" Target="../media/image24.gif"/><Relationship Id="rId32" Type="http://schemas.openxmlformats.org/officeDocument/2006/relationships/image" Target="../media/image32.png"/><Relationship Id="rId5" Type="http://schemas.openxmlformats.org/officeDocument/2006/relationships/image" Target="../media/image5.gif"/><Relationship Id="rId15" Type="http://schemas.openxmlformats.org/officeDocument/2006/relationships/image" Target="../media/image15.gif"/><Relationship Id="rId23" Type="http://schemas.openxmlformats.org/officeDocument/2006/relationships/image" Target="../media/image23.gif"/><Relationship Id="rId28" Type="http://schemas.openxmlformats.org/officeDocument/2006/relationships/image" Target="../media/image28.gif"/><Relationship Id="rId10" Type="http://schemas.openxmlformats.org/officeDocument/2006/relationships/image" Target="../media/image10.gif"/><Relationship Id="rId19" Type="http://schemas.openxmlformats.org/officeDocument/2006/relationships/image" Target="../media/image19.gif"/><Relationship Id="rId31" Type="http://schemas.openxmlformats.org/officeDocument/2006/relationships/image" Target="../media/image31.gif"/><Relationship Id="rId4" Type="http://schemas.openxmlformats.org/officeDocument/2006/relationships/image" Target="../media/image4.gif"/><Relationship Id="rId9" Type="http://schemas.openxmlformats.org/officeDocument/2006/relationships/image" Target="../media/image9.gif"/><Relationship Id="rId14" Type="http://schemas.openxmlformats.org/officeDocument/2006/relationships/image" Target="../media/image14.gif"/><Relationship Id="rId22" Type="http://schemas.openxmlformats.org/officeDocument/2006/relationships/image" Target="../media/image22.gif"/><Relationship Id="rId27" Type="http://schemas.openxmlformats.org/officeDocument/2006/relationships/image" Target="../media/image27.gif"/><Relationship Id="rId30" Type="http://schemas.openxmlformats.org/officeDocument/2006/relationships/image" Target="../media/image30.gif"/></Relationships>
</file>

<file path=xl/drawings/drawing1.xml><?xml version="1.0" encoding="utf-8"?>
<xdr:wsDr xmlns:xdr="http://schemas.openxmlformats.org/drawingml/2006/spreadsheetDrawing" xmlns:a="http://schemas.openxmlformats.org/drawingml/2006/main">
  <xdr:twoCellAnchor editAs="oneCell">
    <xdr:from>
      <xdr:col>1</xdr:col>
      <xdr:colOff>409575</xdr:colOff>
      <xdr:row>0</xdr:row>
      <xdr:rowOff>6350</xdr:rowOff>
    </xdr:from>
    <xdr:to>
      <xdr:col>1</xdr:col>
      <xdr:colOff>817880</xdr:colOff>
      <xdr:row>0</xdr:row>
      <xdr:rowOff>283845</xdr:rowOff>
    </xdr:to>
    <xdr:pic>
      <xdr:nvPicPr>
        <xdr:cNvPr id="2" name="Picture 1" descr="http://content.sportslogos.net/logos/7/177/thumbs/kwth8f1cfa2sch5xhjjfaof90.gif">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 y="63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0</xdr:row>
      <xdr:rowOff>25400</xdr:rowOff>
    </xdr:from>
    <xdr:to>
      <xdr:col>2</xdr:col>
      <xdr:colOff>855980</xdr:colOff>
      <xdr:row>0</xdr:row>
      <xdr:rowOff>302895</xdr:rowOff>
    </xdr:to>
    <xdr:pic>
      <xdr:nvPicPr>
        <xdr:cNvPr id="3" name="Picture 2" descr="http://content.sportslogos.net/logos/7/173/thumbs/299.gif">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1717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419100</xdr:colOff>
      <xdr:row>0</xdr:row>
      <xdr:rowOff>25400</xdr:rowOff>
    </xdr:from>
    <xdr:to>
      <xdr:col>3</xdr:col>
      <xdr:colOff>821690</xdr:colOff>
      <xdr:row>0</xdr:row>
      <xdr:rowOff>302895</xdr:rowOff>
    </xdr:to>
    <xdr:pic>
      <xdr:nvPicPr>
        <xdr:cNvPr id="4" name="Picture 3" descr="http://content.sportslogos.net/logos/7/153/thumbs/318.gif">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575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0</xdr:row>
      <xdr:rowOff>53975</xdr:rowOff>
    </xdr:from>
    <xdr:to>
      <xdr:col>4</xdr:col>
      <xdr:colOff>783590</xdr:colOff>
      <xdr:row>0</xdr:row>
      <xdr:rowOff>331470</xdr:rowOff>
    </xdr:to>
    <xdr:pic>
      <xdr:nvPicPr>
        <xdr:cNvPr id="5" name="Picture 4" descr="http://content.sportslogos.net/logos/7/149/thumbs/n0fd1z6xmhigb0eej3323ebwq.gif">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733925" y="53975"/>
          <a:ext cx="402590"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409575</xdr:colOff>
      <xdr:row>0</xdr:row>
      <xdr:rowOff>25400</xdr:rowOff>
    </xdr:from>
    <xdr:to>
      <xdr:col>5</xdr:col>
      <xdr:colOff>817880</xdr:colOff>
      <xdr:row>0</xdr:row>
      <xdr:rowOff>302895</xdr:rowOff>
    </xdr:to>
    <xdr:pic>
      <xdr:nvPicPr>
        <xdr:cNvPr id="6" name="Picture 5" descr="http://content.sportslogos.net/logos/7/174/thumbs/f1wggq2k8ql88fe33jzhw641u.gif">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769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419100</xdr:colOff>
      <xdr:row>0</xdr:row>
      <xdr:rowOff>25400</xdr:rowOff>
    </xdr:from>
    <xdr:to>
      <xdr:col>6</xdr:col>
      <xdr:colOff>821690</xdr:colOff>
      <xdr:row>0</xdr:row>
      <xdr:rowOff>302895</xdr:rowOff>
    </xdr:to>
    <xdr:pic>
      <xdr:nvPicPr>
        <xdr:cNvPr id="7" name="Picture 6" descr="http://content.sportslogos.net/logos/7/169/thumbs/364.gif">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74009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428625</xdr:colOff>
      <xdr:row>0</xdr:row>
      <xdr:rowOff>25400</xdr:rowOff>
    </xdr:from>
    <xdr:to>
      <xdr:col>7</xdr:col>
      <xdr:colOff>836930</xdr:colOff>
      <xdr:row>0</xdr:row>
      <xdr:rowOff>302895</xdr:rowOff>
    </xdr:to>
    <xdr:pic>
      <xdr:nvPicPr>
        <xdr:cNvPr id="8" name="Picture 7" descr="http://content.sportslogos.net/logos/7/154/thumbs/403.gif">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72490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0</xdr:row>
      <xdr:rowOff>25400</xdr:rowOff>
    </xdr:from>
    <xdr:to>
      <xdr:col>8</xdr:col>
      <xdr:colOff>836930</xdr:colOff>
      <xdr:row>0</xdr:row>
      <xdr:rowOff>302895</xdr:rowOff>
    </xdr:to>
    <xdr:pic>
      <xdr:nvPicPr>
        <xdr:cNvPr id="9" name="Picture 8" descr="http://content.sportslogos.net/logos/7/155/thumbs/2ioheczrkmc2ibc42c9r.gif">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039350"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457200</xdr:colOff>
      <xdr:row>0</xdr:row>
      <xdr:rowOff>25400</xdr:rowOff>
    </xdr:from>
    <xdr:to>
      <xdr:col>9</xdr:col>
      <xdr:colOff>859790</xdr:colOff>
      <xdr:row>0</xdr:row>
      <xdr:rowOff>302895</xdr:rowOff>
    </xdr:to>
    <xdr:pic>
      <xdr:nvPicPr>
        <xdr:cNvPr id="10" name="Picture 9" descr="http://content.sportslogos.net/logos/7/165/thumbs/406.gif">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38237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0</xdr:row>
      <xdr:rowOff>25400</xdr:rowOff>
    </xdr:from>
    <xdr:to>
      <xdr:col>10</xdr:col>
      <xdr:colOff>821690</xdr:colOff>
      <xdr:row>0</xdr:row>
      <xdr:rowOff>302895</xdr:rowOff>
    </xdr:to>
    <xdr:pic>
      <xdr:nvPicPr>
        <xdr:cNvPr id="11" name="Picture 10" descr="http://content.sportslogos.net/logos/7/161/thumbs/9ebzja2zfeigaziee8y605aqp.gif">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6587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400050</xdr:colOff>
      <xdr:row>0</xdr:row>
      <xdr:rowOff>25400</xdr:rowOff>
    </xdr:from>
    <xdr:to>
      <xdr:col>11</xdr:col>
      <xdr:colOff>819785</xdr:colOff>
      <xdr:row>0</xdr:row>
      <xdr:rowOff>302895</xdr:rowOff>
    </xdr:to>
    <xdr:pic>
      <xdr:nvPicPr>
        <xdr:cNvPr id="12" name="Picture 11" descr="http://content.sportslogos.net/logos/7/170/thumbs/cwuyv0w15ruuk34j9qnfuoif9.gif">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3954125" y="25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857885</xdr:colOff>
      <xdr:row>16</xdr:row>
      <xdr:rowOff>323850</xdr:rowOff>
    </xdr:to>
    <xdr:pic>
      <xdr:nvPicPr>
        <xdr:cNvPr id="13" name="Picture 12" descr="http://content.sportslogos.net/logos/7/171/thumbs/dcy03myfhffbki5d7il3.gif">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47725"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860425</xdr:colOff>
      <xdr:row>16</xdr:row>
      <xdr:rowOff>302895</xdr:rowOff>
    </xdr:to>
    <xdr:pic>
      <xdr:nvPicPr>
        <xdr:cNvPr id="14" name="Picture 13" descr="http://content.sportslogos.net/logos/7/157/thumbs/570.gif">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162175" y="3073400"/>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859790</xdr:colOff>
      <xdr:row>16</xdr:row>
      <xdr:rowOff>321945</xdr:rowOff>
    </xdr:to>
    <xdr:pic>
      <xdr:nvPicPr>
        <xdr:cNvPr id="15" name="Picture 14" descr="http://content.sportslogos.net/logos/7/158/thumbs/593.gif">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495675" y="309245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875030</xdr:colOff>
      <xdr:row>16</xdr:row>
      <xdr:rowOff>325755</xdr:rowOff>
    </xdr:to>
    <xdr:pic>
      <xdr:nvPicPr>
        <xdr:cNvPr id="16" name="Picture 15" descr="http://content.sportslogos.net/logos/7/159/thumbs/15988562013.gif">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819650" y="3092450"/>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818515</xdr:colOff>
      <xdr:row>16</xdr:row>
      <xdr:rowOff>321945</xdr:rowOff>
    </xdr:to>
    <xdr:pic>
      <xdr:nvPicPr>
        <xdr:cNvPr id="17" name="Picture 16" descr="http://content.sportslogos.net/logos/7/162/thumbs/857.gif">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86475" y="3082925"/>
          <a:ext cx="41465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798830</xdr:colOff>
      <xdr:row>16</xdr:row>
      <xdr:rowOff>340995</xdr:rowOff>
    </xdr:to>
    <xdr:pic>
      <xdr:nvPicPr>
        <xdr:cNvPr id="18" name="Picture 17" descr="http://content.sportslogos.net/logos/7/164/thumbs/8e1jhgblydtow4m3okwzxh67k.gif">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686800" y="31019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409575</xdr:colOff>
      <xdr:row>16</xdr:row>
      <xdr:rowOff>25400</xdr:rowOff>
    </xdr:from>
    <xdr:to>
      <xdr:col>8</xdr:col>
      <xdr:colOff>817880</xdr:colOff>
      <xdr:row>16</xdr:row>
      <xdr:rowOff>302895</xdr:rowOff>
    </xdr:to>
    <xdr:pic>
      <xdr:nvPicPr>
        <xdr:cNvPr id="19" name="Picture 18" descr="http://content.sportslogos.net/logos/7/178/thumbs/1029.gif">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020300"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819785</xdr:colOff>
      <xdr:row>16</xdr:row>
      <xdr:rowOff>302895</xdr:rowOff>
    </xdr:to>
    <xdr:pic>
      <xdr:nvPicPr>
        <xdr:cNvPr id="20" name="Picture 19" descr="http://content.sportslogos.net/logos/7/150/thumbs/15041052013.gif">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3252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821690</xdr:colOff>
      <xdr:row>16</xdr:row>
      <xdr:rowOff>302895</xdr:rowOff>
    </xdr:to>
    <xdr:pic>
      <xdr:nvPicPr>
        <xdr:cNvPr id="21" name="Picture 20" descr="http://content.sportslogos.net/logos/7/172/thumbs/17227042013.gif">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26587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428625</xdr:colOff>
      <xdr:row>16</xdr:row>
      <xdr:rowOff>34925</xdr:rowOff>
    </xdr:from>
    <xdr:to>
      <xdr:col>11</xdr:col>
      <xdr:colOff>836930</xdr:colOff>
      <xdr:row>16</xdr:row>
      <xdr:rowOff>323850</xdr:rowOff>
    </xdr:to>
    <xdr:pic>
      <xdr:nvPicPr>
        <xdr:cNvPr id="22" name="Picture 21" descr="http://content.sportslogos.net/logos/7/151/thumbs/y71myf8mlwlk8lbgagh3fd5e0.gif">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3982700" y="308292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783590</xdr:colOff>
      <xdr:row>32</xdr:row>
      <xdr:rowOff>287655</xdr:rowOff>
    </xdr:to>
    <xdr:pic>
      <xdr:nvPicPr>
        <xdr:cNvPr id="23" name="Picture 22" descr="http://content.sportslogos.net/logos/7/175/thumbs/907.gif">
          <a:extLst>
            <a:ext uri="{FF2B5EF4-FFF2-40B4-BE49-F238E27FC236}">
              <a16:creationId xmlns:a16="http://schemas.microsoft.com/office/drawing/2014/main" id="{00000000-0008-0000-1400-000017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790575" y="6226175"/>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855980</xdr:colOff>
      <xdr:row>32</xdr:row>
      <xdr:rowOff>302895</xdr:rowOff>
    </xdr:to>
    <xdr:pic>
      <xdr:nvPicPr>
        <xdr:cNvPr id="24" name="Picture 23" descr="http://content.sportslogos.net/logos/7/166/thumbs/919.gif">
          <a:extLst>
            <a:ext uri="{FF2B5EF4-FFF2-40B4-BE49-F238E27FC236}">
              <a16:creationId xmlns:a16="http://schemas.microsoft.com/office/drawing/2014/main" id="{00000000-0008-0000-1400-000018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17170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857885</xdr:colOff>
      <xdr:row>32</xdr:row>
      <xdr:rowOff>302895</xdr:rowOff>
    </xdr:to>
    <xdr:pic>
      <xdr:nvPicPr>
        <xdr:cNvPr id="25" name="Picture 24" descr="http://content.sportslogos.net/logos/7/152/thumbs/v7tehkwthrwefgounvi7znf5k.gif">
          <a:extLst>
            <a:ext uri="{FF2B5EF4-FFF2-40B4-BE49-F238E27FC236}">
              <a16:creationId xmlns:a16="http://schemas.microsoft.com/office/drawing/2014/main" id="{00000000-0008-0000-1400-000019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476625" y="6226175"/>
          <a:ext cx="408305"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859790</xdr:colOff>
      <xdr:row>16</xdr:row>
      <xdr:rowOff>302895</xdr:rowOff>
    </xdr:to>
    <xdr:pic>
      <xdr:nvPicPr>
        <xdr:cNvPr id="26" name="Picture 25" descr="http://content.sportslogos.net/logos/7/163/thumbs/g9mgk6x3ge26t44cccm9oq1vl.gif">
          <a:extLst>
            <a:ext uri="{FF2B5EF4-FFF2-40B4-BE49-F238E27FC236}">
              <a16:creationId xmlns:a16="http://schemas.microsoft.com/office/drawing/2014/main" id="{00000000-0008-0000-1400-00001A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7439025" y="30734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783590</xdr:colOff>
      <xdr:row>32</xdr:row>
      <xdr:rowOff>325120</xdr:rowOff>
    </xdr:to>
    <xdr:pic>
      <xdr:nvPicPr>
        <xdr:cNvPr id="27" name="Picture 26" descr="http://content.sportslogos.net/logos/7/167/thumbs/960.gif">
          <a:extLst>
            <a:ext uri="{FF2B5EF4-FFF2-40B4-BE49-F238E27FC236}">
              <a16:creationId xmlns:a16="http://schemas.microsoft.com/office/drawing/2014/main" id="{00000000-0008-0000-1400-00001B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495800" y="41910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859155</xdr:colOff>
      <xdr:row>32</xdr:row>
      <xdr:rowOff>325120</xdr:rowOff>
    </xdr:to>
    <xdr:pic>
      <xdr:nvPicPr>
        <xdr:cNvPr id="28" name="Picture 27" descr="http://content.sportslogos.net/logos/7/156/thumbs/970.gif">
          <a:extLst>
            <a:ext uri="{FF2B5EF4-FFF2-40B4-BE49-F238E27FC236}">
              <a16:creationId xmlns:a16="http://schemas.microsoft.com/office/drawing/2014/main" id="{00000000-0008-0000-1400-00001C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5403850" y="6248400"/>
          <a:ext cx="417830" cy="287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857885</xdr:colOff>
      <xdr:row>32</xdr:row>
      <xdr:rowOff>302895</xdr:rowOff>
    </xdr:to>
    <xdr:pic>
      <xdr:nvPicPr>
        <xdr:cNvPr id="29" name="Picture 28" descr="http://content.sportslogos.net/logos/7/179/thumbs/17994552009.gif">
          <a:extLst>
            <a:ext uri="{FF2B5EF4-FFF2-40B4-BE49-F238E27FC236}">
              <a16:creationId xmlns:a16="http://schemas.microsoft.com/office/drawing/2014/main" id="{00000000-0008-0000-1400-00001D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848475"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816610</xdr:colOff>
      <xdr:row>32</xdr:row>
      <xdr:rowOff>287655</xdr:rowOff>
    </xdr:to>
    <xdr:pic>
      <xdr:nvPicPr>
        <xdr:cNvPr id="30" name="Picture 29" descr="http://content.sportslogos.net/logos/7/180/thumbs/pfiobtreaq7j0pzvadktsc6jv.gif">
          <a:extLst>
            <a:ext uri="{FF2B5EF4-FFF2-40B4-BE49-F238E27FC236}">
              <a16:creationId xmlns:a16="http://schemas.microsoft.com/office/drawing/2014/main" id="{00000000-0008-0000-1400-00001E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705850" y="6226175"/>
          <a:ext cx="41465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836930</xdr:colOff>
      <xdr:row>32</xdr:row>
      <xdr:rowOff>302895</xdr:rowOff>
    </xdr:to>
    <xdr:pic>
      <xdr:nvPicPr>
        <xdr:cNvPr id="31" name="Picture 30" descr="http://content.sportslogos.net/logos/7/176/thumbs/17636702014.gif">
          <a:extLst>
            <a:ext uri="{FF2B5EF4-FFF2-40B4-BE49-F238E27FC236}">
              <a16:creationId xmlns:a16="http://schemas.microsoft.com/office/drawing/2014/main" id="{00000000-0008-0000-1400-00001F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00393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817880</xdr:colOff>
      <xdr:row>32</xdr:row>
      <xdr:rowOff>302895</xdr:rowOff>
    </xdr:to>
    <xdr:pic>
      <xdr:nvPicPr>
        <xdr:cNvPr id="32" name="Picture 31" descr="http://content.sportslogos.net/logos/7/160/thumbs/1053.gif">
          <a:extLst>
            <a:ext uri="{FF2B5EF4-FFF2-40B4-BE49-F238E27FC236}">
              <a16:creationId xmlns:a16="http://schemas.microsoft.com/office/drawing/2014/main" id="{00000000-0008-0000-1400-000020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1334750" y="6235700"/>
          <a:ext cx="408305" cy="27749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438150</xdr:colOff>
      <xdr:row>16</xdr:row>
      <xdr:rowOff>34925</xdr:rowOff>
    </xdr:from>
    <xdr:to>
      <xdr:col>1</xdr:col>
      <xdr:colOff>857885</xdr:colOff>
      <xdr:row>16</xdr:row>
      <xdr:rowOff>320040</xdr:rowOff>
    </xdr:to>
    <xdr:pic>
      <xdr:nvPicPr>
        <xdr:cNvPr id="33" name="Picture 32" descr="http://content.sportslogos.net/logos/7/171/thumbs/dcy03myfhffbki5d7il3.gif">
          <a:extLst>
            <a:ext uri="{FF2B5EF4-FFF2-40B4-BE49-F238E27FC236}">
              <a16:creationId xmlns:a16="http://schemas.microsoft.com/office/drawing/2014/main" id="{00000000-0008-0000-1400-000021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853440" y="2940050"/>
          <a:ext cx="419735" cy="285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438150</xdr:colOff>
      <xdr:row>16</xdr:row>
      <xdr:rowOff>25400</xdr:rowOff>
    </xdr:from>
    <xdr:to>
      <xdr:col>2</xdr:col>
      <xdr:colOff>860425</xdr:colOff>
      <xdr:row>16</xdr:row>
      <xdr:rowOff>306705</xdr:rowOff>
    </xdr:to>
    <xdr:pic>
      <xdr:nvPicPr>
        <xdr:cNvPr id="35" name="Picture 34" descr="http://content.sportslogos.net/logos/7/157/thumbs/570.gif">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205990" y="2926715"/>
          <a:ext cx="42227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457200</xdr:colOff>
      <xdr:row>16</xdr:row>
      <xdr:rowOff>44450</xdr:rowOff>
    </xdr:from>
    <xdr:to>
      <xdr:col>3</xdr:col>
      <xdr:colOff>855980</xdr:colOff>
      <xdr:row>16</xdr:row>
      <xdr:rowOff>323850</xdr:rowOff>
    </xdr:to>
    <xdr:pic>
      <xdr:nvPicPr>
        <xdr:cNvPr id="36" name="Picture 35" descr="http://content.sportslogos.net/logos/7/158/thumbs/593.gif">
          <a:extLst>
            <a:ext uri="{FF2B5EF4-FFF2-40B4-BE49-F238E27FC236}">
              <a16:creationId xmlns:a16="http://schemas.microsoft.com/office/drawing/2014/main" id="{00000000-0008-0000-1400-000024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581400" y="2951480"/>
          <a:ext cx="398780" cy="279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466725</xdr:colOff>
      <xdr:row>16</xdr:row>
      <xdr:rowOff>44450</xdr:rowOff>
    </xdr:from>
    <xdr:to>
      <xdr:col>4</xdr:col>
      <xdr:colOff>873125</xdr:colOff>
      <xdr:row>16</xdr:row>
      <xdr:rowOff>320040</xdr:rowOff>
    </xdr:to>
    <xdr:pic>
      <xdr:nvPicPr>
        <xdr:cNvPr id="37" name="Picture 36" descr="http://content.sportslogos.net/logos/7/159/thumbs/15988562013.gif">
          <a:extLst>
            <a:ext uri="{FF2B5EF4-FFF2-40B4-BE49-F238E27FC236}">
              <a16:creationId xmlns:a16="http://schemas.microsoft.com/office/drawing/2014/main" id="{00000000-0008-0000-1400-000025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4945380" y="2951480"/>
          <a:ext cx="406400" cy="2755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419100</xdr:colOff>
      <xdr:row>16</xdr:row>
      <xdr:rowOff>34925</xdr:rowOff>
    </xdr:from>
    <xdr:to>
      <xdr:col>5</xdr:col>
      <xdr:colOff>822325</xdr:colOff>
      <xdr:row>16</xdr:row>
      <xdr:rowOff>325755</xdr:rowOff>
    </xdr:to>
    <xdr:pic>
      <xdr:nvPicPr>
        <xdr:cNvPr id="38" name="Picture 37" descr="http://content.sportslogos.net/logos/7/162/thumbs/857.gif">
          <a:extLst>
            <a:ext uri="{FF2B5EF4-FFF2-40B4-BE49-F238E27FC236}">
              <a16:creationId xmlns:a16="http://schemas.microsoft.com/office/drawing/2014/main" id="{00000000-0008-0000-1400-000026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248400" y="2940050"/>
          <a:ext cx="403225" cy="2908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390525</xdr:colOff>
      <xdr:row>16</xdr:row>
      <xdr:rowOff>53975</xdr:rowOff>
    </xdr:from>
    <xdr:to>
      <xdr:col>7</xdr:col>
      <xdr:colOff>796925</xdr:colOff>
      <xdr:row>16</xdr:row>
      <xdr:rowOff>321945</xdr:rowOff>
    </xdr:to>
    <xdr:pic>
      <xdr:nvPicPr>
        <xdr:cNvPr id="39" name="Picture 38" descr="http://content.sportslogos.net/logos/7/164/thumbs/8e1jhgblydtow4m3okwzxh67k.gif">
          <a:extLst>
            <a:ext uri="{FF2B5EF4-FFF2-40B4-BE49-F238E27FC236}">
              <a16:creationId xmlns:a16="http://schemas.microsoft.com/office/drawing/2014/main" id="{00000000-0008-0000-1400-000027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926830" y="2962910"/>
          <a:ext cx="40640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409575</xdr:colOff>
      <xdr:row>16</xdr:row>
      <xdr:rowOff>25400</xdr:rowOff>
    </xdr:from>
    <xdr:to>
      <xdr:col>8</xdr:col>
      <xdr:colOff>815975</xdr:colOff>
      <xdr:row>16</xdr:row>
      <xdr:rowOff>306705</xdr:rowOff>
    </xdr:to>
    <xdr:pic>
      <xdr:nvPicPr>
        <xdr:cNvPr id="40" name="Picture 39" descr="http://content.sportslogos.net/logos/7/178/thumbs/1029.gif">
          <a:extLst>
            <a:ext uri="{FF2B5EF4-FFF2-40B4-BE49-F238E27FC236}">
              <a16:creationId xmlns:a16="http://schemas.microsoft.com/office/drawing/2014/main" id="{00000000-0008-0000-1400-00002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294620" y="2926715"/>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400050</xdr:colOff>
      <xdr:row>16</xdr:row>
      <xdr:rowOff>25400</xdr:rowOff>
    </xdr:from>
    <xdr:to>
      <xdr:col>9</xdr:col>
      <xdr:colOff>819785</xdr:colOff>
      <xdr:row>16</xdr:row>
      <xdr:rowOff>306705</xdr:rowOff>
    </xdr:to>
    <xdr:pic>
      <xdr:nvPicPr>
        <xdr:cNvPr id="41" name="Picture 40" descr="http://content.sportslogos.net/logos/7/150/thumbs/15041052013.gif">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635740" y="2926715"/>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419100</xdr:colOff>
      <xdr:row>16</xdr:row>
      <xdr:rowOff>25400</xdr:rowOff>
    </xdr:from>
    <xdr:to>
      <xdr:col>10</xdr:col>
      <xdr:colOff>817880</xdr:colOff>
      <xdr:row>16</xdr:row>
      <xdr:rowOff>306705</xdr:rowOff>
    </xdr:to>
    <xdr:pic>
      <xdr:nvPicPr>
        <xdr:cNvPr id="42" name="Picture 41" descr="http://content.sportslogos.net/logos/7/172/thumbs/17227042013.gif">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30111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381000</xdr:colOff>
      <xdr:row>32</xdr:row>
      <xdr:rowOff>15875</xdr:rowOff>
    </xdr:from>
    <xdr:to>
      <xdr:col>1</xdr:col>
      <xdr:colOff>779780</xdr:colOff>
      <xdr:row>32</xdr:row>
      <xdr:rowOff>287655</xdr:rowOff>
    </xdr:to>
    <xdr:pic>
      <xdr:nvPicPr>
        <xdr:cNvPr id="43" name="Picture 42" descr="http://content.sportslogos.net/logos/7/175/thumbs/907.gif">
          <a:extLst>
            <a:ext uri="{FF2B5EF4-FFF2-40B4-BE49-F238E27FC236}">
              <a16:creationId xmlns:a16="http://schemas.microsoft.com/office/drawing/2014/main" id="{00000000-0008-0000-1400-00002B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00100" y="5944235"/>
          <a:ext cx="39878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447675</xdr:colOff>
      <xdr:row>32</xdr:row>
      <xdr:rowOff>25400</xdr:rowOff>
    </xdr:from>
    <xdr:to>
      <xdr:col>2</xdr:col>
      <xdr:colOff>854075</xdr:colOff>
      <xdr:row>32</xdr:row>
      <xdr:rowOff>306705</xdr:rowOff>
    </xdr:to>
    <xdr:pic>
      <xdr:nvPicPr>
        <xdr:cNvPr id="44" name="Picture 43" descr="http://content.sportslogos.net/logos/7/166/thumbs/919.gif">
          <a:extLst>
            <a:ext uri="{FF2B5EF4-FFF2-40B4-BE49-F238E27FC236}">
              <a16:creationId xmlns:a16="http://schemas.microsoft.com/office/drawing/2014/main" id="{00000000-0008-0000-1400-00002C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221742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32</xdr:row>
      <xdr:rowOff>15875</xdr:rowOff>
    </xdr:from>
    <xdr:to>
      <xdr:col>3</xdr:col>
      <xdr:colOff>857885</xdr:colOff>
      <xdr:row>32</xdr:row>
      <xdr:rowOff>283845</xdr:rowOff>
    </xdr:to>
    <xdr:pic>
      <xdr:nvPicPr>
        <xdr:cNvPr id="45" name="Picture 44" descr="http://content.sportslogos.net/logos/7/152/thumbs/v7tehkwthrwefgounvi7znf5k.gif">
          <a:extLst>
            <a:ext uri="{FF2B5EF4-FFF2-40B4-BE49-F238E27FC236}">
              <a16:creationId xmlns:a16="http://schemas.microsoft.com/office/drawing/2014/main" id="{00000000-0008-0000-1400-00002D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3558540" y="5944235"/>
          <a:ext cx="419735"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457200</xdr:colOff>
      <xdr:row>16</xdr:row>
      <xdr:rowOff>25400</xdr:rowOff>
    </xdr:from>
    <xdr:to>
      <xdr:col>6</xdr:col>
      <xdr:colOff>855980</xdr:colOff>
      <xdr:row>16</xdr:row>
      <xdr:rowOff>306705</xdr:rowOff>
    </xdr:to>
    <xdr:pic>
      <xdr:nvPicPr>
        <xdr:cNvPr id="46" name="Picture 45" descr="http://content.sportslogos.net/logos/7/163/thumbs/g9mgk6x3ge26t44cccm9oq1vl.gif">
          <a:extLst>
            <a:ext uri="{FF2B5EF4-FFF2-40B4-BE49-F238E27FC236}">
              <a16:creationId xmlns:a16="http://schemas.microsoft.com/office/drawing/2014/main" id="{00000000-0008-0000-1400-00002E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7639050" y="2926715"/>
          <a:ext cx="39878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381000</xdr:colOff>
      <xdr:row>32</xdr:row>
      <xdr:rowOff>38100</xdr:rowOff>
    </xdr:from>
    <xdr:to>
      <xdr:col>4</xdr:col>
      <xdr:colOff>779780</xdr:colOff>
      <xdr:row>32</xdr:row>
      <xdr:rowOff>321310</xdr:rowOff>
    </xdr:to>
    <xdr:pic>
      <xdr:nvPicPr>
        <xdr:cNvPr id="47" name="Picture 46" descr="http://content.sportslogos.net/logos/7/167/thumbs/960.gif">
          <a:extLst>
            <a:ext uri="{FF2B5EF4-FFF2-40B4-BE49-F238E27FC236}">
              <a16:creationId xmlns:a16="http://schemas.microsoft.com/office/drawing/2014/main" id="{00000000-0008-0000-1400-00002F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857750" y="5962650"/>
          <a:ext cx="39878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441325</xdr:colOff>
      <xdr:row>32</xdr:row>
      <xdr:rowOff>38100</xdr:rowOff>
    </xdr:from>
    <xdr:to>
      <xdr:col>5</xdr:col>
      <xdr:colOff>859155</xdr:colOff>
      <xdr:row>32</xdr:row>
      <xdr:rowOff>321310</xdr:rowOff>
    </xdr:to>
    <xdr:pic>
      <xdr:nvPicPr>
        <xdr:cNvPr id="48" name="Picture 47" descr="http://content.sportslogos.net/logos/7/156/thumbs/970.gif">
          <a:extLst>
            <a:ext uri="{FF2B5EF4-FFF2-40B4-BE49-F238E27FC236}">
              <a16:creationId xmlns:a16="http://schemas.microsoft.com/office/drawing/2014/main" id="{00000000-0008-0000-1400-000030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266815" y="5962650"/>
          <a:ext cx="417830" cy="283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438150</xdr:colOff>
      <xdr:row>32</xdr:row>
      <xdr:rowOff>25400</xdr:rowOff>
    </xdr:from>
    <xdr:to>
      <xdr:col>6</xdr:col>
      <xdr:colOff>857885</xdr:colOff>
      <xdr:row>32</xdr:row>
      <xdr:rowOff>306705</xdr:rowOff>
    </xdr:to>
    <xdr:pic>
      <xdr:nvPicPr>
        <xdr:cNvPr id="49" name="Picture 48" descr="http://content.sportslogos.net/logos/7/179/thumbs/17994552009.gif">
          <a:extLst>
            <a:ext uri="{FF2B5EF4-FFF2-40B4-BE49-F238E27FC236}">
              <a16:creationId xmlns:a16="http://schemas.microsoft.com/office/drawing/2014/main" id="{00000000-0008-0000-1400-000031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7616190" y="5946140"/>
          <a:ext cx="419735"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409575</xdr:colOff>
      <xdr:row>32</xdr:row>
      <xdr:rowOff>15875</xdr:rowOff>
    </xdr:from>
    <xdr:to>
      <xdr:col>7</xdr:col>
      <xdr:colOff>822325</xdr:colOff>
      <xdr:row>32</xdr:row>
      <xdr:rowOff>287655</xdr:rowOff>
    </xdr:to>
    <xdr:pic>
      <xdr:nvPicPr>
        <xdr:cNvPr id="50" name="Picture 49" descr="http://content.sportslogos.net/logos/7/180/thumbs/pfiobtreaq7j0pzvadktsc6jv.gif">
          <a:extLst>
            <a:ext uri="{FF2B5EF4-FFF2-40B4-BE49-F238E27FC236}">
              <a16:creationId xmlns:a16="http://schemas.microsoft.com/office/drawing/2014/main" id="{00000000-0008-0000-1400-000032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942070" y="5944235"/>
          <a:ext cx="412750" cy="264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428625</xdr:colOff>
      <xdr:row>32</xdr:row>
      <xdr:rowOff>25400</xdr:rowOff>
    </xdr:from>
    <xdr:to>
      <xdr:col>8</xdr:col>
      <xdr:colOff>835025</xdr:colOff>
      <xdr:row>32</xdr:row>
      <xdr:rowOff>306705</xdr:rowOff>
    </xdr:to>
    <xdr:pic>
      <xdr:nvPicPr>
        <xdr:cNvPr id="51" name="Picture 50" descr="http://content.sportslogos.net/logos/7/176/thumbs/17636702014.gif">
          <a:extLst>
            <a:ext uri="{FF2B5EF4-FFF2-40B4-BE49-F238E27FC236}">
              <a16:creationId xmlns:a16="http://schemas.microsoft.com/office/drawing/2014/main" id="{00000000-0008-0000-1400-000033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10317480" y="5946140"/>
          <a:ext cx="40640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409575</xdr:colOff>
      <xdr:row>32</xdr:row>
      <xdr:rowOff>25400</xdr:rowOff>
    </xdr:from>
    <xdr:to>
      <xdr:col>9</xdr:col>
      <xdr:colOff>815975</xdr:colOff>
      <xdr:row>32</xdr:row>
      <xdr:rowOff>306705</xdr:rowOff>
    </xdr:to>
    <xdr:pic>
      <xdr:nvPicPr>
        <xdr:cNvPr id="52" name="Picture 51" descr="http://content.sportslogos.net/logos/7/160/thumbs/1053.gif">
          <a:extLst>
            <a:ext uri="{FF2B5EF4-FFF2-40B4-BE49-F238E27FC236}">
              <a16:creationId xmlns:a16="http://schemas.microsoft.com/office/drawing/2014/main" id="{00000000-0008-0000-1400-000034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11647170" y="5946140"/>
          <a:ext cx="414020" cy="281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381001</xdr:colOff>
      <xdr:row>31</xdr:row>
      <xdr:rowOff>112396</xdr:rowOff>
    </xdr:from>
    <xdr:to>
      <xdr:col>10</xdr:col>
      <xdr:colOff>838201</xdr:colOff>
      <xdr:row>32</xdr:row>
      <xdr:rowOff>379096</xdr:rowOff>
    </xdr:to>
    <xdr:pic>
      <xdr:nvPicPr>
        <xdr:cNvPr id="53" name="Picture 52">
          <a:extLst>
            <a:ext uri="{FF2B5EF4-FFF2-40B4-BE49-F238E27FC236}">
              <a16:creationId xmlns:a16="http://schemas.microsoft.com/office/drawing/2014/main" id="{00000000-0008-0000-1400-000035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2973051" y="6208396"/>
          <a:ext cx="457200" cy="457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1514475</xdr:colOff>
      <xdr:row>8</xdr:row>
      <xdr:rowOff>190500</xdr:rowOff>
    </xdr:from>
    <xdr:to>
      <xdr:col>1</xdr:col>
      <xdr:colOff>1304925</xdr:colOff>
      <xdr:row>9</xdr:row>
      <xdr:rowOff>190500</xdr:rowOff>
    </xdr:to>
    <xdr:sp macro="" textlink="">
      <xdr:nvSpPr>
        <xdr:cNvPr id="26659" name="Button 35" hidden="1">
          <a:extLst>
            <a:ext uri="{63B3BB69-23CF-44E3-9099-C40C66FF867C}">
              <a14:compatExt xmlns:a14="http://schemas.microsoft.com/office/drawing/2010/main" spid="_x0000_s26659"/>
            </a:ext>
            <a:ext uri="{FF2B5EF4-FFF2-40B4-BE49-F238E27FC236}">
              <a16:creationId xmlns:a16="http://schemas.microsoft.com/office/drawing/2014/main" id="{00000000-0008-0000-1600-00002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Filters</a:t>
          </a:r>
        </a:p>
      </xdr:txBody>
    </xdr:sp>
    <xdr:clientData fPrintsWithSheet="0"/>
  </xdr:twoCellAnchor>
  <xdr:twoCellAnchor>
    <xdr:from>
      <xdr:col>4</xdr:col>
      <xdr:colOff>1019175</xdr:colOff>
      <xdr:row>8</xdr:row>
      <xdr:rowOff>28575</xdr:rowOff>
    </xdr:from>
    <xdr:to>
      <xdr:col>6</xdr:col>
      <xdr:colOff>219075</xdr:colOff>
      <xdr:row>8</xdr:row>
      <xdr:rowOff>190500</xdr:rowOff>
    </xdr:to>
    <xdr:sp macro="" textlink="">
      <xdr:nvSpPr>
        <xdr:cNvPr id="26660" name="Button 36" hidden="1">
          <a:extLst>
            <a:ext uri="{63B3BB69-23CF-44E3-9099-C40C66FF867C}">
              <a14:compatExt xmlns:a14="http://schemas.microsoft.com/office/drawing/2010/main" spid="_x0000_s26660"/>
            </a:ext>
            <a:ext uri="{FF2B5EF4-FFF2-40B4-BE49-F238E27FC236}">
              <a16:creationId xmlns:a16="http://schemas.microsoft.com/office/drawing/2014/main" id="{00000000-0008-0000-1600-00002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Drafted</a:t>
          </a:r>
        </a:p>
      </xdr:txBody>
    </xdr:sp>
    <xdr:clientData fPrintsWithSheet="0"/>
  </xdr:twoCellAnchor>
  <xdr:twoCellAnchor>
    <xdr:from>
      <xdr:col>4</xdr:col>
      <xdr:colOff>1019175</xdr:colOff>
      <xdr:row>9</xdr:row>
      <xdr:rowOff>9525</xdr:rowOff>
    </xdr:from>
    <xdr:to>
      <xdr:col>6</xdr:col>
      <xdr:colOff>219075</xdr:colOff>
      <xdr:row>9</xdr:row>
      <xdr:rowOff>190500</xdr:rowOff>
    </xdr:to>
    <xdr:sp macro="" textlink="">
      <xdr:nvSpPr>
        <xdr:cNvPr id="26661" name="Button 37" hidden="1">
          <a:extLst>
            <a:ext uri="{63B3BB69-23CF-44E3-9099-C40C66FF867C}">
              <a14:compatExt xmlns:a14="http://schemas.microsoft.com/office/drawing/2010/main" spid="_x0000_s26661"/>
            </a:ext>
            <a:ext uri="{FF2B5EF4-FFF2-40B4-BE49-F238E27FC236}">
              <a16:creationId xmlns:a16="http://schemas.microsoft.com/office/drawing/2014/main" id="{00000000-0008-0000-1600-00002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Drafted</a:t>
          </a:r>
        </a:p>
      </xdr:txBody>
    </xdr:sp>
    <xdr:clientData fPrintsWithSheet="0"/>
  </xdr:twoCellAnchor>
  <xdr:twoCellAnchor>
    <xdr:from>
      <xdr:col>6</xdr:col>
      <xdr:colOff>533400</xdr:colOff>
      <xdr:row>8</xdr:row>
      <xdr:rowOff>0</xdr:rowOff>
    </xdr:from>
    <xdr:to>
      <xdr:col>7</xdr:col>
      <xdr:colOff>1152525</xdr:colOff>
      <xdr:row>10</xdr:row>
      <xdr:rowOff>0</xdr:rowOff>
    </xdr:to>
    <xdr:sp macro="" textlink="">
      <xdr:nvSpPr>
        <xdr:cNvPr id="26662" name="Button 38" hidden="1">
          <a:extLst>
            <a:ext uri="{63B3BB69-23CF-44E3-9099-C40C66FF867C}">
              <a14:compatExt xmlns:a14="http://schemas.microsoft.com/office/drawing/2010/main" spid="_x0000_s26662"/>
            </a:ext>
            <a:ext uri="{FF2B5EF4-FFF2-40B4-BE49-F238E27FC236}">
              <a16:creationId xmlns:a16="http://schemas.microsoft.com/office/drawing/2014/main" id="{00000000-0008-0000-1600-00002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Sort by Value</a:t>
          </a:r>
        </a:p>
      </xdr:txBody>
    </xdr:sp>
    <xdr:clientData fPrintsWithSheet="0"/>
  </xdr:twoCellAnchor>
  <xdr:twoCellAnchor>
    <xdr:from>
      <xdr:col>9</xdr:col>
      <xdr:colOff>0</xdr:colOff>
      <xdr:row>8</xdr:row>
      <xdr:rowOff>0</xdr:rowOff>
    </xdr:from>
    <xdr:to>
      <xdr:col>10</xdr:col>
      <xdr:colOff>161925</xdr:colOff>
      <xdr:row>9</xdr:row>
      <xdr:rowOff>0</xdr:rowOff>
    </xdr:to>
    <xdr:sp macro="" textlink="">
      <xdr:nvSpPr>
        <xdr:cNvPr id="26663" name="Button 39" hidden="1">
          <a:extLst>
            <a:ext uri="{63B3BB69-23CF-44E3-9099-C40C66FF867C}">
              <a14:compatExt xmlns:a14="http://schemas.microsoft.com/office/drawing/2010/main" spid="_x0000_s26663"/>
            </a:ext>
            <a:ext uri="{FF2B5EF4-FFF2-40B4-BE49-F238E27FC236}">
              <a16:creationId xmlns:a16="http://schemas.microsoft.com/office/drawing/2014/main" id="{00000000-0008-0000-1600-000027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Keepers</a:t>
          </a:r>
        </a:p>
      </xdr:txBody>
    </xdr:sp>
    <xdr:clientData fPrintsWithSheet="0"/>
  </xdr:twoCellAnchor>
  <xdr:twoCellAnchor>
    <xdr:from>
      <xdr:col>9</xdr:col>
      <xdr:colOff>0</xdr:colOff>
      <xdr:row>9</xdr:row>
      <xdr:rowOff>9525</xdr:rowOff>
    </xdr:from>
    <xdr:to>
      <xdr:col>10</xdr:col>
      <xdr:colOff>161925</xdr:colOff>
      <xdr:row>9</xdr:row>
      <xdr:rowOff>190500</xdr:rowOff>
    </xdr:to>
    <xdr:sp macro="" textlink="">
      <xdr:nvSpPr>
        <xdr:cNvPr id="26664" name="Button 40" hidden="1">
          <a:extLst>
            <a:ext uri="{63B3BB69-23CF-44E3-9099-C40C66FF867C}">
              <a14:compatExt xmlns:a14="http://schemas.microsoft.com/office/drawing/2010/main" spid="_x0000_s26664"/>
            </a:ext>
            <a:ext uri="{FF2B5EF4-FFF2-40B4-BE49-F238E27FC236}">
              <a16:creationId xmlns:a16="http://schemas.microsoft.com/office/drawing/2014/main" id="{00000000-0008-0000-1600-000028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Keepers</a:t>
          </a:r>
        </a:p>
      </xdr:txBody>
    </xdr:sp>
    <xdr:clientData fPrintsWithSheet="0"/>
  </xdr:twoCellAnchor>
  <xdr:twoCellAnchor>
    <xdr:from>
      <xdr:col>11</xdr:col>
      <xdr:colOff>409575</xdr:colOff>
      <xdr:row>7</xdr:row>
      <xdr:rowOff>190500</xdr:rowOff>
    </xdr:from>
    <xdr:to>
      <xdr:col>15</xdr:col>
      <xdr:colOff>0</xdr:colOff>
      <xdr:row>9</xdr:row>
      <xdr:rowOff>0</xdr:rowOff>
    </xdr:to>
    <xdr:sp macro="" textlink="">
      <xdr:nvSpPr>
        <xdr:cNvPr id="26665" name="Button 41" hidden="1">
          <a:extLst>
            <a:ext uri="{63B3BB69-23CF-44E3-9099-C40C66FF867C}">
              <a14:compatExt xmlns:a14="http://schemas.microsoft.com/office/drawing/2010/main" spid="_x0000_s26665"/>
            </a:ext>
            <a:ext uri="{FF2B5EF4-FFF2-40B4-BE49-F238E27FC236}">
              <a16:creationId xmlns:a16="http://schemas.microsoft.com/office/drawing/2014/main" id="{00000000-0008-0000-1600-000029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All</a:t>
          </a:r>
        </a:p>
      </xdr:txBody>
    </xdr:sp>
    <xdr:clientData fPrintsWithSheet="0"/>
  </xdr:twoCellAnchor>
  <xdr:twoCellAnchor>
    <xdr:from>
      <xdr:col>11</xdr:col>
      <xdr:colOff>419100</xdr:colOff>
      <xdr:row>9</xdr:row>
      <xdr:rowOff>0</xdr:rowOff>
    </xdr:from>
    <xdr:to>
      <xdr:col>12</xdr:col>
      <xdr:colOff>457200</xdr:colOff>
      <xdr:row>10</xdr:row>
      <xdr:rowOff>0</xdr:rowOff>
    </xdr:to>
    <xdr:sp macro="" textlink="">
      <xdr:nvSpPr>
        <xdr:cNvPr id="26666" name="Button 42" hidden="1">
          <a:extLst>
            <a:ext uri="{63B3BB69-23CF-44E3-9099-C40C66FF867C}">
              <a14:compatExt xmlns:a14="http://schemas.microsoft.com/office/drawing/2010/main" spid="_x0000_s26666"/>
            </a:ext>
            <a:ext uri="{FF2B5EF4-FFF2-40B4-BE49-F238E27FC236}">
              <a16:creationId xmlns:a16="http://schemas.microsoft.com/office/drawing/2014/main" id="{00000000-0008-0000-1600-00002A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Avoids</a:t>
          </a:r>
        </a:p>
      </xdr:txBody>
    </xdr:sp>
    <xdr:clientData fPrintsWithSheet="0"/>
  </xdr:twoCellAnchor>
  <xdr:twoCellAnchor>
    <xdr:from>
      <xdr:col>13</xdr:col>
      <xdr:colOff>485775</xdr:colOff>
      <xdr:row>9</xdr:row>
      <xdr:rowOff>9525</xdr:rowOff>
    </xdr:from>
    <xdr:to>
      <xdr:col>15</xdr:col>
      <xdr:colOff>0</xdr:colOff>
      <xdr:row>9</xdr:row>
      <xdr:rowOff>190500</xdr:rowOff>
    </xdr:to>
    <xdr:sp macro="" textlink="">
      <xdr:nvSpPr>
        <xdr:cNvPr id="26667" name="Button 43" hidden="1">
          <a:extLst>
            <a:ext uri="{63B3BB69-23CF-44E3-9099-C40C66FF867C}">
              <a14:compatExt xmlns:a14="http://schemas.microsoft.com/office/drawing/2010/main" spid="_x0000_s26667"/>
            </a:ext>
            <a:ext uri="{FF2B5EF4-FFF2-40B4-BE49-F238E27FC236}">
              <a16:creationId xmlns:a16="http://schemas.microsoft.com/office/drawing/2014/main" id="{00000000-0008-0000-1600-00002B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Show Sleepers</a:t>
          </a:r>
        </a:p>
      </xdr:txBody>
    </xdr:sp>
    <xdr:clientData fPrintsWithSheet="0"/>
  </xdr:twoCellAnchor>
  <xdr:twoCellAnchor>
    <xdr:from>
      <xdr:col>12</xdr:col>
      <xdr:colOff>457200</xdr:colOff>
      <xdr:row>8</xdr:row>
      <xdr:rowOff>190500</xdr:rowOff>
    </xdr:from>
    <xdr:to>
      <xdr:col>13</xdr:col>
      <xdr:colOff>466725</xdr:colOff>
      <xdr:row>10</xdr:row>
      <xdr:rowOff>0</xdr:rowOff>
    </xdr:to>
    <xdr:sp macro="" textlink="">
      <xdr:nvSpPr>
        <xdr:cNvPr id="26669" name="Button 45" hidden="1">
          <a:extLst>
            <a:ext uri="{63B3BB69-23CF-44E3-9099-C40C66FF867C}">
              <a14:compatExt xmlns:a14="http://schemas.microsoft.com/office/drawing/2010/main" spid="_x0000_s26669"/>
            </a:ext>
            <a:ext uri="{FF2B5EF4-FFF2-40B4-BE49-F238E27FC236}">
              <a16:creationId xmlns:a16="http://schemas.microsoft.com/office/drawing/2014/main" id="{00000000-0008-0000-1600-00002D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Show Targets</a:t>
          </a:r>
        </a:p>
      </xdr:txBody>
    </xdr:sp>
    <xdr:clientData fPrintsWithSheet="0"/>
  </xdr:twoCellAnchor>
  <mc:AlternateContent xmlns:mc="http://schemas.openxmlformats.org/markup-compatibility/2006">
    <mc:Choice xmlns:a14="http://schemas.microsoft.com/office/drawing/2010/main" Requires="a14">
      <xdr:twoCellAnchor>
        <xdr:from>
          <xdr:col>1</xdr:col>
          <xdr:colOff>6350</xdr:colOff>
          <xdr:row>8</xdr:row>
          <xdr:rowOff>184150</xdr:rowOff>
        </xdr:from>
        <xdr:to>
          <xdr:col>2</xdr:col>
          <xdr:colOff>31750</xdr:colOff>
          <xdr:row>9</xdr:row>
          <xdr:rowOff>184150</xdr:rowOff>
        </xdr:to>
        <xdr:sp macro="" textlink="">
          <xdr:nvSpPr>
            <xdr:cNvPr id="26656" name="Button 32" hidden="1">
              <a:extLst>
                <a:ext uri="{63B3BB69-23CF-44E3-9099-C40C66FF867C}">
                  <a14:compatExt spid="_x0000_s26656"/>
                </a:ext>
                <a:ext uri="{FF2B5EF4-FFF2-40B4-BE49-F238E27FC236}">
                  <a16:creationId xmlns:a16="http://schemas.microsoft.com/office/drawing/2014/main" id="{00000000-0008-0000-1600-000020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Filters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8</xdr:row>
          <xdr:rowOff>31750</xdr:rowOff>
        </xdr:from>
        <xdr:to>
          <xdr:col>6</xdr:col>
          <xdr:colOff>260350</xdr:colOff>
          <xdr:row>9</xdr:row>
          <xdr:rowOff>0</xdr:rowOff>
        </xdr:to>
        <xdr:sp macro="" textlink="">
          <xdr:nvSpPr>
            <xdr:cNvPr id="26657" name="Button 33" hidden="1">
              <a:extLst>
                <a:ext uri="{63B3BB69-23CF-44E3-9099-C40C66FF867C}">
                  <a14:compatExt spid="_x0000_s26657"/>
                </a:ext>
                <a:ext uri="{FF2B5EF4-FFF2-40B4-BE49-F238E27FC236}">
                  <a16:creationId xmlns:a16="http://schemas.microsoft.com/office/drawing/2014/main" id="{00000000-0008-0000-1600-000021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9</xdr:row>
          <xdr:rowOff>6350</xdr:rowOff>
        </xdr:from>
        <xdr:to>
          <xdr:col>6</xdr:col>
          <xdr:colOff>260350</xdr:colOff>
          <xdr:row>10</xdr:row>
          <xdr:rowOff>0</xdr:rowOff>
        </xdr:to>
        <xdr:sp macro="" textlink="">
          <xdr:nvSpPr>
            <xdr:cNvPr id="26658" name="Button 34" hidden="1">
              <a:extLst>
                <a:ext uri="{63B3BB69-23CF-44E3-9099-C40C66FF867C}">
                  <a14:compatExt spid="_x0000_s26658"/>
                </a:ext>
                <a:ext uri="{FF2B5EF4-FFF2-40B4-BE49-F238E27FC236}">
                  <a16:creationId xmlns:a16="http://schemas.microsoft.com/office/drawing/2014/main" id="{00000000-0008-0000-1600-0000226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Drafted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xdr:colOff>
          <xdr:row>8</xdr:row>
          <xdr:rowOff>0</xdr:rowOff>
        </xdr:from>
        <xdr:to>
          <xdr:col>8</xdr:col>
          <xdr:colOff>31750</xdr:colOff>
          <xdr:row>10</xdr:row>
          <xdr:rowOff>0</xdr:rowOff>
        </xdr:to>
        <xdr:sp macro="" textlink="">
          <xdr:nvSpPr>
            <xdr:cNvPr id="2" name="Button 35" hidden="1">
              <a:extLst>
                <a:ext uri="{63B3BB69-23CF-44E3-9099-C40C66FF867C}">
                  <a14:compatExt spid="_x0000_s26659"/>
                </a:ext>
                <a:ext uri="{FF2B5EF4-FFF2-40B4-BE49-F238E27FC236}">
                  <a16:creationId xmlns:a16="http://schemas.microsoft.com/office/drawing/2014/main" id="{00000000-0008-0000-1600-000002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Sort by Value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8</xdr:row>
          <xdr:rowOff>0</xdr:rowOff>
        </xdr:from>
        <xdr:to>
          <xdr:col>10</xdr:col>
          <xdr:colOff>234950</xdr:colOff>
          <xdr:row>9</xdr:row>
          <xdr:rowOff>0</xdr:rowOff>
        </xdr:to>
        <xdr:sp macro="" textlink="">
          <xdr:nvSpPr>
            <xdr:cNvPr id="3" name="Button 36" hidden="1">
              <a:extLst>
                <a:ext uri="{63B3BB69-23CF-44E3-9099-C40C66FF867C}">
                  <a14:compatExt spid="_x0000_s26660"/>
                </a:ext>
                <a:ext uri="{FF2B5EF4-FFF2-40B4-BE49-F238E27FC236}">
                  <a16:creationId xmlns:a16="http://schemas.microsoft.com/office/drawing/2014/main" id="{00000000-0008-0000-1600-000003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69850</xdr:colOff>
          <xdr:row>9</xdr:row>
          <xdr:rowOff>6350</xdr:rowOff>
        </xdr:from>
        <xdr:to>
          <xdr:col>10</xdr:col>
          <xdr:colOff>234950</xdr:colOff>
          <xdr:row>10</xdr:row>
          <xdr:rowOff>0</xdr:rowOff>
        </xdr:to>
        <xdr:sp macro="" textlink="">
          <xdr:nvSpPr>
            <xdr:cNvPr id="4" name="Button 37" hidden="1">
              <a:extLst>
                <a:ext uri="{63B3BB69-23CF-44E3-9099-C40C66FF867C}">
                  <a14:compatExt spid="_x0000_s26661"/>
                </a:ext>
                <a:ext uri="{FF2B5EF4-FFF2-40B4-BE49-F238E27FC236}">
                  <a16:creationId xmlns:a16="http://schemas.microsoft.com/office/drawing/2014/main" id="{00000000-0008-0000-1600-000004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Keepers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488950</xdr:colOff>
          <xdr:row>8</xdr:row>
          <xdr:rowOff>0</xdr:rowOff>
        </xdr:from>
        <xdr:to>
          <xdr:col>15</xdr:col>
          <xdr:colOff>69850</xdr:colOff>
          <xdr:row>9</xdr:row>
          <xdr:rowOff>0</xdr:rowOff>
        </xdr:to>
        <xdr:sp macro="" textlink="">
          <xdr:nvSpPr>
            <xdr:cNvPr id="5" name="Button 38" hidden="1">
              <a:extLst>
                <a:ext uri="{63B3BB69-23CF-44E3-9099-C40C66FF867C}">
                  <a14:compatExt spid="_x0000_s26662"/>
                </a:ext>
                <a:ext uri="{FF2B5EF4-FFF2-40B4-BE49-F238E27FC236}">
                  <a16:creationId xmlns:a16="http://schemas.microsoft.com/office/drawing/2014/main" id="{00000000-0008-0000-1600-000005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488950</xdr:colOff>
          <xdr:row>9</xdr:row>
          <xdr:rowOff>0</xdr:rowOff>
        </xdr:from>
        <xdr:to>
          <xdr:col>12</xdr:col>
          <xdr:colOff>527050</xdr:colOff>
          <xdr:row>10</xdr:row>
          <xdr:rowOff>0</xdr:rowOff>
        </xdr:to>
        <xdr:sp macro="" textlink="">
          <xdr:nvSpPr>
            <xdr:cNvPr id="6" name="Button 39" hidden="1">
              <a:extLst>
                <a:ext uri="{63B3BB69-23CF-44E3-9099-C40C66FF867C}">
                  <a14:compatExt spid="_x0000_s26663"/>
                </a:ext>
                <a:ext uri="{FF2B5EF4-FFF2-40B4-BE49-F238E27FC236}">
                  <a16:creationId xmlns:a16="http://schemas.microsoft.com/office/drawing/2014/main" id="{00000000-0008-0000-1600-000006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Hide Avoids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9</xdr:row>
          <xdr:rowOff>6350</xdr:rowOff>
        </xdr:from>
        <xdr:to>
          <xdr:col>15</xdr:col>
          <xdr:colOff>69850</xdr:colOff>
          <xdr:row>10</xdr:row>
          <xdr:rowOff>0</xdr:rowOff>
        </xdr:to>
        <xdr:sp macro="" textlink="">
          <xdr:nvSpPr>
            <xdr:cNvPr id="7" name="Button 40" hidden="1">
              <a:extLst>
                <a:ext uri="{63B3BB69-23CF-44E3-9099-C40C66FF867C}">
                  <a14:compatExt spid="_x0000_s26664"/>
                </a:ext>
                <a:ext uri="{FF2B5EF4-FFF2-40B4-BE49-F238E27FC236}">
                  <a16:creationId xmlns:a16="http://schemas.microsoft.com/office/drawing/2014/main" id="{00000000-0008-0000-1600-000007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ea typeface="Calibri"/>
                  <a:cs typeface="Calibri"/>
                </a:rPr>
                <a:t>Show Sleepers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527050</xdr:colOff>
          <xdr:row>9</xdr:row>
          <xdr:rowOff>0</xdr:rowOff>
        </xdr:from>
        <xdr:to>
          <xdr:col>13</xdr:col>
          <xdr:colOff>533400</xdr:colOff>
          <xdr:row>10</xdr:row>
          <xdr:rowOff>0</xdr:rowOff>
        </xdr:to>
        <xdr:sp macro="" textlink="">
          <xdr:nvSpPr>
            <xdr:cNvPr id="8" name="Button 41" hidden="1">
              <a:extLst>
                <a:ext uri="{63B3BB69-23CF-44E3-9099-C40C66FF867C}">
                  <a14:compatExt spid="_x0000_s26665"/>
                </a:ext>
                <a:ext uri="{FF2B5EF4-FFF2-40B4-BE49-F238E27FC236}">
                  <a16:creationId xmlns:a16="http://schemas.microsoft.com/office/drawing/2014/main" id="{00000000-0008-0000-1600-000008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Show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444500</xdr:colOff>
          <xdr:row>0</xdr:row>
          <xdr:rowOff>0</xdr:rowOff>
        </xdr:from>
        <xdr:to>
          <xdr:col>15</xdr:col>
          <xdr:colOff>25400</xdr:colOff>
          <xdr:row>1</xdr:row>
          <xdr:rowOff>0</xdr:rowOff>
        </xdr:to>
        <xdr:sp macro="" textlink="">
          <xdr:nvSpPr>
            <xdr:cNvPr id="9" name="Button 42" hidden="1">
              <a:extLst>
                <a:ext uri="{63B3BB69-23CF-44E3-9099-C40C66FF867C}">
                  <a14:compatExt spid="_x0000_s26666"/>
                </a:ext>
                <a:ext uri="{FF2B5EF4-FFF2-40B4-BE49-F238E27FC236}">
                  <a16:creationId xmlns:a16="http://schemas.microsoft.com/office/drawing/2014/main" id="{00000000-0008-0000-1600-0000090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 Auction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9525</xdr:colOff>
      <xdr:row>1</xdr:row>
      <xdr:rowOff>142875</xdr:rowOff>
    </xdr:from>
    <xdr:to>
      <xdr:col>15</xdr:col>
      <xdr:colOff>304800</xdr:colOff>
      <xdr:row>1</xdr:row>
      <xdr:rowOff>390525</xdr:rowOff>
    </xdr:to>
    <xdr:sp macro="" textlink="">
      <xdr:nvSpPr>
        <xdr:cNvPr id="31755" name="Button 11" hidden="1">
          <a:extLst>
            <a:ext uri="{63B3BB69-23CF-44E3-9099-C40C66FF867C}">
              <a14:compatExt xmlns:a14="http://schemas.microsoft.com/office/drawing/2010/main" spid="_x0000_s31755"/>
            </a:ext>
            <a:ext uri="{FF2B5EF4-FFF2-40B4-BE49-F238E27FC236}">
              <a16:creationId xmlns:a16="http://schemas.microsoft.com/office/drawing/2014/main" id="{00000000-0008-0000-1800-00000B7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Cheatsheet</a:t>
          </a:r>
        </a:p>
      </xdr:txBody>
    </xdr:sp>
    <xdr:clientData fPrintsWithSheet="0"/>
  </xdr:twoCellAnchor>
  <mc:AlternateContent xmlns:mc="http://schemas.openxmlformats.org/markup-compatibility/2006">
    <mc:Choice xmlns:a14="http://schemas.microsoft.com/office/drawing/2010/main" Requires="a14">
      <xdr:twoCellAnchor>
        <xdr:from>
          <xdr:col>12</xdr:col>
          <xdr:colOff>298450</xdr:colOff>
          <xdr:row>1</xdr:row>
          <xdr:rowOff>76200</xdr:rowOff>
        </xdr:from>
        <xdr:to>
          <xdr:col>18</xdr:col>
          <xdr:colOff>38100</xdr:colOff>
          <xdr:row>1</xdr:row>
          <xdr:rowOff>336550</xdr:rowOff>
        </xdr:to>
        <xdr:sp macro="" textlink="">
          <xdr:nvSpPr>
            <xdr:cNvPr id="31756" name="Button 12" hidden="1">
              <a:extLst>
                <a:ext uri="{63B3BB69-23CF-44E3-9099-C40C66FF867C}">
                  <a14:compatExt spid="_x0000_s31756"/>
                </a:ext>
                <a:ext uri="{FF2B5EF4-FFF2-40B4-BE49-F238E27FC236}">
                  <a16:creationId xmlns:a16="http://schemas.microsoft.com/office/drawing/2014/main" id="{00000000-0008-0000-1800-00000C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Refresh Cheatsheet</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00000000-0016-0000-0400-000000000000}" autoFormatId="0" applyNumberFormats="0" applyBorderFormats="0" applyFontFormats="1" applyPatternFormats="1" applyAlignmentFormats="0" applyWidthHeightFormats="0">
  <queryTableRefresh preserveSortFilterLayout="0" nextId="13">
    <queryTableFields count="12">
      <queryTableField id="1" name="Player" tableColumnId="1"/>
      <queryTableField id="2" name="Team" tableColumnId="2"/>
      <queryTableField id="3" name="PASSING ATT" tableColumnId="3"/>
      <queryTableField id="4" name="PASSING CMP" tableColumnId="4"/>
      <queryTableField id="5" name="PASSING YDS" tableColumnId="5"/>
      <queryTableField id="6" name="PASSING TDS" tableColumnId="6"/>
      <queryTableField id="7" name="PASSING INTS" tableColumnId="7"/>
      <queryTableField id="8" name="RUSHING ATT" tableColumnId="8"/>
      <queryTableField id="9" name="RUSHING YDS" tableColumnId="9"/>
      <queryTableField id="10" name="RUSHING TDS" tableColumnId="10"/>
      <queryTableField id="11" name="MISC FL" tableColumnId="11"/>
      <queryTableField id="12" name="MISC FPTS"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00000000-0016-0000-0600-000001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Team" tableColumnId="2"/>
      <queryTableField id="3" name="RUSHING ATT" tableColumnId="3"/>
      <queryTableField id="4" name="RUSHING YDS" tableColumnId="4"/>
      <queryTableField id="5" name="RUSHING TDS" tableColumnId="5"/>
      <queryTableField id="6" name="RECEIVING REC" tableColumnId="6"/>
      <queryTableField id="7" name="RECEIVING YDS" tableColumnId="7"/>
      <queryTableField id="8" name="RECEIVING TDS" tableColumnId="8"/>
      <queryTableField id="9" name="MISC FL" tableColumnId="9"/>
      <queryTableField id="10" name="MISC FPTS" tableColumnId="10"/>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00000000-0016-0000-0800-000002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Team" tableColumnId="2"/>
      <queryTableField id="3" name="RECEIVING REC" tableColumnId="3"/>
      <queryTableField id="4" name="RECEIVING YDS" tableColumnId="4"/>
      <queryTableField id="5" name="RECEIVING TDS" tableColumnId="5"/>
      <queryTableField id="6" name="RUSHING ATT" tableColumnId="6"/>
      <queryTableField id="7" name="RUSHING YDS" tableColumnId="7"/>
      <queryTableField id="8" name="RUSHING TDS" tableColumnId="8"/>
      <queryTableField id="9" name="MISC FL" tableColumnId="9"/>
      <queryTableField id="10" name="MISC FPTS" tableColumnId="10"/>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6" xr16:uid="{00000000-0016-0000-0D00-000003000000}" autoFormatId="0" applyNumberFormats="0" applyBorderFormats="0" applyFontFormats="1" applyPatternFormats="1" applyAlignmentFormats="0" applyWidthHeightFormats="0">
  <queryTableRefresh preserveSortFilterLayout="0" nextId="8">
    <queryTableFields count="7">
      <queryTableField id="1" name="Player" tableColumnId="1"/>
      <queryTableField id="2" name="Team" tableColumnId="2"/>
      <queryTableField id="3" name="RECEIVING REC" tableColumnId="3"/>
      <queryTableField id="4" name="RECEIVING YDS" tableColumnId="4"/>
      <queryTableField id="5" name="RECEIVING TDS" tableColumnId="5"/>
      <queryTableField id="6" name="MISC FL" tableColumnId="6"/>
      <queryTableField id="7" name="MISC FPTS"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3" xr16:uid="{00000000-0016-0000-0F00-000004000000}" autoFormatId="0" applyNumberFormats="0" applyBorderFormats="0" applyFontFormats="1" applyPatternFormats="1" applyAlignmentFormats="0" applyWidthHeightFormats="0">
  <queryTableRefresh preserveSortFilterLayout="0" nextId="7">
    <queryTableFields count="6">
      <queryTableField id="1" name="Player" tableColumnId="1"/>
      <queryTableField id="2" name="Team" tableColumnId="2"/>
      <queryTableField id="3" name="FG" tableColumnId="3"/>
      <queryTableField id="4" name="FGA" tableColumnId="4"/>
      <queryTableField id="5" name="XPT" tableColumnId="5"/>
      <queryTableField id="6" name="FPTS" tableColumnId="6"/>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200-000005000000}" autoFormatId="0" applyNumberFormats="0" applyBorderFormats="0" applyFontFormats="1" applyPatternFormats="1" applyAlignmentFormats="0" applyWidthHeightFormats="0">
  <queryTableRefresh preserveSortFilterLayout="0" nextId="11">
    <queryTableFields count="10">
      <queryTableField id="1" name="Player" tableColumnId="1"/>
      <queryTableField id="2" name="SACK" tableColumnId="2"/>
      <queryTableField id="3" name="INT" tableColumnId="3"/>
      <queryTableField id="4" name="FR" tableColumnId="4"/>
      <queryTableField id="5" name="FF" tableColumnId="5"/>
      <queryTableField id="6" name="TD" tableColumnId="6"/>
      <queryTableField id="7" name="SAFETY" tableColumnId="7"/>
      <queryTableField id="8" name="PA" tableColumnId="8"/>
      <queryTableField id="9" name="YDS AGN" tableColumnId="9"/>
      <queryTableField id="10" name="FPTS"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3DB5A251-2F03-4CD0-9FC3-4502A34A18E2}" autoFormatId="16" applyNumberFormats="0" applyBorderFormats="0" applyFontFormats="0" applyPatternFormats="0" applyAlignmentFormats="0" applyWidthHeightFormats="0">
  <queryTableRefresh nextId="3">
    <queryTableFields count="2">
      <queryTableField id="1" name="Column1" tableColumnId="1"/>
      <queryTableField id="2" name="Column2"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QB" displayName="QB" ref="A1:L85" tableType="queryTable" totalsRowShown="0">
  <autoFilter ref="A1:L85" xr:uid="{00000000-000C-0000-FFFF-FFFF00000000}"/>
  <tableColumns count="12">
    <tableColumn id="1" xr3:uid="{495C2BE4-84AB-42B2-AB12-13260FD94F2C}" uniqueName="1" name="Player" queryTableFieldId="1"/>
    <tableColumn id="2" xr3:uid="{1F3E0A48-6F22-473C-A3E2-0AB2FF287475}" uniqueName="2" name="Team" queryTableFieldId="2"/>
    <tableColumn id="3" xr3:uid="{45E55AFB-00C9-4A3D-9E41-3D06EB7F9F9C}" uniqueName="3" name="PASSING ATT" queryTableFieldId="3"/>
    <tableColumn id="4" xr3:uid="{200A5717-3460-4091-A6CE-E888A2F12198}" uniqueName="4" name="PASSING CMP" queryTableFieldId="4"/>
    <tableColumn id="5" xr3:uid="{BD50F93A-BF75-4067-809F-0C0424E42E38}" uniqueName="5" name="PASSING YDS" queryTableFieldId="5"/>
    <tableColumn id="6" xr3:uid="{0030E371-9C08-4600-BBA7-77036D8FA4EB}" uniqueName="6" name="PASSING TDS" queryTableFieldId="6"/>
    <tableColumn id="7" xr3:uid="{5CBD4B96-FDDD-4115-8C5E-C1ABCCF16053}" uniqueName="7" name="PASSING INTS" queryTableFieldId="7"/>
    <tableColumn id="8" xr3:uid="{7572F83A-609C-4DF3-B653-15E287417601}" uniqueName="8" name="RUSHING ATT" queryTableFieldId="8"/>
    <tableColumn id="9" xr3:uid="{3FDB7241-07C3-4DCA-84C6-55D5934FE1A9}" uniqueName="9" name="RUSHING YDS" queryTableFieldId="9"/>
    <tableColumn id="10" xr3:uid="{70D96854-78E2-412B-8E77-F7F482E23494}" uniqueName="10" name="RUSHING TDS" queryTableFieldId="10"/>
    <tableColumn id="11" xr3:uid="{C43439E2-616B-41D3-8ACF-D887444B5D51}" uniqueName="11" name="MISC FL" queryTableFieldId="11"/>
    <tableColumn id="12" xr3:uid="{442C1DAD-5FEA-4723-9A10-A412E87A1C75}" uniqueName="12" name="MISC FPTS"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RB" displayName="RB" ref="A1:J138" tableType="queryTable" totalsRowShown="0">
  <autoFilter ref="A1:J138" xr:uid="{00000000-000C-0000-FFFF-FFFF01000000}"/>
  <tableColumns count="10">
    <tableColumn id="1" xr3:uid="{2046088F-BF42-4FE5-A9A9-A7982BD7C9D1}" uniqueName="1" name="Player" queryTableFieldId="1"/>
    <tableColumn id="2" xr3:uid="{C20DEE94-D66E-4AE6-AA80-7F89659092E5}" uniqueName="2" name="Team" queryTableFieldId="2"/>
    <tableColumn id="3" xr3:uid="{1E83266B-A325-4611-851C-7D5CF0BFAE25}" uniqueName="3" name="RUSHING ATT" queryTableFieldId="3"/>
    <tableColumn id="4" xr3:uid="{69C856E9-5B61-4540-9B19-F7848CB6DF37}" uniqueName="4" name="RUSHING YDS" queryTableFieldId="4"/>
    <tableColumn id="5" xr3:uid="{3A614EEC-3919-4AD0-B0B3-CF08C553DE20}" uniqueName="5" name="RUSHING TDS" queryTableFieldId="5"/>
    <tableColumn id="6" xr3:uid="{DA0CF144-0A6A-4E35-A730-E160DEAA5285}" uniqueName="6" name="RECEIVING REC" queryTableFieldId="6"/>
    <tableColumn id="7" xr3:uid="{C854A2B8-7EA1-4691-AA68-49DD87354EF0}" uniqueName="7" name="RECEIVING YDS" queryTableFieldId="7"/>
    <tableColumn id="8" xr3:uid="{AF6CD19B-BDD2-4850-84DD-1E1AD5F312E8}" uniqueName="8" name="RECEIVING TDS" queryTableFieldId="8"/>
    <tableColumn id="9" xr3:uid="{879069EB-FB6D-41CF-AD4A-62741B1D1CE2}" uniqueName="9" name="MISC FL" queryTableFieldId="9"/>
    <tableColumn id="10" xr3:uid="{4E195D77-449E-4A52-9BFD-A52BBA9060C8}" uniqueName="10" name="MISC FPTS" queryTableFieldId="10"/>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WR" displayName="WR" ref="A1:J217" tableType="queryTable" totalsRowShown="0">
  <autoFilter ref="A1:J217" xr:uid="{00000000-000C-0000-FFFF-FFFF02000000}"/>
  <tableColumns count="10">
    <tableColumn id="1" xr3:uid="{87879A40-75C9-4837-8F48-491BB58A8FD6}" uniqueName="1" name="Player" queryTableFieldId="1"/>
    <tableColumn id="2" xr3:uid="{079DFD62-0D68-4050-81D8-32882C4857FC}" uniqueName="2" name="Team" queryTableFieldId="2"/>
    <tableColumn id="3" xr3:uid="{EE35A232-3940-4D3D-BF2D-6C17FA2CA2B7}" uniqueName="3" name="RECEIVING REC" queryTableFieldId="3"/>
    <tableColumn id="4" xr3:uid="{131DAA14-92DA-4460-96A1-94EEA196EE19}" uniqueName="4" name="RECEIVING YDS" queryTableFieldId="4"/>
    <tableColumn id="5" xr3:uid="{8F8FC859-0DA0-4290-9686-2B8B1FAF17F2}" uniqueName="5" name="RECEIVING TDS" queryTableFieldId="5"/>
    <tableColumn id="6" xr3:uid="{0EB2F0E2-0D35-4F18-B263-8E85831D71CF}" uniqueName="6" name="RUSHING ATT" queryTableFieldId="6"/>
    <tableColumn id="7" xr3:uid="{9137A168-C2C6-4C35-B1A2-1F23B671BEC5}" uniqueName="7" name="RUSHING YDS" queryTableFieldId="7"/>
    <tableColumn id="8" xr3:uid="{4DEABB08-EED3-4B0A-B6FD-004D7AB90443}" uniqueName="8" name="RUSHING TDS" queryTableFieldId="8"/>
    <tableColumn id="9" xr3:uid="{4B633175-08E7-40AB-997D-381A0B2EC0A5}" uniqueName="9" name="MISC FL" queryTableFieldId="9"/>
    <tableColumn id="10" xr3:uid="{8FC7A2E1-EF14-4132-AFA5-3D2C143DF01C}" uniqueName="10" name="MISC FPTS" queryTableFieldId="10"/>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E" displayName="TE" ref="A1:G118" tableType="queryTable" totalsRowShown="0">
  <autoFilter ref="A1:G118" xr:uid="{00000000-000C-0000-FFFF-FFFF03000000}"/>
  <tableColumns count="7">
    <tableColumn id="1" xr3:uid="{E77DD28E-0D25-422F-8729-35B6A9357AB4}" uniqueName="1" name="Player" queryTableFieldId="1"/>
    <tableColumn id="2" xr3:uid="{AF574BD6-8BDB-4A15-A1BA-55767A668B1C}" uniqueName="2" name="Team" queryTableFieldId="2"/>
    <tableColumn id="3" xr3:uid="{3CA89A59-9445-4511-9019-B3EBD6E1F08C}" uniqueName="3" name="RECEIVING REC" queryTableFieldId="3"/>
    <tableColumn id="4" xr3:uid="{894D0074-BE01-4B67-9731-6E43F58D2A84}" uniqueName="4" name="RECEIVING YDS" queryTableFieldId="4"/>
    <tableColumn id="5" xr3:uid="{A21C0B76-025F-462A-B9D1-B461231D8EA5}" uniqueName="5" name="RECEIVING TDS" queryTableFieldId="5"/>
    <tableColumn id="6" xr3:uid="{DAA50D94-1E30-4E93-96C2-6EE787A2715B}" uniqueName="6" name="MISC FL" queryTableFieldId="6"/>
    <tableColumn id="7" xr3:uid="{10F6E528-C904-4537-B288-7E447A864DA5}" uniqueName="7" name="MISC FPTS"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K" displayName="K" ref="A1:F33" tableType="queryTable" totalsRowShown="0">
  <autoFilter ref="A1:F33" xr:uid="{00000000-000C-0000-FFFF-FFFF04000000}"/>
  <tableColumns count="6">
    <tableColumn id="1" xr3:uid="{35E4290B-8F64-4404-99C5-B672569C207B}" uniqueName="1" name="Player" queryTableFieldId="1"/>
    <tableColumn id="2" xr3:uid="{346D9694-D2E0-4D12-822E-57DE94B4B364}" uniqueName="2" name="Team" queryTableFieldId="2"/>
    <tableColumn id="3" xr3:uid="{995B1E22-DE2F-4522-8B79-AB94CDCEDE37}" uniqueName="3" name="FG" queryTableFieldId="3"/>
    <tableColumn id="4" xr3:uid="{7FB660AA-E006-4D6E-965E-D88D2FBBF941}" uniqueName="4" name="FGA" queryTableFieldId="4"/>
    <tableColumn id="5" xr3:uid="{3B4CC554-77BF-498F-952A-77095AC3E9D8}" uniqueName="5" name="XPT" queryTableFieldId="5"/>
    <tableColumn id="6" xr3:uid="{A000ACF8-EB0D-49E7-9E25-4D4B51ED27C2}" uniqueName="6" name="FPTS" queryTableField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DEF" displayName="DEF" ref="A1:J33" tableType="queryTable" totalsRowShown="0">
  <autoFilter ref="A1:J33" xr:uid="{00000000-000C-0000-FFFF-FFFF05000000}"/>
  <tableColumns count="10">
    <tableColumn id="1" xr3:uid="{70AA69D6-E027-40F2-82E2-008653F8C724}" uniqueName="1" name="Player" queryTableFieldId="1"/>
    <tableColumn id="2" xr3:uid="{236DD852-5508-4157-AC4A-1356F0FD32DF}" uniqueName="2" name="SACK" queryTableFieldId="2"/>
    <tableColumn id="3" xr3:uid="{431CBA3F-4F96-40BC-8F1A-CEFBC0EF0F65}" uniqueName="3" name="INT" queryTableFieldId="3"/>
    <tableColumn id="4" xr3:uid="{272EBF22-CFD9-4ED7-BEBC-1A83FEF16C82}" uniqueName="4" name="FR" queryTableFieldId="4"/>
    <tableColumn id="5" xr3:uid="{87CCC69A-E3EB-4F70-9ACD-B55D9B7AB74F}" uniqueName="5" name="FF" queryTableFieldId="5"/>
    <tableColumn id="6" xr3:uid="{C18C5F34-D754-412A-9626-F82DBB3A187C}" uniqueName="6" name="TD" queryTableFieldId="6"/>
    <tableColumn id="7" xr3:uid="{53284B04-BEA7-4116-8E13-6641B4BB1206}" uniqueName="7" name="SAFETY" queryTableFieldId="7"/>
    <tableColumn id="8" xr3:uid="{C5870943-D8B1-4247-AE4A-9DC219BEC19B}" uniqueName="8" name="PA" queryTableFieldId="8"/>
    <tableColumn id="9" xr3:uid="{B81B839C-B4F3-43DB-9BD1-8BF5501FCB28}" uniqueName="9" name="YDS AGN" queryTableFieldId="9"/>
    <tableColumn id="10" xr3:uid="{089BC25F-E350-470C-AD2C-6DF531DC0409}" uniqueName="10" name="FPTS" queryTableFieldId="1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4F49D2A-EE8D-4704-9A61-0ACA30F88125}" name="Fantasy_offensive_depth_charts" displayName="Fantasy_offensive_depth_charts" ref="A1:B705" tableType="queryTable" totalsRowShown="0">
  <autoFilter ref="A1:B705" xr:uid="{F4F49D2A-EE8D-4704-9A61-0ACA30F88125}"/>
  <tableColumns count="2">
    <tableColumn id="1" xr3:uid="{4B23C9B1-B089-4BEE-9A34-06759E7FCC11}" uniqueName="1" name="Column1" queryTableFieldId="1" dataDxfId="53"/>
    <tableColumn id="2" xr3:uid="{94F71F40-E643-4868-9D74-4BBAC17681D3}" uniqueName="2" name="Column2" queryTableFieldId="2" dataDxfId="5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1.bin"/><Relationship Id="rId5" Type="http://schemas.openxmlformats.org/officeDocument/2006/relationships/comments" Target="../comments3.xml"/><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0"/>
  <sheetViews>
    <sheetView tabSelected="1" workbookViewId="0">
      <selection activeCell="A7" sqref="A7"/>
    </sheetView>
  </sheetViews>
  <sheetFormatPr defaultColWidth="8.90625" defaultRowHeight="14.5" x14ac:dyDescent="0.35"/>
  <cols>
    <col min="1" max="1" width="173.6328125" customWidth="1"/>
    <col min="3" max="10" width="9.08984375" customWidth="1"/>
    <col min="11" max="11" width="13.453125" customWidth="1"/>
  </cols>
  <sheetData>
    <row r="1" spans="1:11" x14ac:dyDescent="0.35">
      <c r="A1" s="255" t="s">
        <v>1201</v>
      </c>
    </row>
    <row r="2" spans="1:11" ht="29" x14ac:dyDescent="0.35">
      <c r="A2" s="220" t="s">
        <v>653</v>
      </c>
      <c r="B2" s="4"/>
      <c r="C2" s="4"/>
      <c r="D2" s="4"/>
      <c r="E2" s="4"/>
      <c r="F2" s="4"/>
      <c r="G2" s="4"/>
      <c r="H2" s="4"/>
      <c r="I2" s="4"/>
      <c r="J2" s="4"/>
      <c r="K2" s="4"/>
    </row>
    <row r="3" spans="1:11" ht="43.5" x14ac:dyDescent="0.35">
      <c r="A3" s="219" t="s">
        <v>652</v>
      </c>
      <c r="B3" s="219"/>
      <c r="C3" s="219"/>
      <c r="D3" s="219"/>
      <c r="E3" s="219"/>
      <c r="F3" s="219"/>
      <c r="G3" s="219"/>
      <c r="H3" s="219"/>
      <c r="I3" s="219"/>
      <c r="J3" s="219"/>
      <c r="K3" s="219"/>
    </row>
    <row r="4" spans="1:11" x14ac:dyDescent="0.35">
      <c r="A4" s="219" t="s">
        <v>0</v>
      </c>
      <c r="B4" s="219"/>
      <c r="C4" s="219"/>
      <c r="D4" s="219"/>
      <c r="E4" s="219"/>
      <c r="F4" s="219"/>
      <c r="G4" s="219"/>
      <c r="H4" s="219"/>
      <c r="I4" s="219"/>
      <c r="J4" s="219"/>
      <c r="K4" s="219"/>
    </row>
    <row r="5" spans="1:11" x14ac:dyDescent="0.35">
      <c r="A5" s="219" t="s">
        <v>1</v>
      </c>
      <c r="B5" s="219"/>
      <c r="C5" s="219"/>
      <c r="D5" s="219"/>
      <c r="E5" s="219"/>
      <c r="F5" s="219"/>
      <c r="G5" s="219"/>
      <c r="H5" s="219"/>
      <c r="I5" s="219"/>
      <c r="J5" s="219"/>
      <c r="K5" s="219"/>
    </row>
    <row r="6" spans="1:11" ht="43.5" x14ac:dyDescent="0.35">
      <c r="A6" s="6" t="s">
        <v>2</v>
      </c>
      <c r="B6" s="6"/>
      <c r="C6" s="6"/>
      <c r="D6" s="6"/>
      <c r="E6" s="6"/>
      <c r="F6" s="6"/>
      <c r="G6" s="6"/>
      <c r="H6" s="6"/>
      <c r="I6" s="6"/>
      <c r="J6" s="6"/>
      <c r="K6" s="6"/>
    </row>
    <row r="7" spans="1:11" ht="43.5" x14ac:dyDescent="0.35">
      <c r="A7" s="219" t="s">
        <v>3</v>
      </c>
      <c r="B7" s="219"/>
      <c r="C7" s="219"/>
      <c r="D7" s="219"/>
      <c r="E7" s="219"/>
      <c r="F7" s="219"/>
      <c r="G7" s="219"/>
      <c r="H7" s="219"/>
      <c r="I7" s="219"/>
      <c r="J7" s="219"/>
      <c r="K7" s="219"/>
    </row>
    <row r="8" spans="1:11" s="6" customFormat="1" ht="43.5" x14ac:dyDescent="0.35">
      <c r="A8" s="6" t="s">
        <v>832</v>
      </c>
    </row>
    <row r="9" spans="1:11" ht="43.5" x14ac:dyDescent="0.35">
      <c r="A9" s="6" t="s">
        <v>4</v>
      </c>
      <c r="B9" s="6"/>
      <c r="C9" s="6"/>
      <c r="D9" s="6"/>
      <c r="E9" s="6"/>
      <c r="F9" s="6"/>
      <c r="G9" s="6"/>
      <c r="H9" s="6"/>
      <c r="I9" s="6"/>
      <c r="J9" s="6"/>
      <c r="K9" s="6"/>
    </row>
    <row r="10" spans="1:11" x14ac:dyDescent="0.35">
      <c r="A10" s="6" t="s">
        <v>5</v>
      </c>
      <c r="B10" s="6"/>
      <c r="C10" s="6"/>
      <c r="D10" s="6"/>
      <c r="E10" s="6"/>
      <c r="F10" s="6"/>
      <c r="G10" s="6"/>
      <c r="H10" s="6"/>
      <c r="I10" s="6"/>
      <c r="J10" s="6"/>
      <c r="K10" s="6"/>
    </row>
    <row r="11" spans="1:11" ht="29" x14ac:dyDescent="0.35">
      <c r="A11" s="219" t="s">
        <v>6</v>
      </c>
      <c r="B11" s="219"/>
      <c r="C11" s="219"/>
      <c r="D11" s="219"/>
      <c r="E11" s="219"/>
      <c r="F11" s="219"/>
      <c r="G11" s="219"/>
      <c r="H11" s="219"/>
      <c r="I11" s="219"/>
      <c r="J11" s="219"/>
      <c r="K11" s="219"/>
    </row>
    <row r="12" spans="1:11" x14ac:dyDescent="0.35">
      <c r="A12" s="6" t="s">
        <v>1199</v>
      </c>
      <c r="B12" s="6"/>
      <c r="C12" s="6"/>
      <c r="D12" s="6"/>
      <c r="E12" s="6"/>
      <c r="F12" s="6"/>
      <c r="G12" s="6"/>
      <c r="H12" s="6"/>
      <c r="I12" s="6"/>
      <c r="J12" s="6"/>
      <c r="K12" s="6"/>
    </row>
    <row r="13" spans="1:11" x14ac:dyDescent="0.35">
      <c r="A13" s="6"/>
      <c r="B13" s="6"/>
      <c r="C13" s="6"/>
      <c r="D13" s="6"/>
      <c r="E13" s="6"/>
      <c r="F13" s="6"/>
      <c r="G13" s="6"/>
      <c r="H13" s="6"/>
      <c r="I13" s="6"/>
      <c r="J13" s="6"/>
      <c r="K13" s="6"/>
    </row>
    <row r="14" spans="1:11" x14ac:dyDescent="0.35">
      <c r="A14" s="254" t="s">
        <v>1200</v>
      </c>
      <c r="B14" s="6"/>
      <c r="C14" s="6"/>
      <c r="D14" s="6"/>
      <c r="E14" s="6"/>
      <c r="F14" s="6"/>
      <c r="G14" s="6"/>
      <c r="H14" s="6"/>
      <c r="I14" s="6"/>
      <c r="J14" s="6"/>
      <c r="K14" s="6"/>
    </row>
    <row r="15" spans="1:11" x14ac:dyDescent="0.35">
      <c r="A15" s="251" t="s">
        <v>698</v>
      </c>
      <c r="B15" s="210"/>
      <c r="C15" s="210"/>
      <c r="D15" s="210"/>
      <c r="E15" s="210"/>
      <c r="F15" s="210"/>
      <c r="G15" s="210"/>
      <c r="H15" s="210"/>
      <c r="I15" s="210"/>
      <c r="J15" s="210"/>
      <c r="K15" s="210"/>
    </row>
    <row r="16" spans="1:11" x14ac:dyDescent="0.35">
      <c r="A16" s="252" t="s">
        <v>7</v>
      </c>
    </row>
    <row r="17" spans="1:1" x14ac:dyDescent="0.35">
      <c r="A17" s="252" t="s">
        <v>8</v>
      </c>
    </row>
    <row r="18" spans="1:1" x14ac:dyDescent="0.35">
      <c r="A18" s="252" t="s">
        <v>9</v>
      </c>
    </row>
    <row r="19" spans="1:1" x14ac:dyDescent="0.35">
      <c r="A19" s="252" t="s">
        <v>10</v>
      </c>
    </row>
    <row r="20" spans="1:1" x14ac:dyDescent="0.35">
      <c r="A20" s="253" t="s">
        <v>687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T100"/>
  <sheetViews>
    <sheetView workbookViewId="0">
      <selection activeCell="H2" sqref="H2"/>
    </sheetView>
  </sheetViews>
  <sheetFormatPr defaultColWidth="8.90625" defaultRowHeight="14.5" x14ac:dyDescent="0.35"/>
  <cols>
    <col min="3" max="3" width="17.90625" bestFit="1" customWidth="1"/>
    <col min="4" max="4" width="11.453125" customWidth="1"/>
    <col min="5" max="5" width="17.453125" bestFit="1" customWidth="1"/>
    <col min="6" max="6" width="18.6328125" bestFit="1" customWidth="1"/>
    <col min="7" max="7" width="23.36328125" bestFit="1" customWidth="1"/>
    <col min="8" max="8" width="12" bestFit="1" customWidth="1"/>
    <col min="9" max="9" width="16.453125" bestFit="1" customWidth="1"/>
    <col min="10" max="10" width="5" bestFit="1" customWidth="1"/>
    <col min="11" max="11" width="13.08984375" bestFit="1" customWidth="1"/>
    <col min="12" max="12" width="1.453125" customWidth="1"/>
    <col min="13" max="13" width="14.90625" bestFit="1" customWidth="1"/>
    <col min="14" max="14" width="4" bestFit="1" customWidth="1"/>
    <col min="15" max="15" width="13.08984375" bestFit="1" customWidth="1"/>
    <col min="16" max="16" width="1.6328125" customWidth="1"/>
    <col min="17" max="17" width="7" customWidth="1"/>
    <col min="20" max="20" width="13.08984375" bestFit="1" customWidth="1"/>
  </cols>
  <sheetData>
    <row r="1" spans="1:20" x14ac:dyDescent="0.35">
      <c r="A1" s="258" t="s">
        <v>11</v>
      </c>
      <c r="B1" s="260"/>
      <c r="C1" s="258" t="s">
        <v>12</v>
      </c>
      <c r="D1" s="260"/>
      <c r="E1" s="258" t="s">
        <v>13</v>
      </c>
      <c r="F1" s="260"/>
      <c r="G1" s="258" t="s">
        <v>14</v>
      </c>
      <c r="H1" s="260"/>
      <c r="I1" s="258" t="s">
        <v>15</v>
      </c>
      <c r="J1" s="259"/>
      <c r="K1" s="260"/>
      <c r="M1" s="258" t="s">
        <v>16</v>
      </c>
      <c r="N1" s="259"/>
      <c r="O1" s="260"/>
      <c r="P1" s="197"/>
      <c r="Q1" s="258" t="s">
        <v>472</v>
      </c>
      <c r="R1" s="259"/>
      <c r="S1" s="259"/>
      <c r="T1" s="260"/>
    </row>
    <row r="2" spans="1:20" x14ac:dyDescent="0.35">
      <c r="A2" s="4" t="s">
        <v>17</v>
      </c>
      <c r="B2" s="4" t="s">
        <v>18</v>
      </c>
      <c r="C2" s="7" t="s">
        <v>17</v>
      </c>
      <c r="D2" s="9" t="s">
        <v>19</v>
      </c>
      <c r="E2" s="10" t="s">
        <v>20</v>
      </c>
      <c r="F2" s="36">
        <v>12</v>
      </c>
      <c r="G2" s="10" t="s">
        <v>21</v>
      </c>
      <c r="H2" s="12">
        <f>(F2*F3)-(D8*F2)-(D9*F2)</f>
        <v>2376</v>
      </c>
      <c r="I2" s="95" t="s">
        <v>22</v>
      </c>
      <c r="J2" s="15">
        <v>4</v>
      </c>
      <c r="K2" s="96" t="s">
        <v>23</v>
      </c>
      <c r="M2" s="95" t="s">
        <v>24</v>
      </c>
      <c r="N2" s="15">
        <v>0</v>
      </c>
      <c r="O2" s="96" t="s">
        <v>23</v>
      </c>
      <c r="P2" s="97"/>
      <c r="Q2" s="15">
        <v>2</v>
      </c>
      <c r="R2" s="96" t="s">
        <v>473</v>
      </c>
      <c r="S2" s="15">
        <v>200</v>
      </c>
      <c r="T2" s="96" t="s">
        <v>474</v>
      </c>
    </row>
    <row r="3" spans="1:20" x14ac:dyDescent="0.35">
      <c r="A3" t="s">
        <v>25</v>
      </c>
      <c r="B3" s="34">
        <f ca="1">RBStarters+RBBench</f>
        <v>49.833333333333336</v>
      </c>
      <c r="C3" s="10" t="s">
        <v>26</v>
      </c>
      <c r="D3" s="15">
        <v>2</v>
      </c>
      <c r="E3" s="10" t="s">
        <v>27</v>
      </c>
      <c r="F3" s="15">
        <v>200</v>
      </c>
      <c r="G3" s="10" t="s">
        <v>28</v>
      </c>
      <c r="H3" s="12">
        <f ca="1">SUMIF(QB!Z3:Z74,"&gt;0")+SUMIF('RB'!Z3:Z131,"&gt;0")+SUMIF(WR!Z3:Z167,"&gt;0")+SUMIF(TE!Z3:Z112,"&gt;0")</f>
        <v>7357.1719999999996</v>
      </c>
      <c r="I3" s="93" t="s">
        <v>29</v>
      </c>
      <c r="J3" s="15">
        <v>0.04</v>
      </c>
      <c r="K3" s="97" t="s">
        <v>30</v>
      </c>
      <c r="M3" s="93" t="s">
        <v>31</v>
      </c>
      <c r="N3" s="36">
        <v>6</v>
      </c>
      <c r="O3" s="97" t="s">
        <v>23</v>
      </c>
      <c r="P3" s="97"/>
      <c r="Q3" s="217"/>
      <c r="R3" s="218" t="s">
        <v>475</v>
      </c>
      <c r="S3" s="216">
        <f>Q2/S2</f>
        <v>0.01</v>
      </c>
      <c r="T3" s="97" t="s">
        <v>30</v>
      </c>
    </row>
    <row r="4" spans="1:20" x14ac:dyDescent="0.35">
      <c r="A4" t="s">
        <v>32</v>
      </c>
      <c r="B4" s="34">
        <f ca="1">WRStarters+WRBench</f>
        <v>65.166666666666657</v>
      </c>
      <c r="C4" s="10" t="s">
        <v>25</v>
      </c>
      <c r="D4" s="15">
        <v>2</v>
      </c>
      <c r="E4" s="10" t="s">
        <v>33</v>
      </c>
      <c r="F4" s="92">
        <f>D10+F5</f>
        <v>16</v>
      </c>
      <c r="G4" s="10" t="s">
        <v>34</v>
      </c>
      <c r="H4" s="111">
        <f ca="1">Auction!A2</f>
        <v>1</v>
      </c>
      <c r="I4" s="93" t="s">
        <v>35</v>
      </c>
      <c r="J4" s="15">
        <v>-1</v>
      </c>
      <c r="K4" s="97" t="s">
        <v>23</v>
      </c>
      <c r="M4" s="93" t="s">
        <v>36</v>
      </c>
      <c r="N4" s="91">
        <v>0.1</v>
      </c>
      <c r="O4" s="97" t="s">
        <v>30</v>
      </c>
      <c r="P4" s="62"/>
    </row>
    <row r="5" spans="1:20" x14ac:dyDescent="0.35">
      <c r="A5" t="s">
        <v>26</v>
      </c>
      <c r="B5" s="34">
        <f ca="1">QBStarter+QBBench</f>
        <v>32</v>
      </c>
      <c r="C5" s="10" t="s">
        <v>32</v>
      </c>
      <c r="D5" s="15">
        <v>2</v>
      </c>
      <c r="E5" s="10" t="s">
        <v>37</v>
      </c>
      <c r="F5" s="15">
        <v>6</v>
      </c>
      <c r="G5" s="10" t="s">
        <v>38</v>
      </c>
      <c r="H5" s="12">
        <f ca="1">H2/H3</f>
        <v>0.32295017705172585</v>
      </c>
      <c r="I5" s="93" t="s">
        <v>24</v>
      </c>
      <c r="J5" s="15">
        <v>0</v>
      </c>
      <c r="K5" s="97" t="s">
        <v>23</v>
      </c>
      <c r="M5" s="93" t="s">
        <v>39</v>
      </c>
      <c r="N5" s="15">
        <v>0.5</v>
      </c>
      <c r="O5" s="97" t="s">
        <v>23</v>
      </c>
      <c r="P5" s="62"/>
    </row>
    <row r="6" spans="1:20" x14ac:dyDescent="0.35">
      <c r="A6" t="s">
        <v>40</v>
      </c>
      <c r="B6" s="34">
        <f ca="1">TEStarters+TEBench</f>
        <v>21</v>
      </c>
      <c r="C6" s="10" t="s">
        <v>40</v>
      </c>
      <c r="D6" s="15">
        <v>1</v>
      </c>
      <c r="E6" s="10" t="s">
        <v>41</v>
      </c>
      <c r="F6" s="215">
        <f>F4*F2</f>
        <v>192</v>
      </c>
      <c r="G6" s="10" t="s">
        <v>42</v>
      </c>
      <c r="H6" s="15" t="s">
        <v>43</v>
      </c>
      <c r="I6" s="93" t="s">
        <v>31</v>
      </c>
      <c r="J6" s="15">
        <v>6</v>
      </c>
      <c r="K6" s="97" t="s">
        <v>23</v>
      </c>
      <c r="M6" s="93" t="s">
        <v>44</v>
      </c>
      <c r="N6" s="15">
        <v>6</v>
      </c>
      <c r="O6" s="97" t="s">
        <v>23</v>
      </c>
      <c r="P6" s="62"/>
    </row>
    <row r="7" spans="1:20" x14ac:dyDescent="0.35">
      <c r="A7" t="s">
        <v>45</v>
      </c>
      <c r="B7" s="34">
        <f>D8*F2</f>
        <v>12</v>
      </c>
      <c r="C7" s="10" t="str">
        <f>CONCATENATE("Flex " &amp; FlexType)</f>
        <v>Flex WR/RB/TE</v>
      </c>
      <c r="D7" s="15">
        <v>1</v>
      </c>
      <c r="E7" s="10" t="s">
        <v>46</v>
      </c>
      <c r="F7" s="15" t="s">
        <v>47</v>
      </c>
      <c r="G7" s="10" t="s">
        <v>48</v>
      </c>
      <c r="H7" s="195" t="s">
        <v>49</v>
      </c>
      <c r="I7" s="93" t="s">
        <v>36</v>
      </c>
      <c r="J7" s="15">
        <v>0.1</v>
      </c>
      <c r="K7" s="97" t="s">
        <v>30</v>
      </c>
      <c r="M7" s="93" t="s">
        <v>50</v>
      </c>
      <c r="N7" s="91">
        <v>0.1</v>
      </c>
      <c r="O7" s="97" t="s">
        <v>30</v>
      </c>
      <c r="P7" s="62"/>
    </row>
    <row r="8" spans="1:20" x14ac:dyDescent="0.35">
      <c r="A8" t="s">
        <v>51</v>
      </c>
      <c r="B8" s="34">
        <f>D9*F2</f>
        <v>12</v>
      </c>
      <c r="C8" s="10" t="s">
        <v>45</v>
      </c>
      <c r="D8" s="15">
        <v>1</v>
      </c>
      <c r="E8" s="10" t="s">
        <v>52</v>
      </c>
      <c r="F8" s="15" t="s">
        <v>53</v>
      </c>
      <c r="H8" s="11"/>
      <c r="I8" s="93" t="s">
        <v>54</v>
      </c>
      <c r="J8" s="15">
        <v>-2</v>
      </c>
      <c r="K8" s="97" t="s">
        <v>23</v>
      </c>
      <c r="M8" s="94" t="s">
        <v>54</v>
      </c>
      <c r="N8" s="15">
        <v>-2</v>
      </c>
      <c r="O8" s="98" t="s">
        <v>23</v>
      </c>
      <c r="P8" s="62"/>
    </row>
    <row r="9" spans="1:20" x14ac:dyDescent="0.35">
      <c r="A9" t="s">
        <v>55</v>
      </c>
      <c r="B9" s="35">
        <f ca="1">SUM(B3:B8)</f>
        <v>192</v>
      </c>
      <c r="C9" s="10" t="s">
        <v>56</v>
      </c>
      <c r="D9" s="15">
        <v>1</v>
      </c>
      <c r="H9" s="8"/>
      <c r="I9" s="93" t="s">
        <v>57</v>
      </c>
      <c r="J9" s="15">
        <v>0</v>
      </c>
      <c r="K9" s="97" t="s">
        <v>23</v>
      </c>
      <c r="O9" s="62"/>
      <c r="P9" s="62"/>
    </row>
    <row r="10" spans="1:20" x14ac:dyDescent="0.35">
      <c r="A10" s="13"/>
      <c r="B10" s="14"/>
      <c r="C10" s="10" t="s">
        <v>55</v>
      </c>
      <c r="D10" s="12">
        <f>SUM(D3:D9)</f>
        <v>10</v>
      </c>
      <c r="I10" s="94" t="s">
        <v>58</v>
      </c>
      <c r="J10" s="36">
        <v>0</v>
      </c>
      <c r="K10" s="98" t="s">
        <v>23</v>
      </c>
    </row>
    <row r="11" spans="1:20" x14ac:dyDescent="0.35">
      <c r="A11" s="4" t="s">
        <v>59</v>
      </c>
      <c r="C11" s="32" t="s">
        <v>60</v>
      </c>
      <c r="D11" s="88">
        <f>H2</f>
        <v>2376</v>
      </c>
      <c r="G11" s="4"/>
      <c r="I11" s="258" t="s">
        <v>61</v>
      </c>
      <c r="J11" s="259"/>
      <c r="K11" s="260"/>
      <c r="M11" s="258" t="s">
        <v>62</v>
      </c>
      <c r="N11" s="259"/>
      <c r="O11" s="260"/>
      <c r="P11" s="197"/>
    </row>
    <row r="12" spans="1:20" x14ac:dyDescent="0.35">
      <c r="A12" s="7" t="s">
        <v>17</v>
      </c>
      <c r="B12" s="9" t="s">
        <v>63</v>
      </c>
      <c r="C12" s="93" t="s">
        <v>64</v>
      </c>
      <c r="D12" s="12">
        <f ca="1">SUMIF(QB!$R$3:$R$74,"&gt;0")+SUMIF('RB'!$R$3:$R$131,"&gt;0")+SUMIF(WR!$R$3:$R$167,"&gt;0")+SUMIF(TE!$R$3:$R$112,"&gt;0")</f>
        <v>3745.5159999999983</v>
      </c>
      <c r="G12" s="4"/>
      <c r="I12" s="95" t="s">
        <v>24</v>
      </c>
      <c r="J12" s="15">
        <v>0</v>
      </c>
      <c r="K12" s="96" t="s">
        <v>23</v>
      </c>
      <c r="M12" s="95" t="s">
        <v>24</v>
      </c>
      <c r="N12" s="15">
        <v>0</v>
      </c>
      <c r="O12" s="96" t="s">
        <v>23</v>
      </c>
      <c r="P12" s="62"/>
    </row>
    <row r="13" spans="1:20" x14ac:dyDescent="0.35">
      <c r="A13" s="10" t="s">
        <v>25</v>
      </c>
      <c r="B13" s="34">
        <f ca="1">IF(FlexOn,IF(FlexType="WR/RB/TE",MAX(COUNTIFS(FlexWRRBTE!$F:$F,"Starter",FlexWRRBTE!$C:$C,LeagueInfo!$A$13),$D$4*$F$2),IF(FlexType="WR/RB",MAX(COUNTIFS(FlexWRRB!$F:$F,"Starter",FlexWRRB!$C:$C,LeagueInfo!$A$13),$D$4*$F$2),IF(FlexType="WR/TE",$D$4*$F$2,IF(FlexType="QB/WR/RB/TE",MAX(COUNTIFS(FlexQBWRRBTE!$F:$F,"Starter",FlexQBWRRBTE!$C:$C,LeagueInfo!$A$13),$D$4*$F$2))))),$D$4*$F$2)</f>
        <v>26</v>
      </c>
      <c r="C13" s="93" t="s">
        <v>65</v>
      </c>
      <c r="D13" s="12">
        <f ca="1">SUMIF(QB!Q$3:Q$38,"Bench",QB!S$3:S$74)+SUMIF('RB'!Q$3:Q$131,"Bench",'RB'!S$3:S$131)+SUMIF(WR!Q$3:Q$167,"Bench",WR!S$3:S$167)+SUMIF(TE!Q$3:Q$112,"Bench",TE!S$3:S$112)</f>
        <v>1872.232</v>
      </c>
      <c r="I13" s="93" t="s">
        <v>31</v>
      </c>
      <c r="J13" s="36">
        <v>6</v>
      </c>
      <c r="K13" s="97" t="s">
        <v>23</v>
      </c>
      <c r="M13" s="93" t="s">
        <v>31</v>
      </c>
      <c r="N13" s="36">
        <v>6</v>
      </c>
      <c r="O13" s="97" t="s">
        <v>23</v>
      </c>
      <c r="P13" s="62"/>
    </row>
    <row r="14" spans="1:20" x14ac:dyDescent="0.35">
      <c r="A14" s="10" t="s">
        <v>32</v>
      </c>
      <c r="B14" s="34">
        <f ca="1">IF(FlexOn,IF(FlexType="WR/RB/TE",MAX(COUNTIFS(FlexWRRBTE!$F:$F,"Starter",FlexWRRBTE!$C:$C,LeagueInfo!$A14),$D$5*$F$2),IF(FlexType="WR/RB",MAX(COUNTIFS(FlexWRRB!$F:$F,"Starter",FlexWRRB!$C:$C,LeagueInfo!$A14),$D$5*$F$2),IF(FlexType="WR/TE",MAX(COUNTIFS(FlexWRTE!$F:$F,"Starter",FlexWRTE!$C:$C,LeagueInfo!$A$14),$D$5*$F$2),IF(FlexType="QB/WR/RB/TE",MAX(COUNTIFS(FlexQBWRRBTE!$F:$F,"Starter",FlexQBWRRBTE!$C:$C,LeagueInfo!$A14),$D$5*$F$2))))),$D$5*$F$2)</f>
        <v>34</v>
      </c>
      <c r="C14" s="93" t="s">
        <v>66</v>
      </c>
      <c r="D14" s="16">
        <v>0.87</v>
      </c>
      <c r="G14" s="211"/>
      <c r="I14" s="93" t="s">
        <v>36</v>
      </c>
      <c r="J14" s="15">
        <v>0.1</v>
      </c>
      <c r="K14" s="97" t="s">
        <v>30</v>
      </c>
      <c r="M14" s="93" t="s">
        <v>36</v>
      </c>
      <c r="N14" s="91">
        <v>0.1</v>
      </c>
      <c r="O14" s="97" t="s">
        <v>30</v>
      </c>
      <c r="P14" s="62"/>
    </row>
    <row r="15" spans="1:20" x14ac:dyDescent="0.35">
      <c r="A15" s="10" t="s">
        <v>26</v>
      </c>
      <c r="B15" s="34">
        <f ca="1">IF(FlexOn,IF(FlexType="WR/RB/TE",MAX(COUNTIFS(FlexWRRBTE!$F:$F,"Starter",FlexWRRBTE!$C:$C,LeagueInfo!$A15),$D$3*$F$2),IF(FlexType="WR/RB",MAX(COUNTIFS(FlexWRRB!$F:$F,"Starter",FlexWRRB!$C:$C,LeagueInfo!$A15),$D$3*$F$2),IF(FlexType="WR/TE",MAX(COUNTIFS(FlexWRTE!$F:$F,"Starter",FlexWRTE!$C:$C,LeagueInfo!$A15),$D$3*$F$2),IF(FlexType="QB/WR/RB/TE",MAX(COUNTIFS(FlexQBWRRBTE!$F:$F,"Starter",FlexQBWRRBTE!$C:$C,LeagueInfo!$A15),$D$3*$F$2))))),$D$3*$F$2)</f>
        <v>24</v>
      </c>
      <c r="C15" s="93" t="s">
        <v>67</v>
      </c>
      <c r="D15" s="89">
        <f>100%-D14</f>
        <v>0.13</v>
      </c>
      <c r="E15" s="256" t="str">
        <f ca="1">IF(D19&gt;=F5*F2,IF(BenchPF&gt;StarterPF,"WARNING - TOO MUCH BENCH BUDGET","OK"),"INVALID VALUE - NOT ENOUGH BENCH MONEY")</f>
        <v>OK</v>
      </c>
      <c r="F15" s="257"/>
      <c r="G15" s="257"/>
      <c r="I15" s="93" t="s">
        <v>39</v>
      </c>
      <c r="J15" s="15">
        <v>0.5</v>
      </c>
      <c r="K15" s="97" t="s">
        <v>23</v>
      </c>
      <c r="M15" s="93" t="s">
        <v>39</v>
      </c>
      <c r="N15" s="15">
        <v>0.5</v>
      </c>
      <c r="O15" s="97" t="s">
        <v>23</v>
      </c>
      <c r="P15" s="62"/>
    </row>
    <row r="16" spans="1:20" x14ac:dyDescent="0.35">
      <c r="A16" s="10" t="s">
        <v>40</v>
      </c>
      <c r="B16" s="34">
        <f ca="1">IF(FlexOn,IF(FlexType="WR/RB/TE",MAX(COUNTIFS(FlexWRRBTE!$F:$F,"Starter",FlexWRRBTE!$C:$C,LeagueInfo!$A16),$D$6*$F$2),IF(FlexType="WR/RB",MAX(COUNTIFS(FlexWRRB!$F:$F,"Starter",FlexWRRB!$C:$C,LeagueInfo!$A16),$D$6*$F$2),IF(FlexType="WR/TE",MAX(COUNTIFS(FlexWRTE!$F:$F,"Starter",FlexWRTE!$C:$C,LeagueInfo!$A16),$D$6*$F$2),IF(FlexType="QB/WR/RB/TE",MAX(COUNTIFS(FlexQBWRRBTE!$F:$F,"Starter",FlexQBWRRBTE!$C:$C,LeagueInfo!$A16),$D$6*$F$2))))),$D$6*$F$2)</f>
        <v>12</v>
      </c>
      <c r="C16" s="93" t="s">
        <v>68</v>
      </c>
      <c r="D16" s="12">
        <f ca="1">D18/D12</f>
        <v>0.31619173677709173</v>
      </c>
      <c r="I16" s="93" t="s">
        <v>44</v>
      </c>
      <c r="J16" s="15">
        <v>6</v>
      </c>
      <c r="K16" s="97" t="s">
        <v>23</v>
      </c>
      <c r="M16" s="93" t="s">
        <v>44</v>
      </c>
      <c r="N16" s="15">
        <v>6</v>
      </c>
      <c r="O16" s="97" t="s">
        <v>23</v>
      </c>
      <c r="P16" s="62"/>
    </row>
    <row r="17" spans="1:16" x14ac:dyDescent="0.35">
      <c r="A17" s="7" t="s">
        <v>55</v>
      </c>
      <c r="B17" s="35">
        <f ca="1">SUM(B13:B16)</f>
        <v>96</v>
      </c>
      <c r="C17" s="93" t="s">
        <v>69</v>
      </c>
      <c r="D17" s="12">
        <f ca="1">D19/D13</f>
        <v>0.16497955381598006</v>
      </c>
      <c r="I17" s="93" t="s">
        <v>50</v>
      </c>
      <c r="J17" s="91">
        <v>0.1</v>
      </c>
      <c r="K17" s="97" t="s">
        <v>30</v>
      </c>
      <c r="M17" s="93" t="s">
        <v>50</v>
      </c>
      <c r="N17" s="91">
        <v>0.1</v>
      </c>
      <c r="O17" s="97" t="s">
        <v>30</v>
      </c>
      <c r="P17" s="62"/>
    </row>
    <row r="18" spans="1:16" x14ac:dyDescent="0.35">
      <c r="A18" s="85" t="s">
        <v>70</v>
      </c>
      <c r="B18" s="78"/>
      <c r="C18" s="93" t="s">
        <v>71</v>
      </c>
      <c r="D18" s="12">
        <f ca="1">D11*D14-((QB!S3-QB!R3)*QBStarter+('RB'!S3-'RB'!R3)*RBStarters+(WR!S3-WR!R3)*WRStarters+(TE!S3-TE!R3)*TEStarters)*BenchPF</f>
        <v>1184.301209166385</v>
      </c>
      <c r="I18" s="94" t="s">
        <v>54</v>
      </c>
      <c r="J18" s="15">
        <v>-2</v>
      </c>
      <c r="K18" s="98" t="s">
        <v>23</v>
      </c>
      <c r="M18" s="94" t="s">
        <v>54</v>
      </c>
      <c r="N18" s="15">
        <v>-2</v>
      </c>
      <c r="O18" s="98" t="s">
        <v>23</v>
      </c>
      <c r="P18" s="62"/>
    </row>
    <row r="19" spans="1:16" x14ac:dyDescent="0.35">
      <c r="A19" s="7" t="s">
        <v>17</v>
      </c>
      <c r="B19" s="9" t="s">
        <v>63</v>
      </c>
      <c r="C19" s="94" t="s">
        <v>72</v>
      </c>
      <c r="D19" s="90">
        <f>D11*D15</f>
        <v>308.88</v>
      </c>
      <c r="G19" s="62"/>
      <c r="O19" s="62"/>
      <c r="P19" s="62"/>
    </row>
    <row r="20" spans="1:16" x14ac:dyDescent="0.35">
      <c r="A20" s="10" t="s">
        <v>25</v>
      </c>
      <c r="B20" s="34">
        <f ca="1">IF(QBStarter+(QBStarter/$B$17)*($F$5*$F$2)&lt;=32,(RBStarters/$B$17)*($F$5*$F$2),(RBStarters/$B$17)*($F$5*$F$2)+(($B$15/$B$17)*($F$5*$F$2)-(32-QBStarter))*(RBStarters/SUM(RBStarters,WRStarters)))</f>
        <v>23.833333333333336</v>
      </c>
      <c r="G20" s="62"/>
      <c r="O20" s="62"/>
      <c r="P20" s="62"/>
    </row>
    <row r="21" spans="1:16" x14ac:dyDescent="0.35">
      <c r="A21" s="10" t="s">
        <v>32</v>
      </c>
      <c r="B21" s="34">
        <f ca="1">IF(QBStarter+(QBStarter/$B$17)*($F$5*$F$2)&lt;=32,(WRStarters/$B$17)*($F$5*$F$2),(WRStarters/$B$17)*($F$5*$F$2)+(($B$15/$B$17)*($F$5*$F$2)-(32-QBStarter))*(WRStarters/SUM(RBStarters,WRStarters)))</f>
        <v>31.166666666666664</v>
      </c>
      <c r="G21" s="62"/>
      <c r="O21" s="62"/>
      <c r="P21" s="62"/>
    </row>
    <row r="22" spans="1:16" x14ac:dyDescent="0.35">
      <c r="A22" s="10" t="s">
        <v>26</v>
      </c>
      <c r="B22" s="34">
        <f ca="1">IF((QBStarter/$B$17)*($F$5*$F$2)+QBStarter&lt;=32,(QBStarter/$B$17)*($F$5*$F$2),32-QBStarter)</f>
        <v>8</v>
      </c>
      <c r="G22" s="62"/>
    </row>
    <row r="23" spans="1:16" x14ac:dyDescent="0.35">
      <c r="A23" s="10" t="s">
        <v>40</v>
      </c>
      <c r="B23" s="34">
        <f ca="1">(B16/$B$17)*($F$5*$F$2)</f>
        <v>9</v>
      </c>
      <c r="E23" s="241"/>
      <c r="F23" s="241"/>
      <c r="G23" s="241"/>
      <c r="H23" s="241"/>
    </row>
    <row r="24" spans="1:16" x14ac:dyDescent="0.35">
      <c r="A24" s="86" t="s">
        <v>55</v>
      </c>
      <c r="B24" s="87">
        <f ca="1">SUM(B20:B23)</f>
        <v>72</v>
      </c>
    </row>
    <row r="25" spans="1:16" x14ac:dyDescent="0.35">
      <c r="E25" s="114"/>
      <c r="F25" s="62"/>
    </row>
    <row r="26" spans="1:16" x14ac:dyDescent="0.35">
      <c r="B26" s="114"/>
      <c r="D26" s="114"/>
      <c r="E26" s="62"/>
      <c r="F26" s="114"/>
      <c r="G26" s="200"/>
      <c r="H26" s="200"/>
      <c r="I26" s="200"/>
      <c r="K26" s="174"/>
    </row>
    <row r="27" spans="1:16" x14ac:dyDescent="0.35">
      <c r="C27" s="4"/>
      <c r="F27" s="114"/>
      <c r="G27" s="200"/>
      <c r="H27" s="200"/>
      <c r="I27" s="200"/>
      <c r="K27" s="174"/>
    </row>
    <row r="28" spans="1:16" x14ac:dyDescent="0.35">
      <c r="C28" s="114"/>
      <c r="D28" s="114"/>
      <c r="E28" s="114"/>
      <c r="F28" s="114"/>
      <c r="G28" s="174"/>
      <c r="H28" s="114"/>
      <c r="I28" s="114"/>
      <c r="J28" s="114"/>
    </row>
    <row r="29" spans="1:16" x14ac:dyDescent="0.35">
      <c r="F29" s="114"/>
    </row>
    <row r="89" spans="9:11" x14ac:dyDescent="0.35">
      <c r="I89" t="s">
        <v>73</v>
      </c>
    </row>
    <row r="90" spans="9:11" x14ac:dyDescent="0.35">
      <c r="I90" t="s">
        <v>43</v>
      </c>
    </row>
    <row r="96" spans="9:11" x14ac:dyDescent="0.35">
      <c r="K96" s="4"/>
    </row>
    <row r="97" spans="7:11" x14ac:dyDescent="0.35">
      <c r="G97" t="s">
        <v>47</v>
      </c>
      <c r="H97" s="154" t="s">
        <v>74</v>
      </c>
      <c r="K97" t="s">
        <v>75</v>
      </c>
    </row>
    <row r="98" spans="7:11" x14ac:dyDescent="0.35">
      <c r="G98" t="s">
        <v>76</v>
      </c>
      <c r="H98" s="155" t="s">
        <v>77</v>
      </c>
      <c r="I98" t="s">
        <v>49</v>
      </c>
      <c r="K98" t="s">
        <v>78</v>
      </c>
    </row>
    <row r="99" spans="7:11" x14ac:dyDescent="0.35">
      <c r="G99" t="s">
        <v>85</v>
      </c>
      <c r="H99" s="156" t="s">
        <v>79</v>
      </c>
      <c r="I99" t="s">
        <v>80</v>
      </c>
      <c r="K99" t="s">
        <v>53</v>
      </c>
    </row>
    <row r="100" spans="7:11" x14ac:dyDescent="0.35">
      <c r="H100" s="207" t="s">
        <v>81</v>
      </c>
      <c r="K100" t="s">
        <v>579</v>
      </c>
    </row>
  </sheetData>
  <mergeCells count="10">
    <mergeCell ref="E15:G15"/>
    <mergeCell ref="I1:K1"/>
    <mergeCell ref="I11:K11"/>
    <mergeCell ref="A1:B1"/>
    <mergeCell ref="Q1:T1"/>
    <mergeCell ref="M1:O1"/>
    <mergeCell ref="M11:O11"/>
    <mergeCell ref="G1:H1"/>
    <mergeCell ref="E1:F1"/>
    <mergeCell ref="C1:D1"/>
  </mergeCells>
  <conditionalFormatting sqref="E15 G14">
    <cfRule type="containsText" dxfId="90" priority="5" operator="containsText" text="INVALID">
      <formula>NOT(ISERROR(SEARCH("INVALID",E14)))</formula>
    </cfRule>
    <cfRule type="containsText" dxfId="89" priority="6" operator="containsText" text="WARNING">
      <formula>NOT(ISERROR(SEARCH("WARNING",E14)))</formula>
    </cfRule>
    <cfRule type="containsText" dxfId="88" priority="7" operator="containsText" text="OK">
      <formula>NOT(ISERROR(SEARCH("OK",E14)))</formula>
    </cfRule>
  </conditionalFormatting>
  <conditionalFormatting sqref="C11:D19">
    <cfRule type="expression" dxfId="87" priority="4">
      <formula>IF($H$7="Average VBD",TRUE)</formula>
    </cfRule>
  </conditionalFormatting>
  <conditionalFormatting sqref="B24 B17 B9">
    <cfRule type="expression" dxfId="86" priority="1">
      <formula>ROUND(SUM($B$24,$B$17,$B$7,$B$8),0)&lt;&gt;$F$6</formula>
    </cfRule>
  </conditionalFormatting>
  <dataValidations count="4">
    <dataValidation type="list" allowBlank="1" showInputMessage="1" showErrorMessage="1" sqref="F7" xr:uid="{00000000-0002-0000-0100-000000000000}">
      <formula1>$G$97:$G$99</formula1>
    </dataValidation>
    <dataValidation type="list" allowBlank="1" showInputMessage="1" showErrorMessage="1" sqref="H6 F9" xr:uid="{00000000-0002-0000-0100-000001000000}">
      <formula1>$I$89:$I$90</formula1>
    </dataValidation>
    <dataValidation type="list" allowBlank="1" showInputMessage="1" showErrorMessage="1" sqref="H7" xr:uid="{00000000-0002-0000-0100-000002000000}">
      <formula1>$I$98:$I$99</formula1>
    </dataValidation>
    <dataValidation type="list" allowBlank="1" showInputMessage="1" showErrorMessage="1" sqref="F8" xr:uid="{00000000-0002-0000-0100-000003000000}">
      <formula1>$K$97:$K$100</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Y545"/>
  <sheetViews>
    <sheetView workbookViewId="0">
      <selection activeCell="C3" sqref="C3"/>
    </sheetView>
  </sheetViews>
  <sheetFormatPr defaultColWidth="8.90625" defaultRowHeight="14.5" x14ac:dyDescent="0.35"/>
  <cols>
    <col min="1" max="1" width="24.36328125" bestFit="1" customWidth="1"/>
    <col min="2" max="2" width="12.6328125" bestFit="1" customWidth="1"/>
    <col min="3" max="3" width="11.90625" bestFit="1" customWidth="1"/>
    <col min="4" max="4" width="18.54296875" bestFit="1" customWidth="1"/>
    <col min="6" max="6" width="48" customWidth="1"/>
    <col min="7" max="7" width="62.26953125" bestFit="1" customWidth="1"/>
    <col min="8" max="8" width="22.453125" bestFit="1" customWidth="1"/>
    <col min="9" max="11" width="20.453125" bestFit="1" customWidth="1"/>
    <col min="12" max="12" width="18.54296875" customWidth="1"/>
    <col min="18" max="18" width="13.08984375" bestFit="1" customWidth="1"/>
    <col min="24" max="24" width="0.453125" customWidth="1"/>
    <col min="25" max="25" width="1.453125" hidden="1" customWidth="1"/>
  </cols>
  <sheetData>
    <row r="1" spans="1:25" x14ac:dyDescent="0.35">
      <c r="A1" s="4" t="s">
        <v>82</v>
      </c>
      <c r="B1" s="4" t="s">
        <v>83</v>
      </c>
      <c r="C1" s="4" t="s">
        <v>84</v>
      </c>
      <c r="D1" s="4" t="s">
        <v>805</v>
      </c>
      <c r="F1" s="4" t="s">
        <v>86</v>
      </c>
      <c r="G1" s="4"/>
      <c r="H1" s="4"/>
      <c r="I1" s="4"/>
      <c r="J1" s="4"/>
      <c r="K1" s="4"/>
      <c r="L1" s="4"/>
      <c r="M1" s="4"/>
      <c r="N1" s="4"/>
      <c r="O1" s="4"/>
      <c r="P1" s="4"/>
      <c r="Q1" s="4"/>
      <c r="R1" s="4"/>
      <c r="S1" s="4"/>
      <c r="T1" s="4"/>
      <c r="U1" s="4"/>
      <c r="V1" s="4"/>
      <c r="W1" s="4"/>
      <c r="X1" s="4"/>
      <c r="Y1" s="4"/>
    </row>
    <row r="2" spans="1:25" x14ac:dyDescent="0.35">
      <c r="A2" t="s">
        <v>97</v>
      </c>
      <c r="B2" s="74">
        <v>74.7</v>
      </c>
      <c r="C2" s="74">
        <v>68.2</v>
      </c>
      <c r="D2" s="176">
        <f t="shared" ref="D2:D65" si="0">IF(ISNUMBER(J336),L336,M336)</f>
        <v>0</v>
      </c>
      <c r="F2" s="4" t="s">
        <v>87</v>
      </c>
      <c r="G2" s="4"/>
      <c r="H2" s="4"/>
      <c r="I2" s="4"/>
      <c r="J2" s="4"/>
      <c r="K2" s="4"/>
      <c r="L2" s="4"/>
      <c r="M2" s="4"/>
      <c r="N2" s="4"/>
      <c r="O2" s="4"/>
      <c r="P2" s="4"/>
      <c r="Q2" s="4"/>
      <c r="T2" s="4"/>
      <c r="U2" s="4"/>
      <c r="V2" s="4"/>
      <c r="W2" s="4"/>
      <c r="X2" s="4"/>
      <c r="Y2" s="4"/>
    </row>
    <row r="3" spans="1:25" x14ac:dyDescent="0.35">
      <c r="A3" t="s">
        <v>488</v>
      </c>
      <c r="B3" s="74">
        <v>65.8</v>
      </c>
      <c r="C3" s="74">
        <v>60.8</v>
      </c>
      <c r="D3" s="176">
        <f t="shared" si="0"/>
        <v>0</v>
      </c>
      <c r="F3" s="250" t="s">
        <v>1195</v>
      </c>
      <c r="G3" t="s">
        <v>1197</v>
      </c>
    </row>
    <row r="4" spans="1:25" x14ac:dyDescent="0.35">
      <c r="A4" t="s">
        <v>102</v>
      </c>
      <c r="B4" s="74">
        <v>66.7</v>
      </c>
      <c r="C4" s="74">
        <v>62.8</v>
      </c>
      <c r="D4" s="176">
        <f t="shared" si="0"/>
        <v>0</v>
      </c>
      <c r="F4" s="250" t="s">
        <v>1196</v>
      </c>
      <c r="G4" t="s">
        <v>1198</v>
      </c>
    </row>
    <row r="5" spans="1:25" x14ac:dyDescent="0.35">
      <c r="A5" t="s">
        <v>613</v>
      </c>
      <c r="B5" s="74">
        <v>64.8</v>
      </c>
      <c r="C5" s="74">
        <v>60.3</v>
      </c>
      <c r="D5" s="176">
        <f t="shared" si="0"/>
        <v>0</v>
      </c>
      <c r="J5" s="74"/>
      <c r="K5" s="196"/>
    </row>
    <row r="6" spans="1:25" x14ac:dyDescent="0.35">
      <c r="A6" t="s">
        <v>710</v>
      </c>
      <c r="B6" s="74">
        <v>64.2</v>
      </c>
      <c r="C6" s="74">
        <v>61.2</v>
      </c>
      <c r="D6" s="176">
        <f t="shared" si="0"/>
        <v>0</v>
      </c>
    </row>
    <row r="7" spans="1:25" x14ac:dyDescent="0.35">
      <c r="A7" t="s">
        <v>550</v>
      </c>
      <c r="B7" s="74">
        <v>60.8</v>
      </c>
      <c r="C7" s="74">
        <v>56.5</v>
      </c>
      <c r="D7" s="176">
        <f t="shared" si="0"/>
        <v>0</v>
      </c>
    </row>
    <row r="8" spans="1:25" x14ac:dyDescent="0.35">
      <c r="A8" t="s">
        <v>557</v>
      </c>
      <c r="B8" s="74">
        <v>59.9</v>
      </c>
      <c r="C8" s="74">
        <v>58.7</v>
      </c>
      <c r="D8" s="176">
        <f t="shared" si="0"/>
        <v>0</v>
      </c>
    </row>
    <row r="9" spans="1:25" x14ac:dyDescent="0.35">
      <c r="A9" t="s">
        <v>490</v>
      </c>
      <c r="B9" s="74">
        <v>60.5</v>
      </c>
      <c r="C9" s="74">
        <v>56.2</v>
      </c>
      <c r="D9" s="176">
        <f t="shared" si="0"/>
        <v>0</v>
      </c>
    </row>
    <row r="10" spans="1:25" x14ac:dyDescent="0.35">
      <c r="A10" t="s">
        <v>351</v>
      </c>
      <c r="B10" s="74">
        <v>47.6</v>
      </c>
      <c r="C10" s="74">
        <v>52.7</v>
      </c>
      <c r="D10" s="176">
        <f t="shared" si="0"/>
        <v>0</v>
      </c>
    </row>
    <row r="11" spans="1:25" x14ac:dyDescent="0.35">
      <c r="A11" t="s">
        <v>516</v>
      </c>
      <c r="B11" s="74">
        <v>53.2</v>
      </c>
      <c r="C11" s="74">
        <v>52.7</v>
      </c>
      <c r="D11" s="176">
        <f t="shared" si="0"/>
        <v>0</v>
      </c>
    </row>
    <row r="12" spans="1:25" x14ac:dyDescent="0.35">
      <c r="A12" t="s">
        <v>513</v>
      </c>
      <c r="B12" s="74">
        <v>21</v>
      </c>
      <c r="C12" s="74">
        <v>25.1</v>
      </c>
      <c r="D12" s="176">
        <f t="shared" si="0"/>
        <v>0</v>
      </c>
    </row>
    <row r="13" spans="1:25" x14ac:dyDescent="0.35">
      <c r="A13" t="s">
        <v>434</v>
      </c>
      <c r="B13" s="74">
        <v>51</v>
      </c>
      <c r="C13" s="74">
        <v>49.8</v>
      </c>
      <c r="D13" s="176">
        <f t="shared" si="0"/>
        <v>0</v>
      </c>
    </row>
    <row r="14" spans="1:25" x14ac:dyDescent="0.35">
      <c r="A14" t="s">
        <v>789</v>
      </c>
      <c r="B14" s="74">
        <v>43.9</v>
      </c>
      <c r="C14" s="74">
        <v>44.3</v>
      </c>
      <c r="D14" s="176">
        <f t="shared" si="0"/>
        <v>0</v>
      </c>
    </row>
    <row r="15" spans="1:25" x14ac:dyDescent="0.35">
      <c r="A15" t="s">
        <v>342</v>
      </c>
      <c r="B15" s="74">
        <v>29.9</v>
      </c>
      <c r="C15" s="74">
        <v>28.2</v>
      </c>
      <c r="D15" s="176">
        <f t="shared" si="0"/>
        <v>0</v>
      </c>
    </row>
    <row r="16" spans="1:25" x14ac:dyDescent="0.35">
      <c r="A16" t="s">
        <v>626</v>
      </c>
      <c r="B16" s="74">
        <v>42.3</v>
      </c>
      <c r="C16" s="74">
        <v>42.7</v>
      </c>
      <c r="D16" s="176">
        <f t="shared" si="0"/>
        <v>0</v>
      </c>
    </row>
    <row r="17" spans="1:4" x14ac:dyDescent="0.35">
      <c r="A17" t="s">
        <v>99</v>
      </c>
      <c r="B17" s="74">
        <v>27.5</v>
      </c>
      <c r="C17" s="74">
        <v>28.4</v>
      </c>
      <c r="D17" s="176">
        <f t="shared" si="0"/>
        <v>0</v>
      </c>
    </row>
    <row r="18" spans="1:4" x14ac:dyDescent="0.35">
      <c r="A18" t="s">
        <v>724</v>
      </c>
      <c r="B18" s="74">
        <v>46.3</v>
      </c>
      <c r="C18" s="74">
        <v>45.4</v>
      </c>
      <c r="D18" s="176">
        <f t="shared" si="0"/>
        <v>0</v>
      </c>
    </row>
    <row r="19" spans="1:4" x14ac:dyDescent="0.35">
      <c r="A19" t="s">
        <v>107</v>
      </c>
      <c r="B19" s="74">
        <v>44.4</v>
      </c>
      <c r="C19" s="74">
        <v>38.200000000000003</v>
      </c>
      <c r="D19" s="176">
        <f t="shared" si="0"/>
        <v>0</v>
      </c>
    </row>
    <row r="20" spans="1:4" x14ac:dyDescent="0.35">
      <c r="A20" t="s">
        <v>590</v>
      </c>
      <c r="B20" s="74">
        <v>49.1</v>
      </c>
      <c r="C20" s="74">
        <v>47.2</v>
      </c>
      <c r="D20" s="176">
        <f t="shared" si="0"/>
        <v>0</v>
      </c>
    </row>
    <row r="21" spans="1:4" x14ac:dyDescent="0.35">
      <c r="A21" t="s">
        <v>725</v>
      </c>
      <c r="B21" s="74">
        <v>26.8</v>
      </c>
      <c r="C21" s="74">
        <v>23.7</v>
      </c>
      <c r="D21" s="176">
        <f t="shared" si="0"/>
        <v>0</v>
      </c>
    </row>
    <row r="22" spans="1:4" x14ac:dyDescent="0.35">
      <c r="A22" t="s">
        <v>614</v>
      </c>
      <c r="B22" s="74">
        <v>35.200000000000003</v>
      </c>
      <c r="C22" s="74">
        <v>39.6</v>
      </c>
      <c r="D22" s="176">
        <f t="shared" si="0"/>
        <v>0</v>
      </c>
    </row>
    <row r="23" spans="1:4" x14ac:dyDescent="0.35">
      <c r="A23" t="s">
        <v>629</v>
      </c>
      <c r="B23" s="74">
        <v>37.200000000000003</v>
      </c>
      <c r="C23" s="74">
        <v>41</v>
      </c>
      <c r="D23" s="176">
        <f t="shared" si="0"/>
        <v>0</v>
      </c>
    </row>
    <row r="24" spans="1:4" x14ac:dyDescent="0.35">
      <c r="A24" t="s">
        <v>617</v>
      </c>
      <c r="B24" s="74">
        <v>20.3</v>
      </c>
      <c r="C24" s="74">
        <v>27.6</v>
      </c>
      <c r="D24" s="176">
        <f t="shared" si="0"/>
        <v>0</v>
      </c>
    </row>
    <row r="25" spans="1:4" x14ac:dyDescent="0.35">
      <c r="A25" t="s">
        <v>421</v>
      </c>
      <c r="B25" s="74">
        <v>28.8</v>
      </c>
      <c r="C25" s="74">
        <v>25</v>
      </c>
      <c r="D25" s="176">
        <f t="shared" si="0"/>
        <v>0</v>
      </c>
    </row>
    <row r="26" spans="1:4" x14ac:dyDescent="0.35">
      <c r="A26" t="s">
        <v>531</v>
      </c>
      <c r="B26" s="74">
        <v>19.5</v>
      </c>
      <c r="C26" s="74">
        <v>25.5</v>
      </c>
      <c r="D26" s="176">
        <f t="shared" si="0"/>
        <v>0</v>
      </c>
    </row>
    <row r="27" spans="1:4" x14ac:dyDescent="0.35">
      <c r="A27" t="s">
        <v>345</v>
      </c>
      <c r="B27" s="74">
        <v>17.8</v>
      </c>
      <c r="C27" s="74">
        <v>21</v>
      </c>
      <c r="D27" s="176">
        <f t="shared" si="0"/>
        <v>0</v>
      </c>
    </row>
    <row r="28" spans="1:4" x14ac:dyDescent="0.35">
      <c r="A28" t="s">
        <v>371</v>
      </c>
      <c r="B28" s="74">
        <v>10.4</v>
      </c>
      <c r="C28" s="74">
        <v>14</v>
      </c>
      <c r="D28" s="176">
        <f t="shared" si="0"/>
        <v>0</v>
      </c>
    </row>
    <row r="29" spans="1:4" x14ac:dyDescent="0.35">
      <c r="A29" t="s">
        <v>780</v>
      </c>
      <c r="B29" s="74">
        <v>29.1</v>
      </c>
      <c r="C29" s="74">
        <v>25.3</v>
      </c>
      <c r="D29" s="176">
        <f t="shared" si="0"/>
        <v>0</v>
      </c>
    </row>
    <row r="30" spans="1:4" x14ac:dyDescent="0.35">
      <c r="A30" t="s">
        <v>615</v>
      </c>
      <c r="B30" s="74">
        <v>18.7</v>
      </c>
      <c r="C30" s="74">
        <v>27.6</v>
      </c>
      <c r="D30" s="176">
        <f t="shared" si="0"/>
        <v>0</v>
      </c>
    </row>
    <row r="31" spans="1:4" x14ac:dyDescent="0.35">
      <c r="A31" t="s">
        <v>100</v>
      </c>
      <c r="B31" s="74">
        <v>33.299999999999997</v>
      </c>
      <c r="C31" s="74">
        <v>33.700000000000003</v>
      </c>
      <c r="D31" s="176">
        <f t="shared" si="0"/>
        <v>0</v>
      </c>
    </row>
    <row r="32" spans="1:4" x14ac:dyDescent="0.35">
      <c r="A32" t="s">
        <v>589</v>
      </c>
      <c r="B32" s="74">
        <v>30.4</v>
      </c>
      <c r="C32" s="74">
        <v>33.6</v>
      </c>
      <c r="D32" s="176">
        <f t="shared" si="0"/>
        <v>0</v>
      </c>
    </row>
    <row r="33" spans="1:4" x14ac:dyDescent="0.35">
      <c r="A33" t="s">
        <v>98</v>
      </c>
      <c r="B33" s="74">
        <v>19.3</v>
      </c>
      <c r="C33" s="74">
        <v>26.1</v>
      </c>
      <c r="D33" s="176">
        <f t="shared" si="0"/>
        <v>0</v>
      </c>
    </row>
    <row r="34" spans="1:4" x14ac:dyDescent="0.35">
      <c r="A34" t="s">
        <v>90</v>
      </c>
      <c r="B34" s="74">
        <v>30.1</v>
      </c>
      <c r="C34" s="74">
        <v>30.1</v>
      </c>
      <c r="D34" s="176">
        <f t="shared" si="0"/>
        <v>0</v>
      </c>
    </row>
    <row r="35" spans="1:4" x14ac:dyDescent="0.35">
      <c r="A35" t="s">
        <v>907</v>
      </c>
      <c r="B35" s="74">
        <v>40.5</v>
      </c>
      <c r="C35" s="74">
        <v>34.1</v>
      </c>
      <c r="D35" s="176">
        <f t="shared" si="0"/>
        <v>0</v>
      </c>
    </row>
    <row r="36" spans="1:4" x14ac:dyDescent="0.35">
      <c r="A36" t="s">
        <v>906</v>
      </c>
      <c r="B36" s="74">
        <v>25.7</v>
      </c>
      <c r="C36" s="74">
        <v>25.9</v>
      </c>
      <c r="D36" s="176">
        <f t="shared" si="0"/>
        <v>0</v>
      </c>
    </row>
    <row r="37" spans="1:4" x14ac:dyDescent="0.35">
      <c r="A37" t="s">
        <v>588</v>
      </c>
      <c r="B37" s="74">
        <v>28.6</v>
      </c>
      <c r="C37" s="74">
        <v>28.5</v>
      </c>
      <c r="D37" s="176">
        <f t="shared" si="0"/>
        <v>0</v>
      </c>
    </row>
    <row r="38" spans="1:4" x14ac:dyDescent="0.35">
      <c r="A38" t="s">
        <v>559</v>
      </c>
      <c r="B38" s="74">
        <v>22.7</v>
      </c>
      <c r="C38" s="74">
        <v>27.1</v>
      </c>
      <c r="D38" s="176">
        <f t="shared" si="0"/>
        <v>0</v>
      </c>
    </row>
    <row r="39" spans="1:4" x14ac:dyDescent="0.35">
      <c r="A39" t="s">
        <v>634</v>
      </c>
      <c r="B39" s="74">
        <v>13.3</v>
      </c>
      <c r="C39" s="74">
        <v>11.4</v>
      </c>
      <c r="D39" s="176">
        <f t="shared" si="0"/>
        <v>0</v>
      </c>
    </row>
    <row r="40" spans="1:4" x14ac:dyDescent="0.35">
      <c r="A40" t="s">
        <v>229</v>
      </c>
      <c r="B40" s="74">
        <v>11.6</v>
      </c>
      <c r="C40" s="74">
        <v>26.5</v>
      </c>
      <c r="D40" s="176">
        <f t="shared" si="0"/>
        <v>0</v>
      </c>
    </row>
    <row r="41" spans="1:4" x14ac:dyDescent="0.35">
      <c r="A41" t="s">
        <v>492</v>
      </c>
      <c r="B41" s="74">
        <v>28.3</v>
      </c>
      <c r="C41" s="74">
        <v>20.3</v>
      </c>
      <c r="D41" s="176">
        <f t="shared" si="0"/>
        <v>0</v>
      </c>
    </row>
    <row r="42" spans="1:4" x14ac:dyDescent="0.35">
      <c r="A42" t="s">
        <v>551</v>
      </c>
      <c r="B42" s="74">
        <v>13.7</v>
      </c>
      <c r="C42" s="74">
        <v>17.399999999999999</v>
      </c>
      <c r="D42" s="176">
        <f t="shared" si="0"/>
        <v>0</v>
      </c>
    </row>
    <row r="43" spans="1:4" x14ac:dyDescent="0.35">
      <c r="A43" t="s">
        <v>586</v>
      </c>
      <c r="B43" s="74">
        <v>18.3</v>
      </c>
      <c r="C43" s="74">
        <v>23.9</v>
      </c>
      <c r="D43" s="176">
        <f t="shared" si="0"/>
        <v>0</v>
      </c>
    </row>
    <row r="44" spans="1:4" x14ac:dyDescent="0.35">
      <c r="A44" t="s">
        <v>779</v>
      </c>
      <c r="B44" s="74">
        <v>14.5</v>
      </c>
      <c r="C44" s="74">
        <v>22.8</v>
      </c>
      <c r="D44" s="176">
        <f t="shared" si="0"/>
        <v>0</v>
      </c>
    </row>
    <row r="45" spans="1:4" x14ac:dyDescent="0.35">
      <c r="A45" t="s">
        <v>257</v>
      </c>
      <c r="B45" s="74">
        <v>7.1</v>
      </c>
      <c r="C45" s="74">
        <v>10.4</v>
      </c>
      <c r="D45" s="176">
        <f t="shared" si="0"/>
        <v>0</v>
      </c>
    </row>
    <row r="46" spans="1:4" x14ac:dyDescent="0.35">
      <c r="A46" t="s">
        <v>239</v>
      </c>
      <c r="B46" s="74">
        <v>23.7</v>
      </c>
      <c r="C46" s="74">
        <v>21.8</v>
      </c>
      <c r="D46" s="176">
        <f t="shared" si="0"/>
        <v>0</v>
      </c>
    </row>
    <row r="47" spans="1:4" x14ac:dyDescent="0.35">
      <c r="A47" t="s">
        <v>712</v>
      </c>
      <c r="B47" s="74">
        <v>7.7</v>
      </c>
      <c r="C47" s="74">
        <v>8.4</v>
      </c>
      <c r="D47" s="176">
        <f t="shared" si="0"/>
        <v>0</v>
      </c>
    </row>
    <row r="48" spans="1:4" x14ac:dyDescent="0.35">
      <c r="A48" t="s">
        <v>552</v>
      </c>
      <c r="B48" s="74">
        <v>17.7</v>
      </c>
      <c r="C48" s="74">
        <v>17.7</v>
      </c>
      <c r="D48" s="176">
        <f t="shared" si="0"/>
        <v>0</v>
      </c>
    </row>
    <row r="49" spans="1:4" x14ac:dyDescent="0.35">
      <c r="A49" t="s">
        <v>567</v>
      </c>
      <c r="B49" s="74">
        <v>5.2</v>
      </c>
      <c r="C49" s="74">
        <v>7.2</v>
      </c>
      <c r="D49" s="176">
        <f t="shared" si="0"/>
        <v>0</v>
      </c>
    </row>
    <row r="50" spans="1:4" x14ac:dyDescent="0.35">
      <c r="A50" t="s">
        <v>585</v>
      </c>
      <c r="B50" s="74">
        <v>18.2</v>
      </c>
      <c r="C50" s="74">
        <v>21</v>
      </c>
      <c r="D50" s="176">
        <f t="shared" si="0"/>
        <v>0</v>
      </c>
    </row>
    <row r="51" spans="1:4" x14ac:dyDescent="0.35">
      <c r="A51" t="s">
        <v>491</v>
      </c>
      <c r="B51" s="74">
        <v>16.600000000000001</v>
      </c>
      <c r="C51" s="74">
        <v>28</v>
      </c>
      <c r="D51" s="176">
        <f t="shared" si="0"/>
        <v>0</v>
      </c>
    </row>
    <row r="52" spans="1:4" x14ac:dyDescent="0.35">
      <c r="A52" t="s">
        <v>597</v>
      </c>
      <c r="B52" s="74">
        <v>7.4</v>
      </c>
      <c r="C52" s="74">
        <v>9.6999999999999993</v>
      </c>
      <c r="D52" s="176">
        <f t="shared" si="0"/>
        <v>0</v>
      </c>
    </row>
    <row r="53" spans="1:4" x14ac:dyDescent="0.35">
      <c r="A53" t="s">
        <v>120</v>
      </c>
      <c r="B53" s="74">
        <v>12.2</v>
      </c>
      <c r="C53" s="74">
        <v>18.600000000000001</v>
      </c>
      <c r="D53" s="176">
        <f t="shared" si="0"/>
        <v>0</v>
      </c>
    </row>
    <row r="54" spans="1:4" x14ac:dyDescent="0.35">
      <c r="A54" t="s">
        <v>115</v>
      </c>
      <c r="B54" s="74">
        <v>4.0999999999999996</v>
      </c>
      <c r="C54" s="74">
        <v>9.1</v>
      </c>
      <c r="D54" s="176">
        <f t="shared" si="0"/>
        <v>0</v>
      </c>
    </row>
    <row r="55" spans="1:4" x14ac:dyDescent="0.35">
      <c r="A55" t="s">
        <v>92</v>
      </c>
      <c r="B55" s="74">
        <v>11.6</v>
      </c>
      <c r="C55" s="74">
        <v>9.3000000000000007</v>
      </c>
      <c r="D55" s="176">
        <f t="shared" si="0"/>
        <v>0</v>
      </c>
    </row>
    <row r="56" spans="1:4" x14ac:dyDescent="0.35">
      <c r="A56" t="s">
        <v>734</v>
      </c>
      <c r="B56" s="74">
        <v>11.9</v>
      </c>
      <c r="C56" s="74">
        <v>11.6</v>
      </c>
      <c r="D56" s="176">
        <f t="shared" si="0"/>
        <v>0</v>
      </c>
    </row>
    <row r="57" spans="1:4" x14ac:dyDescent="0.35">
      <c r="A57" t="s">
        <v>232</v>
      </c>
      <c r="B57" s="74">
        <v>9.6999999999999993</v>
      </c>
      <c r="C57" s="74">
        <v>10.9</v>
      </c>
      <c r="D57" s="176">
        <f t="shared" si="0"/>
        <v>0</v>
      </c>
    </row>
    <row r="58" spans="1:4" x14ac:dyDescent="0.35">
      <c r="A58" t="s">
        <v>145</v>
      </c>
      <c r="B58" s="74">
        <v>3.5</v>
      </c>
      <c r="C58" s="74">
        <v>8.3000000000000007</v>
      </c>
      <c r="D58" s="176">
        <f t="shared" si="0"/>
        <v>0</v>
      </c>
    </row>
    <row r="59" spans="1:4" x14ac:dyDescent="0.35">
      <c r="A59" t="s">
        <v>711</v>
      </c>
      <c r="B59" s="74">
        <v>5.6</v>
      </c>
      <c r="C59" s="74">
        <v>12.5</v>
      </c>
      <c r="D59" s="176">
        <f t="shared" si="0"/>
        <v>0</v>
      </c>
    </row>
    <row r="60" spans="1:4" x14ac:dyDescent="0.35">
      <c r="A60" t="s">
        <v>493</v>
      </c>
      <c r="B60" s="74">
        <v>7.9</v>
      </c>
      <c r="C60" s="74">
        <v>12.3</v>
      </c>
      <c r="D60" s="176">
        <f t="shared" si="0"/>
        <v>0</v>
      </c>
    </row>
    <row r="61" spans="1:4" x14ac:dyDescent="0.35">
      <c r="A61" t="s">
        <v>638</v>
      </c>
      <c r="B61" s="74">
        <v>2.6</v>
      </c>
      <c r="C61" s="74">
        <v>3.4</v>
      </c>
      <c r="D61" s="176">
        <f t="shared" si="0"/>
        <v>0</v>
      </c>
    </row>
    <row r="62" spans="1:4" x14ac:dyDescent="0.35">
      <c r="A62" t="s">
        <v>732</v>
      </c>
      <c r="B62" s="74">
        <v>11</v>
      </c>
      <c r="C62" s="74">
        <v>15.4</v>
      </c>
      <c r="D62" s="176">
        <f t="shared" si="0"/>
        <v>0</v>
      </c>
    </row>
    <row r="63" spans="1:4" x14ac:dyDescent="0.35">
      <c r="A63" t="s">
        <v>510</v>
      </c>
      <c r="B63" s="74">
        <v>5.6</v>
      </c>
      <c r="C63" s="74">
        <v>11.5</v>
      </c>
      <c r="D63" s="176">
        <f t="shared" si="0"/>
        <v>0</v>
      </c>
    </row>
    <row r="64" spans="1:4" x14ac:dyDescent="0.35">
      <c r="A64" t="s">
        <v>142</v>
      </c>
      <c r="B64" s="74">
        <v>1.9</v>
      </c>
      <c r="C64" s="74">
        <v>3.2</v>
      </c>
      <c r="D64" s="176">
        <f t="shared" si="0"/>
        <v>0</v>
      </c>
    </row>
    <row r="65" spans="1:4" x14ac:dyDescent="0.35">
      <c r="A65" t="s">
        <v>908</v>
      </c>
      <c r="B65" s="74">
        <v>10.8</v>
      </c>
      <c r="C65" s="74">
        <v>23.1</v>
      </c>
      <c r="D65" s="176">
        <f t="shared" si="0"/>
        <v>0</v>
      </c>
    </row>
    <row r="66" spans="1:4" x14ac:dyDescent="0.35">
      <c r="A66" t="s">
        <v>790</v>
      </c>
      <c r="B66" s="74">
        <v>7.2</v>
      </c>
      <c r="C66" s="74">
        <v>9.8000000000000007</v>
      </c>
      <c r="D66" s="176">
        <f t="shared" ref="D66:D129" si="1">IF(ISNUMBER(J400),L400,M400)</f>
        <v>0</v>
      </c>
    </row>
    <row r="67" spans="1:4" x14ac:dyDescent="0.35">
      <c r="A67" t="s">
        <v>422</v>
      </c>
      <c r="B67" s="74">
        <v>10.8</v>
      </c>
      <c r="C67" s="74">
        <v>8.4</v>
      </c>
      <c r="D67" s="176">
        <f t="shared" si="1"/>
        <v>0</v>
      </c>
    </row>
    <row r="68" spans="1:4" x14ac:dyDescent="0.35">
      <c r="A68" t="s">
        <v>240</v>
      </c>
      <c r="B68" s="74">
        <v>3.1</v>
      </c>
      <c r="C68" s="74">
        <v>7.3</v>
      </c>
      <c r="D68" s="176">
        <f t="shared" si="1"/>
        <v>0</v>
      </c>
    </row>
    <row r="69" spans="1:4" x14ac:dyDescent="0.35">
      <c r="A69" t="s">
        <v>545</v>
      </c>
      <c r="B69" s="74">
        <v>7</v>
      </c>
      <c r="C69" s="74">
        <v>9.1</v>
      </c>
      <c r="D69" s="176">
        <f t="shared" si="1"/>
        <v>0</v>
      </c>
    </row>
    <row r="70" spans="1:4" x14ac:dyDescent="0.35">
      <c r="A70" t="s">
        <v>540</v>
      </c>
      <c r="B70" s="74">
        <v>5.7</v>
      </c>
      <c r="C70" s="74">
        <v>6.7</v>
      </c>
      <c r="D70" s="176">
        <f t="shared" si="1"/>
        <v>0</v>
      </c>
    </row>
    <row r="71" spans="1:4" x14ac:dyDescent="0.35">
      <c r="A71" t="s">
        <v>517</v>
      </c>
      <c r="B71" s="74">
        <v>5.5</v>
      </c>
      <c r="C71" s="74">
        <v>10.8</v>
      </c>
      <c r="D71" s="176">
        <f t="shared" si="1"/>
        <v>0</v>
      </c>
    </row>
    <row r="72" spans="1:4" x14ac:dyDescent="0.35">
      <c r="A72" t="s">
        <v>621</v>
      </c>
      <c r="B72" s="74">
        <v>6.3</v>
      </c>
      <c r="C72" s="74">
        <v>8.1999999999999993</v>
      </c>
      <c r="D72" s="176">
        <f t="shared" si="1"/>
        <v>0</v>
      </c>
    </row>
    <row r="73" spans="1:4" x14ac:dyDescent="0.35">
      <c r="A73" t="s">
        <v>412</v>
      </c>
      <c r="B73" s="74">
        <v>8.4</v>
      </c>
      <c r="C73" s="74">
        <v>7.6</v>
      </c>
      <c r="D73" s="176">
        <f t="shared" si="1"/>
        <v>0</v>
      </c>
    </row>
    <row r="74" spans="1:4" x14ac:dyDescent="0.35">
      <c r="A74" t="s">
        <v>362</v>
      </c>
      <c r="B74" s="74">
        <v>3.8</v>
      </c>
      <c r="C74" s="74">
        <v>4.5999999999999996</v>
      </c>
      <c r="D74" s="176">
        <f t="shared" si="1"/>
        <v>0</v>
      </c>
    </row>
    <row r="75" spans="1:4" x14ac:dyDescent="0.35">
      <c r="A75" t="s">
        <v>230</v>
      </c>
      <c r="B75" s="74">
        <v>8.1999999999999993</v>
      </c>
      <c r="C75" s="74">
        <v>9.9</v>
      </c>
      <c r="D75" s="176">
        <f t="shared" si="1"/>
        <v>0</v>
      </c>
    </row>
    <row r="76" spans="1:4" x14ac:dyDescent="0.35">
      <c r="A76" t="s">
        <v>359</v>
      </c>
      <c r="B76" s="74">
        <v>3.4</v>
      </c>
      <c r="C76" s="74">
        <v>11.7</v>
      </c>
      <c r="D76" s="176">
        <f t="shared" si="1"/>
        <v>0</v>
      </c>
    </row>
    <row r="77" spans="1:4" x14ac:dyDescent="0.35">
      <c r="A77" t="s">
        <v>233</v>
      </c>
      <c r="B77" s="74">
        <v>6.3</v>
      </c>
      <c r="C77" s="74">
        <v>5.6</v>
      </c>
      <c r="D77" s="176">
        <f t="shared" si="1"/>
        <v>0</v>
      </c>
    </row>
    <row r="78" spans="1:4" x14ac:dyDescent="0.35">
      <c r="A78" t="s">
        <v>764</v>
      </c>
      <c r="B78" s="74">
        <v>2.5</v>
      </c>
      <c r="C78" s="74">
        <v>4.7</v>
      </c>
      <c r="D78" s="176">
        <f t="shared" si="1"/>
        <v>0</v>
      </c>
    </row>
    <row r="79" spans="1:4" x14ac:dyDescent="0.35">
      <c r="A79" t="s">
        <v>514</v>
      </c>
      <c r="B79" s="74">
        <v>3.8</v>
      </c>
      <c r="C79" s="74">
        <v>7.3</v>
      </c>
      <c r="D79" s="176">
        <f t="shared" si="1"/>
        <v>0</v>
      </c>
    </row>
    <row r="80" spans="1:4" x14ac:dyDescent="0.35">
      <c r="A80" t="s">
        <v>520</v>
      </c>
      <c r="B80" s="74">
        <v>3</v>
      </c>
      <c r="C80" s="74">
        <v>2.6</v>
      </c>
      <c r="D80" s="176">
        <f t="shared" si="1"/>
        <v>0</v>
      </c>
    </row>
    <row r="81" spans="1:4" x14ac:dyDescent="0.35">
      <c r="A81" t="s">
        <v>727</v>
      </c>
      <c r="B81" s="74">
        <v>2.2000000000000002</v>
      </c>
      <c r="C81" s="74">
        <v>3.5</v>
      </c>
      <c r="D81" s="176">
        <f t="shared" si="1"/>
        <v>0</v>
      </c>
    </row>
    <row r="82" spans="1:4" x14ac:dyDescent="0.35">
      <c r="A82" t="s">
        <v>93</v>
      </c>
      <c r="B82" s="74">
        <v>1.5</v>
      </c>
      <c r="C82" s="74">
        <v>2</v>
      </c>
      <c r="D82" s="176">
        <f t="shared" si="1"/>
        <v>0</v>
      </c>
    </row>
    <row r="83" spans="1:4" x14ac:dyDescent="0.35">
      <c r="A83" t="s">
        <v>688</v>
      </c>
      <c r="B83" s="74">
        <v>2.6</v>
      </c>
      <c r="C83" s="74">
        <v>3.5</v>
      </c>
      <c r="D83" s="176">
        <f t="shared" si="1"/>
        <v>0</v>
      </c>
    </row>
    <row r="84" spans="1:4" x14ac:dyDescent="0.35">
      <c r="A84" t="s">
        <v>541</v>
      </c>
      <c r="B84" s="74">
        <v>3.4</v>
      </c>
      <c r="C84" s="74">
        <v>5.2</v>
      </c>
      <c r="D84" s="176">
        <f t="shared" si="1"/>
        <v>0</v>
      </c>
    </row>
    <row r="85" spans="1:4" x14ac:dyDescent="0.35">
      <c r="A85" t="s">
        <v>427</v>
      </c>
      <c r="B85" s="74">
        <v>3</v>
      </c>
      <c r="C85" s="74">
        <v>4.5</v>
      </c>
      <c r="D85" s="176">
        <f t="shared" si="1"/>
        <v>0</v>
      </c>
    </row>
    <row r="86" spans="1:4" x14ac:dyDescent="0.35">
      <c r="A86" t="s">
        <v>861</v>
      </c>
      <c r="B86" s="74">
        <v>3.4</v>
      </c>
      <c r="C86" s="74">
        <v>2.5</v>
      </c>
      <c r="D86" s="176">
        <f t="shared" si="1"/>
        <v>0</v>
      </c>
    </row>
    <row r="87" spans="1:4" x14ac:dyDescent="0.35">
      <c r="A87" t="s">
        <v>426</v>
      </c>
      <c r="B87" s="74">
        <v>3.1</v>
      </c>
      <c r="C87" s="74">
        <v>2.8</v>
      </c>
      <c r="D87" s="176">
        <f t="shared" si="1"/>
        <v>0</v>
      </c>
    </row>
    <row r="88" spans="1:4" x14ac:dyDescent="0.35">
      <c r="A88" t="s">
        <v>620</v>
      </c>
      <c r="B88" s="74">
        <v>2.9</v>
      </c>
      <c r="C88" s="74">
        <v>6</v>
      </c>
      <c r="D88" s="176">
        <f t="shared" si="1"/>
        <v>0</v>
      </c>
    </row>
    <row r="89" spans="1:4" x14ac:dyDescent="0.35">
      <c r="A89" t="s">
        <v>101</v>
      </c>
      <c r="B89" s="74">
        <v>3.5</v>
      </c>
      <c r="C89" s="74">
        <v>6</v>
      </c>
      <c r="D89" s="176">
        <f t="shared" si="1"/>
        <v>0</v>
      </c>
    </row>
    <row r="90" spans="1:4" x14ac:dyDescent="0.35">
      <c r="A90" t="s">
        <v>435</v>
      </c>
      <c r="B90" s="74">
        <v>5.5</v>
      </c>
      <c r="C90" s="74">
        <v>7.1</v>
      </c>
      <c r="D90" s="176">
        <f t="shared" si="1"/>
        <v>0</v>
      </c>
    </row>
    <row r="91" spans="1:4" x14ac:dyDescent="0.35">
      <c r="A91" t="s">
        <v>370</v>
      </c>
      <c r="B91" s="74">
        <v>1.4</v>
      </c>
      <c r="C91" s="74">
        <v>1.6</v>
      </c>
      <c r="D91" s="176">
        <f t="shared" si="1"/>
        <v>0</v>
      </c>
    </row>
    <row r="92" spans="1:4" x14ac:dyDescent="0.35">
      <c r="A92" t="s">
        <v>909</v>
      </c>
      <c r="B92" s="74">
        <v>2</v>
      </c>
      <c r="C92" s="74">
        <v>1</v>
      </c>
      <c r="D92" s="176">
        <f t="shared" si="1"/>
        <v>0</v>
      </c>
    </row>
    <row r="93" spans="1:4" x14ac:dyDescent="0.35">
      <c r="A93" t="s">
        <v>88</v>
      </c>
      <c r="B93" s="74">
        <v>1.9</v>
      </c>
      <c r="C93" s="74">
        <v>2.5</v>
      </c>
      <c r="D93" s="176">
        <f t="shared" si="1"/>
        <v>0</v>
      </c>
    </row>
    <row r="94" spans="1:4" x14ac:dyDescent="0.35">
      <c r="A94" t="s">
        <v>753</v>
      </c>
      <c r="B94" s="74">
        <v>1.5</v>
      </c>
      <c r="C94" s="74">
        <v>2.4</v>
      </c>
      <c r="D94" s="176">
        <f t="shared" si="1"/>
        <v>0</v>
      </c>
    </row>
    <row r="95" spans="1:4" x14ac:dyDescent="0.35">
      <c r="A95" t="s">
        <v>437</v>
      </c>
      <c r="B95" s="74">
        <v>2.2000000000000002</v>
      </c>
      <c r="C95" s="74">
        <v>5.0999999999999996</v>
      </c>
      <c r="D95" s="176">
        <f t="shared" si="1"/>
        <v>0</v>
      </c>
    </row>
    <row r="96" spans="1:4" x14ac:dyDescent="0.35">
      <c r="A96" t="s">
        <v>775</v>
      </c>
      <c r="B96" s="74">
        <v>2.2000000000000002</v>
      </c>
      <c r="C96" s="74">
        <v>3.3</v>
      </c>
      <c r="D96" s="176">
        <f t="shared" si="1"/>
        <v>0</v>
      </c>
    </row>
    <row r="97" spans="1:4" x14ac:dyDescent="0.35">
      <c r="A97" t="s">
        <v>355</v>
      </c>
      <c r="B97" s="74">
        <v>2.1</v>
      </c>
      <c r="C97" s="74">
        <v>3.6</v>
      </c>
      <c r="D97" s="176">
        <f t="shared" si="1"/>
        <v>0</v>
      </c>
    </row>
    <row r="98" spans="1:4" x14ac:dyDescent="0.35">
      <c r="A98" t="s">
        <v>354</v>
      </c>
      <c r="B98" s="74">
        <v>4.8</v>
      </c>
      <c r="C98" s="74">
        <v>3.5</v>
      </c>
      <c r="D98" s="176">
        <f t="shared" si="1"/>
        <v>0</v>
      </c>
    </row>
    <row r="99" spans="1:4" x14ac:dyDescent="0.35">
      <c r="A99" t="s">
        <v>936</v>
      </c>
      <c r="B99" s="74">
        <v>1.9</v>
      </c>
      <c r="C99" s="74">
        <v>2.7</v>
      </c>
      <c r="D99" s="176">
        <f t="shared" si="1"/>
        <v>0</v>
      </c>
    </row>
    <row r="100" spans="1:4" x14ac:dyDescent="0.35">
      <c r="A100" t="s">
        <v>406</v>
      </c>
      <c r="B100" s="74">
        <v>2.1</v>
      </c>
      <c r="C100" s="74">
        <v>1.9</v>
      </c>
      <c r="D100" s="176">
        <f t="shared" si="1"/>
        <v>0</v>
      </c>
    </row>
    <row r="101" spans="1:4" x14ac:dyDescent="0.35">
      <c r="A101" t="s">
        <v>595</v>
      </c>
      <c r="B101" s="74">
        <v>1.6</v>
      </c>
      <c r="C101" s="74">
        <v>3.9</v>
      </c>
      <c r="D101" s="176">
        <f t="shared" si="1"/>
        <v>0</v>
      </c>
    </row>
    <row r="102" spans="1:4" x14ac:dyDescent="0.35">
      <c r="A102" t="s">
        <v>743</v>
      </c>
      <c r="B102" s="74">
        <v>4.8</v>
      </c>
      <c r="C102" s="74">
        <v>8.1999999999999993</v>
      </c>
      <c r="D102" s="176">
        <f t="shared" si="1"/>
        <v>0</v>
      </c>
    </row>
    <row r="103" spans="1:4" x14ac:dyDescent="0.35">
      <c r="A103" t="s">
        <v>910</v>
      </c>
      <c r="B103" s="74">
        <v>2.2999999999999998</v>
      </c>
      <c r="C103" s="74">
        <v>4.4000000000000004</v>
      </c>
      <c r="D103" s="176">
        <f t="shared" si="1"/>
        <v>0</v>
      </c>
    </row>
    <row r="104" spans="1:4" x14ac:dyDescent="0.35">
      <c r="A104" t="s">
        <v>376</v>
      </c>
      <c r="B104" s="74">
        <v>1.2</v>
      </c>
      <c r="C104" s="74">
        <v>1.2</v>
      </c>
      <c r="D104" s="176">
        <f t="shared" si="1"/>
        <v>0</v>
      </c>
    </row>
    <row r="105" spans="1:4" x14ac:dyDescent="0.35">
      <c r="A105" t="s">
        <v>912</v>
      </c>
      <c r="B105" s="74">
        <v>2.1</v>
      </c>
      <c r="C105" s="74">
        <v>3.5</v>
      </c>
      <c r="D105" s="176">
        <f t="shared" si="1"/>
        <v>0</v>
      </c>
    </row>
    <row r="106" spans="1:4" x14ac:dyDescent="0.35">
      <c r="A106" t="s">
        <v>569</v>
      </c>
      <c r="B106" s="74">
        <v>1.2</v>
      </c>
      <c r="C106" s="74">
        <v>1</v>
      </c>
      <c r="D106" s="176">
        <f t="shared" si="1"/>
        <v>0</v>
      </c>
    </row>
    <row r="107" spans="1:4" x14ac:dyDescent="0.35">
      <c r="A107" t="s">
        <v>360</v>
      </c>
      <c r="B107" s="74">
        <v>1.3</v>
      </c>
      <c r="C107" s="74">
        <v>2.8</v>
      </c>
      <c r="D107" s="176">
        <f t="shared" si="1"/>
        <v>0</v>
      </c>
    </row>
    <row r="108" spans="1:4" x14ac:dyDescent="0.35">
      <c r="A108" t="s">
        <v>139</v>
      </c>
      <c r="B108" s="74">
        <v>1.1000000000000001</v>
      </c>
      <c r="C108" s="74">
        <v>1.2</v>
      </c>
      <c r="D108" s="176">
        <f t="shared" si="1"/>
        <v>0</v>
      </c>
    </row>
    <row r="109" spans="1:4" x14ac:dyDescent="0.35">
      <c r="A109" t="s">
        <v>911</v>
      </c>
      <c r="B109" s="74">
        <v>1.9</v>
      </c>
      <c r="C109" s="74">
        <v>2.5</v>
      </c>
      <c r="D109" s="176">
        <f t="shared" si="1"/>
        <v>0</v>
      </c>
    </row>
    <row r="110" spans="1:4" x14ac:dyDescent="0.35">
      <c r="A110" t="s">
        <v>769</v>
      </c>
      <c r="B110" s="74">
        <v>1.4</v>
      </c>
      <c r="C110" s="74">
        <v>4.0999999999999996</v>
      </c>
      <c r="D110" s="176">
        <f t="shared" si="1"/>
        <v>0</v>
      </c>
    </row>
    <row r="111" spans="1:4" x14ac:dyDescent="0.35">
      <c r="A111" t="s">
        <v>480</v>
      </c>
      <c r="B111" s="74">
        <v>1.1000000000000001</v>
      </c>
      <c r="C111" s="74">
        <v>0.6</v>
      </c>
      <c r="D111" s="176">
        <f t="shared" si="1"/>
        <v>0</v>
      </c>
    </row>
    <row r="112" spans="1:4" x14ac:dyDescent="0.35">
      <c r="A112" t="s">
        <v>914</v>
      </c>
      <c r="B112" s="74">
        <v>1.5</v>
      </c>
      <c r="C112" s="74">
        <v>1.9</v>
      </c>
      <c r="D112" s="176">
        <f t="shared" si="1"/>
        <v>0</v>
      </c>
    </row>
    <row r="113" spans="1:4" x14ac:dyDescent="0.35">
      <c r="A113" t="s">
        <v>448</v>
      </c>
      <c r="B113" s="74">
        <v>1.9</v>
      </c>
      <c r="C113" s="74">
        <v>1.8</v>
      </c>
      <c r="D113" s="176">
        <f t="shared" si="1"/>
        <v>0</v>
      </c>
    </row>
    <row r="114" spans="1:4" x14ac:dyDescent="0.35">
      <c r="A114" t="s">
        <v>532</v>
      </c>
      <c r="B114" s="74">
        <v>1.2</v>
      </c>
      <c r="C114" s="74">
        <v>2.1</v>
      </c>
      <c r="D114" s="176">
        <f t="shared" si="1"/>
        <v>0</v>
      </c>
    </row>
    <row r="115" spans="1:4" x14ac:dyDescent="0.35">
      <c r="A115" t="s">
        <v>127</v>
      </c>
      <c r="B115" s="74">
        <v>1.3</v>
      </c>
      <c r="C115" s="74">
        <v>1.3</v>
      </c>
      <c r="D115" s="176">
        <f t="shared" si="1"/>
        <v>0</v>
      </c>
    </row>
    <row r="116" spans="1:4" x14ac:dyDescent="0.35">
      <c r="A116" t="s">
        <v>717</v>
      </c>
      <c r="B116" s="74">
        <v>2.2000000000000002</v>
      </c>
      <c r="C116" s="74">
        <v>2.2000000000000002</v>
      </c>
      <c r="D116" s="176">
        <f t="shared" si="1"/>
        <v>0</v>
      </c>
    </row>
    <row r="117" spans="1:4" x14ac:dyDescent="0.35">
      <c r="A117" t="s">
        <v>851</v>
      </c>
      <c r="B117" s="74">
        <v>3</v>
      </c>
      <c r="C117" s="74">
        <v>4.3</v>
      </c>
      <c r="D117" s="176">
        <f t="shared" si="1"/>
        <v>0</v>
      </c>
    </row>
    <row r="118" spans="1:4" x14ac:dyDescent="0.35">
      <c r="A118" t="s">
        <v>913</v>
      </c>
      <c r="B118" s="74">
        <v>1.9</v>
      </c>
      <c r="C118" s="74">
        <v>2.9</v>
      </c>
      <c r="D118" s="176">
        <f t="shared" si="1"/>
        <v>0</v>
      </c>
    </row>
    <row r="119" spans="1:4" x14ac:dyDescent="0.35">
      <c r="A119" t="s">
        <v>489</v>
      </c>
      <c r="B119" s="74">
        <v>1.1000000000000001</v>
      </c>
      <c r="C119" s="74">
        <v>1.2</v>
      </c>
      <c r="D119" s="176">
        <f t="shared" si="1"/>
        <v>0</v>
      </c>
    </row>
    <row r="120" spans="1:4" x14ac:dyDescent="0.35">
      <c r="A120" t="s">
        <v>466</v>
      </c>
      <c r="B120" s="74">
        <v>1.2</v>
      </c>
      <c r="C120" s="74">
        <v>1.2</v>
      </c>
      <c r="D120" s="176">
        <f t="shared" si="1"/>
        <v>0</v>
      </c>
    </row>
    <row r="121" spans="1:4" x14ac:dyDescent="0.35">
      <c r="A121" t="s">
        <v>852</v>
      </c>
      <c r="B121" s="74">
        <v>2</v>
      </c>
      <c r="C121" s="74">
        <v>4.5</v>
      </c>
      <c r="D121" s="176">
        <f t="shared" si="1"/>
        <v>0</v>
      </c>
    </row>
    <row r="122" spans="1:4" x14ac:dyDescent="0.35">
      <c r="A122" t="s">
        <v>512</v>
      </c>
      <c r="B122" s="74">
        <v>1.2</v>
      </c>
      <c r="C122" s="74">
        <v>2.5</v>
      </c>
      <c r="D122" s="176">
        <f t="shared" si="1"/>
        <v>0</v>
      </c>
    </row>
    <row r="123" spans="1:4" x14ac:dyDescent="0.35">
      <c r="A123" t="s">
        <v>596</v>
      </c>
      <c r="B123" s="74">
        <v>1.6</v>
      </c>
      <c r="C123" s="74">
        <v>1.5</v>
      </c>
      <c r="D123" s="176">
        <f t="shared" si="1"/>
        <v>0</v>
      </c>
    </row>
    <row r="124" spans="1:4" x14ac:dyDescent="0.35">
      <c r="A124" t="s">
        <v>627</v>
      </c>
      <c r="B124" s="74">
        <v>2.9</v>
      </c>
      <c r="C124" s="74">
        <v>2.8</v>
      </c>
      <c r="D124" s="176">
        <f t="shared" si="1"/>
        <v>0</v>
      </c>
    </row>
    <row r="125" spans="1:4" x14ac:dyDescent="0.35">
      <c r="A125" t="s">
        <v>96</v>
      </c>
      <c r="B125" s="74">
        <v>1.1000000000000001</v>
      </c>
      <c r="C125" s="74">
        <v>0.4</v>
      </c>
      <c r="D125" s="176">
        <f t="shared" si="1"/>
        <v>0</v>
      </c>
    </row>
    <row r="126" spans="1:4" x14ac:dyDescent="0.35">
      <c r="A126" t="s">
        <v>578</v>
      </c>
      <c r="B126" s="74">
        <v>1.4</v>
      </c>
      <c r="C126" s="74">
        <v>0.7</v>
      </c>
      <c r="D126" s="176">
        <f t="shared" si="1"/>
        <v>0</v>
      </c>
    </row>
    <row r="127" spans="1:4" x14ac:dyDescent="0.35">
      <c r="A127" t="s">
        <v>215</v>
      </c>
      <c r="B127" s="74">
        <v>1.6</v>
      </c>
      <c r="C127" s="74">
        <v>2.2000000000000002</v>
      </c>
      <c r="D127" s="176">
        <f t="shared" si="1"/>
        <v>0</v>
      </c>
    </row>
    <row r="128" spans="1:4" x14ac:dyDescent="0.35">
      <c r="A128" t="s">
        <v>137</v>
      </c>
      <c r="B128" s="74">
        <v>1.1000000000000001</v>
      </c>
      <c r="C128" s="74">
        <v>1.2</v>
      </c>
      <c r="D128" s="176">
        <f t="shared" si="1"/>
        <v>0</v>
      </c>
    </row>
    <row r="129" spans="1:4" x14ac:dyDescent="0.35">
      <c r="A129" t="s">
        <v>607</v>
      </c>
      <c r="B129" s="74">
        <v>1.6</v>
      </c>
      <c r="C129" s="74">
        <v>0.9</v>
      </c>
      <c r="D129" s="176">
        <f t="shared" si="1"/>
        <v>0</v>
      </c>
    </row>
    <row r="130" spans="1:4" x14ac:dyDescent="0.35">
      <c r="A130" t="s">
        <v>604</v>
      </c>
      <c r="B130" s="74">
        <v>1.3</v>
      </c>
      <c r="C130" s="74">
        <v>0.6</v>
      </c>
      <c r="D130" s="176">
        <f t="shared" ref="D130:D193" si="2">IF(ISNUMBER(J464),L464,M464)</f>
        <v>0</v>
      </c>
    </row>
    <row r="131" spans="1:4" x14ac:dyDescent="0.35">
      <c r="A131" t="s">
        <v>377</v>
      </c>
      <c r="B131" s="74">
        <v>1.2</v>
      </c>
      <c r="C131" s="74">
        <v>0.5</v>
      </c>
      <c r="D131" s="176">
        <f t="shared" si="2"/>
        <v>0</v>
      </c>
    </row>
    <row r="132" spans="1:4" x14ac:dyDescent="0.35">
      <c r="A132" t="s">
        <v>785</v>
      </c>
      <c r="B132" s="74">
        <v>1.2</v>
      </c>
      <c r="C132" s="74">
        <v>0.7</v>
      </c>
      <c r="D132" s="176">
        <f t="shared" si="2"/>
        <v>0</v>
      </c>
    </row>
    <row r="133" spans="1:4" x14ac:dyDescent="0.35">
      <c r="A133" t="s">
        <v>236</v>
      </c>
      <c r="B133" s="74">
        <v>1.4</v>
      </c>
      <c r="C133" s="74">
        <v>0.9</v>
      </c>
      <c r="D133" s="176">
        <f t="shared" si="2"/>
        <v>0</v>
      </c>
    </row>
    <row r="134" spans="1:4" x14ac:dyDescent="0.35">
      <c r="A134" t="s">
        <v>138</v>
      </c>
      <c r="B134" s="74">
        <v>1.2</v>
      </c>
      <c r="C134" s="74">
        <v>0.8</v>
      </c>
      <c r="D134" s="176">
        <f t="shared" si="2"/>
        <v>0</v>
      </c>
    </row>
    <row r="135" spans="1:4" x14ac:dyDescent="0.35">
      <c r="A135" t="s">
        <v>511</v>
      </c>
      <c r="B135" s="74">
        <v>1.6</v>
      </c>
      <c r="C135" s="74">
        <v>3.3</v>
      </c>
      <c r="D135" s="176">
        <f t="shared" si="2"/>
        <v>0</v>
      </c>
    </row>
    <row r="136" spans="1:4" x14ac:dyDescent="0.35">
      <c r="A136" t="s">
        <v>759</v>
      </c>
      <c r="B136" s="74">
        <v>1</v>
      </c>
      <c r="C136" s="74">
        <v>0.8</v>
      </c>
      <c r="D136" s="176">
        <f t="shared" si="2"/>
        <v>0</v>
      </c>
    </row>
    <row r="137" spans="1:4" x14ac:dyDescent="0.35">
      <c r="A137" t="s">
        <v>344</v>
      </c>
      <c r="B137" s="74">
        <v>1.2</v>
      </c>
      <c r="C137" s="74">
        <v>0.8</v>
      </c>
      <c r="D137" s="176">
        <f t="shared" si="2"/>
        <v>0</v>
      </c>
    </row>
    <row r="138" spans="1:4" x14ac:dyDescent="0.35">
      <c r="A138" t="s">
        <v>915</v>
      </c>
      <c r="B138" s="74">
        <v>1.2</v>
      </c>
      <c r="C138" s="74">
        <v>0.5</v>
      </c>
      <c r="D138" s="176">
        <f t="shared" si="2"/>
        <v>0</v>
      </c>
    </row>
    <row r="139" spans="1:4" x14ac:dyDescent="0.35">
      <c r="A139" t="s">
        <v>119</v>
      </c>
      <c r="B139" s="74">
        <v>1.1000000000000001</v>
      </c>
      <c r="C139" s="74">
        <v>2.2999999999999998</v>
      </c>
      <c r="D139" s="176">
        <f t="shared" si="2"/>
        <v>0</v>
      </c>
    </row>
    <row r="140" spans="1:4" x14ac:dyDescent="0.35">
      <c r="A140" t="s">
        <v>628</v>
      </c>
      <c r="B140" s="74">
        <v>1.2</v>
      </c>
      <c r="C140" s="74">
        <v>0.9</v>
      </c>
      <c r="D140" s="176">
        <f t="shared" si="2"/>
        <v>0</v>
      </c>
    </row>
    <row r="141" spans="1:4" x14ac:dyDescent="0.35">
      <c r="A141" t="s">
        <v>647</v>
      </c>
      <c r="B141" s="74">
        <v>1</v>
      </c>
      <c r="C141" s="74">
        <v>1</v>
      </c>
      <c r="D141" s="176">
        <f t="shared" si="2"/>
        <v>0</v>
      </c>
    </row>
    <row r="142" spans="1:4" x14ac:dyDescent="0.35">
      <c r="A142" t="s">
        <v>729</v>
      </c>
      <c r="B142" s="74">
        <v>1</v>
      </c>
      <c r="C142" s="74">
        <v>1</v>
      </c>
      <c r="D142" s="176">
        <f t="shared" si="2"/>
        <v>0</v>
      </c>
    </row>
    <row r="143" spans="1:4" x14ac:dyDescent="0.35">
      <c r="A143" t="s">
        <v>469</v>
      </c>
      <c r="B143" s="74">
        <v>1.3</v>
      </c>
      <c r="C143" s="74">
        <v>1.2</v>
      </c>
      <c r="D143" s="176">
        <f t="shared" si="2"/>
        <v>0</v>
      </c>
    </row>
    <row r="144" spans="1:4" x14ac:dyDescent="0.35">
      <c r="A144" t="s">
        <v>110</v>
      </c>
      <c r="B144" s="74">
        <v>3.2</v>
      </c>
      <c r="C144" s="74">
        <v>3.6</v>
      </c>
      <c r="D144" s="176">
        <f t="shared" si="2"/>
        <v>0</v>
      </c>
    </row>
    <row r="145" spans="1:4" x14ac:dyDescent="0.35">
      <c r="A145" t="s">
        <v>271</v>
      </c>
      <c r="B145" s="74">
        <v>1.9</v>
      </c>
      <c r="C145" s="74">
        <v>2.8</v>
      </c>
      <c r="D145" s="176">
        <f t="shared" si="2"/>
        <v>0</v>
      </c>
    </row>
    <row r="146" spans="1:4" x14ac:dyDescent="0.35">
      <c r="A146" t="s">
        <v>829</v>
      </c>
      <c r="B146" s="74">
        <v>2.2000000000000002</v>
      </c>
      <c r="C146" s="74">
        <v>2.9</v>
      </c>
      <c r="D146" s="176">
        <f t="shared" si="2"/>
        <v>0</v>
      </c>
    </row>
    <row r="147" spans="1:4" x14ac:dyDescent="0.35">
      <c r="A147" t="s">
        <v>270</v>
      </c>
      <c r="B147" s="74">
        <v>1.1000000000000001</v>
      </c>
      <c r="C147" s="74">
        <v>1.7</v>
      </c>
      <c r="D147" s="176">
        <f t="shared" si="2"/>
        <v>0</v>
      </c>
    </row>
    <row r="148" spans="1:4" x14ac:dyDescent="0.35">
      <c r="A148" t="s">
        <v>268</v>
      </c>
      <c r="B148" s="74">
        <v>1</v>
      </c>
      <c r="C148" s="74">
        <v>1</v>
      </c>
      <c r="D148" s="176">
        <f t="shared" si="2"/>
        <v>0</v>
      </c>
    </row>
    <row r="149" spans="1:4" x14ac:dyDescent="0.35">
      <c r="A149" t="s">
        <v>379</v>
      </c>
      <c r="B149" s="74">
        <v>1.3</v>
      </c>
      <c r="C149" s="74">
        <v>1.3</v>
      </c>
      <c r="D149" s="176">
        <f t="shared" si="2"/>
        <v>0</v>
      </c>
    </row>
    <row r="150" spans="1:4" x14ac:dyDescent="0.35">
      <c r="A150" t="s">
        <v>747</v>
      </c>
      <c r="B150" s="74">
        <v>1</v>
      </c>
      <c r="C150" s="74">
        <v>0.7</v>
      </c>
      <c r="D150" s="176">
        <f t="shared" si="2"/>
        <v>0</v>
      </c>
    </row>
    <row r="151" spans="1:4" x14ac:dyDescent="0.35">
      <c r="A151" t="s">
        <v>834</v>
      </c>
      <c r="B151" s="74">
        <v>1</v>
      </c>
      <c r="C151" s="74">
        <v>1</v>
      </c>
      <c r="D151" s="176">
        <f t="shared" si="2"/>
        <v>0</v>
      </c>
    </row>
    <row r="152" spans="1:4" x14ac:dyDescent="0.35">
      <c r="A152" t="s">
        <v>269</v>
      </c>
      <c r="B152" s="74">
        <v>1</v>
      </c>
      <c r="C152" s="74">
        <v>1</v>
      </c>
      <c r="D152" s="176">
        <f t="shared" si="2"/>
        <v>0</v>
      </c>
    </row>
    <row r="153" spans="1:4" x14ac:dyDescent="0.35">
      <c r="A153" t="s">
        <v>530</v>
      </c>
      <c r="B153" s="74">
        <v>1.4</v>
      </c>
      <c r="C153" s="74">
        <v>1.3</v>
      </c>
      <c r="D153" s="176">
        <f t="shared" si="2"/>
        <v>0</v>
      </c>
    </row>
    <row r="154" spans="1:4" x14ac:dyDescent="0.35">
      <c r="A154" t="s">
        <v>460</v>
      </c>
      <c r="B154" s="74">
        <v>1</v>
      </c>
      <c r="C154" s="74">
        <v>0.5</v>
      </c>
      <c r="D154" s="176">
        <f t="shared" si="2"/>
        <v>0</v>
      </c>
    </row>
    <row r="155" spans="1:4" x14ac:dyDescent="0.35">
      <c r="A155" t="s">
        <v>144</v>
      </c>
      <c r="B155" s="74">
        <v>1</v>
      </c>
      <c r="C155" s="74">
        <v>1</v>
      </c>
      <c r="D155" s="176">
        <f t="shared" si="2"/>
        <v>0</v>
      </c>
    </row>
    <row r="156" spans="1:4" x14ac:dyDescent="0.35">
      <c r="A156" t="s">
        <v>151</v>
      </c>
      <c r="B156" s="74">
        <v>1</v>
      </c>
      <c r="C156" s="74">
        <v>1</v>
      </c>
      <c r="D156" s="176">
        <f t="shared" si="2"/>
        <v>0</v>
      </c>
    </row>
    <row r="157" spans="1:4" x14ac:dyDescent="0.35">
      <c r="A157" t="s">
        <v>160</v>
      </c>
      <c r="B157" s="74">
        <v>1</v>
      </c>
      <c r="C157" s="74">
        <v>1</v>
      </c>
      <c r="D157" s="176">
        <f t="shared" si="2"/>
        <v>0</v>
      </c>
    </row>
    <row r="158" spans="1:4" x14ac:dyDescent="0.35">
      <c r="A158" t="s">
        <v>147</v>
      </c>
      <c r="B158" s="74">
        <v>1</v>
      </c>
      <c r="C158" s="74">
        <v>1</v>
      </c>
      <c r="D158" s="176">
        <f t="shared" si="2"/>
        <v>0</v>
      </c>
    </row>
    <row r="159" spans="1:4" x14ac:dyDescent="0.35">
      <c r="A159" t="s">
        <v>121</v>
      </c>
      <c r="B159" s="74">
        <v>1</v>
      </c>
      <c r="C159" s="74">
        <v>1</v>
      </c>
      <c r="D159" s="176">
        <f t="shared" si="2"/>
        <v>0</v>
      </c>
    </row>
    <row r="160" spans="1:4" x14ac:dyDescent="0.35">
      <c r="A160" t="s">
        <v>278</v>
      </c>
      <c r="B160" s="74">
        <v>1</v>
      </c>
      <c r="C160" s="74">
        <v>1</v>
      </c>
      <c r="D160" s="176">
        <f t="shared" si="2"/>
        <v>0</v>
      </c>
    </row>
    <row r="161" spans="1:4" x14ac:dyDescent="0.35">
      <c r="A161" t="s">
        <v>276</v>
      </c>
      <c r="B161" s="74">
        <v>1</v>
      </c>
      <c r="C161" s="74">
        <v>1</v>
      </c>
      <c r="D161" s="176">
        <f t="shared" si="2"/>
        <v>0</v>
      </c>
    </row>
    <row r="162" spans="1:4" x14ac:dyDescent="0.35">
      <c r="A162" t="s">
        <v>124</v>
      </c>
      <c r="B162" s="74">
        <v>1</v>
      </c>
      <c r="C162" s="74">
        <v>1</v>
      </c>
      <c r="D162" s="176">
        <f t="shared" si="2"/>
        <v>0</v>
      </c>
    </row>
    <row r="163" spans="1:4" x14ac:dyDescent="0.35">
      <c r="A163" t="s">
        <v>277</v>
      </c>
      <c r="B163" s="74">
        <v>1</v>
      </c>
      <c r="C163" s="74">
        <v>1</v>
      </c>
      <c r="D163" s="176">
        <f t="shared" si="2"/>
        <v>0</v>
      </c>
    </row>
    <row r="164" spans="1:4" x14ac:dyDescent="0.35">
      <c r="A164" t="s">
        <v>153</v>
      </c>
      <c r="B164" s="74">
        <v>1</v>
      </c>
      <c r="C164" s="74">
        <v>1</v>
      </c>
      <c r="D164" s="176">
        <f t="shared" si="2"/>
        <v>0</v>
      </c>
    </row>
    <row r="165" spans="1:4" x14ac:dyDescent="0.35">
      <c r="A165" t="s">
        <v>162</v>
      </c>
      <c r="B165" s="74">
        <v>1</v>
      </c>
      <c r="C165" s="74">
        <v>1</v>
      </c>
      <c r="D165" s="176">
        <f t="shared" si="2"/>
        <v>0</v>
      </c>
    </row>
    <row r="166" spans="1:4" x14ac:dyDescent="0.35">
      <c r="A166" t="s">
        <v>118</v>
      </c>
      <c r="B166" s="74">
        <v>1</v>
      </c>
      <c r="C166" s="74">
        <v>1</v>
      </c>
      <c r="D166" s="176">
        <f t="shared" si="2"/>
        <v>0</v>
      </c>
    </row>
    <row r="167" spans="1:4" x14ac:dyDescent="0.35">
      <c r="A167" t="s">
        <v>633</v>
      </c>
      <c r="B167" s="74">
        <v>1</v>
      </c>
      <c r="C167" s="74">
        <v>1</v>
      </c>
      <c r="D167" s="176">
        <f t="shared" si="2"/>
        <v>0</v>
      </c>
    </row>
    <row r="168" spans="1:4" x14ac:dyDescent="0.35">
      <c r="A168" t="s">
        <v>619</v>
      </c>
      <c r="B168" s="74">
        <v>1.3</v>
      </c>
      <c r="C168" s="74">
        <v>1.1000000000000001</v>
      </c>
      <c r="D168" s="176">
        <f t="shared" si="2"/>
        <v>0</v>
      </c>
    </row>
    <row r="169" spans="1:4" x14ac:dyDescent="0.35">
      <c r="A169" t="s">
        <v>446</v>
      </c>
      <c r="B169" s="74">
        <v>1</v>
      </c>
      <c r="C169" s="74">
        <v>1</v>
      </c>
      <c r="D169" s="176">
        <f t="shared" si="2"/>
        <v>0</v>
      </c>
    </row>
    <row r="170" spans="1:4" x14ac:dyDescent="0.35">
      <c r="A170" t="s">
        <v>767</v>
      </c>
      <c r="B170" s="74">
        <v>1.2</v>
      </c>
      <c r="C170" s="74">
        <v>1</v>
      </c>
      <c r="D170" s="176">
        <f t="shared" si="2"/>
        <v>0</v>
      </c>
    </row>
    <row r="171" spans="1:4" x14ac:dyDescent="0.35">
      <c r="A171" t="s">
        <v>519</v>
      </c>
      <c r="B171" s="74">
        <v>1.6</v>
      </c>
      <c r="C171" s="74">
        <v>1.8</v>
      </c>
      <c r="D171" s="176">
        <f t="shared" si="2"/>
        <v>0</v>
      </c>
    </row>
    <row r="172" spans="1:4" x14ac:dyDescent="0.35">
      <c r="A172" t="s">
        <v>129</v>
      </c>
      <c r="B172" s="74">
        <v>1.1000000000000001</v>
      </c>
      <c r="C172" s="74">
        <v>1.3</v>
      </c>
      <c r="D172" s="176">
        <f t="shared" si="2"/>
        <v>0</v>
      </c>
    </row>
    <row r="173" spans="1:4" x14ac:dyDescent="0.35">
      <c r="A173" t="s">
        <v>499</v>
      </c>
      <c r="B173" s="74">
        <v>1.1000000000000001</v>
      </c>
      <c r="C173" s="74">
        <v>0.6</v>
      </c>
      <c r="D173" s="176">
        <f t="shared" si="2"/>
        <v>0</v>
      </c>
    </row>
    <row r="174" spans="1:4" x14ac:dyDescent="0.35">
      <c r="A174" t="s">
        <v>562</v>
      </c>
      <c r="B174" s="74">
        <v>1</v>
      </c>
      <c r="C174" s="74">
        <v>1</v>
      </c>
      <c r="D174" s="176">
        <f t="shared" si="2"/>
        <v>0</v>
      </c>
    </row>
    <row r="175" spans="1:4" x14ac:dyDescent="0.35">
      <c r="A175" t="s">
        <v>95</v>
      </c>
      <c r="B175" s="74">
        <v>1.5</v>
      </c>
      <c r="C175" s="74">
        <v>3.3</v>
      </c>
      <c r="D175" s="176">
        <f t="shared" si="2"/>
        <v>0</v>
      </c>
    </row>
    <row r="176" spans="1:4" x14ac:dyDescent="0.35">
      <c r="A176" t="s">
        <v>862</v>
      </c>
      <c r="B176" s="74">
        <v>1.8</v>
      </c>
      <c r="C176" s="74">
        <v>1.3</v>
      </c>
      <c r="D176" s="176">
        <f t="shared" si="2"/>
        <v>0</v>
      </c>
    </row>
    <row r="177" spans="1:4" x14ac:dyDescent="0.35">
      <c r="A177" t="s">
        <v>863</v>
      </c>
      <c r="B177" s="74">
        <v>2.1</v>
      </c>
      <c r="C177" s="74">
        <v>1.4</v>
      </c>
      <c r="D177" s="176">
        <f t="shared" si="2"/>
        <v>0</v>
      </c>
    </row>
    <row r="178" spans="1:4" x14ac:dyDescent="0.35">
      <c r="A178" t="s">
        <v>916</v>
      </c>
      <c r="B178" s="74">
        <v>1.2</v>
      </c>
      <c r="C178" s="74">
        <v>0.4</v>
      </c>
      <c r="D178" s="176">
        <f t="shared" si="2"/>
        <v>0</v>
      </c>
    </row>
    <row r="179" spans="1:4" x14ac:dyDescent="0.35">
      <c r="A179" t="s">
        <v>502</v>
      </c>
      <c r="B179" s="74">
        <v>1</v>
      </c>
      <c r="C179" s="74">
        <v>0.9</v>
      </c>
      <c r="D179" s="176">
        <f t="shared" si="2"/>
        <v>0</v>
      </c>
    </row>
    <row r="180" spans="1:4" x14ac:dyDescent="0.35">
      <c r="A180" t="s">
        <v>447</v>
      </c>
      <c r="B180" s="74">
        <v>1</v>
      </c>
      <c r="C180" s="74">
        <v>1</v>
      </c>
      <c r="D180" s="176">
        <f t="shared" si="2"/>
        <v>0</v>
      </c>
    </row>
    <row r="181" spans="1:4" x14ac:dyDescent="0.35">
      <c r="A181" t="s">
        <v>156</v>
      </c>
      <c r="B181" s="74">
        <v>1</v>
      </c>
      <c r="C181" s="74">
        <v>1</v>
      </c>
      <c r="D181" s="176">
        <f t="shared" si="2"/>
        <v>0</v>
      </c>
    </row>
    <row r="182" spans="1:4" x14ac:dyDescent="0.35">
      <c r="A182" t="s">
        <v>150</v>
      </c>
      <c r="B182" s="74">
        <v>1</v>
      </c>
      <c r="C182" s="74">
        <v>1</v>
      </c>
      <c r="D182" s="176">
        <f t="shared" si="2"/>
        <v>0</v>
      </c>
    </row>
    <row r="183" spans="1:4" x14ac:dyDescent="0.35">
      <c r="A183" t="s">
        <v>584</v>
      </c>
      <c r="B183" s="74">
        <v>1</v>
      </c>
      <c r="C183" s="74">
        <v>1</v>
      </c>
      <c r="D183" s="176">
        <f t="shared" si="2"/>
        <v>0</v>
      </c>
    </row>
    <row r="184" spans="1:4" x14ac:dyDescent="0.35">
      <c r="A184" t="s">
        <v>154</v>
      </c>
      <c r="B184" s="74">
        <v>1</v>
      </c>
      <c r="C184" s="74">
        <v>1</v>
      </c>
      <c r="D184" s="176">
        <f t="shared" si="2"/>
        <v>0</v>
      </c>
    </row>
    <row r="185" spans="1:4" x14ac:dyDescent="0.35">
      <c r="A185" t="s">
        <v>155</v>
      </c>
      <c r="B185" s="74">
        <v>1</v>
      </c>
      <c r="C185" s="74">
        <v>1</v>
      </c>
      <c r="D185" s="176">
        <f t="shared" si="2"/>
        <v>0</v>
      </c>
    </row>
    <row r="186" spans="1:4" x14ac:dyDescent="0.35">
      <c r="A186" t="s">
        <v>112</v>
      </c>
      <c r="B186" s="74">
        <v>1</v>
      </c>
      <c r="C186" s="74">
        <v>1</v>
      </c>
      <c r="D186" s="176">
        <f t="shared" si="2"/>
        <v>0</v>
      </c>
    </row>
    <row r="187" spans="1:4" x14ac:dyDescent="0.35">
      <c r="A187" t="s">
        <v>152</v>
      </c>
      <c r="B187" s="74">
        <v>1</v>
      </c>
      <c r="C187" s="74">
        <v>1</v>
      </c>
      <c r="D187" s="176">
        <f t="shared" si="2"/>
        <v>0</v>
      </c>
    </row>
    <row r="188" spans="1:4" x14ac:dyDescent="0.35">
      <c r="A188" t="s">
        <v>279</v>
      </c>
      <c r="B188" s="74">
        <v>1</v>
      </c>
      <c r="C188" s="74">
        <v>1</v>
      </c>
      <c r="D188" s="176">
        <f t="shared" si="2"/>
        <v>0</v>
      </c>
    </row>
    <row r="189" spans="1:4" x14ac:dyDescent="0.35">
      <c r="A189" t="s">
        <v>148</v>
      </c>
      <c r="B189" s="74">
        <v>1</v>
      </c>
      <c r="C189" s="74">
        <v>1</v>
      </c>
      <c r="D189" s="176">
        <f t="shared" si="2"/>
        <v>0</v>
      </c>
    </row>
    <row r="190" spans="1:4" x14ac:dyDescent="0.35">
      <c r="A190" t="s">
        <v>477</v>
      </c>
      <c r="B190" s="74">
        <v>1</v>
      </c>
      <c r="C190" s="74">
        <v>1</v>
      </c>
      <c r="D190" s="176">
        <f t="shared" si="2"/>
        <v>0</v>
      </c>
    </row>
    <row r="191" spans="1:4" x14ac:dyDescent="0.35">
      <c r="A191" t="s">
        <v>131</v>
      </c>
      <c r="B191" s="74">
        <v>1</v>
      </c>
      <c r="C191" s="74">
        <v>1</v>
      </c>
      <c r="D191" s="176">
        <f t="shared" si="2"/>
        <v>0</v>
      </c>
    </row>
    <row r="192" spans="1:4" x14ac:dyDescent="0.35">
      <c r="A192" t="s">
        <v>109</v>
      </c>
      <c r="B192" s="74">
        <v>1</v>
      </c>
      <c r="C192" s="74">
        <v>1</v>
      </c>
      <c r="D192" s="176">
        <f t="shared" si="2"/>
        <v>0</v>
      </c>
    </row>
    <row r="193" spans="1:4" x14ac:dyDescent="0.35">
      <c r="A193" t="s">
        <v>274</v>
      </c>
      <c r="B193" s="74">
        <v>1</v>
      </c>
      <c r="C193" s="74">
        <v>1</v>
      </c>
      <c r="D193" s="176">
        <f t="shared" si="2"/>
        <v>0</v>
      </c>
    </row>
    <row r="194" spans="1:4" x14ac:dyDescent="0.35">
      <c r="A194" t="s">
        <v>125</v>
      </c>
      <c r="B194" s="74">
        <v>1</v>
      </c>
      <c r="C194" s="74">
        <v>1</v>
      </c>
      <c r="D194" s="176">
        <f t="shared" ref="D194:D257" si="3">IF(ISNUMBER(J528),L528,M528)</f>
        <v>0</v>
      </c>
    </row>
    <row r="195" spans="1:4" x14ac:dyDescent="0.35">
      <c r="A195" t="s">
        <v>275</v>
      </c>
      <c r="B195" s="74">
        <v>1</v>
      </c>
      <c r="C195" s="74">
        <v>1</v>
      </c>
      <c r="D195" s="176">
        <f t="shared" si="3"/>
        <v>0</v>
      </c>
    </row>
    <row r="196" spans="1:4" x14ac:dyDescent="0.35">
      <c r="A196" t="s">
        <v>122</v>
      </c>
      <c r="B196" s="74">
        <v>1</v>
      </c>
      <c r="C196" s="74">
        <v>1</v>
      </c>
      <c r="D196" s="176">
        <f t="shared" si="3"/>
        <v>0</v>
      </c>
    </row>
    <row r="197" spans="1:4" x14ac:dyDescent="0.35">
      <c r="A197" t="s">
        <v>130</v>
      </c>
      <c r="B197" s="74">
        <v>1</v>
      </c>
      <c r="C197" s="74">
        <v>1</v>
      </c>
      <c r="D197" s="176">
        <f t="shared" si="3"/>
        <v>0</v>
      </c>
    </row>
    <row r="198" spans="1:4" x14ac:dyDescent="0.35">
      <c r="A198" t="s">
        <v>134</v>
      </c>
      <c r="B198" s="74">
        <v>1</v>
      </c>
      <c r="C198" s="74">
        <v>1</v>
      </c>
      <c r="D198" s="176">
        <f t="shared" si="3"/>
        <v>0</v>
      </c>
    </row>
    <row r="199" spans="1:4" x14ac:dyDescent="0.35">
      <c r="A199" t="s">
        <v>136</v>
      </c>
      <c r="B199" s="74">
        <v>1</v>
      </c>
      <c r="C199" s="74">
        <v>1</v>
      </c>
      <c r="D199" s="176">
        <f t="shared" si="3"/>
        <v>0</v>
      </c>
    </row>
    <row r="200" spans="1:4" x14ac:dyDescent="0.35">
      <c r="A200" t="s">
        <v>273</v>
      </c>
      <c r="B200" s="74">
        <v>1</v>
      </c>
      <c r="C200" s="74">
        <v>1</v>
      </c>
      <c r="D200" s="176">
        <f t="shared" si="3"/>
        <v>0</v>
      </c>
    </row>
    <row r="201" spans="1:4" x14ac:dyDescent="0.35">
      <c r="A201" t="s">
        <v>529</v>
      </c>
      <c r="B201" s="74">
        <v>1.6</v>
      </c>
      <c r="C201" s="74">
        <v>0.8</v>
      </c>
      <c r="D201" s="176">
        <f t="shared" si="3"/>
        <v>0</v>
      </c>
    </row>
    <row r="202" spans="1:4" x14ac:dyDescent="0.35">
      <c r="A202" t="s">
        <v>222</v>
      </c>
      <c r="B202" s="74">
        <v>1</v>
      </c>
      <c r="C202" s="74">
        <v>0.5</v>
      </c>
      <c r="D202" s="176">
        <f t="shared" si="3"/>
        <v>0</v>
      </c>
    </row>
    <row r="203" spans="1:4" x14ac:dyDescent="0.35">
      <c r="A203" t="s">
        <v>602</v>
      </c>
      <c r="B203" s="74">
        <v>1</v>
      </c>
      <c r="C203" s="74">
        <v>1</v>
      </c>
      <c r="D203" s="176">
        <f t="shared" si="3"/>
        <v>0</v>
      </c>
    </row>
    <row r="204" spans="1:4" x14ac:dyDescent="0.35">
      <c r="A204" t="s">
        <v>766</v>
      </c>
      <c r="B204" s="74">
        <v>1</v>
      </c>
      <c r="C204" s="74">
        <v>1</v>
      </c>
      <c r="D204" s="176">
        <f t="shared" si="3"/>
        <v>0</v>
      </c>
    </row>
    <row r="205" spans="1:4" x14ac:dyDescent="0.35">
      <c r="A205" t="s">
        <v>954</v>
      </c>
      <c r="B205" s="74">
        <v>1</v>
      </c>
      <c r="C205" s="74">
        <v>0.5</v>
      </c>
      <c r="D205" s="176">
        <f t="shared" si="3"/>
        <v>0</v>
      </c>
    </row>
    <row r="206" spans="1:4" x14ac:dyDescent="0.35">
      <c r="A206" t="s">
        <v>380</v>
      </c>
      <c r="B206" s="74">
        <v>1</v>
      </c>
      <c r="C206" s="74">
        <v>1</v>
      </c>
      <c r="D206" s="176">
        <f t="shared" si="3"/>
        <v>0</v>
      </c>
    </row>
    <row r="207" spans="1:4" x14ac:dyDescent="0.35">
      <c r="A207" t="s">
        <v>479</v>
      </c>
      <c r="B207" s="74">
        <v>1</v>
      </c>
      <c r="C207" s="74">
        <v>1</v>
      </c>
      <c r="D207" s="176">
        <f t="shared" si="3"/>
        <v>0</v>
      </c>
    </row>
    <row r="208" spans="1:4" x14ac:dyDescent="0.35">
      <c r="A208" t="s">
        <v>731</v>
      </c>
      <c r="B208" s="74">
        <v>1</v>
      </c>
      <c r="C208" s="74">
        <v>1</v>
      </c>
      <c r="D208" s="176">
        <f t="shared" si="3"/>
        <v>0</v>
      </c>
    </row>
    <row r="209" spans="1:4" x14ac:dyDescent="0.35">
      <c r="A209" t="s">
        <v>159</v>
      </c>
      <c r="B209" s="74">
        <v>1</v>
      </c>
      <c r="C209" s="74">
        <v>0.4</v>
      </c>
      <c r="D209" s="176">
        <f t="shared" si="3"/>
        <v>0</v>
      </c>
    </row>
    <row r="210" spans="1:4" x14ac:dyDescent="0.35">
      <c r="A210" t="s">
        <v>773</v>
      </c>
      <c r="B210" s="74">
        <v>1</v>
      </c>
      <c r="C210" s="74">
        <v>1</v>
      </c>
      <c r="D210" s="176">
        <f t="shared" si="3"/>
        <v>0</v>
      </c>
    </row>
    <row r="211" spans="1:4" x14ac:dyDescent="0.35">
      <c r="A211" t="s">
        <v>158</v>
      </c>
      <c r="B211" s="74">
        <v>1</v>
      </c>
      <c r="C211" s="74">
        <v>1</v>
      </c>
      <c r="D211" s="176">
        <f t="shared" si="3"/>
        <v>0</v>
      </c>
    </row>
    <row r="212" spans="1:4" x14ac:dyDescent="0.35">
      <c r="A212" t="s">
        <v>955</v>
      </c>
      <c r="B212" s="74">
        <v>1</v>
      </c>
      <c r="C212" s="74">
        <v>1</v>
      </c>
      <c r="D212" s="176">
        <f t="shared" si="3"/>
        <v>0</v>
      </c>
    </row>
    <row r="213" spans="1:4" x14ac:dyDescent="0.35">
      <c r="A213" t="s">
        <v>164</v>
      </c>
      <c r="B213" s="74">
        <v>1</v>
      </c>
      <c r="C213" s="74">
        <v>1</v>
      </c>
      <c r="D213" s="176">
        <f t="shared" si="3"/>
        <v>0</v>
      </c>
    </row>
    <row r="214" spans="1:4" x14ac:dyDescent="0.35">
      <c r="A214" t="s">
        <v>123</v>
      </c>
      <c r="B214" s="74">
        <v>1</v>
      </c>
      <c r="C214" s="74">
        <v>1</v>
      </c>
      <c r="D214" s="176">
        <f t="shared" si="3"/>
        <v>0</v>
      </c>
    </row>
    <row r="215" spans="1:4" x14ac:dyDescent="0.35">
      <c r="A215" t="s">
        <v>468</v>
      </c>
      <c r="B215" s="74">
        <v>1</v>
      </c>
      <c r="C215" s="74">
        <v>1</v>
      </c>
      <c r="D215" s="176">
        <f t="shared" si="3"/>
        <v>0</v>
      </c>
    </row>
    <row r="216" spans="1:4" x14ac:dyDescent="0.35">
      <c r="A216" t="s">
        <v>146</v>
      </c>
      <c r="B216" s="74">
        <v>1</v>
      </c>
      <c r="C216" s="74">
        <v>1</v>
      </c>
      <c r="D216" s="176">
        <f t="shared" si="3"/>
        <v>0</v>
      </c>
    </row>
    <row r="217" spans="1:4" x14ac:dyDescent="0.35">
      <c r="A217" t="s">
        <v>378</v>
      </c>
      <c r="B217" s="74">
        <v>1</v>
      </c>
      <c r="C217" s="74">
        <v>1</v>
      </c>
      <c r="D217" s="176">
        <f t="shared" si="3"/>
        <v>0</v>
      </c>
    </row>
    <row r="218" spans="1:4" x14ac:dyDescent="0.35">
      <c r="A218" t="s">
        <v>956</v>
      </c>
      <c r="B218" s="74">
        <v>1</v>
      </c>
      <c r="C218" s="74">
        <v>1</v>
      </c>
      <c r="D218" s="176">
        <f t="shared" si="3"/>
        <v>0</v>
      </c>
    </row>
    <row r="219" spans="1:4" x14ac:dyDescent="0.35">
      <c r="A219" t="s">
        <v>706</v>
      </c>
      <c r="B219" s="74">
        <v>1</v>
      </c>
      <c r="C219" s="74">
        <v>1</v>
      </c>
      <c r="D219" s="176">
        <f t="shared" si="3"/>
        <v>0</v>
      </c>
    </row>
    <row r="220" spans="1:4" x14ac:dyDescent="0.35">
      <c r="A220" t="s">
        <v>957</v>
      </c>
      <c r="B220" s="74">
        <v>1</v>
      </c>
      <c r="C220" s="74">
        <v>1</v>
      </c>
      <c r="D220" s="176">
        <f t="shared" si="3"/>
        <v>0</v>
      </c>
    </row>
    <row r="221" spans="1:4" x14ac:dyDescent="0.35">
      <c r="A221" t="s">
        <v>161</v>
      </c>
      <c r="B221" s="74">
        <v>1</v>
      </c>
      <c r="C221" s="74">
        <v>1</v>
      </c>
      <c r="D221" s="176">
        <f t="shared" si="3"/>
        <v>0</v>
      </c>
    </row>
    <row r="222" spans="1:4" x14ac:dyDescent="0.35">
      <c r="A222" t="s">
        <v>756</v>
      </c>
      <c r="B222" s="74">
        <v>1</v>
      </c>
      <c r="C222" s="74">
        <v>1</v>
      </c>
      <c r="D222" s="176">
        <f t="shared" si="3"/>
        <v>0</v>
      </c>
    </row>
    <row r="223" spans="1:4" x14ac:dyDescent="0.35">
      <c r="A223" t="s">
        <v>958</v>
      </c>
      <c r="B223" s="74">
        <v>1</v>
      </c>
      <c r="C223" s="74">
        <v>1</v>
      </c>
      <c r="D223" s="176">
        <f t="shared" si="3"/>
        <v>0</v>
      </c>
    </row>
    <row r="224" spans="1:4" x14ac:dyDescent="0.35">
      <c r="A224" t="s">
        <v>830</v>
      </c>
      <c r="B224" s="74">
        <v>1</v>
      </c>
      <c r="C224" s="74">
        <v>0.6</v>
      </c>
      <c r="D224" s="176">
        <f t="shared" si="3"/>
        <v>0</v>
      </c>
    </row>
    <row r="225" spans="1:4" x14ac:dyDescent="0.35">
      <c r="A225" t="s">
        <v>736</v>
      </c>
      <c r="B225" s="74">
        <v>1</v>
      </c>
      <c r="C225" s="74">
        <v>1</v>
      </c>
      <c r="D225" s="176">
        <f t="shared" si="3"/>
        <v>0</v>
      </c>
    </row>
    <row r="226" spans="1:4" x14ac:dyDescent="0.35">
      <c r="A226" t="s">
        <v>594</v>
      </c>
      <c r="B226" s="74">
        <v>1</v>
      </c>
      <c r="C226" s="74">
        <v>1</v>
      </c>
      <c r="D226" s="176">
        <f t="shared" si="3"/>
        <v>0</v>
      </c>
    </row>
    <row r="227" spans="1:4" x14ac:dyDescent="0.35">
      <c r="A227" t="s">
        <v>245</v>
      </c>
      <c r="B227" s="74">
        <v>1</v>
      </c>
      <c r="C227" s="74">
        <v>1</v>
      </c>
      <c r="D227" s="176">
        <f t="shared" si="3"/>
        <v>0</v>
      </c>
    </row>
    <row r="228" spans="1:4" x14ac:dyDescent="0.35">
      <c r="A228" t="s">
        <v>544</v>
      </c>
      <c r="B228" s="74">
        <v>1</v>
      </c>
      <c r="C228" s="74">
        <v>1.2</v>
      </c>
      <c r="D228" s="176">
        <f t="shared" si="3"/>
        <v>0</v>
      </c>
    </row>
    <row r="229" spans="1:4" x14ac:dyDescent="0.35">
      <c r="A229" t="s">
        <v>364</v>
      </c>
      <c r="B229" s="74">
        <v>1</v>
      </c>
      <c r="C229" s="74">
        <v>1</v>
      </c>
      <c r="D229" s="176">
        <f t="shared" si="3"/>
        <v>0</v>
      </c>
    </row>
    <row r="230" spans="1:4" x14ac:dyDescent="0.35">
      <c r="A230" t="s">
        <v>917</v>
      </c>
      <c r="B230" s="74">
        <v>1</v>
      </c>
      <c r="C230" s="74">
        <v>0.5</v>
      </c>
      <c r="D230" s="176">
        <f t="shared" si="3"/>
        <v>0</v>
      </c>
    </row>
    <row r="231" spans="1:4" x14ac:dyDescent="0.35">
      <c r="A231" t="s">
        <v>728</v>
      </c>
      <c r="B231" s="74">
        <v>1</v>
      </c>
      <c r="C231" s="74">
        <v>0.3</v>
      </c>
      <c r="D231" s="176">
        <f t="shared" si="3"/>
        <v>0</v>
      </c>
    </row>
    <row r="232" spans="1:4" x14ac:dyDescent="0.35">
      <c r="A232" t="s">
        <v>918</v>
      </c>
      <c r="B232" s="74">
        <v>1</v>
      </c>
      <c r="C232" s="74">
        <v>1</v>
      </c>
      <c r="D232" s="176">
        <f t="shared" si="3"/>
        <v>0</v>
      </c>
    </row>
    <row r="233" spans="1:4" x14ac:dyDescent="0.35">
      <c r="A233" t="s">
        <v>643</v>
      </c>
      <c r="B233" s="74">
        <v>1</v>
      </c>
      <c r="C233" s="74">
        <v>1</v>
      </c>
      <c r="D233" s="176">
        <f t="shared" si="3"/>
        <v>0</v>
      </c>
    </row>
    <row r="234" spans="1:4" x14ac:dyDescent="0.35">
      <c r="A234" t="s">
        <v>553</v>
      </c>
      <c r="B234" s="74">
        <v>1</v>
      </c>
      <c r="C234" s="74">
        <v>1</v>
      </c>
      <c r="D234" s="176">
        <f t="shared" si="3"/>
        <v>0</v>
      </c>
    </row>
    <row r="235" spans="1:4" x14ac:dyDescent="0.35">
      <c r="A235" t="s">
        <v>722</v>
      </c>
      <c r="B235" s="74">
        <v>1</v>
      </c>
      <c r="C235" s="74">
        <v>1</v>
      </c>
      <c r="D235" s="176">
        <f t="shared" si="3"/>
        <v>0</v>
      </c>
    </row>
    <row r="236" spans="1:4" x14ac:dyDescent="0.35">
      <c r="A236" t="s">
        <v>919</v>
      </c>
      <c r="B236" s="74">
        <v>1</v>
      </c>
      <c r="C236" s="74">
        <v>0.3</v>
      </c>
      <c r="D236" s="176">
        <f t="shared" si="3"/>
        <v>0</v>
      </c>
    </row>
    <row r="237" spans="1:4" x14ac:dyDescent="0.35">
      <c r="A237" t="s">
        <v>369</v>
      </c>
      <c r="B237" s="74">
        <v>1</v>
      </c>
      <c r="C237" s="74">
        <v>1</v>
      </c>
      <c r="D237" s="176">
        <f t="shared" si="3"/>
        <v>0</v>
      </c>
    </row>
    <row r="238" spans="1:4" x14ac:dyDescent="0.35">
      <c r="A238" t="s">
        <v>709</v>
      </c>
      <c r="B238" s="74">
        <v>1</v>
      </c>
      <c r="C238" s="74">
        <v>0.2</v>
      </c>
      <c r="D238" s="176">
        <f t="shared" si="3"/>
        <v>0</v>
      </c>
    </row>
    <row r="239" spans="1:4" x14ac:dyDescent="0.35">
      <c r="A239" t="s">
        <v>758</v>
      </c>
      <c r="B239" s="74">
        <v>1</v>
      </c>
      <c r="C239" s="74">
        <v>0.4</v>
      </c>
      <c r="D239" s="176">
        <f t="shared" si="3"/>
        <v>0</v>
      </c>
    </row>
    <row r="240" spans="1:4" x14ac:dyDescent="0.35">
      <c r="A240" t="s">
        <v>937</v>
      </c>
      <c r="B240" s="74">
        <v>1</v>
      </c>
      <c r="C240" s="74">
        <v>1</v>
      </c>
      <c r="D240" s="176">
        <f t="shared" si="3"/>
        <v>0</v>
      </c>
    </row>
    <row r="241" spans="1:4" x14ac:dyDescent="0.35">
      <c r="A241" t="s">
        <v>117</v>
      </c>
      <c r="B241" s="74">
        <v>1</v>
      </c>
      <c r="C241" s="74">
        <v>1</v>
      </c>
      <c r="D241" s="176">
        <f t="shared" si="3"/>
        <v>0</v>
      </c>
    </row>
    <row r="242" spans="1:4" x14ac:dyDescent="0.35">
      <c r="A242" t="s">
        <v>730</v>
      </c>
      <c r="B242" s="74">
        <v>1</v>
      </c>
      <c r="C242" s="74">
        <v>1</v>
      </c>
      <c r="D242" s="176">
        <f t="shared" si="3"/>
        <v>0</v>
      </c>
    </row>
    <row r="243" spans="1:4" x14ac:dyDescent="0.35">
      <c r="A243" t="s">
        <v>774</v>
      </c>
      <c r="B243" s="74">
        <v>1</v>
      </c>
      <c r="C243" s="74">
        <v>0.4</v>
      </c>
      <c r="D243" s="176">
        <f t="shared" si="3"/>
        <v>0</v>
      </c>
    </row>
    <row r="244" spans="1:4" x14ac:dyDescent="0.35">
      <c r="A244" t="s">
        <v>414</v>
      </c>
      <c r="B244" s="74">
        <v>1</v>
      </c>
      <c r="C244" s="74">
        <v>0.2</v>
      </c>
      <c r="D244" s="176">
        <f t="shared" si="3"/>
        <v>0</v>
      </c>
    </row>
    <row r="245" spans="1:4" x14ac:dyDescent="0.35">
      <c r="A245" t="s">
        <v>921</v>
      </c>
      <c r="B245" s="74">
        <v>1</v>
      </c>
      <c r="C245" s="74">
        <v>1</v>
      </c>
      <c r="D245" s="176">
        <f t="shared" si="3"/>
        <v>0</v>
      </c>
    </row>
    <row r="246" spans="1:4" x14ac:dyDescent="0.35">
      <c r="A246" t="s">
        <v>746</v>
      </c>
      <c r="B246" s="74">
        <v>1</v>
      </c>
      <c r="C246" s="74">
        <v>1</v>
      </c>
      <c r="D246" s="176">
        <f t="shared" si="3"/>
        <v>0</v>
      </c>
    </row>
    <row r="247" spans="1:4" x14ac:dyDescent="0.35">
      <c r="A247" t="s">
        <v>368</v>
      </c>
      <c r="B247" s="74">
        <v>1</v>
      </c>
      <c r="C247" s="74">
        <v>1</v>
      </c>
      <c r="D247" s="176">
        <f t="shared" si="3"/>
        <v>0</v>
      </c>
    </row>
    <row r="248" spans="1:4" x14ac:dyDescent="0.35">
      <c r="A248" t="s">
        <v>438</v>
      </c>
      <c r="B248" s="74">
        <v>1</v>
      </c>
      <c r="C248" s="74">
        <v>1</v>
      </c>
      <c r="D248" s="176">
        <f t="shared" si="3"/>
        <v>0</v>
      </c>
    </row>
    <row r="249" spans="1:4" x14ac:dyDescent="0.35">
      <c r="A249" t="s">
        <v>258</v>
      </c>
      <c r="B249" s="74">
        <v>1</v>
      </c>
      <c r="C249" s="74">
        <v>1</v>
      </c>
      <c r="D249" s="176">
        <f t="shared" si="3"/>
        <v>0</v>
      </c>
    </row>
    <row r="250" spans="1:4" x14ac:dyDescent="0.35">
      <c r="A250" t="s">
        <v>864</v>
      </c>
      <c r="B250" s="74">
        <v>1</v>
      </c>
      <c r="C250" s="74">
        <v>0.5</v>
      </c>
      <c r="D250" s="176">
        <f t="shared" si="3"/>
        <v>0</v>
      </c>
    </row>
    <row r="251" spans="1:4" x14ac:dyDescent="0.35">
      <c r="A251" t="s">
        <v>255</v>
      </c>
      <c r="B251" s="74">
        <v>1</v>
      </c>
      <c r="C251" s="74">
        <v>1</v>
      </c>
      <c r="D251" s="176">
        <f t="shared" si="3"/>
        <v>0</v>
      </c>
    </row>
    <row r="252" spans="1:4" x14ac:dyDescent="0.35">
      <c r="A252" t="s">
        <v>591</v>
      </c>
      <c r="B252" s="74">
        <v>1</v>
      </c>
      <c r="C252" s="74">
        <v>1</v>
      </c>
      <c r="D252" s="176">
        <f t="shared" si="3"/>
        <v>0</v>
      </c>
    </row>
    <row r="253" spans="1:4" x14ac:dyDescent="0.35">
      <c r="A253" t="s">
        <v>635</v>
      </c>
      <c r="B253" s="74">
        <v>1</v>
      </c>
      <c r="C253" s="74">
        <v>1</v>
      </c>
      <c r="D253" s="176">
        <f t="shared" si="3"/>
        <v>0</v>
      </c>
    </row>
    <row r="254" spans="1:4" x14ac:dyDescent="0.35">
      <c r="A254" t="s">
        <v>452</v>
      </c>
      <c r="B254" s="74">
        <v>1</v>
      </c>
      <c r="C254" s="74">
        <v>1</v>
      </c>
      <c r="D254" s="176">
        <f t="shared" si="3"/>
        <v>0</v>
      </c>
    </row>
    <row r="255" spans="1:4" x14ac:dyDescent="0.35">
      <c r="A255" t="s">
        <v>637</v>
      </c>
      <c r="B255" s="74">
        <v>1</v>
      </c>
      <c r="C255" s="74">
        <v>1</v>
      </c>
      <c r="D255" s="176">
        <f t="shared" si="3"/>
        <v>0</v>
      </c>
    </row>
    <row r="256" spans="1:4" x14ac:dyDescent="0.35">
      <c r="A256" t="s">
        <v>922</v>
      </c>
      <c r="B256" s="74">
        <v>1</v>
      </c>
      <c r="C256" s="74">
        <v>1</v>
      </c>
      <c r="D256" s="176">
        <f t="shared" si="3"/>
        <v>0</v>
      </c>
    </row>
    <row r="257" spans="1:4" x14ac:dyDescent="0.35">
      <c r="A257" t="s">
        <v>89</v>
      </c>
      <c r="B257" s="74">
        <v>1</v>
      </c>
      <c r="C257" s="74">
        <v>1</v>
      </c>
      <c r="D257" s="176">
        <f t="shared" si="3"/>
        <v>0</v>
      </c>
    </row>
    <row r="258" spans="1:4" x14ac:dyDescent="0.35">
      <c r="A258" t="s">
        <v>920</v>
      </c>
      <c r="B258" s="74">
        <v>1</v>
      </c>
      <c r="C258" s="74">
        <v>1</v>
      </c>
      <c r="D258" s="176">
        <f t="shared" ref="D258:D321" si="4">IF(ISNUMBER(J592),L592,M592)</f>
        <v>0</v>
      </c>
    </row>
    <row r="259" spans="1:4" x14ac:dyDescent="0.35">
      <c r="A259" t="s">
        <v>923</v>
      </c>
      <c r="B259" s="74">
        <v>1</v>
      </c>
      <c r="C259" s="74">
        <v>1</v>
      </c>
      <c r="D259" s="176">
        <f t="shared" si="4"/>
        <v>0</v>
      </c>
    </row>
    <row r="260" spans="1:4" x14ac:dyDescent="0.35">
      <c r="A260" t="s">
        <v>548</v>
      </c>
      <c r="B260" s="74">
        <v>1</v>
      </c>
      <c r="C260" s="74">
        <v>0.3</v>
      </c>
      <c r="D260" s="176">
        <f t="shared" si="4"/>
        <v>0</v>
      </c>
    </row>
    <row r="261" spans="1:4" x14ac:dyDescent="0.35">
      <c r="A261" t="s">
        <v>939</v>
      </c>
      <c r="B261" s="74">
        <v>1</v>
      </c>
      <c r="C261" s="74">
        <v>1</v>
      </c>
      <c r="D261" s="176">
        <f t="shared" si="4"/>
        <v>0</v>
      </c>
    </row>
    <row r="262" spans="1:4" x14ac:dyDescent="0.35">
      <c r="A262" t="s">
        <v>487</v>
      </c>
      <c r="B262" s="74">
        <v>1</v>
      </c>
      <c r="C262" s="74">
        <v>1</v>
      </c>
      <c r="D262" s="176">
        <f t="shared" si="4"/>
        <v>0</v>
      </c>
    </row>
    <row r="263" spans="1:4" x14ac:dyDescent="0.35">
      <c r="A263" t="s">
        <v>1069</v>
      </c>
      <c r="B263" s="74">
        <v>1</v>
      </c>
      <c r="C263" s="74">
        <v>1</v>
      </c>
      <c r="D263" s="176">
        <f t="shared" si="4"/>
        <v>0</v>
      </c>
    </row>
    <row r="264" spans="1:4" x14ac:dyDescent="0.35">
      <c r="A264" t="s">
        <v>238</v>
      </c>
      <c r="B264" s="74">
        <v>1</v>
      </c>
      <c r="C264" s="74">
        <v>1</v>
      </c>
      <c r="D264" s="176">
        <f t="shared" si="4"/>
        <v>0</v>
      </c>
    </row>
    <row r="265" spans="1:4" x14ac:dyDescent="0.35">
      <c r="A265" t="s">
        <v>424</v>
      </c>
      <c r="B265" s="74">
        <v>1</v>
      </c>
      <c r="C265" s="74">
        <v>0.2</v>
      </c>
      <c r="D265" s="176">
        <f t="shared" si="4"/>
        <v>0</v>
      </c>
    </row>
    <row r="266" spans="1:4" x14ac:dyDescent="0.35">
      <c r="A266" t="s">
        <v>128</v>
      </c>
      <c r="B266" s="74">
        <v>1</v>
      </c>
      <c r="C266" s="74">
        <v>1</v>
      </c>
      <c r="D266" s="176">
        <f t="shared" si="4"/>
        <v>0</v>
      </c>
    </row>
    <row r="267" spans="1:4" x14ac:dyDescent="0.35">
      <c r="A267" t="s">
        <v>868</v>
      </c>
      <c r="B267" s="74">
        <v>1</v>
      </c>
      <c r="C267" s="74">
        <v>0.3</v>
      </c>
      <c r="D267" s="176">
        <f t="shared" si="4"/>
        <v>0</v>
      </c>
    </row>
    <row r="268" spans="1:4" x14ac:dyDescent="0.35">
      <c r="A268" t="s">
        <v>787</v>
      </c>
      <c r="B268" s="74">
        <v>1</v>
      </c>
      <c r="C268" s="74">
        <v>1</v>
      </c>
      <c r="D268" s="176">
        <f t="shared" si="4"/>
        <v>0</v>
      </c>
    </row>
    <row r="269" spans="1:4" x14ac:dyDescent="0.35">
      <c r="A269" t="s">
        <v>568</v>
      </c>
      <c r="B269" s="74">
        <v>1</v>
      </c>
      <c r="C269" s="74">
        <v>1</v>
      </c>
      <c r="D269" s="176">
        <f t="shared" si="4"/>
        <v>0</v>
      </c>
    </row>
    <row r="270" spans="1:4" x14ac:dyDescent="0.35">
      <c r="A270" t="s">
        <v>143</v>
      </c>
      <c r="B270" s="74">
        <v>1</v>
      </c>
      <c r="C270" s="74">
        <v>1</v>
      </c>
      <c r="D270" s="176">
        <f t="shared" si="4"/>
        <v>0</v>
      </c>
    </row>
    <row r="271" spans="1:4" x14ac:dyDescent="0.35">
      <c r="A271" t="s">
        <v>575</v>
      </c>
      <c r="B271" s="74">
        <v>1</v>
      </c>
      <c r="C271" s="74">
        <v>1</v>
      </c>
      <c r="D271" s="176">
        <f t="shared" si="4"/>
        <v>0</v>
      </c>
    </row>
    <row r="272" spans="1:4" x14ac:dyDescent="0.35">
      <c r="A272" t="s">
        <v>555</v>
      </c>
      <c r="B272" s="74">
        <v>1</v>
      </c>
      <c r="C272" s="74">
        <v>1</v>
      </c>
      <c r="D272" s="176">
        <f t="shared" si="4"/>
        <v>0</v>
      </c>
    </row>
    <row r="273" spans="1:4" x14ac:dyDescent="0.35">
      <c r="A273" t="s">
        <v>745</v>
      </c>
      <c r="B273" s="74">
        <v>1</v>
      </c>
      <c r="C273" s="74">
        <v>1</v>
      </c>
      <c r="D273" s="176">
        <f t="shared" si="4"/>
        <v>0</v>
      </c>
    </row>
    <row r="274" spans="1:4" x14ac:dyDescent="0.35">
      <c r="A274" t="s">
        <v>350</v>
      </c>
      <c r="B274" s="74">
        <v>1</v>
      </c>
      <c r="C274" s="74">
        <v>0.7</v>
      </c>
      <c r="D274" s="176">
        <f t="shared" si="4"/>
        <v>0</v>
      </c>
    </row>
    <row r="275" spans="1:4" x14ac:dyDescent="0.35">
      <c r="A275" t="s">
        <v>106</v>
      </c>
      <c r="B275" s="74">
        <v>1</v>
      </c>
      <c r="C275" s="74">
        <v>1</v>
      </c>
      <c r="D275" s="176">
        <f t="shared" si="4"/>
        <v>0</v>
      </c>
    </row>
    <row r="276" spans="1:4" x14ac:dyDescent="0.35">
      <c r="A276" t="s">
        <v>713</v>
      </c>
      <c r="B276" s="74">
        <v>1</v>
      </c>
      <c r="C276" s="74">
        <v>0.4</v>
      </c>
      <c r="D276" s="176">
        <f t="shared" si="4"/>
        <v>0</v>
      </c>
    </row>
    <row r="277" spans="1:4" x14ac:dyDescent="0.35">
      <c r="A277" t="s">
        <v>869</v>
      </c>
      <c r="B277" s="74">
        <v>1</v>
      </c>
      <c r="C277" s="74">
        <v>1</v>
      </c>
      <c r="D277" s="176">
        <f t="shared" si="4"/>
        <v>0</v>
      </c>
    </row>
    <row r="278" spans="1:4" x14ac:dyDescent="0.35">
      <c r="A278" t="s">
        <v>925</v>
      </c>
      <c r="B278" s="74">
        <v>1</v>
      </c>
      <c r="C278" s="74">
        <v>1</v>
      </c>
      <c r="D278" s="176">
        <f t="shared" si="4"/>
        <v>0</v>
      </c>
    </row>
    <row r="279" spans="1:4" x14ac:dyDescent="0.35">
      <c r="A279" t="s">
        <v>938</v>
      </c>
      <c r="B279" s="74">
        <v>1</v>
      </c>
      <c r="C279" s="74">
        <v>1</v>
      </c>
      <c r="D279" s="176">
        <f t="shared" si="4"/>
        <v>0</v>
      </c>
    </row>
    <row r="280" spans="1:4" x14ac:dyDescent="0.35">
      <c r="A280" t="s">
        <v>546</v>
      </c>
      <c r="B280" s="74">
        <v>1</v>
      </c>
      <c r="C280" s="74">
        <v>0.3</v>
      </c>
      <c r="D280" s="176">
        <f t="shared" si="4"/>
        <v>0</v>
      </c>
    </row>
    <row r="281" spans="1:4" x14ac:dyDescent="0.35">
      <c r="A281" t="s">
        <v>716</v>
      </c>
      <c r="B281" s="74">
        <v>1</v>
      </c>
      <c r="C281" s="74">
        <v>1</v>
      </c>
      <c r="D281" s="176">
        <f t="shared" si="4"/>
        <v>0</v>
      </c>
    </row>
    <row r="282" spans="1:4" x14ac:dyDescent="0.35">
      <c r="A282" t="s">
        <v>867</v>
      </c>
      <c r="B282" s="74">
        <v>1</v>
      </c>
      <c r="C282" s="74">
        <v>1</v>
      </c>
      <c r="D282" s="176">
        <f t="shared" si="4"/>
        <v>0</v>
      </c>
    </row>
    <row r="283" spans="1:4" x14ac:dyDescent="0.35">
      <c r="A283" t="s">
        <v>866</v>
      </c>
      <c r="B283" s="74">
        <v>1</v>
      </c>
      <c r="C283" s="74">
        <v>1</v>
      </c>
      <c r="D283" s="176">
        <f t="shared" si="4"/>
        <v>0</v>
      </c>
    </row>
    <row r="284" spans="1:4" x14ac:dyDescent="0.35">
      <c r="A284" t="s">
        <v>949</v>
      </c>
      <c r="B284" s="74">
        <v>1</v>
      </c>
      <c r="C284" s="74">
        <v>1</v>
      </c>
      <c r="D284" s="176">
        <f t="shared" si="4"/>
        <v>0</v>
      </c>
    </row>
    <row r="285" spans="1:4" x14ac:dyDescent="0.35">
      <c r="A285" t="s">
        <v>554</v>
      </c>
      <c r="B285" s="74">
        <v>1</v>
      </c>
      <c r="C285" s="74">
        <v>1</v>
      </c>
      <c r="D285" s="176">
        <f t="shared" si="4"/>
        <v>0</v>
      </c>
    </row>
    <row r="286" spans="1:4" x14ac:dyDescent="0.35">
      <c r="A286" t="s">
        <v>632</v>
      </c>
      <c r="B286" s="74">
        <v>1</v>
      </c>
      <c r="C286" s="74">
        <v>1</v>
      </c>
      <c r="D286" s="176">
        <f t="shared" si="4"/>
        <v>0</v>
      </c>
    </row>
    <row r="287" spans="1:4" x14ac:dyDescent="0.35">
      <c r="A287" t="s">
        <v>408</v>
      </c>
      <c r="B287" s="74">
        <v>1</v>
      </c>
      <c r="C287" s="74">
        <v>1</v>
      </c>
      <c r="D287" s="176">
        <f t="shared" si="4"/>
        <v>0</v>
      </c>
    </row>
    <row r="288" spans="1:4" x14ac:dyDescent="0.35">
      <c r="A288" t="s">
        <v>924</v>
      </c>
      <c r="B288" s="74">
        <v>1</v>
      </c>
      <c r="C288" s="74">
        <v>1</v>
      </c>
      <c r="D288" s="176">
        <f t="shared" si="4"/>
        <v>0</v>
      </c>
    </row>
    <row r="289" spans="1:4" x14ac:dyDescent="0.35">
      <c r="A289" t="s">
        <v>256</v>
      </c>
      <c r="B289" s="74">
        <v>1</v>
      </c>
      <c r="C289" s="74">
        <v>1</v>
      </c>
      <c r="D289" s="176">
        <f t="shared" si="4"/>
        <v>0</v>
      </c>
    </row>
    <row r="290" spans="1:4" x14ac:dyDescent="0.35">
      <c r="A290" t="s">
        <v>228</v>
      </c>
      <c r="B290" s="74">
        <v>1</v>
      </c>
      <c r="C290" s="74">
        <v>1</v>
      </c>
      <c r="D290" s="176">
        <f t="shared" si="4"/>
        <v>0</v>
      </c>
    </row>
    <row r="291" spans="1:4" x14ac:dyDescent="0.35">
      <c r="A291" t="s">
        <v>577</v>
      </c>
      <c r="B291" s="74">
        <v>1</v>
      </c>
      <c r="C291" s="74">
        <v>1</v>
      </c>
      <c r="D291" s="176">
        <f t="shared" si="4"/>
        <v>0</v>
      </c>
    </row>
    <row r="292" spans="1:4" x14ac:dyDescent="0.35">
      <c r="A292" t="s">
        <v>794</v>
      </c>
      <c r="B292" s="74">
        <v>1</v>
      </c>
      <c r="C292" s="74">
        <v>1</v>
      </c>
      <c r="D292" s="176">
        <f t="shared" si="4"/>
        <v>0</v>
      </c>
    </row>
    <row r="293" spans="1:4" x14ac:dyDescent="0.35">
      <c r="A293" t="s">
        <v>571</v>
      </c>
      <c r="B293" s="74">
        <v>1</v>
      </c>
      <c r="C293" s="74">
        <v>1</v>
      </c>
      <c r="D293" s="176">
        <f t="shared" si="4"/>
        <v>0</v>
      </c>
    </row>
    <row r="294" spans="1:4" x14ac:dyDescent="0.35">
      <c r="A294" t="s">
        <v>243</v>
      </c>
      <c r="B294" s="74">
        <v>1</v>
      </c>
      <c r="C294" s="74">
        <v>1</v>
      </c>
      <c r="D294" s="176">
        <f t="shared" si="4"/>
        <v>0</v>
      </c>
    </row>
    <row r="295" spans="1:4" x14ac:dyDescent="0.35">
      <c r="A295" t="s">
        <v>116</v>
      </c>
      <c r="B295" s="74">
        <v>1</v>
      </c>
      <c r="C295" s="74">
        <v>1</v>
      </c>
      <c r="D295" s="176">
        <f t="shared" si="4"/>
        <v>0</v>
      </c>
    </row>
    <row r="296" spans="1:4" x14ac:dyDescent="0.35">
      <c r="A296" t="s">
        <v>453</v>
      </c>
      <c r="B296" s="74">
        <v>1</v>
      </c>
      <c r="C296" s="74">
        <v>1</v>
      </c>
      <c r="D296" s="176">
        <f t="shared" si="4"/>
        <v>0</v>
      </c>
    </row>
    <row r="297" spans="1:4" x14ac:dyDescent="0.35">
      <c r="A297" t="s">
        <v>543</v>
      </c>
      <c r="B297" s="74">
        <v>1</v>
      </c>
      <c r="C297" s="74">
        <v>1</v>
      </c>
      <c r="D297" s="176">
        <f t="shared" si="4"/>
        <v>0</v>
      </c>
    </row>
    <row r="298" spans="1:4" x14ac:dyDescent="0.35">
      <c r="A298" t="s">
        <v>782</v>
      </c>
      <c r="B298" s="74">
        <v>1</v>
      </c>
      <c r="C298" s="74">
        <v>1</v>
      </c>
      <c r="D298" s="176">
        <f t="shared" si="4"/>
        <v>0</v>
      </c>
    </row>
    <row r="299" spans="1:4" x14ac:dyDescent="0.35">
      <c r="A299" t="s">
        <v>592</v>
      </c>
      <c r="B299" s="74">
        <v>1</v>
      </c>
      <c r="C299" s="74">
        <v>1</v>
      </c>
      <c r="D299" s="176">
        <f t="shared" si="4"/>
        <v>0</v>
      </c>
    </row>
    <row r="300" spans="1:4" x14ac:dyDescent="0.35">
      <c r="A300" t="s">
        <v>445</v>
      </c>
      <c r="B300" s="74">
        <v>1</v>
      </c>
      <c r="C300" s="74">
        <v>1</v>
      </c>
      <c r="D300" s="176">
        <f t="shared" si="4"/>
        <v>0</v>
      </c>
    </row>
    <row r="301" spans="1:4" x14ac:dyDescent="0.35">
      <c r="A301" t="s">
        <v>126</v>
      </c>
      <c r="B301" s="74">
        <v>1</v>
      </c>
      <c r="C301" s="74">
        <v>1</v>
      </c>
      <c r="D301" s="176">
        <f t="shared" si="4"/>
        <v>0</v>
      </c>
    </row>
    <row r="302" spans="1:4" x14ac:dyDescent="0.35">
      <c r="A302" t="s">
        <v>373</v>
      </c>
      <c r="B302" s="74">
        <v>1</v>
      </c>
      <c r="C302" s="74">
        <v>1</v>
      </c>
      <c r="D302" s="176">
        <f t="shared" si="4"/>
        <v>0</v>
      </c>
    </row>
    <row r="303" spans="1:4" x14ac:dyDescent="0.35">
      <c r="A303" t="s">
        <v>616</v>
      </c>
      <c r="B303" s="74">
        <v>1</v>
      </c>
      <c r="C303" s="74">
        <v>1</v>
      </c>
      <c r="D303" s="176">
        <f t="shared" si="4"/>
        <v>0</v>
      </c>
    </row>
    <row r="304" spans="1:4" x14ac:dyDescent="0.35">
      <c r="A304" t="s">
        <v>865</v>
      </c>
      <c r="B304" s="74">
        <v>1</v>
      </c>
      <c r="C304" s="74">
        <v>0.5</v>
      </c>
      <c r="D304" s="176">
        <f t="shared" si="4"/>
        <v>0</v>
      </c>
    </row>
    <row r="305" spans="1:4" x14ac:dyDescent="0.35">
      <c r="A305" t="s">
        <v>854</v>
      </c>
      <c r="B305" s="74">
        <v>1</v>
      </c>
      <c r="C305" s="74">
        <v>0.6</v>
      </c>
      <c r="D305" s="176">
        <f t="shared" si="4"/>
        <v>0</v>
      </c>
    </row>
    <row r="306" spans="1:4" x14ac:dyDescent="0.35">
      <c r="A306" t="s">
        <v>572</v>
      </c>
      <c r="B306" s="74">
        <v>1</v>
      </c>
      <c r="C306" s="74">
        <v>1</v>
      </c>
      <c r="D306" s="176">
        <f t="shared" si="4"/>
        <v>0</v>
      </c>
    </row>
    <row r="307" spans="1:4" x14ac:dyDescent="0.35">
      <c r="A307" t="s">
        <v>739</v>
      </c>
      <c r="B307" s="74">
        <v>1</v>
      </c>
      <c r="C307" s="74">
        <v>1</v>
      </c>
      <c r="D307" s="176">
        <f t="shared" si="4"/>
        <v>0</v>
      </c>
    </row>
    <row r="308" spans="1:4" x14ac:dyDescent="0.35">
      <c r="A308" t="s">
        <v>423</v>
      </c>
      <c r="B308" s="74">
        <v>1</v>
      </c>
      <c r="C308" s="74">
        <v>1</v>
      </c>
      <c r="D308" s="176">
        <f t="shared" si="4"/>
        <v>0</v>
      </c>
    </row>
    <row r="309" spans="1:4" x14ac:dyDescent="0.35">
      <c r="A309" t="s">
        <v>374</v>
      </c>
      <c r="B309" s="74">
        <v>1</v>
      </c>
      <c r="C309" s="74">
        <v>1</v>
      </c>
      <c r="D309" s="176">
        <f t="shared" si="4"/>
        <v>0</v>
      </c>
    </row>
    <row r="310" spans="1:4" x14ac:dyDescent="0.35">
      <c r="A310" t="s">
        <v>260</v>
      </c>
      <c r="B310" s="74">
        <v>1</v>
      </c>
      <c r="C310" s="74">
        <v>1</v>
      </c>
      <c r="D310" s="176">
        <f t="shared" si="4"/>
        <v>0</v>
      </c>
    </row>
    <row r="311" spans="1:4" x14ac:dyDescent="0.35">
      <c r="A311" t="s">
        <v>247</v>
      </c>
      <c r="B311" s="74">
        <v>1</v>
      </c>
      <c r="C311" s="74">
        <v>1</v>
      </c>
      <c r="D311" s="176">
        <f t="shared" si="4"/>
        <v>0</v>
      </c>
    </row>
    <row r="312" spans="1:4" x14ac:dyDescent="0.35">
      <c r="A312" t="s">
        <v>942</v>
      </c>
      <c r="B312" s="74">
        <v>1</v>
      </c>
      <c r="C312" s="74">
        <v>1</v>
      </c>
      <c r="D312" s="176">
        <f t="shared" si="4"/>
        <v>0</v>
      </c>
    </row>
    <row r="313" spans="1:4" x14ac:dyDescent="0.35">
      <c r="A313" t="s">
        <v>457</v>
      </c>
      <c r="B313" s="74">
        <v>1</v>
      </c>
      <c r="C313" s="74">
        <v>1</v>
      </c>
      <c r="D313" s="176">
        <f t="shared" si="4"/>
        <v>0</v>
      </c>
    </row>
    <row r="314" spans="1:4" x14ac:dyDescent="0.35">
      <c r="A314" t="s">
        <v>456</v>
      </c>
      <c r="B314" s="74">
        <v>1</v>
      </c>
      <c r="C314" s="74">
        <v>1</v>
      </c>
      <c r="D314" s="176">
        <f t="shared" si="4"/>
        <v>0</v>
      </c>
    </row>
    <row r="315" spans="1:4" x14ac:dyDescent="0.35">
      <c r="A315" t="s">
        <v>485</v>
      </c>
      <c r="B315" s="74">
        <v>1</v>
      </c>
      <c r="C315" s="74">
        <v>1</v>
      </c>
      <c r="D315" s="176">
        <f t="shared" si="4"/>
        <v>0</v>
      </c>
    </row>
    <row r="316" spans="1:4" x14ac:dyDescent="0.35">
      <c r="A316" t="s">
        <v>880</v>
      </c>
      <c r="B316" s="74">
        <v>1</v>
      </c>
      <c r="C316" s="74">
        <v>1</v>
      </c>
      <c r="D316" s="176">
        <f t="shared" si="4"/>
        <v>0</v>
      </c>
    </row>
    <row r="317" spans="1:4" x14ac:dyDescent="0.35">
      <c r="A317" t="s">
        <v>1070</v>
      </c>
      <c r="B317" s="74">
        <v>1</v>
      </c>
      <c r="C317" s="74">
        <v>1</v>
      </c>
      <c r="D317" s="176">
        <f t="shared" si="4"/>
        <v>0</v>
      </c>
    </row>
    <row r="318" spans="1:4" x14ac:dyDescent="0.35">
      <c r="A318" t="s">
        <v>737</v>
      </c>
      <c r="B318" s="74">
        <v>1</v>
      </c>
      <c r="C318" s="74">
        <v>1</v>
      </c>
      <c r="D318" s="176">
        <f t="shared" si="4"/>
        <v>0</v>
      </c>
    </row>
    <row r="319" spans="1:4" x14ac:dyDescent="0.35">
      <c r="A319" t="s">
        <v>799</v>
      </c>
      <c r="B319" s="74">
        <v>1</v>
      </c>
      <c r="C319" s="74">
        <v>1</v>
      </c>
      <c r="D319" s="176">
        <f t="shared" si="4"/>
        <v>0</v>
      </c>
    </row>
    <row r="320" spans="1:4" x14ac:dyDescent="0.35">
      <c r="A320" t="s">
        <v>639</v>
      </c>
      <c r="B320" s="74">
        <v>1</v>
      </c>
      <c r="C320" s="74">
        <v>1</v>
      </c>
      <c r="D320" s="176">
        <f t="shared" si="4"/>
        <v>0</v>
      </c>
    </row>
    <row r="321" spans="1:4" x14ac:dyDescent="0.35">
      <c r="A321" t="s">
        <v>649</v>
      </c>
      <c r="B321" s="74">
        <v>1</v>
      </c>
      <c r="C321" s="74">
        <v>1</v>
      </c>
      <c r="D321" s="176">
        <f t="shared" si="4"/>
        <v>0</v>
      </c>
    </row>
    <row r="322" spans="1:4" x14ac:dyDescent="0.35">
      <c r="A322" t="s">
        <v>599</v>
      </c>
      <c r="B322" s="74">
        <v>1</v>
      </c>
      <c r="C322" s="74">
        <v>1</v>
      </c>
      <c r="D322" s="176">
        <f t="shared" ref="D322:D331" si="5">IF(ISNUMBER(J656),L656,M656)</f>
        <v>0</v>
      </c>
    </row>
    <row r="323" spans="1:4" x14ac:dyDescent="0.35">
      <c r="A323" t="s">
        <v>149</v>
      </c>
      <c r="B323" s="74">
        <v>1</v>
      </c>
      <c r="C323" s="74">
        <v>1</v>
      </c>
      <c r="D323" s="176">
        <f t="shared" si="5"/>
        <v>0</v>
      </c>
    </row>
    <row r="324" spans="1:4" x14ac:dyDescent="0.35">
      <c r="A324" t="s">
        <v>715</v>
      </c>
      <c r="B324" s="74">
        <v>1</v>
      </c>
      <c r="C324" s="74">
        <v>1</v>
      </c>
      <c r="D324" s="176">
        <f t="shared" si="5"/>
        <v>0</v>
      </c>
    </row>
    <row r="325" spans="1:4" x14ac:dyDescent="0.35">
      <c r="A325" t="s">
        <v>425</v>
      </c>
      <c r="B325" s="74">
        <v>1</v>
      </c>
      <c r="C325" s="74">
        <v>1</v>
      </c>
      <c r="D325" s="176">
        <f t="shared" si="5"/>
        <v>0</v>
      </c>
    </row>
    <row r="326" spans="1:4" x14ac:dyDescent="0.35">
      <c r="A326" t="s">
        <v>926</v>
      </c>
      <c r="B326" s="74">
        <v>1</v>
      </c>
      <c r="C326" s="74">
        <v>1</v>
      </c>
      <c r="D326" s="176">
        <f t="shared" si="5"/>
        <v>0</v>
      </c>
    </row>
    <row r="327" spans="1:4" x14ac:dyDescent="0.35">
      <c r="A327" t="s">
        <v>598</v>
      </c>
      <c r="B327" s="74">
        <v>1</v>
      </c>
      <c r="C327" s="74">
        <v>1</v>
      </c>
      <c r="D327" s="176">
        <f t="shared" si="5"/>
        <v>0</v>
      </c>
    </row>
    <row r="328" spans="1:4" x14ac:dyDescent="0.35">
      <c r="A328" t="s">
        <v>449</v>
      </c>
      <c r="B328" s="74">
        <v>1</v>
      </c>
      <c r="C328" s="74">
        <v>1</v>
      </c>
      <c r="D328" s="176">
        <f t="shared" si="5"/>
        <v>0</v>
      </c>
    </row>
    <row r="329" spans="1:4" x14ac:dyDescent="0.35">
      <c r="A329" t="s">
        <v>527</v>
      </c>
      <c r="B329" s="74">
        <v>1</v>
      </c>
      <c r="C329" s="74">
        <v>1</v>
      </c>
      <c r="D329" s="176">
        <f t="shared" si="5"/>
        <v>0</v>
      </c>
    </row>
    <row r="330" spans="1:4" x14ac:dyDescent="0.35">
      <c r="A330" t="s">
        <v>792</v>
      </c>
      <c r="B330" s="74">
        <v>1</v>
      </c>
      <c r="C330" s="74">
        <v>1</v>
      </c>
      <c r="D330" s="176">
        <f t="shared" si="5"/>
        <v>0</v>
      </c>
    </row>
    <row r="331" spans="1:4" x14ac:dyDescent="0.35">
      <c r="A331" t="s">
        <v>242</v>
      </c>
      <c r="B331" s="74">
        <v>1</v>
      </c>
      <c r="C331" s="74">
        <v>1</v>
      </c>
      <c r="D331" s="176">
        <f t="shared" si="5"/>
        <v>0</v>
      </c>
    </row>
    <row r="332" spans="1:4" x14ac:dyDescent="0.35">
      <c r="A332" t="s">
        <v>498</v>
      </c>
      <c r="B332" s="74">
        <v>1</v>
      </c>
      <c r="C332" s="74">
        <v>1</v>
      </c>
      <c r="D332" s="176">
        <f t="shared" ref="D332:D395" si="6">IF(ISNUMBER(J666),L666,M666)</f>
        <v>0</v>
      </c>
    </row>
    <row r="333" spans="1:4" x14ac:dyDescent="0.35">
      <c r="A333" t="s">
        <v>357</v>
      </c>
      <c r="B333" s="74">
        <v>1</v>
      </c>
      <c r="C333" s="74">
        <v>1</v>
      </c>
      <c r="D333" s="176">
        <f t="shared" si="6"/>
        <v>0</v>
      </c>
    </row>
    <row r="334" spans="1:4" x14ac:dyDescent="0.35">
      <c r="A334" t="s">
        <v>800</v>
      </c>
      <c r="B334" s="74">
        <v>1</v>
      </c>
      <c r="C334" s="74">
        <v>1</v>
      </c>
      <c r="D334" s="176">
        <f t="shared" si="6"/>
        <v>0</v>
      </c>
    </row>
    <row r="335" spans="1:4" x14ac:dyDescent="0.35">
      <c r="A335" t="s">
        <v>482</v>
      </c>
      <c r="B335" s="74">
        <v>1</v>
      </c>
      <c r="C335" s="74">
        <v>1</v>
      </c>
      <c r="D335" s="176">
        <f t="shared" si="6"/>
        <v>0</v>
      </c>
    </row>
    <row r="336" spans="1:4" x14ac:dyDescent="0.35">
      <c r="A336" t="s">
        <v>455</v>
      </c>
      <c r="B336" s="74">
        <v>1</v>
      </c>
      <c r="C336" s="74">
        <v>1</v>
      </c>
      <c r="D336" s="176">
        <f t="shared" si="6"/>
        <v>0</v>
      </c>
    </row>
    <row r="337" spans="1:4" x14ac:dyDescent="0.35">
      <c r="A337" t="s">
        <v>1001</v>
      </c>
      <c r="B337" s="74">
        <v>1</v>
      </c>
      <c r="C337" s="74">
        <v>1</v>
      </c>
      <c r="D337" s="176">
        <f t="shared" si="6"/>
        <v>0</v>
      </c>
    </row>
    <row r="338" spans="1:4" x14ac:dyDescent="0.35">
      <c r="A338" t="s">
        <v>640</v>
      </c>
      <c r="B338" s="74">
        <v>1</v>
      </c>
      <c r="C338" s="74">
        <v>1</v>
      </c>
      <c r="D338" s="176">
        <f t="shared" si="6"/>
        <v>0</v>
      </c>
    </row>
    <row r="339" spans="1:4" x14ac:dyDescent="0.35">
      <c r="A339" t="s">
        <v>744</v>
      </c>
      <c r="B339" s="74">
        <v>1</v>
      </c>
      <c r="C339" s="74">
        <v>1</v>
      </c>
      <c r="D339" s="176">
        <f t="shared" si="6"/>
        <v>0</v>
      </c>
    </row>
    <row r="340" spans="1:4" x14ac:dyDescent="0.35">
      <c r="A340" t="s">
        <v>703</v>
      </c>
      <c r="B340" s="74">
        <v>1</v>
      </c>
      <c r="C340" s="74">
        <v>1</v>
      </c>
      <c r="D340" s="176">
        <f t="shared" si="6"/>
        <v>0</v>
      </c>
    </row>
    <row r="341" spans="1:4" x14ac:dyDescent="0.35">
      <c r="A341" t="s">
        <v>719</v>
      </c>
      <c r="B341" s="74">
        <v>1</v>
      </c>
      <c r="C341" s="74">
        <v>1</v>
      </c>
      <c r="D341" s="176">
        <f t="shared" si="6"/>
        <v>0</v>
      </c>
    </row>
    <row r="342" spans="1:4" x14ac:dyDescent="0.35">
      <c r="A342" t="s">
        <v>648</v>
      </c>
      <c r="B342" s="74">
        <v>1</v>
      </c>
      <c r="C342" s="74">
        <v>1</v>
      </c>
      <c r="D342" s="176">
        <f t="shared" si="6"/>
        <v>0</v>
      </c>
    </row>
    <row r="343" spans="1:4" x14ac:dyDescent="0.35">
      <c r="A343" t="s">
        <v>1002</v>
      </c>
      <c r="B343" s="74">
        <v>1</v>
      </c>
      <c r="C343" s="74">
        <v>1</v>
      </c>
      <c r="D343" s="176">
        <f t="shared" si="6"/>
        <v>0</v>
      </c>
    </row>
    <row r="344" spans="1:4" x14ac:dyDescent="0.35">
      <c r="A344" t="s">
        <v>941</v>
      </c>
      <c r="B344" s="74">
        <v>1</v>
      </c>
      <c r="C344" s="74">
        <v>1</v>
      </c>
      <c r="D344" s="176">
        <f t="shared" si="6"/>
        <v>0</v>
      </c>
    </row>
    <row r="345" spans="1:4" x14ac:dyDescent="0.35">
      <c r="A345" t="s">
        <v>844</v>
      </c>
      <c r="B345" s="74">
        <v>1</v>
      </c>
      <c r="C345" s="74">
        <v>1</v>
      </c>
      <c r="D345" s="176">
        <f t="shared" si="6"/>
        <v>0</v>
      </c>
    </row>
    <row r="346" spans="1:4" x14ac:dyDescent="0.35">
      <c r="A346" t="s">
        <v>940</v>
      </c>
      <c r="B346" s="74">
        <v>1</v>
      </c>
      <c r="C346" s="74">
        <v>1</v>
      </c>
      <c r="D346" s="176">
        <f t="shared" si="6"/>
        <v>0</v>
      </c>
    </row>
    <row r="347" spans="1:4" x14ac:dyDescent="0.35">
      <c r="A347" t="s">
        <v>943</v>
      </c>
      <c r="B347" s="74">
        <v>1</v>
      </c>
      <c r="C347" s="74">
        <v>1</v>
      </c>
      <c r="D347" s="176">
        <f t="shared" si="6"/>
        <v>0</v>
      </c>
    </row>
    <row r="348" spans="1:4" x14ac:dyDescent="0.35">
      <c r="A348" t="s">
        <v>704</v>
      </c>
      <c r="B348" s="74">
        <v>1</v>
      </c>
      <c r="C348" s="74">
        <v>1</v>
      </c>
      <c r="D348" s="176">
        <f t="shared" si="6"/>
        <v>0</v>
      </c>
    </row>
    <row r="349" spans="1:4" x14ac:dyDescent="0.35">
      <c r="A349" t="s">
        <v>950</v>
      </c>
      <c r="B349" s="74">
        <v>1</v>
      </c>
      <c r="C349" s="74">
        <v>1</v>
      </c>
      <c r="D349" s="176">
        <f t="shared" si="6"/>
        <v>0</v>
      </c>
    </row>
    <row r="350" spans="1:4" x14ac:dyDescent="0.35">
      <c r="A350" t="s">
        <v>721</v>
      </c>
      <c r="B350" s="74">
        <v>1</v>
      </c>
      <c r="C350" s="74">
        <v>1</v>
      </c>
      <c r="D350" s="176">
        <f t="shared" si="6"/>
        <v>0</v>
      </c>
    </row>
    <row r="351" spans="1:4" x14ac:dyDescent="0.35">
      <c r="A351" t="s">
        <v>765</v>
      </c>
      <c r="B351" s="74">
        <v>1</v>
      </c>
      <c r="C351" s="74">
        <v>1</v>
      </c>
      <c r="D351" s="176">
        <f t="shared" si="6"/>
        <v>0</v>
      </c>
    </row>
    <row r="352" spans="1:4" x14ac:dyDescent="0.35">
      <c r="A352" t="s">
        <v>801</v>
      </c>
      <c r="B352" s="74">
        <v>1</v>
      </c>
      <c r="C352" s="74">
        <v>1</v>
      </c>
      <c r="D352" s="176">
        <f t="shared" si="6"/>
        <v>0</v>
      </c>
    </row>
    <row r="353" spans="1:4" x14ac:dyDescent="0.35">
      <c r="A353" t="s">
        <v>763</v>
      </c>
      <c r="B353" s="74">
        <v>1</v>
      </c>
      <c r="C353" s="74">
        <v>1</v>
      </c>
      <c r="D353" s="176">
        <f t="shared" si="6"/>
        <v>0</v>
      </c>
    </row>
    <row r="354" spans="1:4" x14ac:dyDescent="0.35">
      <c r="A354" t="s">
        <v>873</v>
      </c>
      <c r="B354" s="74">
        <v>1</v>
      </c>
      <c r="C354" s="74">
        <v>1</v>
      </c>
      <c r="D354" s="176">
        <f t="shared" si="6"/>
        <v>0</v>
      </c>
    </row>
    <row r="355" spans="1:4" x14ac:dyDescent="0.35">
      <c r="A355" t="s">
        <v>441</v>
      </c>
      <c r="B355" s="74">
        <v>1</v>
      </c>
      <c r="C355" s="74">
        <v>1</v>
      </c>
      <c r="D355" s="176">
        <f t="shared" si="6"/>
        <v>0</v>
      </c>
    </row>
    <row r="356" spans="1:4" x14ac:dyDescent="0.35">
      <c r="A356" t="s">
        <v>450</v>
      </c>
      <c r="B356" s="74">
        <v>1</v>
      </c>
      <c r="C356" s="74">
        <v>1</v>
      </c>
      <c r="D356" s="176">
        <f t="shared" si="6"/>
        <v>0</v>
      </c>
    </row>
    <row r="357" spans="1:4" x14ac:dyDescent="0.35">
      <c r="A357" t="s">
        <v>945</v>
      </c>
      <c r="B357" s="74">
        <v>1</v>
      </c>
      <c r="C357" s="74">
        <v>1</v>
      </c>
      <c r="D357" s="176">
        <f t="shared" si="6"/>
        <v>0</v>
      </c>
    </row>
    <row r="358" spans="1:4" x14ac:dyDescent="0.35">
      <c r="A358" t="s">
        <v>933</v>
      </c>
      <c r="B358" s="74">
        <v>1</v>
      </c>
      <c r="C358" s="74">
        <v>1</v>
      </c>
      <c r="D358" s="176">
        <f t="shared" si="6"/>
        <v>0</v>
      </c>
    </row>
    <row r="359" spans="1:4" x14ac:dyDescent="0.35">
      <c r="A359" t="s">
        <v>802</v>
      </c>
      <c r="B359" s="74">
        <v>1</v>
      </c>
      <c r="C359" s="74">
        <v>1</v>
      </c>
      <c r="D359" s="176">
        <f t="shared" si="6"/>
        <v>0</v>
      </c>
    </row>
    <row r="360" spans="1:4" x14ac:dyDescent="0.35">
      <c r="A360" t="s">
        <v>508</v>
      </c>
      <c r="B360" s="74">
        <v>1</v>
      </c>
      <c r="C360" s="74">
        <v>1</v>
      </c>
      <c r="D360" s="176">
        <f t="shared" si="6"/>
        <v>0</v>
      </c>
    </row>
    <row r="361" spans="1:4" x14ac:dyDescent="0.35">
      <c r="A361" t="s">
        <v>720</v>
      </c>
      <c r="B361" s="74">
        <v>1</v>
      </c>
      <c r="C361" s="74">
        <v>1</v>
      </c>
      <c r="D361" s="176">
        <f t="shared" si="6"/>
        <v>0</v>
      </c>
    </row>
    <row r="362" spans="1:4" x14ac:dyDescent="0.35">
      <c r="A362" t="s">
        <v>760</v>
      </c>
      <c r="B362" s="74">
        <v>1</v>
      </c>
      <c r="C362" s="74">
        <v>1</v>
      </c>
      <c r="D362" s="176">
        <f t="shared" si="6"/>
        <v>0</v>
      </c>
    </row>
    <row r="363" spans="1:4" x14ac:dyDescent="0.35">
      <c r="A363" t="s">
        <v>372</v>
      </c>
      <c r="B363" s="74">
        <v>1</v>
      </c>
      <c r="C363" s="74">
        <v>1</v>
      </c>
      <c r="D363" s="176">
        <f t="shared" si="6"/>
        <v>0</v>
      </c>
    </row>
    <row r="364" spans="1:4" x14ac:dyDescent="0.35">
      <c r="A364" t="s">
        <v>947</v>
      </c>
      <c r="B364" s="74">
        <v>1</v>
      </c>
      <c r="C364" s="74">
        <v>1</v>
      </c>
      <c r="D364" s="176">
        <f t="shared" si="6"/>
        <v>0</v>
      </c>
    </row>
    <row r="365" spans="1:4" x14ac:dyDescent="0.35">
      <c r="A365" t="s">
        <v>946</v>
      </c>
      <c r="B365" s="74">
        <v>1</v>
      </c>
      <c r="C365" s="74">
        <v>1</v>
      </c>
      <c r="D365" s="176">
        <f t="shared" si="6"/>
        <v>0</v>
      </c>
    </row>
    <row r="366" spans="1:4" x14ac:dyDescent="0.35">
      <c r="A366" t="s">
        <v>948</v>
      </c>
      <c r="B366" s="74">
        <v>1</v>
      </c>
      <c r="C366" s="74">
        <v>1</v>
      </c>
      <c r="D366" s="176">
        <f t="shared" si="6"/>
        <v>0</v>
      </c>
    </row>
    <row r="367" spans="1:4" x14ac:dyDescent="0.35">
      <c r="A367" t="s">
        <v>741</v>
      </c>
      <c r="B367" s="74">
        <v>1</v>
      </c>
      <c r="C367" s="74">
        <v>1</v>
      </c>
      <c r="D367" s="176">
        <f t="shared" si="6"/>
        <v>0</v>
      </c>
    </row>
    <row r="368" spans="1:4" x14ac:dyDescent="0.35">
      <c r="A368" t="s">
        <v>871</v>
      </c>
      <c r="B368" s="74">
        <v>1</v>
      </c>
      <c r="C368" s="74">
        <v>1</v>
      </c>
      <c r="D368" s="176">
        <f t="shared" si="6"/>
        <v>0</v>
      </c>
    </row>
    <row r="369" spans="1:4" x14ac:dyDescent="0.35">
      <c r="A369" t="s">
        <v>644</v>
      </c>
      <c r="B369" s="74">
        <v>1</v>
      </c>
      <c r="C369" s="74">
        <v>1</v>
      </c>
      <c r="D369" s="176">
        <f t="shared" si="6"/>
        <v>0</v>
      </c>
    </row>
    <row r="370" spans="1:4" x14ac:dyDescent="0.35">
      <c r="A370" t="s">
        <v>951</v>
      </c>
      <c r="B370" s="74">
        <v>1</v>
      </c>
      <c r="C370" s="74">
        <v>1</v>
      </c>
      <c r="D370" s="176">
        <f t="shared" si="6"/>
        <v>0</v>
      </c>
    </row>
    <row r="371" spans="1:4" x14ac:dyDescent="0.35">
      <c r="A371" t="s">
        <v>952</v>
      </c>
      <c r="B371" s="74">
        <v>1</v>
      </c>
      <c r="C371" s="74">
        <v>1</v>
      </c>
      <c r="D371" s="176">
        <f t="shared" si="6"/>
        <v>0</v>
      </c>
    </row>
    <row r="372" spans="1:4" x14ac:dyDescent="0.35">
      <c r="A372" t="s">
        <v>458</v>
      </c>
      <c r="B372" s="74">
        <v>1</v>
      </c>
      <c r="C372" s="74">
        <v>1</v>
      </c>
      <c r="D372" s="176">
        <f t="shared" si="6"/>
        <v>0</v>
      </c>
    </row>
    <row r="373" spans="1:4" x14ac:dyDescent="0.35">
      <c r="A373" t="s">
        <v>375</v>
      </c>
      <c r="B373" s="74">
        <v>1</v>
      </c>
      <c r="C373" s="74">
        <v>1</v>
      </c>
      <c r="D373" s="176">
        <f t="shared" si="6"/>
        <v>0</v>
      </c>
    </row>
    <row r="374" spans="1:4" x14ac:dyDescent="0.35">
      <c r="A374" t="s">
        <v>454</v>
      </c>
      <c r="B374" s="74">
        <v>1</v>
      </c>
      <c r="C374" s="74">
        <v>1</v>
      </c>
      <c r="D374" s="176">
        <f t="shared" si="6"/>
        <v>0</v>
      </c>
    </row>
    <row r="375" spans="1:4" x14ac:dyDescent="0.35">
      <c r="A375" t="s">
        <v>811</v>
      </c>
      <c r="B375" s="74">
        <v>1</v>
      </c>
      <c r="C375" s="74">
        <v>1</v>
      </c>
      <c r="D375" s="176">
        <f t="shared" si="6"/>
        <v>0</v>
      </c>
    </row>
    <row r="376" spans="1:4" x14ac:dyDescent="0.35">
      <c r="A376" t="s">
        <v>953</v>
      </c>
      <c r="B376" s="74">
        <v>1</v>
      </c>
      <c r="C376" s="74">
        <v>1</v>
      </c>
      <c r="D376" s="176">
        <f t="shared" si="6"/>
        <v>0</v>
      </c>
    </row>
    <row r="377" spans="1:4" x14ac:dyDescent="0.35">
      <c r="A377" t="s">
        <v>707</v>
      </c>
      <c r="B377" s="74">
        <v>1</v>
      </c>
      <c r="C377" s="74">
        <v>1</v>
      </c>
      <c r="D377" s="176">
        <f t="shared" si="6"/>
        <v>0</v>
      </c>
    </row>
    <row r="378" spans="1:4" x14ac:dyDescent="0.35">
      <c r="A378" t="s">
        <v>700</v>
      </c>
      <c r="B378" s="74">
        <v>1</v>
      </c>
      <c r="C378" s="74">
        <v>1</v>
      </c>
      <c r="D378" s="176">
        <f t="shared" si="6"/>
        <v>0</v>
      </c>
    </row>
    <row r="379" spans="1:4" x14ac:dyDescent="0.35">
      <c r="A379" t="s">
        <v>853</v>
      </c>
      <c r="B379" s="74">
        <v>1</v>
      </c>
      <c r="C379" s="74">
        <v>1</v>
      </c>
      <c r="D379" s="176">
        <f t="shared" si="6"/>
        <v>0</v>
      </c>
    </row>
    <row r="380" spans="1:4" x14ac:dyDescent="0.35">
      <c r="A380" t="s">
        <v>503</v>
      </c>
      <c r="B380" s="74">
        <v>1</v>
      </c>
      <c r="C380" s="74">
        <v>1</v>
      </c>
      <c r="D380" s="176">
        <f t="shared" si="6"/>
        <v>0</v>
      </c>
    </row>
    <row r="381" spans="1:4" x14ac:dyDescent="0.35">
      <c r="A381" t="s">
        <v>772</v>
      </c>
      <c r="B381" s="74">
        <v>1</v>
      </c>
      <c r="C381" s="74">
        <v>1</v>
      </c>
      <c r="D381" s="176">
        <f t="shared" si="6"/>
        <v>0</v>
      </c>
    </row>
    <row r="382" spans="1:4" x14ac:dyDescent="0.35">
      <c r="A382" t="s">
        <v>796</v>
      </c>
      <c r="B382" s="74">
        <v>1</v>
      </c>
      <c r="C382" s="74">
        <v>1</v>
      </c>
      <c r="D382" s="176">
        <f t="shared" si="6"/>
        <v>0</v>
      </c>
    </row>
    <row r="383" spans="1:4" x14ac:dyDescent="0.35">
      <c r="A383" t="s">
        <v>587</v>
      </c>
      <c r="B383" s="74">
        <v>1</v>
      </c>
      <c r="C383" s="74">
        <v>1</v>
      </c>
      <c r="D383" s="176">
        <f t="shared" si="6"/>
        <v>0</v>
      </c>
    </row>
    <row r="384" spans="1:4" x14ac:dyDescent="0.35">
      <c r="A384" t="s">
        <v>705</v>
      </c>
      <c r="B384" s="74">
        <v>1</v>
      </c>
      <c r="C384" s="74">
        <v>1</v>
      </c>
      <c r="D384" s="176">
        <f t="shared" si="6"/>
        <v>0</v>
      </c>
    </row>
    <row r="385" spans="1:4" x14ac:dyDescent="0.35">
      <c r="A385" t="s">
        <v>573</v>
      </c>
      <c r="B385" s="74">
        <v>1</v>
      </c>
      <c r="C385" s="74">
        <v>1</v>
      </c>
      <c r="D385" s="176">
        <f t="shared" si="6"/>
        <v>0</v>
      </c>
    </row>
    <row r="386" spans="1:4" x14ac:dyDescent="0.35">
      <c r="A386" t="s">
        <v>870</v>
      </c>
      <c r="B386" s="74">
        <v>1</v>
      </c>
      <c r="C386" s="74">
        <v>1</v>
      </c>
      <c r="D386" s="176">
        <f t="shared" si="6"/>
        <v>0</v>
      </c>
    </row>
    <row r="387" spans="1:4" x14ac:dyDescent="0.35">
      <c r="A387" t="s">
        <v>646</v>
      </c>
      <c r="B387" s="74">
        <v>1</v>
      </c>
      <c r="C387" s="74">
        <v>1</v>
      </c>
      <c r="D387" s="176">
        <f t="shared" si="6"/>
        <v>0</v>
      </c>
    </row>
    <row r="388" spans="1:4" x14ac:dyDescent="0.35">
      <c r="A388" t="s">
        <v>689</v>
      </c>
      <c r="B388" s="74">
        <v>1</v>
      </c>
      <c r="C388" s="74">
        <v>1</v>
      </c>
      <c r="D388" s="176">
        <f t="shared" si="6"/>
        <v>0</v>
      </c>
    </row>
    <row r="389" spans="1:4" x14ac:dyDescent="0.35">
      <c r="A389" t="s">
        <v>605</v>
      </c>
      <c r="B389" s="74">
        <v>1</v>
      </c>
      <c r="C389" s="74">
        <v>1</v>
      </c>
      <c r="D389" s="176">
        <f t="shared" si="6"/>
        <v>0</v>
      </c>
    </row>
    <row r="390" spans="1:4" x14ac:dyDescent="0.35">
      <c r="A390" t="s">
        <v>879</v>
      </c>
      <c r="B390" s="74">
        <v>1</v>
      </c>
      <c r="C390" s="74">
        <v>1</v>
      </c>
      <c r="D390" s="176">
        <f t="shared" si="6"/>
        <v>0</v>
      </c>
    </row>
    <row r="391" spans="1:4" x14ac:dyDescent="0.35">
      <c r="A391" t="s">
        <v>798</v>
      </c>
      <c r="B391" s="74">
        <v>1</v>
      </c>
      <c r="C391" s="74">
        <v>1</v>
      </c>
      <c r="D391" s="176">
        <f t="shared" si="6"/>
        <v>0</v>
      </c>
    </row>
    <row r="392" spans="1:4" x14ac:dyDescent="0.35">
      <c r="A392" t="s">
        <v>235</v>
      </c>
      <c r="B392" s="74">
        <v>1</v>
      </c>
      <c r="C392" s="74">
        <v>1</v>
      </c>
      <c r="D392" s="176">
        <f t="shared" si="6"/>
        <v>0</v>
      </c>
    </row>
    <row r="393" spans="1:4" x14ac:dyDescent="0.35">
      <c r="A393" t="s">
        <v>843</v>
      </c>
      <c r="B393" s="74">
        <v>1</v>
      </c>
      <c r="C393" s="74">
        <v>1</v>
      </c>
      <c r="D393" s="176">
        <f t="shared" si="6"/>
        <v>0</v>
      </c>
    </row>
    <row r="394" spans="1:4" x14ac:dyDescent="0.35">
      <c r="A394" t="s">
        <v>483</v>
      </c>
      <c r="B394" s="74">
        <v>1</v>
      </c>
      <c r="C394" s="74">
        <v>1</v>
      </c>
      <c r="D394" s="176">
        <f t="shared" si="6"/>
        <v>0</v>
      </c>
    </row>
    <row r="395" spans="1:4" x14ac:dyDescent="0.35">
      <c r="A395" t="s">
        <v>1003</v>
      </c>
      <c r="B395" s="74">
        <v>1</v>
      </c>
      <c r="C395" s="74">
        <v>1</v>
      </c>
      <c r="D395" s="176">
        <f t="shared" si="6"/>
        <v>0</v>
      </c>
    </row>
    <row r="396" spans="1:4" x14ac:dyDescent="0.35">
      <c r="A396" t="s">
        <v>507</v>
      </c>
      <c r="B396" s="74">
        <v>1</v>
      </c>
      <c r="C396" s="74">
        <v>1</v>
      </c>
      <c r="D396" s="176">
        <f t="shared" ref="D396:D459" si="7">IF(ISNUMBER(J730),L730,M730)</f>
        <v>0</v>
      </c>
    </row>
    <row r="397" spans="1:4" x14ac:dyDescent="0.35">
      <c r="A397" t="s">
        <v>645</v>
      </c>
      <c r="B397" s="74">
        <v>1</v>
      </c>
      <c r="C397" s="74">
        <v>1</v>
      </c>
      <c r="D397" s="176">
        <f t="shared" si="7"/>
        <v>0</v>
      </c>
    </row>
    <row r="398" spans="1:4" x14ac:dyDescent="0.35">
      <c r="A398" t="s">
        <v>561</v>
      </c>
      <c r="B398" s="74">
        <v>1</v>
      </c>
      <c r="C398" s="74">
        <v>1</v>
      </c>
      <c r="D398" s="176">
        <f t="shared" si="7"/>
        <v>0</v>
      </c>
    </row>
    <row r="399" spans="1:4" x14ac:dyDescent="0.35">
      <c r="A399" t="s">
        <v>878</v>
      </c>
      <c r="B399" s="74">
        <v>1</v>
      </c>
      <c r="C399" s="74">
        <v>1</v>
      </c>
      <c r="D399" s="176">
        <f t="shared" si="7"/>
        <v>0</v>
      </c>
    </row>
    <row r="400" spans="1:4" x14ac:dyDescent="0.35">
      <c r="A400" t="s">
        <v>740</v>
      </c>
      <c r="B400" s="74">
        <v>1</v>
      </c>
      <c r="C400" s="74">
        <v>1</v>
      </c>
      <c r="D400" s="176">
        <f t="shared" si="7"/>
        <v>0</v>
      </c>
    </row>
    <row r="401" spans="1:4" x14ac:dyDescent="0.35">
      <c r="A401" t="s">
        <v>574</v>
      </c>
      <c r="B401" s="74">
        <v>1</v>
      </c>
      <c r="C401" s="74">
        <v>1</v>
      </c>
      <c r="D401" s="176">
        <f t="shared" si="7"/>
        <v>0</v>
      </c>
    </row>
    <row r="402" spans="1:4" x14ac:dyDescent="0.35">
      <c r="A402" t="s">
        <v>630</v>
      </c>
      <c r="B402" s="74">
        <v>1</v>
      </c>
      <c r="C402" s="74">
        <v>1</v>
      </c>
      <c r="D402" s="176">
        <f t="shared" si="7"/>
        <v>0</v>
      </c>
    </row>
    <row r="403" spans="1:4" x14ac:dyDescent="0.35">
      <c r="A403" t="s">
        <v>699</v>
      </c>
      <c r="B403" s="74">
        <v>1</v>
      </c>
      <c r="C403" s="74">
        <v>1</v>
      </c>
      <c r="D403" s="176">
        <f t="shared" si="7"/>
        <v>0</v>
      </c>
    </row>
    <row r="404" spans="1:4" x14ac:dyDescent="0.35">
      <c r="A404" t="s">
        <v>642</v>
      </c>
      <c r="B404" s="74">
        <v>1</v>
      </c>
      <c r="C404" s="74">
        <v>1</v>
      </c>
      <c r="D404" s="176">
        <f t="shared" si="7"/>
        <v>0</v>
      </c>
    </row>
    <row r="405" spans="1:4" x14ac:dyDescent="0.35">
      <c r="A405" t="s">
        <v>259</v>
      </c>
      <c r="B405" s="74">
        <v>1</v>
      </c>
      <c r="C405" s="74">
        <v>1</v>
      </c>
      <c r="D405" s="176">
        <f t="shared" si="7"/>
        <v>0</v>
      </c>
    </row>
    <row r="406" spans="1:4" x14ac:dyDescent="0.35">
      <c r="A406" t="s">
        <v>470</v>
      </c>
      <c r="B406" s="74">
        <v>1</v>
      </c>
      <c r="C406" s="74">
        <v>1</v>
      </c>
      <c r="D406" s="176">
        <f t="shared" si="7"/>
        <v>0</v>
      </c>
    </row>
    <row r="407" spans="1:4" x14ac:dyDescent="0.35">
      <c r="A407" t="s">
        <v>877</v>
      </c>
      <c r="B407" s="74">
        <v>1</v>
      </c>
      <c r="C407" s="74">
        <v>1</v>
      </c>
      <c r="D407" s="176">
        <f t="shared" si="7"/>
        <v>0</v>
      </c>
    </row>
    <row r="408" spans="1:4" x14ac:dyDescent="0.35">
      <c r="A408" t="s">
        <v>1009</v>
      </c>
      <c r="B408" s="74">
        <v>1</v>
      </c>
      <c r="C408" s="74">
        <v>1</v>
      </c>
      <c r="D408" s="176">
        <f t="shared" si="7"/>
        <v>0</v>
      </c>
    </row>
    <row r="409" spans="1:4" x14ac:dyDescent="0.35">
      <c r="A409" t="s">
        <v>837</v>
      </c>
      <c r="B409" s="74">
        <v>1</v>
      </c>
      <c r="C409" s="74">
        <v>1</v>
      </c>
      <c r="D409" s="176">
        <f t="shared" si="7"/>
        <v>0</v>
      </c>
    </row>
    <row r="410" spans="1:4" x14ac:dyDescent="0.35">
      <c r="A410" t="s">
        <v>566</v>
      </c>
      <c r="B410" s="74">
        <v>1</v>
      </c>
      <c r="C410" s="74">
        <v>1</v>
      </c>
      <c r="D410" s="176">
        <f t="shared" si="7"/>
        <v>0</v>
      </c>
    </row>
    <row r="411" spans="1:4" x14ac:dyDescent="0.35">
      <c r="A411" t="s">
        <v>993</v>
      </c>
      <c r="B411" s="74">
        <v>1</v>
      </c>
      <c r="C411" s="74">
        <v>1</v>
      </c>
      <c r="D411" s="176">
        <f t="shared" si="7"/>
        <v>0</v>
      </c>
    </row>
    <row r="412" spans="1:4" x14ac:dyDescent="0.35">
      <c r="A412" t="s">
        <v>929</v>
      </c>
      <c r="B412" s="74">
        <v>1</v>
      </c>
      <c r="C412" s="74">
        <v>1</v>
      </c>
      <c r="D412" s="176">
        <f t="shared" si="7"/>
        <v>0</v>
      </c>
    </row>
    <row r="413" spans="1:4" x14ac:dyDescent="0.35">
      <c r="A413" t="s">
        <v>735</v>
      </c>
      <c r="B413" s="74">
        <v>1</v>
      </c>
      <c r="C413" s="74">
        <v>1</v>
      </c>
      <c r="D413" s="176">
        <f t="shared" si="7"/>
        <v>0</v>
      </c>
    </row>
    <row r="414" spans="1:4" x14ac:dyDescent="0.35">
      <c r="A414" t="s">
        <v>439</v>
      </c>
      <c r="B414" s="74">
        <v>1</v>
      </c>
      <c r="C414" s="74">
        <v>1</v>
      </c>
      <c r="D414" s="176">
        <f t="shared" si="7"/>
        <v>0</v>
      </c>
    </row>
    <row r="415" spans="1:4" x14ac:dyDescent="0.35">
      <c r="A415" t="s">
        <v>486</v>
      </c>
      <c r="B415" s="74">
        <v>1</v>
      </c>
      <c r="C415" s="74">
        <v>1</v>
      </c>
      <c r="D415" s="176">
        <f t="shared" si="7"/>
        <v>0</v>
      </c>
    </row>
    <row r="416" spans="1:4" x14ac:dyDescent="0.35">
      <c r="A416" t="s">
        <v>231</v>
      </c>
      <c r="B416" s="74">
        <v>1</v>
      </c>
      <c r="C416" s="74">
        <v>1</v>
      </c>
      <c r="D416" s="176">
        <f t="shared" si="7"/>
        <v>0</v>
      </c>
    </row>
    <row r="417" spans="1:4" x14ac:dyDescent="0.35">
      <c r="A417" t="s">
        <v>927</v>
      </c>
      <c r="B417" s="74">
        <v>1</v>
      </c>
      <c r="C417" s="74">
        <v>1</v>
      </c>
      <c r="D417" s="176">
        <f t="shared" si="7"/>
        <v>0</v>
      </c>
    </row>
    <row r="418" spans="1:4" x14ac:dyDescent="0.35">
      <c r="A418" t="s">
        <v>872</v>
      </c>
      <c r="B418" s="74">
        <v>1</v>
      </c>
      <c r="C418" s="74">
        <v>1</v>
      </c>
      <c r="D418" s="176">
        <f t="shared" si="7"/>
        <v>0</v>
      </c>
    </row>
    <row r="419" spans="1:4" x14ac:dyDescent="0.35">
      <c r="A419" t="s">
        <v>1071</v>
      </c>
      <c r="B419" s="74">
        <v>1</v>
      </c>
      <c r="C419" s="74">
        <v>1</v>
      </c>
      <c r="D419" s="176">
        <f t="shared" si="7"/>
        <v>0</v>
      </c>
    </row>
    <row r="420" spans="1:4" x14ac:dyDescent="0.35">
      <c r="A420" t="s">
        <v>847</v>
      </c>
      <c r="B420" s="74">
        <v>1</v>
      </c>
      <c r="C420" s="74">
        <v>1</v>
      </c>
      <c r="D420" s="176">
        <f t="shared" si="7"/>
        <v>0</v>
      </c>
    </row>
    <row r="421" spans="1:4" x14ac:dyDescent="0.35">
      <c r="A421" t="s">
        <v>845</v>
      </c>
      <c r="B421" s="74">
        <v>1</v>
      </c>
      <c r="C421" s="74">
        <v>1</v>
      </c>
      <c r="D421" s="176">
        <f t="shared" si="7"/>
        <v>0</v>
      </c>
    </row>
    <row r="422" spans="1:4" x14ac:dyDescent="0.35">
      <c r="A422" t="s">
        <v>875</v>
      </c>
      <c r="B422" s="74">
        <v>1</v>
      </c>
      <c r="C422" s="74">
        <v>1</v>
      </c>
      <c r="D422" s="176">
        <f t="shared" si="7"/>
        <v>0</v>
      </c>
    </row>
    <row r="423" spans="1:4" x14ac:dyDescent="0.35">
      <c r="A423" t="s">
        <v>244</v>
      </c>
      <c r="B423" s="74">
        <v>1</v>
      </c>
      <c r="C423" s="74">
        <v>1</v>
      </c>
      <c r="D423" s="176">
        <f t="shared" si="7"/>
        <v>0</v>
      </c>
    </row>
    <row r="424" spans="1:4" x14ac:dyDescent="0.35">
      <c r="A424" t="s">
        <v>781</v>
      </c>
      <c r="B424" s="74">
        <v>1</v>
      </c>
      <c r="C424" s="74">
        <v>1</v>
      </c>
      <c r="D424" s="176">
        <f t="shared" si="7"/>
        <v>0</v>
      </c>
    </row>
    <row r="425" spans="1:4" x14ac:dyDescent="0.35">
      <c r="A425" t="s">
        <v>111</v>
      </c>
      <c r="B425" s="74">
        <v>1</v>
      </c>
      <c r="C425" s="74">
        <v>1</v>
      </c>
      <c r="D425" s="176">
        <f t="shared" si="7"/>
        <v>0</v>
      </c>
    </row>
    <row r="426" spans="1:4" x14ac:dyDescent="0.35">
      <c r="A426" t="s">
        <v>855</v>
      </c>
      <c r="B426" s="74">
        <v>1</v>
      </c>
      <c r="C426" s="74">
        <v>1</v>
      </c>
      <c r="D426" s="176">
        <f t="shared" si="7"/>
        <v>0</v>
      </c>
    </row>
    <row r="427" spans="1:4" x14ac:dyDescent="0.35">
      <c r="A427" t="s">
        <v>752</v>
      </c>
      <c r="B427" s="74">
        <v>1</v>
      </c>
      <c r="C427" s="74">
        <v>1</v>
      </c>
      <c r="D427" s="176">
        <f t="shared" si="7"/>
        <v>0</v>
      </c>
    </row>
    <row r="428" spans="1:4" x14ac:dyDescent="0.35">
      <c r="A428" t="s">
        <v>542</v>
      </c>
      <c r="B428" s="74">
        <v>1</v>
      </c>
      <c r="C428" s="74">
        <v>1</v>
      </c>
      <c r="D428" s="176">
        <f t="shared" si="7"/>
        <v>0</v>
      </c>
    </row>
    <row r="429" spans="1:4" x14ac:dyDescent="0.35">
      <c r="A429" t="s">
        <v>618</v>
      </c>
      <c r="B429" s="74">
        <v>1</v>
      </c>
      <c r="C429" s="74">
        <v>1</v>
      </c>
      <c r="D429" s="176">
        <f t="shared" si="7"/>
        <v>0</v>
      </c>
    </row>
    <row r="430" spans="1:4" x14ac:dyDescent="0.35">
      <c r="A430" t="s">
        <v>755</v>
      </c>
      <c r="B430" s="74">
        <v>1</v>
      </c>
      <c r="C430" s="74">
        <v>1</v>
      </c>
      <c r="D430" s="176">
        <f t="shared" si="7"/>
        <v>0</v>
      </c>
    </row>
    <row r="431" spans="1:4" x14ac:dyDescent="0.35">
      <c r="A431" t="s">
        <v>506</v>
      </c>
      <c r="B431" s="74">
        <v>1</v>
      </c>
      <c r="C431" s="74">
        <v>1</v>
      </c>
      <c r="D431" s="176">
        <f t="shared" si="7"/>
        <v>0</v>
      </c>
    </row>
    <row r="432" spans="1:4" x14ac:dyDescent="0.35">
      <c r="A432" t="s">
        <v>481</v>
      </c>
      <c r="B432" s="74">
        <v>1</v>
      </c>
      <c r="C432" s="74">
        <v>1</v>
      </c>
      <c r="D432" s="176">
        <f t="shared" si="7"/>
        <v>0</v>
      </c>
    </row>
    <row r="433" spans="1:4" x14ac:dyDescent="0.35">
      <c r="A433" t="s">
        <v>356</v>
      </c>
      <c r="B433" s="74">
        <v>1</v>
      </c>
      <c r="C433" s="74">
        <v>1</v>
      </c>
      <c r="D433" s="176">
        <f t="shared" si="7"/>
        <v>0</v>
      </c>
    </row>
    <row r="434" spans="1:4" x14ac:dyDescent="0.35">
      <c r="A434" t="s">
        <v>1072</v>
      </c>
      <c r="B434" s="74">
        <v>1</v>
      </c>
      <c r="C434" s="74">
        <v>1</v>
      </c>
      <c r="D434" s="176">
        <f t="shared" si="7"/>
        <v>0</v>
      </c>
    </row>
    <row r="435" spans="1:4" x14ac:dyDescent="0.35">
      <c r="A435" t="s">
        <v>367</v>
      </c>
      <c r="B435" s="74">
        <v>1</v>
      </c>
      <c r="C435" s="74">
        <v>1</v>
      </c>
      <c r="D435" s="176">
        <f t="shared" si="7"/>
        <v>0</v>
      </c>
    </row>
    <row r="436" spans="1:4" x14ac:dyDescent="0.35">
      <c r="A436" t="s">
        <v>1008</v>
      </c>
      <c r="B436" s="74">
        <v>1</v>
      </c>
      <c r="C436" s="74">
        <v>1</v>
      </c>
      <c r="D436" s="176">
        <f t="shared" si="7"/>
        <v>0</v>
      </c>
    </row>
    <row r="437" spans="1:4" x14ac:dyDescent="0.35">
      <c r="A437" t="s">
        <v>430</v>
      </c>
      <c r="B437" s="74">
        <v>1</v>
      </c>
      <c r="C437" s="74">
        <v>1</v>
      </c>
      <c r="D437" s="176">
        <f t="shared" si="7"/>
        <v>0</v>
      </c>
    </row>
    <row r="438" spans="1:4" x14ac:dyDescent="0.35">
      <c r="A438" t="s">
        <v>108</v>
      </c>
      <c r="B438" s="74">
        <v>1</v>
      </c>
      <c r="C438" s="74">
        <v>1</v>
      </c>
      <c r="D438" s="176">
        <f t="shared" si="7"/>
        <v>0</v>
      </c>
    </row>
    <row r="439" spans="1:4" x14ac:dyDescent="0.35">
      <c r="A439" t="s">
        <v>249</v>
      </c>
      <c r="B439" s="74">
        <v>1</v>
      </c>
      <c r="C439" s="74">
        <v>1</v>
      </c>
      <c r="D439" s="176">
        <f t="shared" si="7"/>
        <v>0</v>
      </c>
    </row>
    <row r="440" spans="1:4" x14ac:dyDescent="0.35">
      <c r="A440" t="s">
        <v>783</v>
      </c>
      <c r="B440" s="74">
        <v>1</v>
      </c>
      <c r="C440" s="74">
        <v>1</v>
      </c>
      <c r="D440" s="176">
        <f t="shared" si="7"/>
        <v>0</v>
      </c>
    </row>
    <row r="441" spans="1:4" x14ac:dyDescent="0.35">
      <c r="A441" t="s">
        <v>994</v>
      </c>
      <c r="B441" s="74">
        <v>1</v>
      </c>
      <c r="C441" s="74">
        <v>1</v>
      </c>
      <c r="D441" s="176">
        <f t="shared" si="7"/>
        <v>0</v>
      </c>
    </row>
    <row r="442" spans="1:4" x14ac:dyDescent="0.35">
      <c r="A442" t="s">
        <v>476</v>
      </c>
      <c r="B442" s="74">
        <v>1</v>
      </c>
      <c r="C442" s="74">
        <v>1</v>
      </c>
      <c r="D442" s="176">
        <f t="shared" si="7"/>
        <v>0</v>
      </c>
    </row>
    <row r="443" spans="1:4" x14ac:dyDescent="0.35">
      <c r="A443" t="s">
        <v>526</v>
      </c>
      <c r="B443" s="74">
        <v>1</v>
      </c>
      <c r="C443" s="74">
        <v>1</v>
      </c>
      <c r="D443" s="176">
        <f t="shared" si="7"/>
        <v>0</v>
      </c>
    </row>
    <row r="444" spans="1:4" x14ac:dyDescent="0.35">
      <c r="A444" t="s">
        <v>431</v>
      </c>
      <c r="B444" s="74">
        <v>1</v>
      </c>
      <c r="C444" s="74">
        <v>1</v>
      </c>
      <c r="D444" s="176">
        <f t="shared" si="7"/>
        <v>0</v>
      </c>
    </row>
    <row r="445" spans="1:4" x14ac:dyDescent="0.35">
      <c r="A445" t="s">
        <v>352</v>
      </c>
      <c r="B445" s="74">
        <v>1</v>
      </c>
      <c r="C445" s="74">
        <v>1</v>
      </c>
      <c r="D445" s="176">
        <f t="shared" si="7"/>
        <v>0</v>
      </c>
    </row>
    <row r="446" spans="1:4" x14ac:dyDescent="0.35">
      <c r="A446" t="s">
        <v>771</v>
      </c>
      <c r="B446" s="74">
        <v>1</v>
      </c>
      <c r="C446" s="74">
        <v>1</v>
      </c>
      <c r="D446" s="176">
        <f t="shared" si="7"/>
        <v>0</v>
      </c>
    </row>
    <row r="447" spans="1:4" x14ac:dyDescent="0.35">
      <c r="A447" t="s">
        <v>928</v>
      </c>
      <c r="B447" s="74">
        <v>1</v>
      </c>
      <c r="C447" s="74">
        <v>1</v>
      </c>
      <c r="D447" s="176">
        <f t="shared" si="7"/>
        <v>0</v>
      </c>
    </row>
    <row r="448" spans="1:4" x14ac:dyDescent="0.35">
      <c r="A448" t="s">
        <v>874</v>
      </c>
      <c r="B448" s="74">
        <v>1</v>
      </c>
      <c r="C448" s="74">
        <v>1</v>
      </c>
      <c r="D448" s="176">
        <f t="shared" si="7"/>
        <v>0</v>
      </c>
    </row>
    <row r="449" spans="1:4" x14ac:dyDescent="0.35">
      <c r="A449" t="s">
        <v>784</v>
      </c>
      <c r="B449" s="74">
        <v>1</v>
      </c>
      <c r="C449" s="74">
        <v>1</v>
      </c>
      <c r="D449" s="176">
        <f t="shared" si="7"/>
        <v>0</v>
      </c>
    </row>
    <row r="450" spans="1:4" x14ac:dyDescent="0.35">
      <c r="A450" t="s">
        <v>762</v>
      </c>
      <c r="B450" s="74">
        <v>1</v>
      </c>
      <c r="C450" s="74">
        <v>1</v>
      </c>
      <c r="D450" s="176">
        <f t="shared" si="7"/>
        <v>0</v>
      </c>
    </row>
    <row r="451" spans="1:4" x14ac:dyDescent="0.35">
      <c r="A451" t="s">
        <v>701</v>
      </c>
      <c r="B451" s="74">
        <v>1</v>
      </c>
      <c r="C451" s="74">
        <v>1</v>
      </c>
      <c r="D451" s="176">
        <f t="shared" si="7"/>
        <v>0</v>
      </c>
    </row>
    <row r="452" spans="1:4" x14ac:dyDescent="0.35">
      <c r="A452" t="s">
        <v>560</v>
      </c>
      <c r="B452" s="74">
        <v>1</v>
      </c>
      <c r="C452" s="74">
        <v>1</v>
      </c>
      <c r="D452" s="176">
        <f t="shared" si="7"/>
        <v>0</v>
      </c>
    </row>
    <row r="453" spans="1:4" x14ac:dyDescent="0.35">
      <c r="A453" t="s">
        <v>768</v>
      </c>
      <c r="B453" s="74">
        <v>1</v>
      </c>
      <c r="C453" s="74">
        <v>1</v>
      </c>
      <c r="D453" s="176">
        <f t="shared" si="7"/>
        <v>0</v>
      </c>
    </row>
    <row r="454" spans="1:4" x14ac:dyDescent="0.35">
      <c r="A454" t="s">
        <v>624</v>
      </c>
      <c r="B454" s="74">
        <v>1</v>
      </c>
      <c r="C454" s="74">
        <v>1</v>
      </c>
      <c r="D454" s="176">
        <f t="shared" si="7"/>
        <v>0</v>
      </c>
    </row>
    <row r="455" spans="1:4" x14ac:dyDescent="0.35">
      <c r="A455" t="s">
        <v>793</v>
      </c>
      <c r="B455" s="74">
        <v>1</v>
      </c>
      <c r="C455" s="74">
        <v>1</v>
      </c>
      <c r="D455" s="176">
        <f t="shared" si="7"/>
        <v>0</v>
      </c>
    </row>
    <row r="456" spans="1:4" x14ac:dyDescent="0.35">
      <c r="A456" t="s">
        <v>1010</v>
      </c>
      <c r="B456" s="74">
        <v>1</v>
      </c>
      <c r="C456" s="74">
        <v>1</v>
      </c>
      <c r="D456" s="176">
        <f t="shared" si="7"/>
        <v>0</v>
      </c>
    </row>
    <row r="457" spans="1:4" x14ac:dyDescent="0.35">
      <c r="A457" t="s">
        <v>882</v>
      </c>
      <c r="B457" s="74">
        <v>1</v>
      </c>
      <c r="C457" s="74">
        <v>1</v>
      </c>
      <c r="D457" s="176">
        <f t="shared" si="7"/>
        <v>0</v>
      </c>
    </row>
    <row r="458" spans="1:4" x14ac:dyDescent="0.35">
      <c r="A458" t="s">
        <v>1011</v>
      </c>
      <c r="B458" s="74">
        <v>1</v>
      </c>
      <c r="C458" s="74">
        <v>1</v>
      </c>
      <c r="D458" s="176">
        <f t="shared" si="7"/>
        <v>0</v>
      </c>
    </row>
    <row r="459" spans="1:4" x14ac:dyDescent="0.35">
      <c r="A459" t="s">
        <v>876</v>
      </c>
      <c r="B459" s="74">
        <v>1</v>
      </c>
      <c r="C459" s="74">
        <v>1</v>
      </c>
      <c r="D459" s="176">
        <f t="shared" si="7"/>
        <v>0</v>
      </c>
    </row>
    <row r="460" spans="1:4" x14ac:dyDescent="0.35">
      <c r="A460" t="s">
        <v>353</v>
      </c>
      <c r="B460" s="74">
        <v>1</v>
      </c>
      <c r="C460" s="74">
        <v>1</v>
      </c>
      <c r="D460" s="176">
        <f t="shared" ref="D460:D523" si="8">IF(ISNUMBER(J794),L794,M794)</f>
        <v>0</v>
      </c>
    </row>
    <row r="461" spans="1:4" x14ac:dyDescent="0.35">
      <c r="A461" t="s">
        <v>841</v>
      </c>
      <c r="B461" s="74">
        <v>1</v>
      </c>
      <c r="C461" s="74">
        <v>1</v>
      </c>
      <c r="D461" s="176">
        <f t="shared" si="8"/>
        <v>0</v>
      </c>
    </row>
    <row r="462" spans="1:4" x14ac:dyDescent="0.35">
      <c r="A462" t="s">
        <v>467</v>
      </c>
      <c r="B462" s="74">
        <v>1</v>
      </c>
      <c r="C462" s="74">
        <v>1</v>
      </c>
      <c r="D462" s="176">
        <f t="shared" si="8"/>
        <v>0</v>
      </c>
    </row>
    <row r="463" spans="1:4" x14ac:dyDescent="0.35">
      <c r="A463" t="s">
        <v>742</v>
      </c>
      <c r="B463" s="74">
        <v>1</v>
      </c>
      <c r="C463" s="74">
        <v>1</v>
      </c>
      <c r="D463" s="176">
        <f t="shared" si="8"/>
        <v>0</v>
      </c>
    </row>
    <row r="464" spans="1:4" x14ac:dyDescent="0.35">
      <c r="A464" t="s">
        <v>442</v>
      </c>
      <c r="B464" s="74">
        <v>1</v>
      </c>
      <c r="C464" s="74">
        <v>1</v>
      </c>
      <c r="D464" s="176">
        <f t="shared" si="8"/>
        <v>0</v>
      </c>
    </row>
    <row r="465" spans="1:4" x14ac:dyDescent="0.35">
      <c r="A465" t="s">
        <v>842</v>
      </c>
      <c r="B465" s="74">
        <v>1</v>
      </c>
      <c r="C465" s="74">
        <v>1</v>
      </c>
      <c r="D465" s="176">
        <f t="shared" si="8"/>
        <v>0</v>
      </c>
    </row>
    <row r="466" spans="1:4" x14ac:dyDescent="0.35">
      <c r="A466" t="s">
        <v>690</v>
      </c>
      <c r="B466" s="74">
        <v>1</v>
      </c>
      <c r="C466" s="74">
        <v>1</v>
      </c>
      <c r="D466" s="176">
        <f t="shared" si="8"/>
        <v>0</v>
      </c>
    </row>
    <row r="467" spans="1:4" x14ac:dyDescent="0.35">
      <c r="A467" t="s">
        <v>1073</v>
      </c>
      <c r="B467" s="74">
        <v>1</v>
      </c>
      <c r="C467" s="74">
        <v>1</v>
      </c>
      <c r="D467" s="176">
        <f t="shared" si="8"/>
        <v>0</v>
      </c>
    </row>
    <row r="468" spans="1:4" x14ac:dyDescent="0.35">
      <c r="A468" t="s">
        <v>808</v>
      </c>
      <c r="B468" s="74">
        <v>1</v>
      </c>
      <c r="C468" s="74">
        <v>1</v>
      </c>
      <c r="D468" s="176">
        <f t="shared" si="8"/>
        <v>0</v>
      </c>
    </row>
    <row r="469" spans="1:4" x14ac:dyDescent="0.35">
      <c r="A469" t="s">
        <v>600</v>
      </c>
      <c r="B469" s="74">
        <v>1</v>
      </c>
      <c r="C469" s="74">
        <v>1</v>
      </c>
      <c r="D469" s="176">
        <f t="shared" si="8"/>
        <v>0</v>
      </c>
    </row>
    <row r="470" spans="1:4" x14ac:dyDescent="0.35">
      <c r="A470" t="s">
        <v>932</v>
      </c>
      <c r="B470" s="74">
        <v>1</v>
      </c>
      <c r="C470" s="74">
        <v>1</v>
      </c>
      <c r="D470" s="176">
        <f t="shared" si="8"/>
        <v>0</v>
      </c>
    </row>
    <row r="471" spans="1:4" x14ac:dyDescent="0.35">
      <c r="A471" t="s">
        <v>786</v>
      </c>
      <c r="B471" s="74">
        <v>1</v>
      </c>
      <c r="C471" s="74">
        <v>1</v>
      </c>
      <c r="D471" s="176">
        <f t="shared" si="8"/>
        <v>0</v>
      </c>
    </row>
    <row r="472" spans="1:4" x14ac:dyDescent="0.35">
      <c r="A472" t="s">
        <v>504</v>
      </c>
      <c r="B472" s="74">
        <v>1</v>
      </c>
      <c r="C472" s="74">
        <v>1</v>
      </c>
      <c r="D472" s="176">
        <f t="shared" si="8"/>
        <v>0</v>
      </c>
    </row>
    <row r="473" spans="1:4" x14ac:dyDescent="0.35">
      <c r="A473" t="s">
        <v>432</v>
      </c>
      <c r="B473" s="74">
        <v>1</v>
      </c>
      <c r="C473" s="74">
        <v>1</v>
      </c>
      <c r="D473" s="176">
        <f t="shared" si="8"/>
        <v>0</v>
      </c>
    </row>
    <row r="474" spans="1:4" x14ac:dyDescent="0.35">
      <c r="A474" t="s">
        <v>246</v>
      </c>
      <c r="B474" s="74">
        <v>1</v>
      </c>
      <c r="C474" s="74">
        <v>1</v>
      </c>
      <c r="D474" s="176">
        <f t="shared" si="8"/>
        <v>0</v>
      </c>
    </row>
    <row r="475" spans="1:4" x14ac:dyDescent="0.35">
      <c r="A475" t="s">
        <v>930</v>
      </c>
      <c r="B475" s="74">
        <v>1</v>
      </c>
      <c r="C475" s="74">
        <v>1</v>
      </c>
      <c r="D475" s="176">
        <f t="shared" si="8"/>
        <v>0</v>
      </c>
    </row>
    <row r="476" spans="1:4" x14ac:dyDescent="0.35">
      <c r="A476" t="s">
        <v>995</v>
      </c>
      <c r="B476" s="74">
        <v>1</v>
      </c>
      <c r="C476" s="74">
        <v>1</v>
      </c>
      <c r="D476" s="176">
        <f t="shared" si="8"/>
        <v>0</v>
      </c>
    </row>
    <row r="477" spans="1:4" x14ac:dyDescent="0.35">
      <c r="A477" t="s">
        <v>1074</v>
      </c>
      <c r="B477" s="74">
        <v>1</v>
      </c>
      <c r="C477" s="74">
        <v>1</v>
      </c>
      <c r="D477" s="176">
        <f t="shared" si="8"/>
        <v>0</v>
      </c>
    </row>
    <row r="478" spans="1:4" x14ac:dyDescent="0.35">
      <c r="A478" t="s">
        <v>750</v>
      </c>
      <c r="B478" s="74">
        <v>1</v>
      </c>
      <c r="C478" s="74">
        <v>1</v>
      </c>
      <c r="D478" s="176">
        <f t="shared" si="8"/>
        <v>0</v>
      </c>
    </row>
    <row r="479" spans="1:4" x14ac:dyDescent="0.35">
      <c r="A479" t="s">
        <v>358</v>
      </c>
      <c r="B479" s="74">
        <v>1</v>
      </c>
      <c r="C479" s="74">
        <v>1</v>
      </c>
      <c r="D479" s="176">
        <f t="shared" si="8"/>
        <v>0</v>
      </c>
    </row>
    <row r="480" spans="1:4" x14ac:dyDescent="0.35">
      <c r="A480" t="s">
        <v>934</v>
      </c>
      <c r="B480" s="74">
        <v>1</v>
      </c>
      <c r="C480" s="74">
        <v>1</v>
      </c>
      <c r="D480" s="176">
        <f t="shared" si="8"/>
        <v>0</v>
      </c>
    </row>
    <row r="481" spans="1:4" x14ac:dyDescent="0.35">
      <c r="A481" t="s">
        <v>558</v>
      </c>
      <c r="B481" s="74">
        <v>1</v>
      </c>
      <c r="C481" s="74">
        <v>1</v>
      </c>
      <c r="D481" s="176">
        <f t="shared" si="8"/>
        <v>0</v>
      </c>
    </row>
    <row r="482" spans="1:4" x14ac:dyDescent="0.35">
      <c r="A482" t="s">
        <v>931</v>
      </c>
      <c r="B482" s="74">
        <v>1</v>
      </c>
      <c r="C482" s="74">
        <v>1</v>
      </c>
      <c r="D482" s="176">
        <f t="shared" si="8"/>
        <v>0</v>
      </c>
    </row>
    <row r="483" spans="1:4" x14ac:dyDescent="0.35">
      <c r="A483" t="s">
        <v>547</v>
      </c>
      <c r="B483" s="74">
        <v>1</v>
      </c>
      <c r="C483" s="74">
        <v>1</v>
      </c>
      <c r="D483" s="176">
        <f t="shared" si="8"/>
        <v>0</v>
      </c>
    </row>
    <row r="484" spans="1:4" x14ac:dyDescent="0.35">
      <c r="A484" t="s">
        <v>1075</v>
      </c>
      <c r="B484" s="74">
        <v>1</v>
      </c>
      <c r="C484" s="74">
        <v>1</v>
      </c>
      <c r="D484" s="176">
        <f t="shared" si="8"/>
        <v>0</v>
      </c>
    </row>
    <row r="485" spans="1:4" x14ac:dyDescent="0.35">
      <c r="A485" t="s">
        <v>500</v>
      </c>
      <c r="B485" s="74">
        <v>1</v>
      </c>
      <c r="C485" s="74">
        <v>1</v>
      </c>
      <c r="D485" s="176">
        <f t="shared" si="8"/>
        <v>0</v>
      </c>
    </row>
    <row r="486" spans="1:4" x14ac:dyDescent="0.35">
      <c r="A486" t="s">
        <v>494</v>
      </c>
      <c r="B486" s="74">
        <v>1</v>
      </c>
      <c r="C486" s="74">
        <v>1</v>
      </c>
      <c r="D486" s="176">
        <f t="shared" si="8"/>
        <v>0</v>
      </c>
    </row>
    <row r="487" spans="1:4" x14ac:dyDescent="0.35">
      <c r="A487" t="s">
        <v>523</v>
      </c>
      <c r="B487" s="74">
        <v>1</v>
      </c>
      <c r="C487" s="74">
        <v>1</v>
      </c>
      <c r="D487" s="176">
        <f t="shared" si="8"/>
        <v>0</v>
      </c>
    </row>
    <row r="488" spans="1:4" x14ac:dyDescent="0.35">
      <c r="A488" t="s">
        <v>849</v>
      </c>
      <c r="B488" s="74">
        <v>1</v>
      </c>
      <c r="C488" s="74">
        <v>1</v>
      </c>
      <c r="D488" s="176">
        <f t="shared" si="8"/>
        <v>0</v>
      </c>
    </row>
    <row r="489" spans="1:4" x14ac:dyDescent="0.35">
      <c r="A489" t="s">
        <v>625</v>
      </c>
      <c r="B489" s="74">
        <v>1</v>
      </c>
      <c r="C489" s="74">
        <v>1</v>
      </c>
      <c r="D489" s="176">
        <f t="shared" si="8"/>
        <v>0</v>
      </c>
    </row>
    <row r="490" spans="1:4" x14ac:dyDescent="0.35">
      <c r="A490" t="s">
        <v>593</v>
      </c>
      <c r="B490" s="74">
        <v>1</v>
      </c>
      <c r="C490" s="74">
        <v>1</v>
      </c>
      <c r="D490" s="176">
        <f t="shared" si="8"/>
        <v>0</v>
      </c>
    </row>
    <row r="491" spans="1:4" x14ac:dyDescent="0.35">
      <c r="A491" t="s">
        <v>549</v>
      </c>
      <c r="B491" s="74">
        <v>1</v>
      </c>
      <c r="C491" s="74">
        <v>1</v>
      </c>
      <c r="D491" s="176">
        <f t="shared" si="8"/>
        <v>0</v>
      </c>
    </row>
    <row r="492" spans="1:4" x14ac:dyDescent="0.35">
      <c r="A492" t="s">
        <v>608</v>
      </c>
      <c r="B492" s="74">
        <v>1</v>
      </c>
      <c r="C492" s="74">
        <v>1</v>
      </c>
      <c r="D492" s="176">
        <f t="shared" si="8"/>
        <v>0</v>
      </c>
    </row>
    <row r="493" spans="1:4" x14ac:dyDescent="0.35">
      <c r="A493" t="s">
        <v>881</v>
      </c>
      <c r="B493" s="74">
        <v>1</v>
      </c>
      <c r="C493" s="74">
        <v>1</v>
      </c>
      <c r="D493" s="176">
        <f t="shared" si="8"/>
        <v>0</v>
      </c>
    </row>
    <row r="494" spans="1:4" x14ac:dyDescent="0.35">
      <c r="A494" t="s">
        <v>428</v>
      </c>
      <c r="B494" s="74">
        <v>1</v>
      </c>
      <c r="C494" s="74">
        <v>1</v>
      </c>
      <c r="D494" s="176">
        <f t="shared" si="8"/>
        <v>0</v>
      </c>
    </row>
    <row r="495" spans="1:4" x14ac:dyDescent="0.35">
      <c r="A495" t="s">
        <v>761</v>
      </c>
      <c r="B495" s="74">
        <v>1</v>
      </c>
      <c r="C495" s="74">
        <v>1</v>
      </c>
      <c r="D495" s="176">
        <f t="shared" si="8"/>
        <v>0</v>
      </c>
    </row>
    <row r="496" spans="1:4" x14ac:dyDescent="0.35">
      <c r="A496" t="s">
        <v>659</v>
      </c>
      <c r="B496" s="74">
        <v>1</v>
      </c>
      <c r="C496" s="74">
        <v>1</v>
      </c>
      <c r="D496" s="176">
        <f t="shared" si="8"/>
        <v>0</v>
      </c>
    </row>
    <row r="497" spans="1:4" x14ac:dyDescent="0.35">
      <c r="A497" t="s">
        <v>791</v>
      </c>
      <c r="B497" s="74">
        <v>1</v>
      </c>
      <c r="C497" s="74">
        <v>1</v>
      </c>
      <c r="D497" s="176">
        <f t="shared" si="8"/>
        <v>0</v>
      </c>
    </row>
    <row r="498" spans="1:4" x14ac:dyDescent="0.35">
      <c r="A498" t="s">
        <v>770</v>
      </c>
      <c r="B498" s="74">
        <v>1</v>
      </c>
      <c r="C498" s="74">
        <v>1</v>
      </c>
      <c r="D498" s="176">
        <f t="shared" si="8"/>
        <v>0</v>
      </c>
    </row>
    <row r="499" spans="1:4" x14ac:dyDescent="0.35">
      <c r="A499" t="s">
        <v>444</v>
      </c>
      <c r="B499" s="74">
        <v>1</v>
      </c>
      <c r="C499" s="74">
        <v>1</v>
      </c>
      <c r="D499" s="176">
        <f t="shared" si="8"/>
        <v>0</v>
      </c>
    </row>
    <row r="500" spans="1:4" x14ac:dyDescent="0.35">
      <c r="A500" t="s">
        <v>809</v>
      </c>
      <c r="B500" s="74">
        <v>1</v>
      </c>
      <c r="C500" s="74">
        <v>1</v>
      </c>
      <c r="D500" s="176">
        <f t="shared" si="8"/>
        <v>0</v>
      </c>
    </row>
    <row r="501" spans="1:4" x14ac:dyDescent="0.35">
      <c r="A501" t="s">
        <v>797</v>
      </c>
      <c r="B501" s="74">
        <v>1</v>
      </c>
      <c r="C501" s="74">
        <v>1</v>
      </c>
      <c r="D501" s="176">
        <f t="shared" si="8"/>
        <v>0</v>
      </c>
    </row>
    <row r="502" spans="1:4" x14ac:dyDescent="0.35">
      <c r="A502" t="s">
        <v>409</v>
      </c>
      <c r="B502" s="74">
        <v>1</v>
      </c>
      <c r="C502" s="74">
        <v>1</v>
      </c>
      <c r="D502" s="176">
        <f t="shared" si="8"/>
        <v>0</v>
      </c>
    </row>
    <row r="503" spans="1:4" x14ac:dyDescent="0.35">
      <c r="A503" t="s">
        <v>407</v>
      </c>
      <c r="B503" s="74">
        <v>1</v>
      </c>
      <c r="C503" s="74">
        <v>1</v>
      </c>
      <c r="D503" s="176">
        <f t="shared" si="8"/>
        <v>0</v>
      </c>
    </row>
    <row r="504" spans="1:4" x14ac:dyDescent="0.35">
      <c r="A504" t="s">
        <v>1028</v>
      </c>
      <c r="B504" s="74">
        <v>1</v>
      </c>
      <c r="C504" s="74">
        <v>1</v>
      </c>
      <c r="D504" s="176">
        <f t="shared" si="8"/>
        <v>0</v>
      </c>
    </row>
    <row r="505" spans="1:4" x14ac:dyDescent="0.35">
      <c r="A505" t="s">
        <v>509</v>
      </c>
      <c r="B505" s="74">
        <v>1</v>
      </c>
      <c r="C505" s="74">
        <v>1</v>
      </c>
      <c r="D505" s="176">
        <f t="shared" si="8"/>
        <v>0</v>
      </c>
    </row>
    <row r="506" spans="1:4" x14ac:dyDescent="0.35">
      <c r="A506" t="s">
        <v>777</v>
      </c>
      <c r="B506" s="74">
        <v>1</v>
      </c>
      <c r="C506" s="74">
        <v>1</v>
      </c>
      <c r="D506" s="176">
        <f t="shared" si="8"/>
        <v>0</v>
      </c>
    </row>
    <row r="507" spans="1:4" x14ac:dyDescent="0.35">
      <c r="A507" t="s">
        <v>343</v>
      </c>
      <c r="B507" s="74">
        <v>1</v>
      </c>
      <c r="C507" s="74">
        <v>0.2</v>
      </c>
      <c r="D507" s="176">
        <f t="shared" si="8"/>
        <v>0</v>
      </c>
    </row>
    <row r="508" spans="1:4" x14ac:dyDescent="0.35">
      <c r="A508" t="s">
        <v>534</v>
      </c>
      <c r="B508" s="74">
        <v>1</v>
      </c>
      <c r="C508" s="74">
        <v>1</v>
      </c>
      <c r="D508" s="176">
        <f t="shared" si="8"/>
        <v>0</v>
      </c>
    </row>
    <row r="509" spans="1:4" x14ac:dyDescent="0.35">
      <c r="A509" t="s">
        <v>346</v>
      </c>
      <c r="B509" s="74">
        <v>1</v>
      </c>
      <c r="C509" s="74">
        <v>1</v>
      </c>
      <c r="D509" s="176">
        <f t="shared" si="8"/>
        <v>0</v>
      </c>
    </row>
    <row r="510" spans="1:4" x14ac:dyDescent="0.35">
      <c r="A510" t="s">
        <v>350</v>
      </c>
      <c r="B510" s="74">
        <v>1.3</v>
      </c>
      <c r="C510" s="74">
        <v>0.7</v>
      </c>
      <c r="D510" s="176">
        <f t="shared" si="8"/>
        <v>0</v>
      </c>
    </row>
    <row r="511" spans="1:4" x14ac:dyDescent="0.35">
      <c r="A511" t="s">
        <v>417</v>
      </c>
      <c r="B511" s="74">
        <v>1</v>
      </c>
      <c r="C511" s="74">
        <v>1</v>
      </c>
      <c r="D511" s="176">
        <f t="shared" si="8"/>
        <v>0</v>
      </c>
    </row>
    <row r="512" spans="1:4" x14ac:dyDescent="0.35">
      <c r="A512" t="s">
        <v>583</v>
      </c>
      <c r="B512" s="74">
        <v>1</v>
      </c>
      <c r="C512" s="74">
        <v>1</v>
      </c>
      <c r="D512" s="176">
        <f t="shared" si="8"/>
        <v>0</v>
      </c>
    </row>
    <row r="513" spans="1:4" x14ac:dyDescent="0.35">
      <c r="A513" t="s">
        <v>413</v>
      </c>
      <c r="B513" s="74">
        <v>1</v>
      </c>
      <c r="C513" s="74">
        <v>1</v>
      </c>
      <c r="D513" s="176">
        <f t="shared" si="8"/>
        <v>0</v>
      </c>
    </row>
    <row r="514" spans="1:4" x14ac:dyDescent="0.35">
      <c r="A514" t="s">
        <v>839</v>
      </c>
      <c r="B514" s="74">
        <v>1</v>
      </c>
      <c r="C514" s="74">
        <v>1</v>
      </c>
      <c r="D514" s="176">
        <f t="shared" si="8"/>
        <v>0</v>
      </c>
    </row>
    <row r="515" spans="1:4" x14ac:dyDescent="0.35">
      <c r="A515" t="s">
        <v>836</v>
      </c>
      <c r="B515" s="74">
        <v>1</v>
      </c>
      <c r="C515" s="74">
        <v>1</v>
      </c>
      <c r="D515" s="176">
        <f t="shared" si="8"/>
        <v>0</v>
      </c>
    </row>
    <row r="516" spans="1:4" x14ac:dyDescent="0.35">
      <c r="A516" t="s">
        <v>857</v>
      </c>
      <c r="B516" s="74">
        <v>1</v>
      </c>
      <c r="C516" s="74">
        <v>1</v>
      </c>
      <c r="D516" s="176">
        <f t="shared" si="8"/>
        <v>0</v>
      </c>
    </row>
    <row r="517" spans="1:4" x14ac:dyDescent="0.35">
      <c r="A517" t="s">
        <v>856</v>
      </c>
      <c r="B517" s="74">
        <v>1</v>
      </c>
      <c r="C517" s="74">
        <v>1</v>
      </c>
      <c r="D517" s="176">
        <f t="shared" si="8"/>
        <v>0</v>
      </c>
    </row>
    <row r="518" spans="1:4" x14ac:dyDescent="0.35">
      <c r="A518" t="s">
        <v>580</v>
      </c>
      <c r="B518" s="74">
        <v>1</v>
      </c>
      <c r="C518" s="74">
        <v>1</v>
      </c>
      <c r="D518" s="176">
        <f t="shared" si="8"/>
        <v>0</v>
      </c>
    </row>
    <row r="519" spans="1:4" x14ac:dyDescent="0.35">
      <c r="A519" t="s">
        <v>723</v>
      </c>
      <c r="B519" s="74">
        <v>1</v>
      </c>
      <c r="C519" s="74">
        <v>1</v>
      </c>
      <c r="D519" s="176">
        <f t="shared" si="8"/>
        <v>0</v>
      </c>
    </row>
    <row r="520" spans="1:4" x14ac:dyDescent="0.35">
      <c r="A520" t="s">
        <v>726</v>
      </c>
      <c r="B520" s="74">
        <v>1</v>
      </c>
      <c r="C520" s="74">
        <v>1</v>
      </c>
      <c r="D520" s="176">
        <f t="shared" si="8"/>
        <v>0</v>
      </c>
    </row>
    <row r="521" spans="1:4" x14ac:dyDescent="0.35">
      <c r="A521" t="s">
        <v>673</v>
      </c>
      <c r="B521" s="74">
        <v>1</v>
      </c>
      <c r="C521" s="74">
        <v>1</v>
      </c>
      <c r="D521" s="176">
        <f t="shared" si="8"/>
        <v>0</v>
      </c>
    </row>
    <row r="522" spans="1:4" x14ac:dyDescent="0.35">
      <c r="A522" t="s">
        <v>135</v>
      </c>
      <c r="B522" s="74">
        <v>1</v>
      </c>
      <c r="C522" s="74">
        <v>1</v>
      </c>
      <c r="D522" s="176">
        <f t="shared" si="8"/>
        <v>0</v>
      </c>
    </row>
    <row r="523" spans="1:4" x14ac:dyDescent="0.35">
      <c r="A523" t="s">
        <v>223</v>
      </c>
      <c r="B523" s="74">
        <v>1</v>
      </c>
      <c r="C523" s="74">
        <v>1</v>
      </c>
      <c r="D523" s="176">
        <f t="shared" si="8"/>
        <v>0</v>
      </c>
    </row>
    <row r="524" spans="1:4" x14ac:dyDescent="0.35">
      <c r="A524" t="s">
        <v>224</v>
      </c>
      <c r="B524" s="74">
        <v>1</v>
      </c>
      <c r="C524" s="74">
        <v>1</v>
      </c>
      <c r="D524" s="176">
        <f t="shared" ref="D524:D545" si="9">IF(ISNUMBER(J858),L858,M858)</f>
        <v>0</v>
      </c>
    </row>
    <row r="525" spans="1:4" x14ac:dyDescent="0.35">
      <c r="A525" t="s">
        <v>114</v>
      </c>
      <c r="B525" s="74">
        <v>1</v>
      </c>
      <c r="C525" s="74">
        <v>1</v>
      </c>
      <c r="D525" s="176">
        <f t="shared" si="9"/>
        <v>0</v>
      </c>
    </row>
    <row r="526" spans="1:4" x14ac:dyDescent="0.35">
      <c r="A526" t="s">
        <v>348</v>
      </c>
      <c r="B526" s="74">
        <v>1</v>
      </c>
      <c r="C526" s="74">
        <v>1</v>
      </c>
      <c r="D526" s="176">
        <f t="shared" si="9"/>
        <v>0</v>
      </c>
    </row>
    <row r="527" spans="1:4" x14ac:dyDescent="0.35">
      <c r="A527" t="s">
        <v>416</v>
      </c>
      <c r="B527" s="74">
        <v>1</v>
      </c>
      <c r="C527" s="74">
        <v>1</v>
      </c>
      <c r="D527" s="176">
        <f t="shared" si="9"/>
        <v>0</v>
      </c>
    </row>
    <row r="528" spans="1:4" x14ac:dyDescent="0.35">
      <c r="A528" t="s">
        <v>835</v>
      </c>
      <c r="B528" s="74">
        <v>1</v>
      </c>
      <c r="C528" s="74">
        <v>1</v>
      </c>
      <c r="D528" s="176">
        <f t="shared" si="9"/>
        <v>0</v>
      </c>
    </row>
    <row r="529" spans="1:4" x14ac:dyDescent="0.35">
      <c r="A529" t="s">
        <v>347</v>
      </c>
      <c r="B529" s="74">
        <v>1</v>
      </c>
      <c r="C529" s="74">
        <v>1</v>
      </c>
      <c r="D529" s="176">
        <f t="shared" si="9"/>
        <v>0</v>
      </c>
    </row>
    <row r="530" spans="1:4" x14ac:dyDescent="0.35">
      <c r="A530" t="s">
        <v>581</v>
      </c>
      <c r="B530" s="74">
        <v>1</v>
      </c>
      <c r="C530" s="74">
        <v>1</v>
      </c>
      <c r="D530" s="176">
        <f t="shared" si="9"/>
        <v>0</v>
      </c>
    </row>
    <row r="531" spans="1:4" x14ac:dyDescent="0.35">
      <c r="A531" t="s">
        <v>105</v>
      </c>
      <c r="B531" s="74">
        <v>1</v>
      </c>
      <c r="C531" s="74">
        <v>1</v>
      </c>
      <c r="D531" s="176">
        <f t="shared" si="9"/>
        <v>0</v>
      </c>
    </row>
    <row r="532" spans="1:4" x14ac:dyDescent="0.35">
      <c r="A532" t="s">
        <v>133</v>
      </c>
      <c r="B532" s="74">
        <v>1</v>
      </c>
      <c r="C532" s="74">
        <v>1</v>
      </c>
      <c r="D532" s="176">
        <f t="shared" si="9"/>
        <v>0</v>
      </c>
    </row>
    <row r="533" spans="1:4" x14ac:dyDescent="0.35">
      <c r="A533" t="s">
        <v>858</v>
      </c>
      <c r="B533" s="74">
        <v>1</v>
      </c>
      <c r="C533" s="74">
        <v>1</v>
      </c>
      <c r="D533" s="176">
        <f t="shared" si="9"/>
        <v>0</v>
      </c>
    </row>
    <row r="534" spans="1:4" x14ac:dyDescent="0.35">
      <c r="A534" t="s">
        <v>419</v>
      </c>
      <c r="B534" s="74">
        <v>1</v>
      </c>
      <c r="C534" s="74">
        <v>1</v>
      </c>
      <c r="D534" s="176">
        <f t="shared" si="9"/>
        <v>0</v>
      </c>
    </row>
    <row r="535" spans="1:4" x14ac:dyDescent="0.35">
      <c r="A535" t="s">
        <v>536</v>
      </c>
      <c r="B535" s="74">
        <v>1</v>
      </c>
      <c r="C535" s="74">
        <v>1</v>
      </c>
      <c r="D535" s="176">
        <f t="shared" si="9"/>
        <v>0</v>
      </c>
    </row>
    <row r="536" spans="1:4" x14ac:dyDescent="0.35">
      <c r="A536" t="s">
        <v>132</v>
      </c>
      <c r="B536" s="74">
        <v>1</v>
      </c>
      <c r="C536" s="74">
        <v>1</v>
      </c>
      <c r="D536" s="176">
        <f t="shared" si="9"/>
        <v>0</v>
      </c>
    </row>
    <row r="537" spans="1:4" x14ac:dyDescent="0.35">
      <c r="A537" t="s">
        <v>538</v>
      </c>
      <c r="B537" s="74">
        <v>1</v>
      </c>
      <c r="C537" s="74">
        <v>1</v>
      </c>
      <c r="D537" s="176">
        <f t="shared" si="9"/>
        <v>0</v>
      </c>
    </row>
    <row r="538" spans="1:4" x14ac:dyDescent="0.35">
      <c r="A538" t="s">
        <v>420</v>
      </c>
      <c r="B538" s="74">
        <v>1</v>
      </c>
      <c r="C538" s="74">
        <v>1</v>
      </c>
      <c r="D538" s="176">
        <f t="shared" si="9"/>
        <v>0</v>
      </c>
    </row>
    <row r="539" spans="1:4" x14ac:dyDescent="0.35">
      <c r="A539" t="s">
        <v>539</v>
      </c>
      <c r="B539" s="74">
        <v>1</v>
      </c>
      <c r="C539" s="74">
        <v>1</v>
      </c>
      <c r="D539" s="176">
        <f t="shared" si="9"/>
        <v>0</v>
      </c>
    </row>
    <row r="540" spans="1:4" x14ac:dyDescent="0.35">
      <c r="A540" t="s">
        <v>533</v>
      </c>
      <c r="B540" s="74">
        <v>1</v>
      </c>
      <c r="C540" s="74">
        <v>1</v>
      </c>
      <c r="D540" s="176">
        <f t="shared" si="9"/>
        <v>0</v>
      </c>
    </row>
    <row r="541" spans="1:4" x14ac:dyDescent="0.35">
      <c r="A541" t="s">
        <v>778</v>
      </c>
      <c r="B541" s="74">
        <v>1</v>
      </c>
      <c r="C541" s="74">
        <v>1</v>
      </c>
      <c r="D541" s="176">
        <f t="shared" si="9"/>
        <v>0</v>
      </c>
    </row>
    <row r="542" spans="1:4" x14ac:dyDescent="0.35">
      <c r="A542" t="s">
        <v>754</v>
      </c>
      <c r="B542" s="74">
        <v>1</v>
      </c>
      <c r="C542" s="74">
        <v>1</v>
      </c>
      <c r="D542" s="176">
        <f t="shared" si="9"/>
        <v>0</v>
      </c>
    </row>
    <row r="543" spans="1:4" x14ac:dyDescent="0.35">
      <c r="A543" t="s">
        <v>582</v>
      </c>
      <c r="B543" s="74">
        <v>1</v>
      </c>
      <c r="C543" s="74">
        <v>1</v>
      </c>
      <c r="D543" s="176">
        <f t="shared" si="9"/>
        <v>0</v>
      </c>
    </row>
    <row r="544" spans="1:4" x14ac:dyDescent="0.35">
      <c r="A544" t="s">
        <v>984</v>
      </c>
      <c r="B544" s="74">
        <v>1</v>
      </c>
      <c r="C544" s="74">
        <v>1</v>
      </c>
      <c r="D544" s="176">
        <f t="shared" si="9"/>
        <v>0</v>
      </c>
    </row>
    <row r="545" spans="1:4" x14ac:dyDescent="0.35">
      <c r="A545" t="s">
        <v>415</v>
      </c>
      <c r="B545" s="74">
        <v>1</v>
      </c>
      <c r="C545" s="74">
        <v>1</v>
      </c>
      <c r="D545" s="176">
        <f t="shared" si="9"/>
        <v>0</v>
      </c>
    </row>
  </sheetData>
  <autoFilter ref="A1:D545" xr:uid="{00000000-0001-0000-0200-000000000000}"/>
  <sortState xmlns:xlrd2="http://schemas.microsoft.com/office/spreadsheetml/2017/richdata2" ref="A2:D331">
    <sortCondition descending="1" ref="B2"/>
  </sortState>
  <pageMargins left="0.7" right="0.7" top="0.75" bottom="0.75" header="0.3" footer="0.3"/>
  <pageSetup orientation="portrait" horizontalDpi="4294967294" verticalDpi="4294967294"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C86"/>
  <sheetViews>
    <sheetView topLeftCell="A43" zoomScale="85" zoomScaleNormal="85" workbookViewId="0">
      <selection activeCell="V57" sqref="V57"/>
    </sheetView>
  </sheetViews>
  <sheetFormatPr defaultColWidth="8.90625" defaultRowHeight="14.5" x14ac:dyDescent="0.35"/>
  <cols>
    <col min="1" max="1" width="7.08984375" bestFit="1" customWidth="1"/>
    <col min="2" max="2" width="18.54296875" bestFit="1" customWidth="1"/>
    <col min="3" max="4" width="6.453125" bestFit="1" customWidth="1"/>
    <col min="5" max="5" width="6.08984375" bestFit="1" customWidth="1"/>
    <col min="6" max="6" width="5.6328125" bestFit="1" customWidth="1"/>
    <col min="7" max="7" width="6.453125" bestFit="1" customWidth="1"/>
    <col min="8" max="8" width="6.90625" bestFit="1" customWidth="1"/>
    <col min="9" max="9" width="6.81640625" bestFit="1" customWidth="1"/>
    <col min="10" max="10" width="6.36328125" bestFit="1" customWidth="1"/>
    <col min="11" max="11" width="6.6328125" bestFit="1" customWidth="1"/>
    <col min="12" max="12" width="6.453125" bestFit="1" customWidth="1"/>
    <col min="13" max="14" width="6.36328125" bestFit="1" customWidth="1"/>
    <col min="15" max="15" width="5.08984375" bestFit="1" customWidth="1"/>
    <col min="16" max="16" width="7.08984375" bestFit="1" customWidth="1"/>
    <col min="17" max="17" width="13.08984375" bestFit="1" customWidth="1"/>
    <col min="18" max="18" width="10.08984375" bestFit="1" customWidth="1"/>
    <col min="19" max="19" width="10.36328125" bestFit="1" customWidth="1"/>
    <col min="20" max="20" width="7.36328125" bestFit="1" customWidth="1"/>
    <col min="21" max="21" width="10.453125" bestFit="1" customWidth="1"/>
    <col min="22" max="22" width="9" style="5" bestFit="1" customWidth="1"/>
    <col min="23" max="23" width="9.453125" bestFit="1" customWidth="1"/>
    <col min="24" max="24" width="8.90625" hidden="1" customWidth="1"/>
    <col min="25" max="25" width="8.08984375" bestFit="1" customWidth="1"/>
    <col min="26" max="26" width="9.453125" bestFit="1" customWidth="1"/>
    <col min="27" max="27" width="6.453125" bestFit="1" customWidth="1"/>
    <col min="28" max="28" width="10.6328125" bestFit="1" customWidth="1"/>
    <col min="29" max="29" width="10.36328125" bestFit="1" customWidth="1"/>
  </cols>
  <sheetData>
    <row r="1" spans="1:29" x14ac:dyDescent="0.35">
      <c r="G1" s="261" t="s">
        <v>165</v>
      </c>
      <c r="H1" s="262"/>
      <c r="I1" s="262"/>
      <c r="J1" s="262"/>
      <c r="K1" s="263"/>
      <c r="L1" s="261" t="s">
        <v>166</v>
      </c>
      <c r="M1" s="262"/>
      <c r="N1" s="262"/>
      <c r="O1" s="263"/>
    </row>
    <row r="2" spans="1:29" x14ac:dyDescent="0.35">
      <c r="A2" s="99" t="s">
        <v>167</v>
      </c>
      <c r="B2" s="99" t="s">
        <v>82</v>
      </c>
      <c r="C2" s="99" t="s">
        <v>168</v>
      </c>
      <c r="D2" s="99" t="s">
        <v>465</v>
      </c>
      <c r="E2" s="99" t="s">
        <v>169</v>
      </c>
      <c r="F2" s="99" t="s">
        <v>170</v>
      </c>
      <c r="G2" s="99" t="s">
        <v>171</v>
      </c>
      <c r="H2" s="99" t="s">
        <v>172</v>
      </c>
      <c r="I2" s="99" t="s">
        <v>173</v>
      </c>
      <c r="J2" s="99" t="s">
        <v>174</v>
      </c>
      <c r="K2" s="99" t="s">
        <v>175</v>
      </c>
      <c r="L2" s="99" t="s">
        <v>171</v>
      </c>
      <c r="M2" s="99" t="s">
        <v>173</v>
      </c>
      <c r="N2" s="99" t="s">
        <v>174</v>
      </c>
      <c r="O2" s="99" t="s">
        <v>176</v>
      </c>
      <c r="P2" s="99" t="s">
        <v>177</v>
      </c>
      <c r="Q2" s="99" t="s">
        <v>178</v>
      </c>
      <c r="R2" s="99" t="s">
        <v>179</v>
      </c>
      <c r="S2" s="99" t="s">
        <v>180</v>
      </c>
      <c r="T2" s="99" t="s">
        <v>181</v>
      </c>
      <c r="U2" s="99" t="s">
        <v>182</v>
      </c>
      <c r="V2" s="99" t="s">
        <v>183</v>
      </c>
      <c r="W2" s="99" t="s">
        <v>184</v>
      </c>
      <c r="X2" s="99"/>
      <c r="Y2" s="99" t="s">
        <v>185</v>
      </c>
      <c r="Z2" s="99" t="s">
        <v>186</v>
      </c>
      <c r="AA2" s="99" t="s">
        <v>187</v>
      </c>
      <c r="AB2" s="99" t="s">
        <v>188</v>
      </c>
      <c r="AC2" s="99" t="s">
        <v>1094</v>
      </c>
    </row>
    <row r="3" spans="1:29" x14ac:dyDescent="0.35">
      <c r="A3">
        <f t="shared" ref="A3:A34" si="0">RANK(P3,P:P)</f>
        <v>1</v>
      </c>
      <c r="B3" t="str">
        <f>QB_Raw!A2</f>
        <v>Josh Allen</v>
      </c>
      <c r="C3" t="s">
        <v>26</v>
      </c>
      <c r="D3">
        <f>_xlfn.IFNA(INDEX(BYEs!E:E,MATCH(B3,BYEs!D:D,0)),"N/A")</f>
        <v>28</v>
      </c>
      <c r="E3">
        <f>INDEX(BYEs!$B$2:$B$34,MATCH(F3,BYEs!$A$2:$A$34,0))</f>
        <v>12</v>
      </c>
      <c r="F3" t="str">
        <f>QB_Raw!B2</f>
        <v>BUF</v>
      </c>
      <c r="G3" s="198">
        <f>QB_Raw!C2</f>
        <v>564.79999999999995</v>
      </c>
      <c r="H3" s="200">
        <f>QB_Raw!D2</f>
        <v>368</v>
      </c>
      <c r="I3" s="200">
        <f>QB_Raw!E2</f>
        <v>4061.9</v>
      </c>
      <c r="J3" s="200">
        <f>QB_Raw!F2</f>
        <v>27.7</v>
      </c>
      <c r="K3" s="200">
        <f>QB_Raw!G2</f>
        <v>14</v>
      </c>
      <c r="L3" s="202">
        <f>QB_Raw!H2</f>
        <v>108.7</v>
      </c>
      <c r="M3" s="200">
        <f>QB_Raw!I2</f>
        <v>558.79999999999995</v>
      </c>
      <c r="N3" s="200">
        <f>QB_Raw!J2</f>
        <v>8.9</v>
      </c>
      <c r="O3" s="203">
        <f>QB_Raw!K2</f>
        <v>4</v>
      </c>
      <c r="P3" s="205">
        <f t="shared" ref="P3:P34" si="1">(G3*QBPassAtt)+(I3*PassingYds)+(J3*PassingTD)+(K3*PassingINT)+(M3*QBRushingYd)+(N3*QBRushingTD)+(O3*QBFuml)+(H3*QBCompletion)+(L3*QBRushAtt)</f>
        <v>360.55600000000004</v>
      </c>
      <c r="Q3" t="str">
        <f t="shared" ref="Q3:Q34" ca="1" si="2">IF(A3&lt;=QBStarter,"Starter",IF(A3&gt;QBStarter+QBBench,"Undrafted","Bench"))</f>
        <v>Starter</v>
      </c>
      <c r="R3">
        <f t="shared" ref="R3:R34" ca="1" si="3">IFERROR(MAX(P3-LARGE(QBSheetCount,QBStarter),0),0)</f>
        <v>111.68600000000001</v>
      </c>
      <c r="S3">
        <f t="shared" ref="S3:S34" ca="1" si="4">IFERROR(IF(AllowNegative="Yes",P3-LARGE(QBSheetCount,QBCount),MAX(P3-LARGE(QBSheetCount,QBCount),0)),0)</f>
        <v>177.74600000000004</v>
      </c>
      <c r="T3" s="84">
        <f t="shared" ref="T3:T34" ca="1" si="5">(S3-R3)*BenchPF+R3*StarterPF</f>
        <v>46.212739638769918</v>
      </c>
      <c r="U3" s="84">
        <f ca="1">T3*Auction!$A$2</f>
        <v>46.212739638769918</v>
      </c>
      <c r="V3" s="5" t="str">
        <f>IF(OR(INDEX(Auction!$H$13:$H$650,MATCH(B3,Auction!$A$13:$A$650,0))&gt;0,IFERROR(INDEX(CheatSheet!$D$5:$D$34,MATCH(B3,CheatSheet!$A$5:$A$34,0)),"")&lt;&gt;""),"Yes","No")</f>
        <v>No</v>
      </c>
      <c r="W3" s="175"/>
      <c r="Y3" s="77">
        <f t="shared" ref="Y3:Y34" ca="1" si="6">SUMIFS(Z:Z,Z:Z,"&gt;0",V:V,"No")/SUMIF(Z:Z,"&gt;0")</f>
        <v>1</v>
      </c>
      <c r="Z3" s="174">
        <f t="shared" ref="Z3:Z34" ca="1" si="7">AVERAGE(R3:S3)</f>
        <v>144.71600000000001</v>
      </c>
      <c r="AA3" t="str">
        <f ca="1">IF(AC3&gt;2,"QB1",IF(AC3&gt;1.5,"QB2",IF(AC3&gt;1,"QB3",IF(AC3&gt;0.5,"QB4",IF(AC3&gt;0,"QB5",IF(AC3&gt;-0.5,"QB6","QB7"))))))</f>
        <v>QB1</v>
      </c>
      <c r="AB3" s="174">
        <f ca="1">Z3*LeagueInfo!$H$5</f>
        <v>46.73605782221756</v>
      </c>
      <c r="AC3" s="174">
        <f t="shared" ref="AC3:AC34" ca="1" si="8">(Z3-AVERAGE(Z:Z))/_xlfn.STDEV.P(Z:Z)</f>
        <v>2.3048949731431203</v>
      </c>
    </row>
    <row r="4" spans="1:29" x14ac:dyDescent="0.35">
      <c r="A4">
        <f t="shared" si="0"/>
        <v>2</v>
      </c>
      <c r="B4" t="str">
        <f>QB_Raw!A3</f>
        <v>Jalen Hurts</v>
      </c>
      <c r="C4" t="s">
        <v>26</v>
      </c>
      <c r="D4">
        <f>_xlfn.IFNA(INDEX(BYEs!E:E,MATCH(B4,BYEs!D:D,0)),"N/A")</f>
        <v>25</v>
      </c>
      <c r="E4">
        <f>INDEX(BYEs!$B$2:$B$34,MATCH(F4,BYEs!$A$2:$A$34,0))</f>
        <v>5</v>
      </c>
      <c r="F4" t="str">
        <f>QB_Raw!B3</f>
        <v>PHI</v>
      </c>
      <c r="G4" s="198">
        <f>QB_Raw!C3</f>
        <v>520.20000000000005</v>
      </c>
      <c r="H4" s="200">
        <f>QB_Raw!D3</f>
        <v>339.4</v>
      </c>
      <c r="I4" s="200">
        <f>QB_Raw!E3</f>
        <v>3810.4</v>
      </c>
      <c r="J4" s="200">
        <f>QB_Raw!F3</f>
        <v>24.4</v>
      </c>
      <c r="K4" s="200">
        <f>QB_Raw!G3</f>
        <v>12.1</v>
      </c>
      <c r="L4" s="202">
        <f>QB_Raw!H3</f>
        <v>144.80000000000001</v>
      </c>
      <c r="M4" s="200">
        <f>QB_Raw!I3</f>
        <v>622.4</v>
      </c>
      <c r="N4" s="200">
        <f>QB_Raw!J3</f>
        <v>11.3</v>
      </c>
      <c r="O4" s="203">
        <f>QB_Raw!K3</f>
        <v>3.8</v>
      </c>
      <c r="P4" s="205">
        <f t="shared" si="1"/>
        <v>360.35599999999999</v>
      </c>
      <c r="Q4" t="str">
        <f t="shared" ca="1" si="2"/>
        <v>Starter</v>
      </c>
      <c r="R4">
        <f t="shared" ca="1" si="3"/>
        <v>111.48599999999996</v>
      </c>
      <c r="S4">
        <f t="shared" ca="1" si="4"/>
        <v>177.54599999999999</v>
      </c>
      <c r="T4" s="84">
        <f t="shared" ca="1" si="5"/>
        <v>46.149501291414488</v>
      </c>
      <c r="U4" s="84">
        <f ca="1">T4*Auction!$A$2</f>
        <v>46.149501291414488</v>
      </c>
      <c r="V4" s="5" t="str">
        <f>IF(OR(INDEX(Auction!$H$13:$H$650,MATCH(B4,Auction!$A$13:$A$650,0))&gt;0,IFERROR(INDEX(CheatSheet!$D$5:$D$34,MATCH(B4,CheatSheet!$A$5:$A$34,0)),"")&lt;&gt;""),"Yes","No")</f>
        <v>No</v>
      </c>
      <c r="W4" s="175"/>
      <c r="Y4" s="77">
        <f t="shared" ca="1" si="6"/>
        <v>1</v>
      </c>
      <c r="Z4" s="174">
        <f t="shared" ca="1" si="7"/>
        <v>144.51599999999996</v>
      </c>
      <c r="AA4" t="str">
        <f t="shared" ref="AA4:AA67" ca="1" si="9">IF(AC4&gt;2,"QB1",IF(AC4&gt;1.5,"QB2",IF(AC4&gt;1,"QB3",IF(AC4&gt;0.5,"QB4",IF(AC4&gt;0,"QB5",IF(AC4&gt;-0.5,"QB6","QB7"))))))</f>
        <v>QB1</v>
      </c>
      <c r="AB4" s="174">
        <f ca="1">Z4*LeagueInfo!$H$5</f>
        <v>46.671467786807199</v>
      </c>
      <c r="AC4" s="174">
        <f t="shared" ca="1" si="8"/>
        <v>2.3021894024803204</v>
      </c>
    </row>
    <row r="5" spans="1:29" x14ac:dyDescent="0.35">
      <c r="A5">
        <f t="shared" si="0"/>
        <v>3</v>
      </c>
      <c r="B5" t="str">
        <f>QB_Raw!A4</f>
        <v>Lamar Jackson</v>
      </c>
      <c r="C5" t="s">
        <v>26</v>
      </c>
      <c r="D5">
        <f>_xlfn.IFNA(INDEX(BYEs!E:E,MATCH(B5,BYEs!D:D,0)),"N/A")</f>
        <v>27</v>
      </c>
      <c r="E5">
        <f>INDEX(BYEs!$B$2:$B$34,MATCH(F5,BYEs!$A$2:$A$34,0))</f>
        <v>14</v>
      </c>
      <c r="F5" t="str">
        <f>QB_Raw!B4</f>
        <v>BAL</v>
      </c>
      <c r="G5" s="198">
        <f>QB_Raw!C4</f>
        <v>463.6</v>
      </c>
      <c r="H5" s="200">
        <f>QB_Raw!D4</f>
        <v>303.7</v>
      </c>
      <c r="I5" s="200">
        <f>QB_Raw!E4</f>
        <v>3567.1</v>
      </c>
      <c r="J5" s="200">
        <f>QB_Raw!F4</f>
        <v>25</v>
      </c>
      <c r="K5" s="200">
        <f>QB_Raw!G4</f>
        <v>10.6</v>
      </c>
      <c r="L5" s="202">
        <f>QB_Raw!H4</f>
        <v>146.1</v>
      </c>
      <c r="M5" s="200">
        <f>QB_Raw!I4</f>
        <v>836.1</v>
      </c>
      <c r="N5" s="200">
        <f>QB_Raw!J4</f>
        <v>5.4</v>
      </c>
      <c r="O5" s="203">
        <f>QB_Raw!K4</f>
        <v>4.4000000000000004</v>
      </c>
      <c r="P5" s="205">
        <f t="shared" si="1"/>
        <v>339.29400000000004</v>
      </c>
      <c r="Q5" t="str">
        <f t="shared" ca="1" si="2"/>
        <v>Starter</v>
      </c>
      <c r="R5">
        <f t="shared" ca="1" si="3"/>
        <v>90.424000000000007</v>
      </c>
      <c r="S5">
        <f t="shared" ca="1" si="4"/>
        <v>156.48400000000004</v>
      </c>
      <c r="T5" s="84">
        <f t="shared" ca="1" si="5"/>
        <v>39.489870931415389</v>
      </c>
      <c r="U5" s="84">
        <f ca="1">T5*Auction!$A$2</f>
        <v>39.489870931415389</v>
      </c>
      <c r="V5" s="5" t="str">
        <f>IF(OR(INDEX(Auction!$H$13:$H$650,MATCH(B5,Auction!$A$13:$A$650,0))&gt;0,IFERROR(INDEX(CheatSheet!$D$5:$D$34,MATCH(B5,CheatSheet!$A$5:$A$34,0)),"")&lt;&gt;""),"Yes","No")</f>
        <v>No</v>
      </c>
      <c r="W5" s="175"/>
      <c r="Y5" s="77">
        <f t="shared" ca="1" si="6"/>
        <v>1</v>
      </c>
      <c r="Z5" s="174">
        <f t="shared" ca="1" si="7"/>
        <v>123.45400000000002</v>
      </c>
      <c r="AA5" t="str">
        <f t="shared" ca="1" si="9"/>
        <v>QB1</v>
      </c>
      <c r="AB5" s="174">
        <f ca="1">Z5*LeagueInfo!$H$5</f>
        <v>39.869491157743774</v>
      </c>
      <c r="AC5" s="174">
        <f t="shared" ca="1" si="8"/>
        <v>2.0172657559809686</v>
      </c>
    </row>
    <row r="6" spans="1:29" x14ac:dyDescent="0.35">
      <c r="A6">
        <f t="shared" si="0"/>
        <v>4</v>
      </c>
      <c r="B6" t="str">
        <f>QB_Raw!A5</f>
        <v>Patrick Mahomes II</v>
      </c>
      <c r="C6" t="s">
        <v>26</v>
      </c>
      <c r="D6">
        <f>_xlfn.IFNA(INDEX(BYEs!E:E,MATCH(B6,BYEs!D:D,0)),"N/A")</f>
        <v>28</v>
      </c>
      <c r="E6">
        <f>INDEX(BYEs!$B$2:$B$34,MATCH(F6,BYEs!$A$2:$A$34,0))</f>
        <v>6</v>
      </c>
      <c r="F6" t="str">
        <f>QB_Raw!B5</f>
        <v>KC</v>
      </c>
      <c r="G6" s="198">
        <f>QB_Raw!C5</f>
        <v>584.79999999999995</v>
      </c>
      <c r="H6" s="200">
        <f>QB_Raw!D5</f>
        <v>392.4</v>
      </c>
      <c r="I6" s="200">
        <f>QB_Raw!E5</f>
        <v>4371.3999999999996</v>
      </c>
      <c r="J6" s="200">
        <f>QB_Raw!F5</f>
        <v>32.700000000000003</v>
      </c>
      <c r="K6" s="200">
        <f>QB_Raw!G5</f>
        <v>11.2</v>
      </c>
      <c r="L6" s="202">
        <f>QB_Raw!H5</f>
        <v>72</v>
      </c>
      <c r="M6" s="200">
        <f>QB_Raw!I5</f>
        <v>376.4</v>
      </c>
      <c r="N6" s="200">
        <f>QB_Raw!J5</f>
        <v>1.8</v>
      </c>
      <c r="O6" s="203">
        <f>QB_Raw!K5</f>
        <v>3.1</v>
      </c>
      <c r="P6" s="205">
        <f t="shared" si="1"/>
        <v>336.69600000000003</v>
      </c>
      <c r="Q6" t="str">
        <f t="shared" ca="1" si="2"/>
        <v>Starter</v>
      </c>
      <c r="R6">
        <f t="shared" ca="1" si="3"/>
        <v>87.825999999999993</v>
      </c>
      <c r="S6">
        <f t="shared" ca="1" si="4"/>
        <v>153.88600000000002</v>
      </c>
      <c r="T6" s="84">
        <f t="shared" ca="1" si="5"/>
        <v>38.668404799268501</v>
      </c>
      <c r="U6" s="84">
        <f ca="1">T6*Auction!$A$2</f>
        <v>38.668404799268501</v>
      </c>
      <c r="V6" s="5" t="str">
        <f>IF(OR(INDEX(Auction!$H$13:$H$650,MATCH(B6,Auction!$A$13:$A$650,0))&gt;0,IFERROR(INDEX(CheatSheet!$D$5:$D$34,MATCH(B6,CheatSheet!$A$5:$A$34,0)),"")&lt;&gt;""),"Yes","No")</f>
        <v>No</v>
      </c>
      <c r="W6" s="175"/>
      <c r="Y6" s="77">
        <f t="shared" ca="1" si="6"/>
        <v>1</v>
      </c>
      <c r="Z6" s="174">
        <f t="shared" ca="1" si="7"/>
        <v>120.85600000000001</v>
      </c>
      <c r="AA6" t="str">
        <f t="shared" ca="1" si="9"/>
        <v>QB2</v>
      </c>
      <c r="AB6" s="174">
        <f ca="1">Z6*LeagueInfo!$H$5</f>
        <v>39.030466597763379</v>
      </c>
      <c r="AC6" s="174">
        <f t="shared" ca="1" si="8"/>
        <v>1.9821203930712108</v>
      </c>
    </row>
    <row r="7" spans="1:29" x14ac:dyDescent="0.35">
      <c r="A7">
        <f t="shared" si="0"/>
        <v>5</v>
      </c>
      <c r="B7" t="str">
        <f>QB_Raw!A6</f>
        <v>Anthony Richardson</v>
      </c>
      <c r="C7" t="s">
        <v>26</v>
      </c>
      <c r="D7">
        <f>_xlfn.IFNA(INDEX(BYEs!E:E,MATCH(B7,BYEs!D:D,0)),"N/A")</f>
        <v>22</v>
      </c>
      <c r="E7">
        <f>INDEX(BYEs!$B$2:$B$34,MATCH(F7,BYEs!$A$2:$A$34,0))</f>
        <v>14</v>
      </c>
      <c r="F7" t="str">
        <f>QB_Raw!B6</f>
        <v>IND</v>
      </c>
      <c r="G7" s="198">
        <f>QB_Raw!C6</f>
        <v>511.6</v>
      </c>
      <c r="H7" s="200">
        <f>QB_Raw!D6</f>
        <v>325.5</v>
      </c>
      <c r="I7" s="200">
        <f>QB_Raw!E6</f>
        <v>3503</v>
      </c>
      <c r="J7" s="200">
        <f>QB_Raw!F6</f>
        <v>19.899999999999999</v>
      </c>
      <c r="K7" s="200">
        <f>QB_Raw!G6</f>
        <v>11.4</v>
      </c>
      <c r="L7" s="202">
        <f>QB_Raw!H6</f>
        <v>128.19999999999999</v>
      </c>
      <c r="M7" s="200">
        <f>QB_Raw!I6</f>
        <v>648.5</v>
      </c>
      <c r="N7" s="200">
        <f>QB_Raw!J6</f>
        <v>7.9</v>
      </c>
      <c r="O7" s="203">
        <f>QB_Raw!K6</f>
        <v>5</v>
      </c>
      <c r="P7" s="205">
        <f t="shared" si="1"/>
        <v>310.57000000000005</v>
      </c>
      <c r="Q7" t="str">
        <f t="shared" ca="1" si="2"/>
        <v>Starter</v>
      </c>
      <c r="R7">
        <f t="shared" ca="1" si="3"/>
        <v>61.700000000000017</v>
      </c>
      <c r="S7">
        <f t="shared" ca="1" si="4"/>
        <v>127.76000000000005</v>
      </c>
      <c r="T7" s="84">
        <f t="shared" ca="1" si="5"/>
        <v>30.407579484230212</v>
      </c>
      <c r="U7" s="84">
        <f ca="1">T7*Auction!$A$2</f>
        <v>30.407579484230212</v>
      </c>
      <c r="V7" s="5" t="str">
        <f>IF(OR(INDEX(Auction!$H$13:$H$650,MATCH(B7,Auction!$A$13:$A$650,0))&gt;0,IFERROR(INDEX(CheatSheet!$D$5:$D$34,MATCH(B7,CheatSheet!$A$5:$A$34,0)),"")&lt;&gt;""),"Yes","No")</f>
        <v>No</v>
      </c>
      <c r="W7" s="175"/>
      <c r="Y7" s="77">
        <f t="shared" ca="1" si="6"/>
        <v>1</v>
      </c>
      <c r="Z7" s="174">
        <f t="shared" ca="1" si="7"/>
        <v>94.730000000000032</v>
      </c>
      <c r="AA7" t="str">
        <f t="shared" ca="1" si="9"/>
        <v>QB2</v>
      </c>
      <c r="AB7" s="174">
        <f ca="1">Z7*LeagueInfo!$H$5</f>
        <v>30.593070272110001</v>
      </c>
      <c r="AC7" s="174">
        <f t="shared" ca="1" si="8"/>
        <v>1.6286916973897905</v>
      </c>
    </row>
    <row r="8" spans="1:29" x14ac:dyDescent="0.35">
      <c r="A8">
        <f t="shared" si="0"/>
        <v>6</v>
      </c>
      <c r="B8" t="str">
        <f>QB_Raw!A7</f>
        <v>Dak Prescott</v>
      </c>
      <c r="C8" t="s">
        <v>26</v>
      </c>
      <c r="D8">
        <f>_xlfn.IFNA(INDEX(BYEs!E:E,MATCH(B8,BYEs!D:D,0)),"N/A")</f>
        <v>31</v>
      </c>
      <c r="E8">
        <f>INDEX(BYEs!$B$2:$B$34,MATCH(F8,BYEs!$A$2:$A$34,0))</f>
        <v>7</v>
      </c>
      <c r="F8" t="str">
        <f>QB_Raw!B7</f>
        <v>DAL</v>
      </c>
      <c r="G8" s="198">
        <f>QB_Raw!C7</f>
        <v>574.20000000000005</v>
      </c>
      <c r="H8" s="200">
        <f>QB_Raw!D7</f>
        <v>386.4</v>
      </c>
      <c r="I8" s="200">
        <f>QB_Raw!E7</f>
        <v>4191.3999999999996</v>
      </c>
      <c r="J8" s="200">
        <f>QB_Raw!F7</f>
        <v>30.8</v>
      </c>
      <c r="K8" s="200">
        <f>QB_Raw!G7</f>
        <v>12</v>
      </c>
      <c r="L8" s="202">
        <f>QB_Raw!H7</f>
        <v>51.9</v>
      </c>
      <c r="M8" s="200">
        <f>QB_Raw!I7</f>
        <v>221.5</v>
      </c>
      <c r="N8" s="200">
        <f>QB_Raw!J7</f>
        <v>2</v>
      </c>
      <c r="O8" s="203">
        <f>QB_Raw!K7</f>
        <v>2.8</v>
      </c>
      <c r="P8" s="205">
        <f t="shared" si="1"/>
        <v>307.40599999999995</v>
      </c>
      <c r="Q8" t="str">
        <f t="shared" ca="1" si="2"/>
        <v>Starter</v>
      </c>
      <c r="R8">
        <f t="shared" ca="1" si="3"/>
        <v>58.535999999999916</v>
      </c>
      <c r="S8">
        <f t="shared" ca="1" si="4"/>
        <v>124.59599999999995</v>
      </c>
      <c r="T8" s="84">
        <f t="shared" ca="1" si="5"/>
        <v>29.407148829067459</v>
      </c>
      <c r="U8" s="84">
        <f ca="1">T8*Auction!$A$2</f>
        <v>29.407148829067459</v>
      </c>
      <c r="V8" s="5" t="str">
        <f>IF(OR(INDEX(Auction!$H$13:$H$650,MATCH(B8,Auction!$A$13:$A$650,0))&gt;0,IFERROR(INDEX(CheatSheet!$D$5:$D$34,MATCH(B8,CheatSheet!$A$5:$A$34,0)),"")&lt;&gt;""),"Yes","No")</f>
        <v>No</v>
      </c>
      <c r="W8" s="175"/>
      <c r="Y8" s="77">
        <f t="shared" ca="1" si="6"/>
        <v>1</v>
      </c>
      <c r="Z8" s="174">
        <f t="shared" ca="1" si="7"/>
        <v>91.565999999999931</v>
      </c>
      <c r="AA8" t="str">
        <f t="shared" ca="1" si="9"/>
        <v>QB2</v>
      </c>
      <c r="AB8" s="174">
        <f ca="1">Z8*LeagueInfo!$H$5</f>
        <v>29.571255911918307</v>
      </c>
      <c r="AC8" s="174">
        <f t="shared" ca="1" si="8"/>
        <v>1.5858895695043105</v>
      </c>
    </row>
    <row r="9" spans="1:29" x14ac:dyDescent="0.35">
      <c r="A9">
        <f t="shared" si="0"/>
        <v>7</v>
      </c>
      <c r="B9" t="str">
        <f>QB_Raw!A8</f>
        <v>C.J. Stroud</v>
      </c>
      <c r="C9" t="s">
        <v>26</v>
      </c>
      <c r="D9">
        <f>_xlfn.IFNA(INDEX(BYEs!E:E,MATCH(B9,BYEs!D:D,0)),"N/A")</f>
        <v>22</v>
      </c>
      <c r="E9">
        <f>INDEX(BYEs!$B$2:$B$34,MATCH(F9,BYEs!$A$2:$A$34,0))</f>
        <v>14</v>
      </c>
      <c r="F9" t="str">
        <f>QB_Raw!B8</f>
        <v>HOU</v>
      </c>
      <c r="G9" s="198">
        <f>QB_Raw!C8</f>
        <v>556.9</v>
      </c>
      <c r="H9" s="200">
        <f>QB_Raw!D8</f>
        <v>362.5</v>
      </c>
      <c r="I9" s="200">
        <f>QB_Raw!E8</f>
        <v>4334.8999999999996</v>
      </c>
      <c r="J9" s="200">
        <f>QB_Raw!F8</f>
        <v>29.4</v>
      </c>
      <c r="K9" s="200">
        <f>QB_Raw!G8</f>
        <v>10.1</v>
      </c>
      <c r="L9" s="202">
        <f>QB_Raw!H8</f>
        <v>43.8</v>
      </c>
      <c r="M9" s="200">
        <f>QB_Raw!I8</f>
        <v>183.8</v>
      </c>
      <c r="N9" s="200">
        <f>QB_Raw!J8</f>
        <v>2.4</v>
      </c>
      <c r="O9" s="203">
        <f>QB_Raw!K8</f>
        <v>3.6</v>
      </c>
      <c r="P9" s="205">
        <f t="shared" si="1"/>
        <v>306.47599999999994</v>
      </c>
      <c r="Q9" t="str">
        <f t="shared" ca="1" si="2"/>
        <v>Starter</v>
      </c>
      <c r="R9">
        <f t="shared" ca="1" si="3"/>
        <v>57.605999999999909</v>
      </c>
      <c r="S9">
        <f t="shared" ca="1" si="4"/>
        <v>123.66599999999994</v>
      </c>
      <c r="T9" s="84">
        <f t="shared" ca="1" si="5"/>
        <v>29.113090513864762</v>
      </c>
      <c r="U9" s="84">
        <f ca="1">T9*Auction!$A$2</f>
        <v>29.113090513864762</v>
      </c>
      <c r="V9" s="5" t="str">
        <f>IF(OR(INDEX(Auction!$H$13:$H$650,MATCH(B9,Auction!$A$13:$A$650,0))&gt;0,IFERROR(INDEX(CheatSheet!$D$5:$D$34,MATCH(B9,CheatSheet!$A$5:$A$34,0)),"")&lt;&gt;""),"Yes","No")</f>
        <v>No</v>
      </c>
      <c r="W9" s="175"/>
      <c r="Y9" s="77">
        <f t="shared" ca="1" si="6"/>
        <v>1</v>
      </c>
      <c r="Z9" s="174">
        <f t="shared" ca="1" si="7"/>
        <v>90.635999999999925</v>
      </c>
      <c r="AA9" t="str">
        <f t="shared" ca="1" si="9"/>
        <v>QB2</v>
      </c>
      <c r="AB9" s="174">
        <f ca="1">Z9*LeagueInfo!$H$5</f>
        <v>29.270912247260199</v>
      </c>
      <c r="AC9" s="174">
        <f t="shared" ca="1" si="8"/>
        <v>1.5733086659222955</v>
      </c>
    </row>
    <row r="10" spans="1:29" x14ac:dyDescent="0.35">
      <c r="A10">
        <f t="shared" si="0"/>
        <v>8</v>
      </c>
      <c r="B10" t="str">
        <f>QB_Raw!A9</f>
        <v>Joe Burrow</v>
      </c>
      <c r="C10" t="s">
        <v>26</v>
      </c>
      <c r="D10">
        <f>_xlfn.IFNA(INDEX(BYEs!E:E,MATCH(B10,BYEs!D:D,0)),"N/A")</f>
        <v>27</v>
      </c>
      <c r="E10">
        <f>INDEX(BYEs!$B$2:$B$34,MATCH(F10,BYEs!$A$2:$A$34,0))</f>
        <v>12</v>
      </c>
      <c r="F10" t="str">
        <f>QB_Raw!B9</f>
        <v>CIN</v>
      </c>
      <c r="G10" s="198">
        <f>QB_Raw!C9</f>
        <v>580.20000000000005</v>
      </c>
      <c r="H10" s="200">
        <f>QB_Raw!D9</f>
        <v>388.9</v>
      </c>
      <c r="I10" s="200">
        <f>QB_Raw!E9</f>
        <v>4239.6000000000004</v>
      </c>
      <c r="J10" s="200">
        <f>QB_Raw!F9</f>
        <v>30.1</v>
      </c>
      <c r="K10" s="200">
        <f>QB_Raw!G9</f>
        <v>11.5</v>
      </c>
      <c r="L10" s="202">
        <f>QB_Raw!H9</f>
        <v>56.7</v>
      </c>
      <c r="M10" s="200">
        <f>QB_Raw!I9</f>
        <v>191.3</v>
      </c>
      <c r="N10" s="200">
        <f>QB_Raw!J9</f>
        <v>2.1</v>
      </c>
      <c r="O10" s="203">
        <f>QB_Raw!K9</f>
        <v>3.1</v>
      </c>
      <c r="P10" s="205">
        <f t="shared" si="1"/>
        <v>304.01400000000007</v>
      </c>
      <c r="Q10" t="str">
        <f t="shared" ca="1" si="2"/>
        <v>Starter</v>
      </c>
      <c r="R10">
        <f t="shared" ca="1" si="3"/>
        <v>55.144000000000034</v>
      </c>
      <c r="S10">
        <f t="shared" ca="1" si="4"/>
        <v>121.20400000000006</v>
      </c>
      <c r="T10" s="84">
        <f t="shared" ca="1" si="5"/>
        <v>28.334626457919605</v>
      </c>
      <c r="U10" s="84">
        <f ca="1">T10*Auction!$A$2</f>
        <v>28.334626457919605</v>
      </c>
      <c r="V10" s="5" t="str">
        <f>IF(OR(INDEX(Auction!$H$13:$H$650,MATCH(B10,Auction!$A$13:$A$650,0))&gt;0,IFERROR(INDEX(CheatSheet!$D$5:$D$34,MATCH(B10,CheatSheet!$A$5:$A$34,0)),"")&lt;&gt;""),"Yes","No")</f>
        <v>No</v>
      </c>
      <c r="W10" s="175"/>
      <c r="Y10" s="77">
        <f t="shared" ca="1" si="6"/>
        <v>1</v>
      </c>
      <c r="Z10" s="174">
        <f t="shared" ca="1" si="7"/>
        <v>88.174000000000049</v>
      </c>
      <c r="AA10" t="str">
        <f t="shared" ca="1" si="9"/>
        <v>QB2</v>
      </c>
      <c r="AB10" s="174">
        <f ca="1">Z10*LeagueInfo!$H$5</f>
        <v>28.475808911358889</v>
      </c>
      <c r="AC10" s="174">
        <f t="shared" ca="1" si="8"/>
        <v>1.5400030910632427</v>
      </c>
    </row>
    <row r="11" spans="1:29" x14ac:dyDescent="0.35">
      <c r="A11">
        <f t="shared" si="0"/>
        <v>9</v>
      </c>
      <c r="B11" t="str">
        <f>QB_Raw!A10</f>
        <v>Kyler Murray</v>
      </c>
      <c r="C11" t="s">
        <v>26</v>
      </c>
      <c r="D11">
        <f>_xlfn.IFNA(INDEX(BYEs!E:E,MATCH(B11,BYEs!D:D,0)),"N/A")</f>
        <v>26</v>
      </c>
      <c r="E11">
        <f>INDEX(BYEs!$B$2:$B$34,MATCH(F11,BYEs!$A$2:$A$34,0))</f>
        <v>11</v>
      </c>
      <c r="F11" t="str">
        <f>QB_Raw!B10</f>
        <v>ARI</v>
      </c>
      <c r="G11" s="198">
        <f>QB_Raw!C10</f>
        <v>530.70000000000005</v>
      </c>
      <c r="H11" s="200">
        <f>QB_Raw!D10</f>
        <v>353.8</v>
      </c>
      <c r="I11" s="200">
        <f>QB_Raw!E10</f>
        <v>3710.8</v>
      </c>
      <c r="J11" s="200">
        <f>QB_Raw!F10</f>
        <v>21.8</v>
      </c>
      <c r="K11" s="200">
        <f>QB_Raw!G10</f>
        <v>12.1</v>
      </c>
      <c r="L11" s="202">
        <f>QB_Raw!H10</f>
        <v>96.1</v>
      </c>
      <c r="M11" s="200">
        <f>QB_Raw!I10</f>
        <v>530.70000000000005</v>
      </c>
      <c r="N11" s="200">
        <f>QB_Raw!J10</f>
        <v>5.2</v>
      </c>
      <c r="O11" s="203">
        <f>QB_Raw!K10</f>
        <v>2.6</v>
      </c>
      <c r="P11" s="205">
        <f t="shared" si="1"/>
        <v>302.60200000000003</v>
      </c>
      <c r="Q11" t="str">
        <f t="shared" ca="1" si="2"/>
        <v>Starter</v>
      </c>
      <c r="R11">
        <f t="shared" ca="1" si="3"/>
        <v>53.731999999999999</v>
      </c>
      <c r="S11">
        <f t="shared" ca="1" si="4"/>
        <v>119.79200000000003</v>
      </c>
      <c r="T11" s="84">
        <f t="shared" ca="1" si="5"/>
        <v>27.888163725590339</v>
      </c>
      <c r="U11" s="84">
        <f ca="1">T11*Auction!$A$2</f>
        <v>27.888163725590339</v>
      </c>
      <c r="V11" s="5" t="str">
        <f>IF(OR(INDEX(Auction!$H$13:$H$650,MATCH(B11,Auction!$A$13:$A$650,0))&gt;0,IFERROR(INDEX(CheatSheet!$D$5:$D$34,MATCH(B11,CheatSheet!$A$5:$A$34,0)),"")&lt;&gt;""),"Yes","No")</f>
        <v>No</v>
      </c>
      <c r="W11" s="175"/>
      <c r="Y11" s="77">
        <f t="shared" ca="1" si="6"/>
        <v>1</v>
      </c>
      <c r="Z11" s="174">
        <f t="shared" ca="1" si="7"/>
        <v>86.762000000000015</v>
      </c>
      <c r="AA11" t="str">
        <f t="shared" ca="1" si="9"/>
        <v>QB2</v>
      </c>
      <c r="AB11" s="174">
        <f ca="1">Z11*LeagueInfo!$H$5</f>
        <v>28.019803261361844</v>
      </c>
      <c r="AC11" s="174">
        <f t="shared" ca="1" si="8"/>
        <v>1.5209017621838821</v>
      </c>
    </row>
    <row r="12" spans="1:29" x14ac:dyDescent="0.35">
      <c r="A12">
        <f t="shared" si="0"/>
        <v>10</v>
      </c>
      <c r="B12" t="str">
        <f>QB_Raw!A11</f>
        <v>Jordan Love</v>
      </c>
      <c r="C12" t="s">
        <v>26</v>
      </c>
      <c r="D12">
        <f>_xlfn.IFNA(INDEX(BYEs!E:E,MATCH(B12,BYEs!D:D,0)),"N/A")</f>
        <v>25</v>
      </c>
      <c r="E12">
        <f>INDEX(BYEs!$B$2:$B$34,MATCH(F12,BYEs!$A$2:$A$34,0))</f>
        <v>10</v>
      </c>
      <c r="F12" t="str">
        <f>QB_Raw!B11</f>
        <v>GB</v>
      </c>
      <c r="G12" s="198">
        <f>QB_Raw!C11</f>
        <v>545.4</v>
      </c>
      <c r="H12" s="200">
        <f>QB_Raw!D11</f>
        <v>354.8</v>
      </c>
      <c r="I12" s="200">
        <f>QB_Raw!E11</f>
        <v>3987.2</v>
      </c>
      <c r="J12" s="200">
        <f>QB_Raw!F11</f>
        <v>29.4</v>
      </c>
      <c r="K12" s="200">
        <f>QB_Raw!G11</f>
        <v>11.5</v>
      </c>
      <c r="L12" s="202">
        <f>QB_Raw!H11</f>
        <v>45.7</v>
      </c>
      <c r="M12" s="200">
        <f>QB_Raw!I11</f>
        <v>200.5</v>
      </c>
      <c r="N12" s="200">
        <f>QB_Raw!J11</f>
        <v>2.4</v>
      </c>
      <c r="O12" s="203">
        <f>QB_Raw!K11</f>
        <v>3</v>
      </c>
      <c r="P12" s="205">
        <f t="shared" si="1"/>
        <v>294.03799999999995</v>
      </c>
      <c r="Q12" t="str">
        <f t="shared" ca="1" si="2"/>
        <v>Starter</v>
      </c>
      <c r="R12">
        <f t="shared" ca="1" si="3"/>
        <v>45.167999999999921</v>
      </c>
      <c r="S12">
        <f t="shared" ca="1" si="4"/>
        <v>111.22799999999995</v>
      </c>
      <c r="T12" s="84">
        <f t="shared" ca="1" si="5"/>
        <v>25.180297691831303</v>
      </c>
      <c r="U12" s="84">
        <f ca="1">T12*Auction!$A$2</f>
        <v>25.180297691831303</v>
      </c>
      <c r="V12" s="5" t="str">
        <f>IF(OR(INDEX(Auction!$H$13:$H$650,MATCH(B12,Auction!$A$13:$A$650,0))&gt;0,IFERROR(INDEX(CheatSheet!$D$5:$D$34,MATCH(B12,CheatSheet!$A$5:$A$34,0)),"")&lt;&gt;""),"Yes","No")</f>
        <v>No</v>
      </c>
      <c r="W12" s="175"/>
      <c r="Y12" s="77">
        <f t="shared" ca="1" si="6"/>
        <v>1</v>
      </c>
      <c r="Z12" s="174">
        <f t="shared" ca="1" si="7"/>
        <v>78.197999999999936</v>
      </c>
      <c r="AA12" t="str">
        <f t="shared" ca="1" si="9"/>
        <v>QB3</v>
      </c>
      <c r="AB12" s="174">
        <f ca="1">Z12*LeagueInfo!$H$5</f>
        <v>25.254057945090839</v>
      </c>
      <c r="AC12" s="174">
        <f t="shared" ca="1" si="8"/>
        <v>1.4050492264028318</v>
      </c>
    </row>
    <row r="13" spans="1:29" x14ac:dyDescent="0.35">
      <c r="A13">
        <f t="shared" si="0"/>
        <v>11</v>
      </c>
      <c r="B13" t="str">
        <f>QB_Raw!A12</f>
        <v>Brock Purdy</v>
      </c>
      <c r="C13" t="s">
        <v>26</v>
      </c>
      <c r="D13">
        <f>_xlfn.IFNA(INDEX(BYEs!E:E,MATCH(B13,BYEs!D:D,0)),"N/A")</f>
        <v>24</v>
      </c>
      <c r="E13">
        <f>INDEX(BYEs!$B$2:$B$34,MATCH(F13,BYEs!$A$2:$A$34,0))</f>
        <v>9</v>
      </c>
      <c r="F13" t="str">
        <f>QB_Raw!B12</f>
        <v>SF</v>
      </c>
      <c r="G13" s="198">
        <f>QB_Raw!C12</f>
        <v>498.3</v>
      </c>
      <c r="H13" s="200">
        <f>QB_Raw!D12</f>
        <v>336.3</v>
      </c>
      <c r="I13" s="200">
        <f>QB_Raw!E12</f>
        <v>4078.2</v>
      </c>
      <c r="J13" s="200">
        <f>QB_Raw!F12</f>
        <v>29.6</v>
      </c>
      <c r="K13" s="200">
        <f>QB_Raw!G12</f>
        <v>10.8</v>
      </c>
      <c r="L13" s="202">
        <f>QB_Raw!H12</f>
        <v>44.1</v>
      </c>
      <c r="M13" s="200">
        <f>QB_Raw!I12</f>
        <v>162</v>
      </c>
      <c r="N13" s="200">
        <f>QB_Raw!J12</f>
        <v>1.9</v>
      </c>
      <c r="O13" s="203">
        <f>QB_Raw!K12</f>
        <v>2.6</v>
      </c>
      <c r="P13" s="205">
        <f t="shared" si="1"/>
        <v>293.12799999999999</v>
      </c>
      <c r="Q13" t="str">
        <f t="shared" ca="1" si="2"/>
        <v>Starter</v>
      </c>
      <c r="R13">
        <f t="shared" ca="1" si="3"/>
        <v>44.257999999999953</v>
      </c>
      <c r="S13">
        <f t="shared" ca="1" si="4"/>
        <v>110.31799999999998</v>
      </c>
      <c r="T13" s="84">
        <f t="shared" ca="1" si="5"/>
        <v>24.892563211364159</v>
      </c>
      <c r="U13" s="84">
        <f ca="1">T13*Auction!$A$2</f>
        <v>24.892563211364159</v>
      </c>
      <c r="V13" s="5" t="str">
        <f>IF(OR(INDEX(Auction!$H$13:$H$650,MATCH(B13,Auction!$A$13:$A$650,0))&gt;0,IFERROR(INDEX(CheatSheet!$D$5:$D$34,MATCH(B13,CheatSheet!$A$5:$A$34,0)),"")&lt;&gt;""),"Yes","No")</f>
        <v>No</v>
      </c>
      <c r="W13" s="175"/>
      <c r="Y13" s="77">
        <f t="shared" ca="1" si="6"/>
        <v>1</v>
      </c>
      <c r="Z13" s="174">
        <f t="shared" ca="1" si="7"/>
        <v>77.287999999999968</v>
      </c>
      <c r="AA13" t="str">
        <f t="shared" ca="1" si="9"/>
        <v>QB3</v>
      </c>
      <c r="AB13" s="174">
        <f ca="1">Z13*LeagueInfo!$H$5</f>
        <v>24.960173283973777</v>
      </c>
      <c r="AC13" s="174">
        <f t="shared" ca="1" si="8"/>
        <v>1.3927388798870974</v>
      </c>
    </row>
    <row r="14" spans="1:29" x14ac:dyDescent="0.35">
      <c r="A14">
        <f t="shared" si="0"/>
        <v>12</v>
      </c>
      <c r="B14" t="str">
        <f>QB_Raw!A13</f>
        <v>Jayden Daniels</v>
      </c>
      <c r="C14" t="s">
        <v>26</v>
      </c>
      <c r="D14">
        <f>_xlfn.IFNA(INDEX(BYEs!E:E,MATCH(B14,BYEs!D:D,0)),"N/A")</f>
        <v>23</v>
      </c>
      <c r="E14">
        <f>INDEX(BYEs!$B$2:$B$34,MATCH(F14,BYEs!$A$2:$A$34,0))</f>
        <v>14</v>
      </c>
      <c r="F14" t="str">
        <f>QB_Raw!B13</f>
        <v>WAS</v>
      </c>
      <c r="G14" s="198">
        <f>QB_Raw!C13</f>
        <v>543.4</v>
      </c>
      <c r="H14" s="200">
        <f>QB_Raw!D13</f>
        <v>338.5</v>
      </c>
      <c r="I14" s="200">
        <f>QB_Raw!E13</f>
        <v>3582</v>
      </c>
      <c r="J14" s="200">
        <f>QB_Raw!F13</f>
        <v>20</v>
      </c>
      <c r="K14" s="200">
        <f>QB_Raw!G13</f>
        <v>13.8</v>
      </c>
      <c r="L14" s="202">
        <f>QB_Raw!H13</f>
        <v>114.6</v>
      </c>
      <c r="M14" s="200">
        <f>QB_Raw!I13</f>
        <v>594.79999999999995</v>
      </c>
      <c r="N14" s="200">
        <f>QB_Raw!J13</f>
        <v>5</v>
      </c>
      <c r="O14" s="203">
        <f>QB_Raw!K13</f>
        <v>4.4000000000000004</v>
      </c>
      <c r="P14" s="205">
        <f t="shared" si="1"/>
        <v>290.15999999999997</v>
      </c>
      <c r="Q14" t="str">
        <f t="shared" ca="1" si="2"/>
        <v>Starter</v>
      </c>
      <c r="R14">
        <f t="shared" ca="1" si="3"/>
        <v>41.289999999999935</v>
      </c>
      <c r="S14">
        <f t="shared" ca="1" si="4"/>
        <v>107.34999999999997</v>
      </c>
      <c r="T14" s="84">
        <f t="shared" ca="1" si="5"/>
        <v>23.954106136609745</v>
      </c>
      <c r="U14" s="84">
        <f ca="1">T14*Auction!$A$2</f>
        <v>23.954106136609745</v>
      </c>
      <c r="V14" s="5" t="str">
        <f>IF(OR(INDEX(Auction!$H$13:$H$650,MATCH(B14,Auction!$A$13:$A$650,0))&gt;0,IFERROR(INDEX(CheatSheet!$D$5:$D$34,MATCH(B14,CheatSheet!$A$5:$A$34,0)),"")&lt;&gt;""),"Yes","No")</f>
        <v>No</v>
      </c>
      <c r="W14" s="175"/>
      <c r="Y14" s="77">
        <f t="shared" ca="1" si="6"/>
        <v>1</v>
      </c>
      <c r="Z14" s="174">
        <f t="shared" ca="1" si="7"/>
        <v>74.319999999999951</v>
      </c>
      <c r="AA14" t="str">
        <f t="shared" ca="1" si="9"/>
        <v>QB3</v>
      </c>
      <c r="AB14" s="174">
        <f ca="1">Z14*LeagueInfo!$H$5</f>
        <v>24.00165715848425</v>
      </c>
      <c r="AC14" s="174">
        <f t="shared" ca="1" si="8"/>
        <v>1.3525882112511614</v>
      </c>
    </row>
    <row r="15" spans="1:29" x14ac:dyDescent="0.35">
      <c r="A15">
        <f t="shared" si="0"/>
        <v>13</v>
      </c>
      <c r="B15" t="str">
        <f>QB_Raw!A14</f>
        <v>Caleb Williams</v>
      </c>
      <c r="C15" t="s">
        <v>26</v>
      </c>
      <c r="D15">
        <f>_xlfn.IFNA(INDEX(BYEs!E:E,MATCH(B15,BYEs!D:D,0)),"N/A")</f>
        <v>22</v>
      </c>
      <c r="E15">
        <f>INDEX(BYEs!$B$2:$B$34,MATCH(F15,BYEs!$A$2:$A$34,0))</f>
        <v>7</v>
      </c>
      <c r="F15" t="str">
        <f>QB_Raw!B14</f>
        <v>CHI</v>
      </c>
      <c r="G15" s="198">
        <f>QB_Raw!C14</f>
        <v>532.70000000000005</v>
      </c>
      <c r="H15" s="200">
        <f>QB_Raw!D14</f>
        <v>346.6</v>
      </c>
      <c r="I15" s="200">
        <f>QB_Raw!E14</f>
        <v>3784</v>
      </c>
      <c r="J15" s="200">
        <f>QB_Raw!F14</f>
        <v>25.3</v>
      </c>
      <c r="K15" s="200">
        <f>QB_Raw!G14</f>
        <v>13.4</v>
      </c>
      <c r="L15" s="202">
        <f>QB_Raw!H14</f>
        <v>78.099999999999994</v>
      </c>
      <c r="M15" s="200">
        <f>QB_Raw!I14</f>
        <v>363.4</v>
      </c>
      <c r="N15" s="200">
        <f>QB_Raw!J14</f>
        <v>3.3</v>
      </c>
      <c r="O15" s="203">
        <f>QB_Raw!K14</f>
        <v>4.3</v>
      </c>
      <c r="P15" s="205">
        <f t="shared" si="1"/>
        <v>286.7</v>
      </c>
      <c r="Q15" t="str">
        <f t="shared" ca="1" si="2"/>
        <v>Starter</v>
      </c>
      <c r="R15">
        <f t="shared" ca="1" si="3"/>
        <v>37.829999999999956</v>
      </c>
      <c r="S15">
        <f t="shared" ca="1" si="4"/>
        <v>103.88999999999999</v>
      </c>
      <c r="T15" s="84">
        <f t="shared" ca="1" si="5"/>
        <v>22.860082727361014</v>
      </c>
      <c r="U15" s="84">
        <f ca="1">T15*Auction!$A$2</f>
        <v>22.860082727361014</v>
      </c>
      <c r="V15" s="5" t="str">
        <f>IF(OR(INDEX(Auction!$H$13:$H$650,MATCH(B15,Auction!$A$13:$A$650,0))&gt;0,IFERROR(INDEX(CheatSheet!$D$5:$D$34,MATCH(B15,CheatSheet!$A$5:$A$34,0)),"")&lt;&gt;""),"Yes","No")</f>
        <v>No</v>
      </c>
      <c r="W15" s="175"/>
      <c r="Y15" s="77">
        <f t="shared" ca="1" si="6"/>
        <v>1</v>
      </c>
      <c r="Z15" s="174">
        <f t="shared" ca="1" si="7"/>
        <v>70.859999999999971</v>
      </c>
      <c r="AA15" t="str">
        <f t="shared" ca="1" si="9"/>
        <v>QB3</v>
      </c>
      <c r="AB15" s="174">
        <f ca="1">Z15*LeagueInfo!$H$5</f>
        <v>22.884249545885286</v>
      </c>
      <c r="AC15" s="174">
        <f t="shared" ca="1" si="8"/>
        <v>1.3057818387847406</v>
      </c>
    </row>
    <row r="16" spans="1:29" x14ac:dyDescent="0.35">
      <c r="A16">
        <f t="shared" si="0"/>
        <v>14</v>
      </c>
      <c r="B16" t="str">
        <f>QB_Raw!A15</f>
        <v>Trevor Lawrence</v>
      </c>
      <c r="C16" t="s">
        <v>26</v>
      </c>
      <c r="D16">
        <f>_xlfn.IFNA(INDEX(BYEs!E:E,MATCH(B16,BYEs!D:D,0)),"N/A")</f>
        <v>24</v>
      </c>
      <c r="E16">
        <f>INDEX(BYEs!$B$2:$B$34,MATCH(F16,BYEs!$A$2:$A$34,0))</f>
        <v>12</v>
      </c>
      <c r="F16" t="str">
        <f>QB_Raw!B15</f>
        <v>JAC</v>
      </c>
      <c r="G16" s="198">
        <f>QB_Raw!C15</f>
        <v>566.29999999999995</v>
      </c>
      <c r="H16" s="200">
        <f>QB_Raw!D15</f>
        <v>373.3</v>
      </c>
      <c r="I16" s="200">
        <f>QB_Raw!E15</f>
        <v>3984.1</v>
      </c>
      <c r="J16" s="200">
        <f>QB_Raw!F15</f>
        <v>24.4</v>
      </c>
      <c r="K16" s="200">
        <f>QB_Raw!G15</f>
        <v>12.5</v>
      </c>
      <c r="L16" s="202">
        <f>QB_Raw!H15</f>
        <v>66.099999999999994</v>
      </c>
      <c r="M16" s="200">
        <f>QB_Raw!I15</f>
        <v>306.2</v>
      </c>
      <c r="N16" s="200">
        <f>QB_Raw!J15</f>
        <v>3.5</v>
      </c>
      <c r="O16" s="203">
        <f>QB_Raw!K15</f>
        <v>4.8</v>
      </c>
      <c r="P16" s="205">
        <f t="shared" si="1"/>
        <v>286.48399999999998</v>
      </c>
      <c r="Q16" t="str">
        <f t="shared" ca="1" si="2"/>
        <v>Starter</v>
      </c>
      <c r="R16">
        <f t="shared" ca="1" si="3"/>
        <v>37.613999999999947</v>
      </c>
      <c r="S16">
        <f t="shared" ca="1" si="4"/>
        <v>103.67399999999998</v>
      </c>
      <c r="T16" s="84">
        <f t="shared" ca="1" si="5"/>
        <v>22.791785312217158</v>
      </c>
      <c r="U16" s="84">
        <f ca="1">T16*Auction!$A$2</f>
        <v>22.791785312217158</v>
      </c>
      <c r="V16" s="5" t="str">
        <f>IF(OR(INDEX(Auction!$H$13:$H$650,MATCH(B16,Auction!$A$13:$A$650,0))&gt;0,IFERROR(INDEX(CheatSheet!$D$5:$D$34,MATCH(B16,CheatSheet!$A$5:$A$34,0)),"")&lt;&gt;""),"Yes","No")</f>
        <v>No</v>
      </c>
      <c r="W16" s="175"/>
      <c r="Y16" s="77">
        <f t="shared" ca="1" si="6"/>
        <v>1</v>
      </c>
      <c r="Z16" s="174">
        <f t="shared" ca="1" si="7"/>
        <v>70.643999999999963</v>
      </c>
      <c r="AA16" t="str">
        <f t="shared" ca="1" si="9"/>
        <v>QB3</v>
      </c>
      <c r="AB16" s="174">
        <f ca="1">Z16*LeagueInfo!$H$5</f>
        <v>22.814492307642109</v>
      </c>
      <c r="AC16" s="174">
        <f t="shared" ca="1" si="8"/>
        <v>1.3028598224689176</v>
      </c>
    </row>
    <row r="17" spans="1:29" x14ac:dyDescent="0.35">
      <c r="A17">
        <f t="shared" si="0"/>
        <v>15</v>
      </c>
      <c r="B17" t="str">
        <f>QB_Raw!A16</f>
        <v>Deshaun Watson</v>
      </c>
      <c r="C17" t="s">
        <v>26</v>
      </c>
      <c r="D17">
        <f>_xlfn.IFNA(INDEX(BYEs!E:E,MATCH(B17,BYEs!D:D,0)),"N/A")</f>
        <v>28</v>
      </c>
      <c r="E17">
        <f>INDEX(BYEs!$B$2:$B$34,MATCH(F17,BYEs!$A$2:$A$34,0))</f>
        <v>10</v>
      </c>
      <c r="F17" t="str">
        <f>QB_Raw!B16</f>
        <v>CLE</v>
      </c>
      <c r="G17" s="198">
        <f>QB_Raw!C16</f>
        <v>545</v>
      </c>
      <c r="H17" s="200">
        <f>QB_Raw!D16</f>
        <v>334.6</v>
      </c>
      <c r="I17" s="200">
        <f>QB_Raw!E16</f>
        <v>3748.8</v>
      </c>
      <c r="J17" s="200">
        <f>QB_Raw!F16</f>
        <v>23</v>
      </c>
      <c r="K17" s="200">
        <f>QB_Raw!G16</f>
        <v>13.3</v>
      </c>
      <c r="L17" s="202">
        <f>QB_Raw!H16</f>
        <v>77.099999999999994</v>
      </c>
      <c r="M17" s="200">
        <f>QB_Raw!I16</f>
        <v>385.5</v>
      </c>
      <c r="N17" s="200">
        <f>QB_Raw!J16</f>
        <v>3.2</v>
      </c>
      <c r="O17" s="203">
        <f>QB_Raw!K16</f>
        <v>3.8</v>
      </c>
      <c r="P17" s="205">
        <f t="shared" si="1"/>
        <v>278.80199999999996</v>
      </c>
      <c r="Q17" t="str">
        <f t="shared" ca="1" si="2"/>
        <v>Starter</v>
      </c>
      <c r="R17">
        <f t="shared" ca="1" si="3"/>
        <v>29.931999999999931</v>
      </c>
      <c r="S17">
        <f t="shared" ca="1" si="4"/>
        <v>95.991999999999962</v>
      </c>
      <c r="T17" s="84">
        <f t="shared" ca="1" si="5"/>
        <v>20.362800390295536</v>
      </c>
      <c r="U17" s="84">
        <f ca="1">T17*Auction!$A$2</f>
        <v>20.362800390295536</v>
      </c>
      <c r="V17" s="5" t="str">
        <f>IF(OR(INDEX(Auction!$H$13:$H$650,MATCH(B17,Auction!$A$13:$A$650,0))&gt;0,IFERROR(INDEX(CheatSheet!$D$5:$D$34,MATCH(B17,CheatSheet!$A$5:$A$34,0)),"")&lt;&gt;""),"Yes","No")</f>
        <v>No</v>
      </c>
      <c r="W17" s="175"/>
      <c r="Y17" s="77">
        <f t="shared" ca="1" si="6"/>
        <v>1</v>
      </c>
      <c r="Z17" s="174">
        <f t="shared" ca="1" si="7"/>
        <v>62.961999999999946</v>
      </c>
      <c r="AA17" t="str">
        <f t="shared" ca="1" si="9"/>
        <v>QB3</v>
      </c>
      <c r="AB17" s="174">
        <f ca="1">Z17*LeagueInfo!$H$5</f>
        <v>20.333589047530747</v>
      </c>
      <c r="AC17" s="174">
        <f t="shared" ca="1" si="8"/>
        <v>1.1989388533108116</v>
      </c>
    </row>
    <row r="18" spans="1:29" x14ac:dyDescent="0.35">
      <c r="A18">
        <f t="shared" si="0"/>
        <v>16</v>
      </c>
      <c r="B18" t="str">
        <f>QB_Raw!A17</f>
        <v>Justin Herbert</v>
      </c>
      <c r="C18" t="s">
        <v>26</v>
      </c>
      <c r="D18">
        <f>_xlfn.IFNA(INDEX(BYEs!E:E,MATCH(B18,BYEs!D:D,0)),"N/A")</f>
        <v>26</v>
      </c>
      <c r="E18">
        <f>INDEX(BYEs!$B$2:$B$34,MATCH(F18,BYEs!$A$2:$A$34,0))</f>
        <v>5</v>
      </c>
      <c r="F18" t="str">
        <f>QB_Raw!B17</f>
        <v>LAC</v>
      </c>
      <c r="G18" s="198">
        <f>QB_Raw!C17</f>
        <v>544.4</v>
      </c>
      <c r="H18" s="200">
        <f>QB_Raw!D17</f>
        <v>356.1</v>
      </c>
      <c r="I18" s="200">
        <f>QB_Raw!E17</f>
        <v>3849.4</v>
      </c>
      <c r="J18" s="200">
        <f>QB_Raw!F17</f>
        <v>24.5</v>
      </c>
      <c r="K18" s="200">
        <f>QB_Raw!G17</f>
        <v>9.9</v>
      </c>
      <c r="L18" s="202">
        <f>QB_Raw!H17</f>
        <v>64.599999999999994</v>
      </c>
      <c r="M18" s="200">
        <f>QB_Raw!I17</f>
        <v>263.2</v>
      </c>
      <c r="N18" s="200">
        <f>QB_Raw!J17</f>
        <v>2.7</v>
      </c>
      <c r="O18" s="203">
        <f>QB_Raw!K17</f>
        <v>3</v>
      </c>
      <c r="P18" s="205">
        <f t="shared" si="1"/>
        <v>278.596</v>
      </c>
      <c r="Q18" t="str">
        <f t="shared" ca="1" si="2"/>
        <v>Starter</v>
      </c>
      <c r="R18">
        <f t="shared" ca="1" si="3"/>
        <v>29.725999999999971</v>
      </c>
      <c r="S18">
        <f t="shared" ca="1" si="4"/>
        <v>95.786000000000001</v>
      </c>
      <c r="T18" s="84">
        <f t="shared" ca="1" si="5"/>
        <v>20.297664892519467</v>
      </c>
      <c r="U18" s="84">
        <f ca="1">T18*Auction!$A$2</f>
        <v>20.297664892519467</v>
      </c>
      <c r="V18" s="5" t="str">
        <f>IF(OR(INDEX(Auction!$H$13:$H$650,MATCH(B18,Auction!$A$13:$A$650,0))&gt;0,IFERROR(INDEX(CheatSheet!$D$5:$D$34,MATCH(B18,CheatSheet!$A$5:$A$34,0)),"")&lt;&gt;""),"Yes","No")</f>
        <v>No</v>
      </c>
      <c r="W18" s="175"/>
      <c r="Y18" s="77">
        <f t="shared" ca="1" si="6"/>
        <v>1</v>
      </c>
      <c r="Z18" s="174">
        <f t="shared" ca="1" si="7"/>
        <v>62.755999999999986</v>
      </c>
      <c r="AA18" t="str">
        <f t="shared" ca="1" si="9"/>
        <v>QB3</v>
      </c>
      <c r="AB18" s="174">
        <f ca="1">Z18*LeagueInfo!$H$5</f>
        <v>20.267061311058104</v>
      </c>
      <c r="AC18" s="174">
        <f t="shared" ca="1" si="8"/>
        <v>1.1961521155281292</v>
      </c>
    </row>
    <row r="19" spans="1:29" x14ac:dyDescent="0.35">
      <c r="A19">
        <f t="shared" si="0"/>
        <v>17</v>
      </c>
      <c r="B19" t="str">
        <f>QB_Raw!A18</f>
        <v>Jared Goff</v>
      </c>
      <c r="C19" t="s">
        <v>26</v>
      </c>
      <c r="D19">
        <f>_xlfn.IFNA(INDEX(BYEs!E:E,MATCH(B19,BYEs!D:D,0)),"N/A")</f>
        <v>29</v>
      </c>
      <c r="E19">
        <f>INDEX(BYEs!$B$2:$B$34,MATCH(F19,BYEs!$A$2:$A$34,0))</f>
        <v>5</v>
      </c>
      <c r="F19" t="str">
        <f>QB_Raw!B18</f>
        <v>DET</v>
      </c>
      <c r="G19" s="198">
        <f>QB_Raw!C18</f>
        <v>568.9</v>
      </c>
      <c r="H19" s="200">
        <f>QB_Raw!D18</f>
        <v>384</v>
      </c>
      <c r="I19" s="200">
        <f>QB_Raw!E18</f>
        <v>4231.8999999999996</v>
      </c>
      <c r="J19" s="200">
        <f>QB_Raw!F18</f>
        <v>28.1</v>
      </c>
      <c r="K19" s="200">
        <f>QB_Raw!G18</f>
        <v>10.6</v>
      </c>
      <c r="L19" s="202">
        <f>QB_Raw!H18</f>
        <v>24</v>
      </c>
      <c r="M19" s="200">
        <f>QB_Raw!I18</f>
        <v>54</v>
      </c>
      <c r="N19" s="200">
        <f>QB_Raw!J18</f>
        <v>1.1000000000000001</v>
      </c>
      <c r="O19" s="203">
        <f>QB_Raw!K18</f>
        <v>3.1</v>
      </c>
      <c r="P19" s="205">
        <f t="shared" si="1"/>
        <v>276.87599999999998</v>
      </c>
      <c r="Q19" t="str">
        <f t="shared" ca="1" si="2"/>
        <v>Starter</v>
      </c>
      <c r="R19">
        <f t="shared" ca="1" si="3"/>
        <v>28.005999999999943</v>
      </c>
      <c r="S19">
        <f t="shared" ca="1" si="4"/>
        <v>94.065999999999974</v>
      </c>
      <c r="T19" s="84">
        <f t="shared" ca="1" si="5"/>
        <v>19.753815105262859</v>
      </c>
      <c r="U19" s="84">
        <f ca="1">T19*Auction!$A$2</f>
        <v>19.753815105262859</v>
      </c>
      <c r="V19" s="5" t="str">
        <f>IF(OR(INDEX(Auction!$H$13:$H$650,MATCH(B19,Auction!$A$13:$A$650,0))&gt;0,IFERROR(INDEX(CheatSheet!$D$5:$D$34,MATCH(B19,CheatSheet!$A$5:$A$34,0)),"")&lt;&gt;""),"Yes","No")</f>
        <v>No</v>
      </c>
      <c r="W19" s="175"/>
      <c r="Y19" s="77">
        <f t="shared" ca="1" si="6"/>
        <v>1</v>
      </c>
      <c r="Z19" s="174">
        <f t="shared" ca="1" si="7"/>
        <v>61.035999999999959</v>
      </c>
      <c r="AA19" t="str">
        <f t="shared" ca="1" si="9"/>
        <v>QB3</v>
      </c>
      <c r="AB19" s="174">
        <f ca="1">Z19*LeagueInfo!$H$5</f>
        <v>19.711587006529125</v>
      </c>
      <c r="AC19" s="174">
        <f t="shared" ca="1" si="8"/>
        <v>1.1728842078280584</v>
      </c>
    </row>
    <row r="20" spans="1:29" x14ac:dyDescent="0.35">
      <c r="A20">
        <f t="shared" si="0"/>
        <v>18</v>
      </c>
      <c r="B20" t="str">
        <f>QB_Raw!A19</f>
        <v>Tua Tagovailoa</v>
      </c>
      <c r="C20" t="s">
        <v>26</v>
      </c>
      <c r="D20">
        <f>_xlfn.IFNA(INDEX(BYEs!E:E,MATCH(B20,BYEs!D:D,0)),"N/A")</f>
        <v>26</v>
      </c>
      <c r="E20">
        <f>INDEX(BYEs!$B$2:$B$34,MATCH(F20,BYEs!$A$2:$A$34,0))</f>
        <v>6</v>
      </c>
      <c r="F20" t="str">
        <f>QB_Raw!B19</f>
        <v>MIA</v>
      </c>
      <c r="G20" s="198">
        <f>QB_Raw!C19</f>
        <v>545.1</v>
      </c>
      <c r="H20" s="200">
        <f>QB_Raw!D19</f>
        <v>371</v>
      </c>
      <c r="I20" s="200">
        <f>QB_Raw!E19</f>
        <v>4269.3</v>
      </c>
      <c r="J20" s="200">
        <f>QB_Raw!F19</f>
        <v>27.3</v>
      </c>
      <c r="K20" s="200">
        <f>QB_Raw!G19</f>
        <v>12.5</v>
      </c>
      <c r="L20" s="202">
        <f>QB_Raw!H19</f>
        <v>31.8</v>
      </c>
      <c r="M20" s="200">
        <f>QB_Raw!I19</f>
        <v>88.8</v>
      </c>
      <c r="N20" s="200">
        <f>QB_Raw!J19</f>
        <v>0.6</v>
      </c>
      <c r="O20" s="203">
        <f>QB_Raw!K19</f>
        <v>3.8</v>
      </c>
      <c r="P20" s="205">
        <f t="shared" si="1"/>
        <v>272.35200000000003</v>
      </c>
      <c r="Q20" t="str">
        <f t="shared" ca="1" si="2"/>
        <v>Starter</v>
      </c>
      <c r="R20">
        <f t="shared" ca="1" si="3"/>
        <v>23.481999999999999</v>
      </c>
      <c r="S20">
        <f t="shared" ca="1" si="4"/>
        <v>89.54200000000003</v>
      </c>
      <c r="T20" s="84">
        <f t="shared" ca="1" si="5"/>
        <v>18.323363688083315</v>
      </c>
      <c r="U20" s="84">
        <f ca="1">T20*Auction!$A$2</f>
        <v>18.323363688083315</v>
      </c>
      <c r="V20" s="5" t="str">
        <f>IF(OR(INDEX(Auction!$H$13:$H$650,MATCH(B20,Auction!$A$13:$A$650,0))&gt;0,IFERROR(INDEX(CheatSheet!$D$5:$D$34,MATCH(B20,CheatSheet!$A$5:$A$34,0)),"")&lt;&gt;""),"Yes","No")</f>
        <v>No</v>
      </c>
      <c r="W20" s="175"/>
      <c r="Y20" s="77">
        <f t="shared" ca="1" si="6"/>
        <v>1</v>
      </c>
      <c r="Z20" s="174">
        <f t="shared" ca="1" si="7"/>
        <v>56.512000000000015</v>
      </c>
      <c r="AA20" t="str">
        <f t="shared" ca="1" si="9"/>
        <v>QB3</v>
      </c>
      <c r="AB20" s="174">
        <f ca="1">Z20*LeagueInfo!$H$5</f>
        <v>18.250560405547137</v>
      </c>
      <c r="AC20" s="174">
        <f t="shared" ca="1" si="8"/>
        <v>1.111684199435548</v>
      </c>
    </row>
    <row r="21" spans="1:29" x14ac:dyDescent="0.35">
      <c r="A21">
        <f t="shared" si="0"/>
        <v>19</v>
      </c>
      <c r="B21" t="str">
        <f>QB_Raw!A20</f>
        <v>Baker Mayfield</v>
      </c>
      <c r="C21" t="s">
        <v>26</v>
      </c>
      <c r="D21">
        <f>_xlfn.IFNA(INDEX(BYEs!E:E,MATCH(B21,BYEs!D:D,0)),"N/A")</f>
        <v>29</v>
      </c>
      <c r="E21">
        <f>INDEX(BYEs!$B$2:$B$34,MATCH(F21,BYEs!$A$2:$A$34,0))</f>
        <v>11</v>
      </c>
      <c r="F21" t="str">
        <f>QB_Raw!B20</f>
        <v>TB</v>
      </c>
      <c r="G21" s="198">
        <f>QB_Raw!C20</f>
        <v>562.1</v>
      </c>
      <c r="H21" s="200">
        <f>QB_Raw!D20</f>
        <v>355.2</v>
      </c>
      <c r="I21" s="200">
        <f>QB_Raw!E20</f>
        <v>3943.7</v>
      </c>
      <c r="J21" s="200">
        <f>QB_Raw!F20</f>
        <v>25.7</v>
      </c>
      <c r="K21" s="200">
        <f>QB_Raw!G20</f>
        <v>11.9</v>
      </c>
      <c r="L21" s="202">
        <f>QB_Raw!H20</f>
        <v>51.9</v>
      </c>
      <c r="M21" s="200">
        <f>QB_Raw!I20</f>
        <v>171.1</v>
      </c>
      <c r="N21" s="200">
        <f>QB_Raw!J20</f>
        <v>1.4</v>
      </c>
      <c r="O21" s="203">
        <f>QB_Raw!K20</f>
        <v>3.3</v>
      </c>
      <c r="P21" s="205">
        <f t="shared" si="1"/>
        <v>267.55799999999994</v>
      </c>
      <c r="Q21" t="str">
        <f t="shared" ca="1" si="2"/>
        <v>Starter</v>
      </c>
      <c r="R21">
        <f t="shared" ca="1" si="3"/>
        <v>18.687999999999903</v>
      </c>
      <c r="S21">
        <f t="shared" ca="1" si="4"/>
        <v>84.747999999999934</v>
      </c>
      <c r="T21" s="84">
        <f t="shared" ca="1" si="5"/>
        <v>16.807540501973907</v>
      </c>
      <c r="U21" s="84">
        <f ca="1">T21*Auction!$A$2</f>
        <v>16.807540501973907</v>
      </c>
      <c r="V21" s="5" t="str">
        <f>IF(OR(INDEX(Auction!$H$13:$H$650,MATCH(B21,Auction!$A$13:$A$650,0))&gt;0,IFERROR(INDEX(CheatSheet!$D$5:$D$34,MATCH(B21,CheatSheet!$A$5:$A$34,0)),"")&lt;&gt;""),"Yes","No")</f>
        <v>No</v>
      </c>
      <c r="W21" s="175"/>
      <c r="Y21" s="77">
        <f t="shared" ca="1" si="6"/>
        <v>1</v>
      </c>
      <c r="Z21" s="174">
        <f t="shared" ca="1" si="7"/>
        <v>51.717999999999918</v>
      </c>
      <c r="AA21" t="str">
        <f t="shared" ca="1" si="9"/>
        <v>QB3</v>
      </c>
      <c r="AB21" s="174">
        <f ca="1">Z21*LeagueInfo!$H$5</f>
        <v>16.70233725676113</v>
      </c>
      <c r="AC21" s="174">
        <f t="shared" ca="1" si="8"/>
        <v>1.046831670648257</v>
      </c>
    </row>
    <row r="22" spans="1:29" x14ac:dyDescent="0.35">
      <c r="A22">
        <f t="shared" si="0"/>
        <v>20</v>
      </c>
      <c r="B22" t="str">
        <f>QB_Raw!A21</f>
        <v>Kirk Cousins</v>
      </c>
      <c r="C22" t="s">
        <v>26</v>
      </c>
      <c r="D22">
        <f>_xlfn.IFNA(INDEX(BYEs!E:E,MATCH(B22,BYEs!D:D,0)),"N/A")</f>
        <v>35</v>
      </c>
      <c r="E22">
        <f>INDEX(BYEs!$B$2:$B$34,MATCH(F22,BYEs!$A$2:$A$34,0))</f>
        <v>12</v>
      </c>
      <c r="F22" t="str">
        <f>QB_Raw!B21</f>
        <v>ATL</v>
      </c>
      <c r="G22" s="198">
        <f>QB_Raw!C21</f>
        <v>533.4</v>
      </c>
      <c r="H22" s="200">
        <f>QB_Raw!D21</f>
        <v>349.7</v>
      </c>
      <c r="I22" s="200">
        <f>QB_Raw!E21</f>
        <v>4017.1</v>
      </c>
      <c r="J22" s="200">
        <f>QB_Raw!F21</f>
        <v>27</v>
      </c>
      <c r="K22" s="200">
        <f>QB_Raw!G21</f>
        <v>10.5</v>
      </c>
      <c r="L22" s="202">
        <f>QB_Raw!H21</f>
        <v>34</v>
      </c>
      <c r="M22" s="200">
        <f>QB_Raw!I21</f>
        <v>99.7</v>
      </c>
      <c r="N22" s="200">
        <f>QB_Raw!J21</f>
        <v>1.4</v>
      </c>
      <c r="O22" s="203">
        <f>QB_Raw!K21</f>
        <v>4.5</v>
      </c>
      <c r="P22" s="205">
        <f t="shared" si="1"/>
        <v>267.55399999999997</v>
      </c>
      <c r="Q22" t="str">
        <f t="shared" ca="1" si="2"/>
        <v>Starter</v>
      </c>
      <c r="R22">
        <f t="shared" ca="1" si="3"/>
        <v>18.683999999999941</v>
      </c>
      <c r="S22">
        <f t="shared" ca="1" si="4"/>
        <v>84.743999999999971</v>
      </c>
      <c r="T22" s="84">
        <f t="shared" ca="1" si="5"/>
        <v>16.806275735026812</v>
      </c>
      <c r="U22" s="84">
        <f ca="1">T22*Auction!$A$2</f>
        <v>16.806275735026812</v>
      </c>
      <c r="V22" s="5" t="str">
        <f>IF(OR(INDEX(Auction!$H$13:$H$650,MATCH(B22,Auction!$A$13:$A$650,0))&gt;0,IFERROR(INDEX(CheatSheet!$D$5:$D$34,MATCH(B22,CheatSheet!$A$5:$A$34,0)),"")&lt;&gt;""),"Yes","No")</f>
        <v>No</v>
      </c>
      <c r="W22" s="175"/>
      <c r="Y22" s="77">
        <f t="shared" ca="1" si="6"/>
        <v>1</v>
      </c>
      <c r="Z22" s="174">
        <f t="shared" ca="1" si="7"/>
        <v>51.713999999999956</v>
      </c>
      <c r="AA22" t="str">
        <f t="shared" ca="1" si="9"/>
        <v>QB3</v>
      </c>
      <c r="AB22" s="174">
        <f ca="1">Z22*LeagueInfo!$H$5</f>
        <v>16.701045456052935</v>
      </c>
      <c r="AC22" s="174">
        <f t="shared" ca="1" si="8"/>
        <v>1.0467775592350015</v>
      </c>
    </row>
    <row r="23" spans="1:29" x14ac:dyDescent="0.35">
      <c r="A23">
        <f t="shared" si="0"/>
        <v>21</v>
      </c>
      <c r="B23" t="str">
        <f>QB_Raw!A22</f>
        <v>Matthew Stafford</v>
      </c>
      <c r="C23" t="s">
        <v>26</v>
      </c>
      <c r="D23">
        <f>_xlfn.IFNA(INDEX(BYEs!E:E,MATCH(B23,BYEs!D:D,0)),"N/A")</f>
        <v>36</v>
      </c>
      <c r="E23">
        <f>INDEX(BYEs!$B$2:$B$34,MATCH(F23,BYEs!$A$2:$A$34,0))</f>
        <v>6</v>
      </c>
      <c r="F23" t="str">
        <f>QB_Raw!B22</f>
        <v>LAR</v>
      </c>
      <c r="G23" s="198">
        <f>QB_Raw!C22</f>
        <v>552.9</v>
      </c>
      <c r="H23" s="200">
        <f>QB_Raw!D22</f>
        <v>355.4</v>
      </c>
      <c r="I23" s="200">
        <f>QB_Raw!E22</f>
        <v>4126.7</v>
      </c>
      <c r="J23" s="200">
        <f>QB_Raw!F22</f>
        <v>26.9</v>
      </c>
      <c r="K23" s="200">
        <f>QB_Raw!G22</f>
        <v>12.5</v>
      </c>
      <c r="L23" s="202">
        <f>QB_Raw!H22</f>
        <v>23.4</v>
      </c>
      <c r="M23" s="200">
        <f>QB_Raw!I22</f>
        <v>66</v>
      </c>
      <c r="N23" s="200">
        <f>QB_Raw!J22</f>
        <v>0.6</v>
      </c>
      <c r="O23" s="203">
        <f>QB_Raw!K22</f>
        <v>2.2000000000000002</v>
      </c>
      <c r="P23" s="205">
        <f t="shared" si="1"/>
        <v>265.96800000000007</v>
      </c>
      <c r="Q23" t="str">
        <f t="shared" ca="1" si="2"/>
        <v>Starter</v>
      </c>
      <c r="R23">
        <f t="shared" ca="1" si="3"/>
        <v>17.098000000000042</v>
      </c>
      <c r="S23">
        <f t="shared" ca="1" si="4"/>
        <v>83.158000000000072</v>
      </c>
      <c r="T23" s="84">
        <f t="shared" ca="1" si="5"/>
        <v>16.304795640498376</v>
      </c>
      <c r="U23" s="84">
        <f ca="1">T23*Auction!$A$2</f>
        <v>16.304795640498376</v>
      </c>
      <c r="V23" s="5" t="str">
        <f>IF(OR(INDEX(Auction!$H$13:$H$650,MATCH(B23,Auction!$A$13:$A$650,0))&gt;0,IFERROR(INDEX(CheatSheet!$D$5:$D$34,MATCH(B23,CheatSheet!$A$5:$A$34,0)),"")&lt;&gt;""),"Yes","No")</f>
        <v>No</v>
      </c>
      <c r="W23" s="175"/>
      <c r="Y23" s="77">
        <f t="shared" ca="1" si="6"/>
        <v>1</v>
      </c>
      <c r="Z23" s="174">
        <f t="shared" ca="1" si="7"/>
        <v>50.128000000000057</v>
      </c>
      <c r="AA23" t="str">
        <f t="shared" ca="1" si="9"/>
        <v>QB3</v>
      </c>
      <c r="AB23" s="174">
        <f ca="1">Z23*LeagueInfo!$H$5</f>
        <v>16.188846475248933</v>
      </c>
      <c r="AC23" s="174">
        <f t="shared" ca="1" si="8"/>
        <v>1.0253223838790075</v>
      </c>
    </row>
    <row r="24" spans="1:29" x14ac:dyDescent="0.35">
      <c r="A24">
        <f t="shared" si="0"/>
        <v>22</v>
      </c>
      <c r="B24" t="str">
        <f>QB_Raw!A23</f>
        <v>Aaron Rodgers</v>
      </c>
      <c r="C24" t="s">
        <v>26</v>
      </c>
      <c r="D24">
        <f>_xlfn.IFNA(INDEX(BYEs!E:E,MATCH(B24,BYEs!D:D,0)),"N/A")</f>
        <v>40</v>
      </c>
      <c r="E24">
        <f>INDEX(BYEs!$B$2:$B$34,MATCH(F24,BYEs!$A$2:$A$34,0))</f>
        <v>12</v>
      </c>
      <c r="F24" t="str">
        <f>QB_Raw!B23</f>
        <v>NYJ</v>
      </c>
      <c r="G24" s="198">
        <f>QB_Raw!C23</f>
        <v>544.5</v>
      </c>
      <c r="H24" s="200">
        <f>QB_Raw!D23</f>
        <v>359.5</v>
      </c>
      <c r="I24" s="200">
        <f>QB_Raw!E23</f>
        <v>3840.8</v>
      </c>
      <c r="J24" s="200">
        <f>QB_Raw!F23</f>
        <v>26.2</v>
      </c>
      <c r="K24" s="200">
        <f>QB_Raw!G23</f>
        <v>9</v>
      </c>
      <c r="L24" s="202">
        <f>QB_Raw!H23</f>
        <v>32.6</v>
      </c>
      <c r="M24" s="200">
        <f>QB_Raw!I23</f>
        <v>107.5</v>
      </c>
      <c r="N24" s="200">
        <f>QB_Raw!J23</f>
        <v>1.3</v>
      </c>
      <c r="O24" s="203">
        <f>QB_Raw!K23</f>
        <v>2.7</v>
      </c>
      <c r="P24" s="205">
        <f t="shared" si="1"/>
        <v>262.58200000000005</v>
      </c>
      <c r="Q24" t="str">
        <f t="shared" ca="1" si="2"/>
        <v>Starter</v>
      </c>
      <c r="R24">
        <f t="shared" ca="1" si="3"/>
        <v>13.712000000000018</v>
      </c>
      <c r="S24">
        <f t="shared" ca="1" si="4"/>
        <v>79.772000000000048</v>
      </c>
      <c r="T24" s="84">
        <f t="shared" ca="1" si="5"/>
        <v>15.234170419771136</v>
      </c>
      <c r="U24" s="84">
        <f ca="1">T24*Auction!$A$2</f>
        <v>15.234170419771136</v>
      </c>
      <c r="V24" s="5" t="str">
        <f>IF(OR(INDEX(Auction!$H$13:$H$650,MATCH(B24,Auction!$A$13:$A$650,0))&gt;0,IFERROR(INDEX(CheatSheet!$D$5:$D$34,MATCH(B24,CheatSheet!$A$5:$A$34,0)),"")&lt;&gt;""),"Yes","No")</f>
        <v>No</v>
      </c>
      <c r="W24" s="175"/>
      <c r="Y24" s="77">
        <f t="shared" ca="1" si="6"/>
        <v>1</v>
      </c>
      <c r="Z24" s="174">
        <f t="shared" ca="1" si="7"/>
        <v>46.742000000000033</v>
      </c>
      <c r="AA24" t="str">
        <f t="shared" ca="1" si="9"/>
        <v>QB4</v>
      </c>
      <c r="AB24" s="174">
        <f ca="1">Z24*LeagueInfo!$H$5</f>
        <v>15.09533717575178</v>
      </c>
      <c r="AC24" s="174">
        <f t="shared" ca="1" si="8"/>
        <v>0.97951707255782172</v>
      </c>
    </row>
    <row r="25" spans="1:29" x14ac:dyDescent="0.35">
      <c r="A25">
        <f t="shared" si="0"/>
        <v>23</v>
      </c>
      <c r="B25" t="str">
        <f>QB_Raw!A24</f>
        <v>Geno Smith</v>
      </c>
      <c r="C25" t="s">
        <v>26</v>
      </c>
      <c r="D25">
        <f>_xlfn.IFNA(INDEX(BYEs!E:E,MATCH(B25,BYEs!D:D,0)),"N/A")</f>
        <v>33</v>
      </c>
      <c r="E25">
        <f>INDEX(BYEs!$B$2:$B$34,MATCH(F25,BYEs!$A$2:$A$34,0))</f>
        <v>10</v>
      </c>
      <c r="F25" t="str">
        <f>QB_Raw!B24</f>
        <v>SEA</v>
      </c>
      <c r="G25" s="198">
        <f>QB_Raw!C24</f>
        <v>522.79999999999995</v>
      </c>
      <c r="H25" s="200">
        <f>QB_Raw!D24</f>
        <v>342.6</v>
      </c>
      <c r="I25" s="200">
        <f>QB_Raw!E24</f>
        <v>3755.2</v>
      </c>
      <c r="J25" s="200">
        <f>QB_Raw!F24</f>
        <v>24.1</v>
      </c>
      <c r="K25" s="200">
        <f>QB_Raw!G24</f>
        <v>11.9</v>
      </c>
      <c r="L25" s="202">
        <f>QB_Raw!H24</f>
        <v>50.6</v>
      </c>
      <c r="M25" s="200">
        <f>QB_Raw!I24</f>
        <v>203.9</v>
      </c>
      <c r="N25" s="200">
        <f>QB_Raw!J24</f>
        <v>1.7</v>
      </c>
      <c r="O25" s="203">
        <f>QB_Raw!K24</f>
        <v>3.1</v>
      </c>
      <c r="P25" s="205">
        <f t="shared" si="1"/>
        <v>259.09800000000001</v>
      </c>
      <c r="Q25" t="str">
        <f t="shared" ca="1" si="2"/>
        <v>Starter</v>
      </c>
      <c r="R25">
        <f t="shared" ca="1" si="3"/>
        <v>10.22799999999998</v>
      </c>
      <c r="S25">
        <f t="shared" ca="1" si="4"/>
        <v>76.288000000000011</v>
      </c>
      <c r="T25" s="84">
        <f t="shared" ca="1" si="5"/>
        <v>14.132558408839735</v>
      </c>
      <c r="U25" s="84">
        <f ca="1">T25*Auction!$A$2</f>
        <v>14.132558408839735</v>
      </c>
      <c r="V25" s="5" t="str">
        <f>IF(OR(INDEX(Auction!$H$13:$H$650,MATCH(B25,Auction!$A$13:$A$650,0))&gt;0,IFERROR(INDEX(CheatSheet!$D$5:$D$34,MATCH(B25,CheatSheet!$A$5:$A$34,0)),"")&lt;&gt;""),"Yes","No")</f>
        <v>No</v>
      </c>
      <c r="W25" s="175"/>
      <c r="Y25" s="77">
        <f t="shared" ca="1" si="6"/>
        <v>1</v>
      </c>
      <c r="Z25" s="174">
        <f t="shared" ca="1" si="7"/>
        <v>43.257999999999996</v>
      </c>
      <c r="AA25" t="str">
        <f t="shared" ca="1" si="9"/>
        <v>QB4</v>
      </c>
      <c r="AB25" s="174">
        <f ca="1">Z25*LeagueInfo!$H$5</f>
        <v>13.970178758903556</v>
      </c>
      <c r="AC25" s="174">
        <f t="shared" ca="1" si="8"/>
        <v>0.93238603161186429</v>
      </c>
    </row>
    <row r="26" spans="1:29" x14ac:dyDescent="0.35">
      <c r="A26">
        <f t="shared" si="0"/>
        <v>24</v>
      </c>
      <c r="B26" t="str">
        <f>QB_Raw!A25</f>
        <v>Will Levis</v>
      </c>
      <c r="C26" t="s">
        <v>26</v>
      </c>
      <c r="D26">
        <f>_xlfn.IFNA(INDEX(BYEs!E:E,MATCH(B26,BYEs!D:D,0)),"N/A")</f>
        <v>25</v>
      </c>
      <c r="E26">
        <f>INDEX(BYEs!$B$2:$B$34,MATCH(F26,BYEs!$A$2:$A$34,0))</f>
        <v>5</v>
      </c>
      <c r="F26" t="str">
        <f>QB_Raw!B25</f>
        <v>TEN</v>
      </c>
      <c r="G26" s="198">
        <f>QB_Raw!C25</f>
        <v>512.9</v>
      </c>
      <c r="H26" s="200">
        <f>QB_Raw!D25</f>
        <v>323.2</v>
      </c>
      <c r="I26" s="200">
        <f>QB_Raw!E25</f>
        <v>3728</v>
      </c>
      <c r="J26" s="200">
        <f>QB_Raw!F25</f>
        <v>22.2</v>
      </c>
      <c r="K26" s="200">
        <f>QB_Raw!G25</f>
        <v>12.4</v>
      </c>
      <c r="L26" s="202">
        <f>QB_Raw!H25</f>
        <v>53.9</v>
      </c>
      <c r="M26" s="200">
        <f>QB_Raw!I25</f>
        <v>185.5</v>
      </c>
      <c r="N26" s="200">
        <f>QB_Raw!J25</f>
        <v>2.2000000000000002</v>
      </c>
      <c r="O26" s="203">
        <f>QB_Raw!K25</f>
        <v>4.2</v>
      </c>
      <c r="P26" s="205">
        <f t="shared" si="1"/>
        <v>248.87000000000003</v>
      </c>
      <c r="Q26" t="str">
        <f t="shared" ca="1" si="2"/>
        <v>Starter</v>
      </c>
      <c r="R26">
        <f t="shared" ca="1" si="3"/>
        <v>0</v>
      </c>
      <c r="S26">
        <f t="shared" ca="1" si="4"/>
        <v>66.060000000000031</v>
      </c>
      <c r="T26" s="84">
        <f t="shared" ca="1" si="5"/>
        <v>10.898549325083648</v>
      </c>
      <c r="U26" s="84">
        <f ca="1">T26*Auction!$A$2</f>
        <v>10.898549325083648</v>
      </c>
      <c r="V26" s="5" t="str">
        <f>IF(OR(INDEX(Auction!$H$13:$H$650,MATCH(B26,Auction!$A$13:$A$650,0))&gt;0,IFERROR(INDEX(CheatSheet!$D$5:$D$34,MATCH(B26,CheatSheet!$A$5:$A$34,0)),"")&lt;&gt;""),"Yes","No")</f>
        <v>No</v>
      </c>
      <c r="W26" s="175"/>
      <c r="Y26" s="77">
        <f t="shared" ca="1" si="6"/>
        <v>1</v>
      </c>
      <c r="Z26" s="174">
        <f t="shared" ca="1" si="7"/>
        <v>33.030000000000015</v>
      </c>
      <c r="AA26" t="str">
        <f t="shared" ca="1" si="9"/>
        <v>QB4</v>
      </c>
      <c r="AB26" s="174">
        <f ca="1">Z26*LeagueInfo!$H$5</f>
        <v>10.667044348018511</v>
      </c>
      <c r="AC26" s="174">
        <f t="shared" ca="1" si="8"/>
        <v>0.79402314791632866</v>
      </c>
    </row>
    <row r="27" spans="1:29" x14ac:dyDescent="0.35">
      <c r="A27">
        <f t="shared" si="0"/>
        <v>25</v>
      </c>
      <c r="B27" t="str">
        <f>QB_Raw!A26</f>
        <v>Daniel Jones</v>
      </c>
      <c r="C27" t="s">
        <v>26</v>
      </c>
      <c r="D27">
        <f>_xlfn.IFNA(INDEX(BYEs!E:E,MATCH(B27,BYEs!D:D,0)),"N/A")</f>
        <v>27</v>
      </c>
      <c r="E27">
        <f>INDEX(BYEs!$B$2:$B$34,MATCH(F27,BYEs!$A$2:$A$34,0))</f>
        <v>11</v>
      </c>
      <c r="F27" t="str">
        <f>QB_Raw!B26</f>
        <v>NYG</v>
      </c>
      <c r="G27" s="198">
        <f>QB_Raw!C26</f>
        <v>493.9</v>
      </c>
      <c r="H27" s="200">
        <f>QB_Raw!D26</f>
        <v>322.39999999999998</v>
      </c>
      <c r="I27" s="200">
        <f>QB_Raw!E26</f>
        <v>3227.4</v>
      </c>
      <c r="J27" s="200">
        <f>QB_Raw!F26</f>
        <v>16.600000000000001</v>
      </c>
      <c r="K27" s="200">
        <f>QB_Raw!G26</f>
        <v>10.6</v>
      </c>
      <c r="L27" s="202">
        <f>QB_Raw!H26</f>
        <v>95</v>
      </c>
      <c r="M27" s="200">
        <f>QB_Raw!I26</f>
        <v>469.2</v>
      </c>
      <c r="N27" s="200">
        <f>QB_Raw!J26</f>
        <v>3.5</v>
      </c>
      <c r="O27" s="203">
        <f>QB_Raw!K26</f>
        <v>3.6</v>
      </c>
      <c r="P27" s="205">
        <f t="shared" si="1"/>
        <v>245.61600000000004</v>
      </c>
      <c r="Q27" t="str">
        <f t="shared" ca="1" si="2"/>
        <v>Bench</v>
      </c>
      <c r="R27">
        <f t="shared" ca="1" si="3"/>
        <v>0</v>
      </c>
      <c r="S27">
        <f t="shared" ca="1" si="4"/>
        <v>62.80600000000004</v>
      </c>
      <c r="T27" s="84">
        <f t="shared" ca="1" si="5"/>
        <v>10.36170585696645</v>
      </c>
      <c r="U27" s="84">
        <f ca="1">T27*Auction!$A$2</f>
        <v>10.36170585696645</v>
      </c>
      <c r="V27" s="5" t="str">
        <f>IF(OR(INDEX(Auction!$H$13:$H$650,MATCH(B27,Auction!$A$13:$A$650,0))&gt;0,IFERROR(INDEX(CheatSheet!$D$5:$D$34,MATCH(B27,CheatSheet!$A$5:$A$34,0)),"")&lt;&gt;""),"Yes","No")</f>
        <v>No</v>
      </c>
      <c r="W27" s="175"/>
      <c r="Y27" s="77">
        <f t="shared" ca="1" si="6"/>
        <v>1</v>
      </c>
      <c r="Z27" s="174">
        <f t="shared" ca="1" si="7"/>
        <v>31.40300000000002</v>
      </c>
      <c r="AA27" t="str">
        <f t="shared" ca="1" si="9"/>
        <v>QB4</v>
      </c>
      <c r="AB27" s="174">
        <f ca="1">Z27*LeagueInfo!$H$5</f>
        <v>10.141604409955354</v>
      </c>
      <c r="AC27" s="174">
        <f t="shared" ca="1" si="8"/>
        <v>0.77201333057445964</v>
      </c>
    </row>
    <row r="28" spans="1:29" x14ac:dyDescent="0.35">
      <c r="A28">
        <f t="shared" si="0"/>
        <v>26</v>
      </c>
      <c r="B28" t="str">
        <f>QB_Raw!A27</f>
        <v>Derek Carr</v>
      </c>
      <c r="C28" t="s">
        <v>26</v>
      </c>
      <c r="D28">
        <f>_xlfn.IFNA(INDEX(BYEs!E:E,MATCH(B28,BYEs!D:D,0)),"N/A")</f>
        <v>33</v>
      </c>
      <c r="E28">
        <f>INDEX(BYEs!$B$2:$B$34,MATCH(F28,BYEs!$A$2:$A$34,0))</f>
        <v>12</v>
      </c>
      <c r="F28" t="str">
        <f>QB_Raw!B27</f>
        <v>NO</v>
      </c>
      <c r="G28" s="198">
        <f>QB_Raw!C27</f>
        <v>544.6</v>
      </c>
      <c r="H28" s="200">
        <f>QB_Raw!D27</f>
        <v>363.6</v>
      </c>
      <c r="I28" s="200">
        <f>QB_Raw!E27</f>
        <v>3842.8</v>
      </c>
      <c r="J28" s="200">
        <f>QB_Raw!F27</f>
        <v>24.5</v>
      </c>
      <c r="K28" s="200">
        <f>QB_Raw!G27</f>
        <v>10.9</v>
      </c>
      <c r="L28" s="202">
        <f>QB_Raw!H27</f>
        <v>24.2</v>
      </c>
      <c r="M28" s="200">
        <f>QB_Raw!I27</f>
        <v>69.7</v>
      </c>
      <c r="N28" s="200">
        <f>QB_Raw!J27</f>
        <v>0.5</v>
      </c>
      <c r="O28" s="203">
        <f>QB_Raw!K27</f>
        <v>3.2</v>
      </c>
      <c r="P28" s="205">
        <f t="shared" si="1"/>
        <v>244.38200000000001</v>
      </c>
      <c r="Q28" t="str">
        <f t="shared" ca="1" si="2"/>
        <v>Bench</v>
      </c>
      <c r="R28">
        <f t="shared" ca="1" si="3"/>
        <v>0</v>
      </c>
      <c r="S28">
        <f t="shared" ca="1" si="4"/>
        <v>61.572000000000003</v>
      </c>
      <c r="T28" s="84">
        <f t="shared" ca="1" si="5"/>
        <v>10.158121087557525</v>
      </c>
      <c r="U28" s="84">
        <f ca="1">T28*Auction!$A$2</f>
        <v>10.158121087557525</v>
      </c>
      <c r="V28" s="5" t="str">
        <f>IF(OR(INDEX(Auction!$H$13:$H$650,MATCH(B28,Auction!$A$13:$A$650,0))&gt;0,IFERROR(INDEX(CheatSheet!$D$5:$D$34,MATCH(B28,CheatSheet!$A$5:$A$34,0)),"")&lt;&gt;""),"Yes","No")</f>
        <v>No</v>
      </c>
      <c r="W28" s="175"/>
      <c r="Y28" s="77">
        <f t="shared" ca="1" si="6"/>
        <v>1</v>
      </c>
      <c r="Z28" s="174">
        <f t="shared" ca="1" si="7"/>
        <v>30.786000000000001</v>
      </c>
      <c r="AA28" t="str">
        <f t="shared" ca="1" si="9"/>
        <v>QB4</v>
      </c>
      <c r="AB28" s="174">
        <f ca="1">Z28*LeagueInfo!$H$5</f>
        <v>9.9423441507144332</v>
      </c>
      <c r="AC28" s="174">
        <f t="shared" ca="1" si="8"/>
        <v>0.76366664507972482</v>
      </c>
    </row>
    <row r="29" spans="1:29" x14ac:dyDescent="0.35">
      <c r="A29">
        <f t="shared" si="0"/>
        <v>27</v>
      </c>
      <c r="B29" t="str">
        <f>QB_Raw!A28</f>
        <v>Sam Darnold</v>
      </c>
      <c r="C29" t="s">
        <v>26</v>
      </c>
      <c r="D29">
        <f>_xlfn.IFNA(INDEX(BYEs!E:E,MATCH(B29,BYEs!D:D,0)),"N/A")</f>
        <v>27</v>
      </c>
      <c r="E29">
        <f>INDEX(BYEs!$B$2:$B$34,MATCH(F29,BYEs!$A$2:$A$34,0))</f>
        <v>6</v>
      </c>
      <c r="F29" t="str">
        <f>QB_Raw!B28</f>
        <v>MIN</v>
      </c>
      <c r="G29" s="198">
        <f>QB_Raw!C28</f>
        <v>540.9</v>
      </c>
      <c r="H29" s="200">
        <f>QB_Raw!D28</f>
        <v>343.6</v>
      </c>
      <c r="I29" s="200">
        <f>QB_Raw!E28</f>
        <v>3721.6</v>
      </c>
      <c r="J29" s="200">
        <f>QB_Raw!F28</f>
        <v>21.9</v>
      </c>
      <c r="K29" s="200">
        <f>QB_Raw!G28</f>
        <v>14.4</v>
      </c>
      <c r="L29" s="202">
        <f>QB_Raw!H28</f>
        <v>44.5</v>
      </c>
      <c r="M29" s="200">
        <f>QB_Raw!I28</f>
        <v>173.2</v>
      </c>
      <c r="N29" s="200">
        <f>QB_Raw!J28</f>
        <v>2.1</v>
      </c>
      <c r="O29" s="203">
        <f>QB_Raw!K28</f>
        <v>4.0999999999999996</v>
      </c>
      <c r="P29" s="205">
        <f t="shared" si="1"/>
        <v>243.78399999999999</v>
      </c>
      <c r="Q29" t="str">
        <f t="shared" ca="1" si="2"/>
        <v>Bench</v>
      </c>
      <c r="R29">
        <f t="shared" ca="1" si="3"/>
        <v>0</v>
      </c>
      <c r="S29">
        <f t="shared" ca="1" si="4"/>
        <v>60.97399999999999</v>
      </c>
      <c r="T29" s="84">
        <f t="shared" ca="1" si="5"/>
        <v>10.059463314375567</v>
      </c>
      <c r="U29" s="84">
        <f ca="1">T29*Auction!$A$2</f>
        <v>10.059463314375567</v>
      </c>
      <c r="V29" s="5" t="str">
        <f>IF(OR(INDEX(Auction!$H$13:$H$650,MATCH(B29,Auction!$A$13:$A$650,0))&gt;0,IFERROR(INDEX(CheatSheet!$D$5:$D$34,MATCH(B29,CheatSheet!$A$5:$A$34,0)),"")&lt;&gt;""),"Yes","No")</f>
        <v>No</v>
      </c>
      <c r="W29" s="175"/>
      <c r="Y29" s="77">
        <f t="shared" ca="1" si="6"/>
        <v>1</v>
      </c>
      <c r="Z29" s="174">
        <f t="shared" ca="1" si="7"/>
        <v>30.486999999999995</v>
      </c>
      <c r="AA29" t="str">
        <f t="shared" ca="1" si="9"/>
        <v>QB4</v>
      </c>
      <c r="AB29" s="174">
        <f ca="1">Z29*LeagueInfo!$H$5</f>
        <v>9.8457820477759643</v>
      </c>
      <c r="AC29" s="174">
        <f t="shared" ca="1" si="8"/>
        <v>0.75962181693884034</v>
      </c>
    </row>
    <row r="30" spans="1:29" x14ac:dyDescent="0.35">
      <c r="A30">
        <f t="shared" si="0"/>
        <v>28</v>
      </c>
      <c r="B30" t="str">
        <f>QB_Raw!A29</f>
        <v>Bo Nix</v>
      </c>
      <c r="C30" t="s">
        <v>26</v>
      </c>
      <c r="D30">
        <f>_xlfn.IFNA(INDEX(BYEs!E:E,MATCH(B30,BYEs!D:D,0)),"N/A")</f>
        <v>24</v>
      </c>
      <c r="E30">
        <f>INDEX(BYEs!$B$2:$B$34,MATCH(F30,BYEs!$A$2:$A$34,0))</f>
        <v>14</v>
      </c>
      <c r="F30" t="str">
        <f>QB_Raw!B29</f>
        <v>DEN</v>
      </c>
      <c r="G30" s="198">
        <f>QB_Raw!C29</f>
        <v>496.6</v>
      </c>
      <c r="H30" s="200">
        <f>QB_Raw!D29</f>
        <v>309.7</v>
      </c>
      <c r="I30" s="200">
        <f>QB_Raw!E29</f>
        <v>3211</v>
      </c>
      <c r="J30" s="200">
        <f>QB_Raw!F29</f>
        <v>19</v>
      </c>
      <c r="K30" s="200">
        <f>QB_Raw!G29</f>
        <v>12.1</v>
      </c>
      <c r="L30" s="202">
        <f>QB_Raw!H29</f>
        <v>61.4</v>
      </c>
      <c r="M30" s="200">
        <f>QB_Raw!I29</f>
        <v>281.10000000000002</v>
      </c>
      <c r="N30" s="200">
        <f>QB_Raw!J29</f>
        <v>2.4</v>
      </c>
      <c r="O30" s="203">
        <f>QB_Raw!K29</f>
        <v>3.6</v>
      </c>
      <c r="P30" s="205">
        <f t="shared" si="1"/>
        <v>227.65000000000003</v>
      </c>
      <c r="Q30" t="str">
        <f t="shared" ca="1" si="2"/>
        <v>Bench</v>
      </c>
      <c r="R30">
        <f t="shared" ca="1" si="3"/>
        <v>0</v>
      </c>
      <c r="S30">
        <f t="shared" ca="1" si="4"/>
        <v>44.840000000000032</v>
      </c>
      <c r="T30" s="84">
        <f t="shared" ca="1" si="5"/>
        <v>7.3976831931085512</v>
      </c>
      <c r="U30" s="84">
        <f ca="1">T30*Auction!$A$2</f>
        <v>7.3976831931085512</v>
      </c>
      <c r="V30" s="5" t="str">
        <f>IF(OR(INDEX(Auction!$H$13:$H$650,MATCH(B30,Auction!$A$13:$A$650,0))&gt;0,IFERROR(INDEX(CheatSheet!$D$5:$D$34,MATCH(B30,CheatSheet!$A$5:$A$34,0)),"")&lt;&gt;""),"Yes","No")</f>
        <v>No</v>
      </c>
      <c r="W30" s="175"/>
      <c r="Y30" s="77">
        <f t="shared" ca="1" si="6"/>
        <v>1</v>
      </c>
      <c r="Z30" s="174">
        <f t="shared" ca="1" si="7"/>
        <v>22.420000000000016</v>
      </c>
      <c r="AA30" t="str">
        <f t="shared" ca="1" si="9"/>
        <v>QB4</v>
      </c>
      <c r="AB30" s="174">
        <f ca="1">Z30*LeagueInfo!$H$5</f>
        <v>7.2405429694996988</v>
      </c>
      <c r="AC30" s="174">
        <f t="shared" ca="1" si="8"/>
        <v>0.65049262425484689</v>
      </c>
    </row>
    <row r="31" spans="1:29" x14ac:dyDescent="0.35">
      <c r="A31">
        <f t="shared" si="0"/>
        <v>29</v>
      </c>
      <c r="B31" t="str">
        <f>QB_Raw!A30</f>
        <v>Bryce Young</v>
      </c>
      <c r="C31" t="s">
        <v>26</v>
      </c>
      <c r="D31">
        <f>_xlfn.IFNA(INDEX(BYEs!E:E,MATCH(B31,BYEs!D:D,0)),"N/A")</f>
        <v>23</v>
      </c>
      <c r="E31">
        <f>INDEX(BYEs!$B$2:$B$34,MATCH(F31,BYEs!$A$2:$A$34,0))</f>
        <v>11</v>
      </c>
      <c r="F31" t="str">
        <f>QB_Raw!B30</f>
        <v>CAR</v>
      </c>
      <c r="G31" s="198">
        <f>QB_Raw!C30</f>
        <v>531.4</v>
      </c>
      <c r="H31" s="200">
        <f>QB_Raw!D30</f>
        <v>333</v>
      </c>
      <c r="I31" s="200">
        <f>QB_Raw!E30</f>
        <v>3450.7</v>
      </c>
      <c r="J31" s="200">
        <f>QB_Raw!F30</f>
        <v>19.2</v>
      </c>
      <c r="K31" s="200">
        <f>QB_Raw!G30</f>
        <v>11.9</v>
      </c>
      <c r="L31" s="202">
        <f>QB_Raw!H30</f>
        <v>42.6</v>
      </c>
      <c r="M31" s="200">
        <f>QB_Raw!I30</f>
        <v>235.5</v>
      </c>
      <c r="N31" s="200">
        <f>QB_Raw!J30</f>
        <v>1.2</v>
      </c>
      <c r="O31" s="203">
        <f>QB_Raw!K30</f>
        <v>3.5</v>
      </c>
      <c r="P31" s="205">
        <f t="shared" si="1"/>
        <v>226.67799999999997</v>
      </c>
      <c r="Q31" t="str">
        <f t="shared" ca="1" si="2"/>
        <v>Bench</v>
      </c>
      <c r="R31">
        <f t="shared" ca="1" si="3"/>
        <v>0</v>
      </c>
      <c r="S31">
        <f t="shared" ca="1" si="4"/>
        <v>43.867999999999967</v>
      </c>
      <c r="T31" s="84">
        <f t="shared" ca="1" si="5"/>
        <v>7.2373230667994077</v>
      </c>
      <c r="U31" s="84">
        <f ca="1">T31*Auction!$A$2</f>
        <v>7.2373230667994077</v>
      </c>
      <c r="V31" s="5" t="str">
        <f>IF(OR(INDEX(Auction!$H$13:$H$650,MATCH(B31,Auction!$A$13:$A$650,0))&gt;0,IFERROR(INDEX(CheatSheet!$D$5:$D$34,MATCH(B31,CheatSheet!$A$5:$A$34,0)),"")&lt;&gt;""),"Yes","No")</f>
        <v>No</v>
      </c>
      <c r="W31" s="175"/>
      <c r="Y31" s="77">
        <f t="shared" ca="1" si="6"/>
        <v>1</v>
      </c>
      <c r="Z31" s="174">
        <f t="shared" ca="1" si="7"/>
        <v>21.933999999999983</v>
      </c>
      <c r="AA31" t="str">
        <f t="shared" ca="1" si="9"/>
        <v>QB4</v>
      </c>
      <c r="AB31" s="174">
        <f ca="1">Z31*LeagueInfo!$H$5</f>
        <v>7.0835891834525491</v>
      </c>
      <c r="AC31" s="174">
        <f t="shared" ca="1" si="8"/>
        <v>0.64391808754424507</v>
      </c>
    </row>
    <row r="32" spans="1:29" x14ac:dyDescent="0.35">
      <c r="A32">
        <f t="shared" si="0"/>
        <v>30</v>
      </c>
      <c r="B32" t="str">
        <f>QB_Raw!A31</f>
        <v>Russell Wilson</v>
      </c>
      <c r="C32" t="s">
        <v>26</v>
      </c>
      <c r="D32">
        <f>_xlfn.IFNA(INDEX(BYEs!E:E,MATCH(B32,BYEs!D:D,0)),"N/A")</f>
        <v>35</v>
      </c>
      <c r="E32">
        <f>INDEX(BYEs!$B$2:$B$34,MATCH(F32,BYEs!$A$2:$A$34,0))</f>
        <v>9</v>
      </c>
      <c r="F32" t="str">
        <f>QB_Raw!B31</f>
        <v>PIT</v>
      </c>
      <c r="G32" s="198">
        <f>QB_Raw!C31</f>
        <v>442.9</v>
      </c>
      <c r="H32" s="200">
        <f>QB_Raw!D31</f>
        <v>281.7</v>
      </c>
      <c r="I32" s="200">
        <f>QB_Raw!E31</f>
        <v>2950.5</v>
      </c>
      <c r="J32" s="200">
        <f>QB_Raw!F31</f>
        <v>18.100000000000001</v>
      </c>
      <c r="K32" s="200">
        <f>QB_Raw!G31</f>
        <v>9.4</v>
      </c>
      <c r="L32" s="202">
        <f>QB_Raw!H31</f>
        <v>66.400000000000006</v>
      </c>
      <c r="M32" s="200">
        <f>QB_Raw!I31</f>
        <v>299.89999999999998</v>
      </c>
      <c r="N32" s="200">
        <f>QB_Raw!J31</f>
        <v>2.6</v>
      </c>
      <c r="O32" s="203">
        <f>QB_Raw!K31</f>
        <v>3.5</v>
      </c>
      <c r="P32" s="205">
        <f t="shared" si="1"/>
        <v>219.61</v>
      </c>
      <c r="Q32" t="str">
        <f t="shared" ca="1" si="2"/>
        <v>Bench</v>
      </c>
      <c r="R32">
        <f t="shared" ca="1" si="3"/>
        <v>0</v>
      </c>
      <c r="S32">
        <f t="shared" ca="1" si="4"/>
        <v>36.800000000000011</v>
      </c>
      <c r="T32" s="84">
        <f t="shared" ca="1" si="5"/>
        <v>6.0712475804280679</v>
      </c>
      <c r="U32" s="84">
        <f ca="1">T32*Auction!$A$2</f>
        <v>6.0712475804280679</v>
      </c>
      <c r="V32" s="5" t="str">
        <f>IF(OR(INDEX(Auction!$H$13:$H$650,MATCH(B32,Auction!$A$13:$A$650,0))&gt;0,IFERROR(INDEX(CheatSheet!$D$5:$D$34,MATCH(B32,CheatSheet!$A$5:$A$34,0)),"")&lt;&gt;""),"Yes","No")</f>
        <v>No</v>
      </c>
      <c r="W32" s="175"/>
      <c r="Y32" s="77">
        <f t="shared" ca="1" si="6"/>
        <v>1</v>
      </c>
      <c r="Z32" s="174">
        <f t="shared" ca="1" si="7"/>
        <v>18.400000000000006</v>
      </c>
      <c r="AA32" t="str">
        <f t="shared" ca="1" si="9"/>
        <v>QB4</v>
      </c>
      <c r="AB32" s="174">
        <f ca="1">Z32*LeagueInfo!$H$5</f>
        <v>5.9422832577517575</v>
      </c>
      <c r="AC32" s="174">
        <f t="shared" ca="1" si="8"/>
        <v>0.59611065393258877</v>
      </c>
    </row>
    <row r="33" spans="1:29" x14ac:dyDescent="0.35">
      <c r="A33">
        <f t="shared" si="0"/>
        <v>31</v>
      </c>
      <c r="B33" t="str">
        <f>QB_Raw!A32</f>
        <v>Drake Maye</v>
      </c>
      <c r="C33" t="s">
        <v>26</v>
      </c>
      <c r="D33">
        <f>_xlfn.IFNA(INDEX(BYEs!E:E,MATCH(B33,BYEs!D:D,0)),"N/A")</f>
        <v>21</v>
      </c>
      <c r="E33">
        <f>INDEX(BYEs!$B$2:$B$34,MATCH(F33,BYEs!$A$2:$A$34,0))</f>
        <v>14</v>
      </c>
      <c r="F33" t="str">
        <f>QB_Raw!B32</f>
        <v>NE</v>
      </c>
      <c r="G33" s="198">
        <f>QB_Raw!C32</f>
        <v>434.4</v>
      </c>
      <c r="H33" s="200">
        <f>QB_Raw!D32</f>
        <v>275.39999999999998</v>
      </c>
      <c r="I33" s="200">
        <f>QB_Raw!E32</f>
        <v>3034.3</v>
      </c>
      <c r="J33" s="200">
        <f>QB_Raw!F32</f>
        <v>15.6</v>
      </c>
      <c r="K33" s="200">
        <f>QB_Raw!G32</f>
        <v>12.3</v>
      </c>
      <c r="L33" s="202">
        <f>QB_Raw!H32</f>
        <v>56.3</v>
      </c>
      <c r="M33" s="200">
        <f>QB_Raw!I32</f>
        <v>257.39999999999998</v>
      </c>
      <c r="N33" s="200">
        <f>QB_Raw!J32</f>
        <v>2</v>
      </c>
      <c r="O33" s="203">
        <f>QB_Raw!K32</f>
        <v>2.6</v>
      </c>
      <c r="P33" s="205">
        <f t="shared" si="1"/>
        <v>204.01200000000003</v>
      </c>
      <c r="Q33" t="str">
        <f t="shared" ca="1" si="2"/>
        <v>Bench</v>
      </c>
      <c r="R33">
        <f t="shared" ca="1" si="3"/>
        <v>0</v>
      </c>
      <c r="S33">
        <f t="shared" ca="1" si="4"/>
        <v>21.202000000000027</v>
      </c>
      <c r="T33" s="84">
        <f t="shared" ca="1" si="5"/>
        <v>3.4978965000064135</v>
      </c>
      <c r="U33" s="84">
        <f ca="1">T33*Auction!$A$2</f>
        <v>3.4978965000064135</v>
      </c>
      <c r="V33" s="5" t="str">
        <f>IF(OR(INDEX(Auction!$H$13:$H$650,MATCH(B33,Auction!$A$13:$A$650,0))&gt;0,IFERROR(INDEX(CheatSheet!$D$5:$D$34,MATCH(B33,CheatSheet!$A$5:$A$34,0)),"")&lt;&gt;""),"Yes","No")</f>
        <v>No</v>
      </c>
      <c r="W33" s="175"/>
      <c r="Y33" s="77">
        <f t="shared" ca="1" si="6"/>
        <v>1</v>
      </c>
      <c r="Z33" s="174">
        <f t="shared" ca="1" si="7"/>
        <v>10.601000000000013</v>
      </c>
      <c r="AA33" t="str">
        <f t="shared" ca="1" si="9"/>
        <v>QB5</v>
      </c>
      <c r="AB33" s="174">
        <f ca="1">Z33*LeagueInfo!$H$5</f>
        <v>3.42359482692535</v>
      </c>
      <c r="AC33" s="174">
        <f t="shared" ca="1" si="8"/>
        <v>0.49060692593674565</v>
      </c>
    </row>
    <row r="34" spans="1:29" x14ac:dyDescent="0.35">
      <c r="A34">
        <f t="shared" si="0"/>
        <v>32</v>
      </c>
      <c r="B34" t="str">
        <f>QB_Raw!A33</f>
        <v>Gardner Minshew II</v>
      </c>
      <c r="C34" t="s">
        <v>26</v>
      </c>
      <c r="D34">
        <f>_xlfn.IFNA(INDEX(BYEs!E:E,MATCH(B34,BYEs!D:D,0)),"N/A")</f>
        <v>28</v>
      </c>
      <c r="E34">
        <f>INDEX(BYEs!$B$2:$B$34,MATCH(F34,BYEs!$A$2:$A$34,0))</f>
        <v>10</v>
      </c>
      <c r="F34" t="str">
        <f>QB_Raw!B33</f>
        <v>LV</v>
      </c>
      <c r="G34" s="198">
        <f>QB_Raw!C33</f>
        <v>413.7</v>
      </c>
      <c r="H34" s="200">
        <f>QB_Raw!D33</f>
        <v>259.39999999999998</v>
      </c>
      <c r="I34" s="200">
        <f>QB_Raw!E33</f>
        <v>2794.5</v>
      </c>
      <c r="J34" s="200">
        <f>QB_Raw!F33</f>
        <v>16</v>
      </c>
      <c r="K34" s="200">
        <f>QB_Raw!G33</f>
        <v>10.3</v>
      </c>
      <c r="L34" s="202">
        <f>QB_Raw!H33</f>
        <v>34</v>
      </c>
      <c r="M34" s="200">
        <f>QB_Raw!I33</f>
        <v>123.3</v>
      </c>
      <c r="N34" s="200">
        <f>QB_Raw!J33</f>
        <v>1.8</v>
      </c>
      <c r="O34" s="203">
        <f>QB_Raw!K33</f>
        <v>2.9</v>
      </c>
      <c r="P34" s="205">
        <f t="shared" si="1"/>
        <v>182.81</v>
      </c>
      <c r="Q34" t="str">
        <f t="shared" ca="1" si="2"/>
        <v>Bench</v>
      </c>
      <c r="R34">
        <f t="shared" ca="1" si="3"/>
        <v>0</v>
      </c>
      <c r="S34">
        <f t="shared" ca="1" si="4"/>
        <v>0</v>
      </c>
      <c r="T34" s="84">
        <f t="shared" ca="1" si="5"/>
        <v>0</v>
      </c>
      <c r="U34" s="84">
        <f ca="1">T34*Auction!$A$2</f>
        <v>0</v>
      </c>
      <c r="V34" s="5" t="str">
        <f>IF(OR(INDEX(Auction!$H$13:$H$650,MATCH(B34,Auction!$A$13:$A$650,0))&gt;0,IFERROR(INDEX(CheatSheet!$D$5:$D$34,MATCH(B34,CheatSheet!$A$5:$A$34,0)),"")&lt;&gt;""),"Yes","No")</f>
        <v>No</v>
      </c>
      <c r="W34" s="175"/>
      <c r="Y34" s="77">
        <f t="shared" ca="1" si="6"/>
        <v>1</v>
      </c>
      <c r="Z34" s="174">
        <f t="shared" ca="1" si="7"/>
        <v>0</v>
      </c>
      <c r="AA34" t="str">
        <f t="shared" ca="1" si="9"/>
        <v>QB5</v>
      </c>
      <c r="AB34" s="174">
        <f ca="1">Z34*LeagueInfo!$H$5</f>
        <v>0</v>
      </c>
      <c r="AC34" s="174">
        <f t="shared" ca="1" si="8"/>
        <v>0.34719815295508955</v>
      </c>
    </row>
    <row r="35" spans="1:29" x14ac:dyDescent="0.35">
      <c r="A35">
        <f t="shared" ref="A35:A66" si="10">RANK(P35,P:P)</f>
        <v>33</v>
      </c>
      <c r="B35" t="str">
        <f>QB_Raw!A34</f>
        <v>Taysom Hill</v>
      </c>
      <c r="C35" t="s">
        <v>26</v>
      </c>
      <c r="D35">
        <f>_xlfn.IFNA(INDEX(BYEs!E:E,MATCH(B35,BYEs!D:D,0)),"N/A")</f>
        <v>33</v>
      </c>
      <c r="E35">
        <f>INDEX(BYEs!$B$2:$B$34,MATCH(F35,BYEs!$A$2:$A$34,0))</f>
        <v>12</v>
      </c>
      <c r="F35" t="str">
        <f>QB_Raw!B34</f>
        <v>NO</v>
      </c>
      <c r="G35" s="198">
        <f>QB_Raw!C34</f>
        <v>5</v>
      </c>
      <c r="H35" s="200">
        <f>QB_Raw!D34</f>
        <v>4</v>
      </c>
      <c r="I35" s="200">
        <f>QB_Raw!E34</f>
        <v>38</v>
      </c>
      <c r="J35" s="200">
        <f>QB_Raw!F34</f>
        <v>0</v>
      </c>
      <c r="K35" s="200">
        <f>QB_Raw!G34</f>
        <v>0</v>
      </c>
      <c r="L35" s="202">
        <f>QB_Raw!H34</f>
        <v>80</v>
      </c>
      <c r="M35" s="200">
        <f>QB_Raw!I34</f>
        <v>403</v>
      </c>
      <c r="N35" s="200">
        <f>QB_Raw!J34</f>
        <v>6</v>
      </c>
      <c r="O35" s="203">
        <f>QB_Raw!K34</f>
        <v>1</v>
      </c>
      <c r="P35" s="205">
        <f t="shared" ref="P35:P66" si="11">(G35*QBPassAtt)+(I35*PassingYds)+(J35*PassingTD)+(K35*PassingINT)+(M35*QBRushingYd)+(N35*QBRushingTD)+(O35*QBFuml)+(H35*QBCompletion)+(L35*QBRushAtt)</f>
        <v>75.820000000000007</v>
      </c>
      <c r="Q35" t="str">
        <f t="shared" ref="Q35:Q66" ca="1" si="12">IF(A35&lt;=QBStarter,"Starter",IF(A35&gt;QBStarter+QBBench,"Undrafted","Bench"))</f>
        <v>Undrafted</v>
      </c>
      <c r="R35">
        <f t="shared" ref="R35:R66" ca="1" si="13">IFERROR(MAX(P35-LARGE(QBSheetCount,QBStarter),0),0)</f>
        <v>0</v>
      </c>
      <c r="S35">
        <f t="shared" ref="S35:S66" ca="1" si="14">IFERROR(IF(AllowNegative="Yes",P35-LARGE(QBSheetCount,QBCount),MAX(P35-LARGE(QBSheetCount,QBCount),0)),0)</f>
        <v>-106.99</v>
      </c>
      <c r="T35" s="84">
        <f t="shared" ref="T35:T66" ca="1" si="15">(S35-R35)*BenchPF+R35*StarterPF</f>
        <v>-17.651162462771705</v>
      </c>
      <c r="U35" s="84">
        <f ca="1">T35*Auction!$A$2</f>
        <v>-17.651162462771705</v>
      </c>
      <c r="V35" s="5" t="str">
        <f>IF(OR(INDEX(Auction!$H$13:$H$650,MATCH(B35,Auction!$A$13:$A$650,0))&gt;0,IFERROR(INDEX(CheatSheet!$D$5:$D$34,MATCH(B35,CheatSheet!$A$5:$A$34,0)),"")&lt;&gt;""),"Yes","No")</f>
        <v>No</v>
      </c>
      <c r="W35" s="175"/>
      <c r="Y35" s="77">
        <f t="shared" ref="Y35:Y66" ca="1" si="16">SUMIFS(Z:Z,Z:Z,"&gt;0",V:V,"No")/SUMIF(Z:Z,"&gt;0")</f>
        <v>1</v>
      </c>
      <c r="Z35" s="174">
        <f t="shared" ref="Z35:Z66" ca="1" si="17">AVERAGE(R35:S35)</f>
        <v>-53.494999999999997</v>
      </c>
      <c r="AA35" t="str">
        <f t="shared" ca="1" si="9"/>
        <v>QB6</v>
      </c>
      <c r="AB35" s="174">
        <f ca="1">Z35*LeagueInfo!$H$5</f>
        <v>-17.276219721382073</v>
      </c>
      <c r="AC35" s="174">
        <f t="shared" ref="AC35:AC66" ca="1" si="18">(Z35-AVERAGE(Z:Z))/_xlfn.STDEV.P(Z:Z)</f>
        <v>-0.37647436007704704</v>
      </c>
    </row>
    <row r="36" spans="1:29" x14ac:dyDescent="0.35">
      <c r="A36">
        <f t="shared" si="10"/>
        <v>34</v>
      </c>
      <c r="B36" t="str">
        <f>QB_Raw!A35</f>
        <v>Aidan O'Connell</v>
      </c>
      <c r="C36" t="s">
        <v>26</v>
      </c>
      <c r="D36">
        <f>_xlfn.IFNA(INDEX(BYEs!E:E,MATCH(B36,BYEs!D:D,0)),"N/A")</f>
        <v>25</v>
      </c>
      <c r="E36">
        <f>INDEX(BYEs!$B$2:$B$34,MATCH(F36,BYEs!$A$2:$A$34,0))</f>
        <v>10</v>
      </c>
      <c r="F36" t="str">
        <f>QB_Raw!B35</f>
        <v>LV</v>
      </c>
      <c r="G36" s="198">
        <f>QB_Raw!C35</f>
        <v>202.6</v>
      </c>
      <c r="H36" s="200">
        <f>QB_Raw!D35</f>
        <v>127.9</v>
      </c>
      <c r="I36" s="200">
        <f>QB_Raw!E35</f>
        <v>1244</v>
      </c>
      <c r="J36" s="200">
        <f>QB_Raw!F35</f>
        <v>6.4</v>
      </c>
      <c r="K36" s="200">
        <f>QB_Raw!G35</f>
        <v>4.5999999999999996</v>
      </c>
      <c r="L36" s="202">
        <f>QB_Raw!H35</f>
        <v>18.100000000000001</v>
      </c>
      <c r="M36" s="200">
        <f>QB_Raw!I35</f>
        <v>36.6</v>
      </c>
      <c r="N36" s="200">
        <f>QB_Raw!J35</f>
        <v>0.3</v>
      </c>
      <c r="O36" s="203">
        <f>QB_Raw!K35</f>
        <v>1</v>
      </c>
      <c r="P36" s="205">
        <f t="shared" si="11"/>
        <v>74.22</v>
      </c>
      <c r="Q36" t="str">
        <f t="shared" ca="1" si="12"/>
        <v>Undrafted</v>
      </c>
      <c r="R36">
        <f t="shared" ca="1" si="13"/>
        <v>0</v>
      </c>
      <c r="S36">
        <f t="shared" ca="1" si="14"/>
        <v>-108.59</v>
      </c>
      <c r="T36" s="84">
        <f t="shared" ca="1" si="15"/>
        <v>-17.915129748877277</v>
      </c>
      <c r="U36" s="84">
        <f ca="1">T36*Auction!$A$2</f>
        <v>-17.915129748877277</v>
      </c>
      <c r="V36" s="5" t="str">
        <f>IF(OR(INDEX(Auction!$H$13:$H$650,MATCH(B36,Auction!$A$13:$A$650,0))&gt;0,IFERROR(INDEX(CheatSheet!$D$5:$D$34,MATCH(B36,CheatSheet!$A$5:$A$34,0)),"")&lt;&gt;""),"Yes","No")</f>
        <v>No</v>
      </c>
      <c r="W36" s="175"/>
      <c r="Y36" s="77">
        <f t="shared" ca="1" si="16"/>
        <v>1</v>
      </c>
      <c r="Z36" s="174">
        <f t="shared" ca="1" si="17"/>
        <v>-54.295000000000002</v>
      </c>
      <c r="AA36" t="str">
        <f t="shared" ca="1" si="9"/>
        <v>QB6</v>
      </c>
      <c r="AB36" s="174">
        <f ca="1">Z36*LeagueInfo!$H$5</f>
        <v>-17.534579863023456</v>
      </c>
      <c r="AC36" s="174">
        <f t="shared" ca="1" si="18"/>
        <v>-0.38729664272824271</v>
      </c>
    </row>
    <row r="37" spans="1:29" x14ac:dyDescent="0.35">
      <c r="A37">
        <f t="shared" si="10"/>
        <v>35</v>
      </c>
      <c r="B37" t="str">
        <f>QB_Raw!A36</f>
        <v>Justin Fields</v>
      </c>
      <c r="C37" t="s">
        <v>26</v>
      </c>
      <c r="D37">
        <f>_xlfn.IFNA(INDEX(BYEs!E:E,MATCH(B37,BYEs!D:D,0)),"N/A")</f>
        <v>25</v>
      </c>
      <c r="E37">
        <f>INDEX(BYEs!$B$2:$B$34,MATCH(F37,BYEs!$A$2:$A$34,0))</f>
        <v>9</v>
      </c>
      <c r="F37" t="str">
        <f>QB_Raw!B36</f>
        <v>PIT</v>
      </c>
      <c r="G37" s="198">
        <f>QB_Raw!C36</f>
        <v>98.9</v>
      </c>
      <c r="H37" s="200">
        <f>QB_Raw!D36</f>
        <v>60.7</v>
      </c>
      <c r="I37" s="200">
        <f>QB_Raw!E36</f>
        <v>761.1</v>
      </c>
      <c r="J37" s="200">
        <f>QB_Raw!F36</f>
        <v>4.0999999999999996</v>
      </c>
      <c r="K37" s="200">
        <f>QB_Raw!G36</f>
        <v>3.1</v>
      </c>
      <c r="L37" s="202">
        <f>QB_Raw!H36</f>
        <v>38.799999999999997</v>
      </c>
      <c r="M37" s="200">
        <f>QB_Raw!I36</f>
        <v>219.4</v>
      </c>
      <c r="N37" s="200">
        <f>QB_Raw!J36</f>
        <v>1.6</v>
      </c>
      <c r="O37" s="203">
        <f>QB_Raw!K36</f>
        <v>1.8</v>
      </c>
      <c r="P37" s="205">
        <f t="shared" si="11"/>
        <v>71.683999999999997</v>
      </c>
      <c r="Q37" t="str">
        <f t="shared" ca="1" si="12"/>
        <v>Undrafted</v>
      </c>
      <c r="R37">
        <f t="shared" ca="1" si="13"/>
        <v>0</v>
      </c>
      <c r="S37">
        <f t="shared" ca="1" si="14"/>
        <v>-111.126</v>
      </c>
      <c r="T37" s="84">
        <f t="shared" ca="1" si="15"/>
        <v>-18.3335178973546</v>
      </c>
      <c r="U37" s="84">
        <f ca="1">T37*Auction!$A$2</f>
        <v>-18.3335178973546</v>
      </c>
      <c r="V37" s="5" t="str">
        <f>IF(OR(INDEX(Auction!$H$13:$H$650,MATCH(B37,Auction!$A$13:$A$650,0))&gt;0,IFERROR(INDEX(CheatSheet!$D$5:$D$34,MATCH(B37,CheatSheet!$A$5:$A$34,0)),"")&lt;&gt;""),"Yes","No")</f>
        <v>No</v>
      </c>
      <c r="W37" s="175"/>
      <c r="Y37" s="77">
        <f t="shared" ca="1" si="16"/>
        <v>1</v>
      </c>
      <c r="Z37" s="174">
        <f t="shared" ca="1" si="17"/>
        <v>-55.563000000000002</v>
      </c>
      <c r="AA37" t="str">
        <f t="shared" ca="1" si="9"/>
        <v>QB6</v>
      </c>
      <c r="AB37" s="174">
        <f ca="1">Z37*LeagueInfo!$H$5</f>
        <v>-17.944080687525044</v>
      </c>
      <c r="AC37" s="174">
        <f t="shared" ca="1" si="18"/>
        <v>-0.40444996073038775</v>
      </c>
    </row>
    <row r="38" spans="1:29" x14ac:dyDescent="0.35">
      <c r="A38">
        <f t="shared" si="10"/>
        <v>36</v>
      </c>
      <c r="B38" t="str">
        <f>QB_Raw!A37</f>
        <v>Jacoby Brissett</v>
      </c>
      <c r="C38" t="s">
        <v>26</v>
      </c>
      <c r="D38">
        <f>_xlfn.IFNA(INDEX(BYEs!E:E,MATCH(B38,BYEs!D:D,0)),"N/A")</f>
        <v>31</v>
      </c>
      <c r="E38">
        <f>INDEX(BYEs!$B$2:$B$34,MATCH(F38,BYEs!$A$2:$A$34,0))</f>
        <v>14</v>
      </c>
      <c r="F38" t="str">
        <f>QB_Raw!B37</f>
        <v>NE</v>
      </c>
      <c r="G38" s="198">
        <f>QB_Raw!C37</f>
        <v>114.6</v>
      </c>
      <c r="H38" s="200">
        <f>QB_Raw!D37</f>
        <v>72.900000000000006</v>
      </c>
      <c r="I38" s="200">
        <f>QB_Raw!E37</f>
        <v>734.5</v>
      </c>
      <c r="J38" s="200">
        <f>QB_Raw!F37</f>
        <v>4.2</v>
      </c>
      <c r="K38" s="200">
        <f>QB_Raw!G37</f>
        <v>2.8</v>
      </c>
      <c r="L38" s="202">
        <f>QB_Raw!H37</f>
        <v>10.199999999999999</v>
      </c>
      <c r="M38" s="200">
        <f>QB_Raw!I37</f>
        <v>39.200000000000003</v>
      </c>
      <c r="N38" s="200">
        <f>QB_Raw!J37</f>
        <v>0.2</v>
      </c>
      <c r="O38" s="203">
        <f>QB_Raw!K37</f>
        <v>1</v>
      </c>
      <c r="P38" s="205">
        <f t="shared" si="11"/>
        <v>46.500000000000007</v>
      </c>
      <c r="Q38" t="str">
        <f t="shared" ca="1" si="12"/>
        <v>Undrafted</v>
      </c>
      <c r="R38">
        <f t="shared" ca="1" si="13"/>
        <v>0</v>
      </c>
      <c r="S38">
        <f t="shared" ca="1" si="14"/>
        <v>-136.31</v>
      </c>
      <c r="T38" s="84">
        <f t="shared" ca="1" si="15"/>
        <v>-22.488362980656241</v>
      </c>
      <c r="U38" s="84">
        <f ca="1">T38*Auction!$A$2</f>
        <v>-22.488362980656241</v>
      </c>
      <c r="V38" s="5" t="str">
        <f>IF(OR(INDEX(Auction!$H$13:$H$650,MATCH(B38,Auction!$A$13:$A$650,0))&gt;0,IFERROR(INDEX(CheatSheet!$D$5:$D$34,MATCH(B38,CheatSheet!$A$5:$A$34,0)),"")&lt;&gt;""),"Yes","No")</f>
        <v>No</v>
      </c>
      <c r="W38" s="175"/>
      <c r="Y38" s="77">
        <f t="shared" ca="1" si="16"/>
        <v>1</v>
      </c>
      <c r="Z38" s="174">
        <f t="shared" ca="1" si="17"/>
        <v>-68.155000000000001</v>
      </c>
      <c r="AA38" t="str">
        <f t="shared" ca="1" si="9"/>
        <v>QB7</v>
      </c>
      <c r="AB38" s="174">
        <f ca="1">Z38*LeagueInfo!$H$5</f>
        <v>-22.010669316960374</v>
      </c>
      <c r="AC38" s="174">
        <f t="shared" ca="1" si="18"/>
        <v>-0.57479268966020658</v>
      </c>
    </row>
    <row r="39" spans="1:29" x14ac:dyDescent="0.35">
      <c r="A39">
        <f t="shared" si="10"/>
        <v>37</v>
      </c>
      <c r="B39" t="str">
        <f>QB_Raw!A38</f>
        <v>Sam Howell</v>
      </c>
      <c r="C39" t="s">
        <v>26</v>
      </c>
      <c r="D39">
        <f>_xlfn.IFNA(INDEX(BYEs!E:E,MATCH(B39,BYEs!D:D,0)),"N/A")</f>
        <v>23</v>
      </c>
      <c r="E39">
        <f>INDEX(BYEs!$B$2:$B$34,MATCH(F39,BYEs!$A$2:$A$34,0))</f>
        <v>10</v>
      </c>
      <c r="F39" t="str">
        <f>QB_Raw!B38</f>
        <v>SEA</v>
      </c>
      <c r="G39" s="198">
        <f>QB_Raw!C38</f>
        <v>72.900000000000006</v>
      </c>
      <c r="H39" s="200">
        <f>QB_Raw!D38</f>
        <v>46.9</v>
      </c>
      <c r="I39" s="200">
        <f>QB_Raw!E38</f>
        <v>495.4</v>
      </c>
      <c r="J39" s="200">
        <f>QB_Raw!F38</f>
        <v>3.1</v>
      </c>
      <c r="K39" s="200">
        <f>QB_Raw!G38</f>
        <v>2.2000000000000002</v>
      </c>
      <c r="L39" s="202">
        <f>QB_Raw!H38</f>
        <v>8</v>
      </c>
      <c r="M39" s="200">
        <f>QB_Raw!I38</f>
        <v>39</v>
      </c>
      <c r="N39" s="200">
        <f>QB_Raw!J38</f>
        <v>0.4</v>
      </c>
      <c r="O39" s="203">
        <f>QB_Raw!K38</f>
        <v>0.5</v>
      </c>
      <c r="P39" s="205">
        <f t="shared" si="11"/>
        <v>35.316000000000003</v>
      </c>
      <c r="Q39" t="str">
        <f t="shared" ca="1" si="12"/>
        <v>Undrafted</v>
      </c>
      <c r="R39">
        <f t="shared" ca="1" si="13"/>
        <v>0</v>
      </c>
      <c r="S39">
        <f t="shared" ca="1" si="14"/>
        <v>-147.494</v>
      </c>
      <c r="T39" s="84">
        <f t="shared" ca="1" si="15"/>
        <v>-24.333494310534164</v>
      </c>
      <c r="U39" s="84">
        <f ca="1">T39*Auction!$A$2</f>
        <v>-24.333494310534164</v>
      </c>
      <c r="V39" s="5" t="str">
        <f>IF(OR(INDEX(Auction!$H$13:$H$650,MATCH(B39,Auction!$A$13:$A$650,0))&gt;0,IFERROR(INDEX(CheatSheet!$D$5:$D$34,MATCH(B39,CheatSheet!$A$5:$A$34,0)),"")&lt;&gt;""),"Yes","No")</f>
        <v>No</v>
      </c>
      <c r="W39" s="175"/>
      <c r="Y39" s="77">
        <f t="shared" ca="1" si="16"/>
        <v>1</v>
      </c>
      <c r="Z39" s="174">
        <f t="shared" ca="1" si="17"/>
        <v>-73.747</v>
      </c>
      <c r="AA39" t="str">
        <f t="shared" ca="1" si="9"/>
        <v>QB7</v>
      </c>
      <c r="AB39" s="174">
        <f ca="1">Z39*LeagueInfo!$H$5</f>
        <v>-23.816606707033625</v>
      </c>
      <c r="AC39" s="174">
        <f t="shared" ca="1" si="18"/>
        <v>-0.65044044539206392</v>
      </c>
    </row>
    <row r="40" spans="1:29" x14ac:dyDescent="0.35">
      <c r="A40">
        <f t="shared" si="10"/>
        <v>38</v>
      </c>
      <c r="B40" t="str">
        <f>QB_Raw!A39</f>
        <v>Drew Lock</v>
      </c>
      <c r="C40" t="s">
        <v>26</v>
      </c>
      <c r="D40">
        <f>_xlfn.IFNA(INDEX(BYEs!E:E,MATCH(B40,BYEs!D:D,0)),"N/A")</f>
        <v>27</v>
      </c>
      <c r="E40">
        <f>INDEX(BYEs!$B$2:$B$34,MATCH(F40,BYEs!$A$2:$A$34,0))</f>
        <v>11</v>
      </c>
      <c r="F40" t="str">
        <f>QB_Raw!B39</f>
        <v>NYG</v>
      </c>
      <c r="G40" s="198">
        <f>QB_Raw!C39</f>
        <v>74.099999999999994</v>
      </c>
      <c r="H40" s="200">
        <f>QB_Raw!D39</f>
        <v>46.4</v>
      </c>
      <c r="I40" s="200">
        <f>QB_Raw!E39</f>
        <v>505.1</v>
      </c>
      <c r="J40" s="200">
        <f>QB_Raw!F39</f>
        <v>3.3</v>
      </c>
      <c r="K40" s="200">
        <f>QB_Raw!G39</f>
        <v>1.8</v>
      </c>
      <c r="L40" s="202">
        <f>QB_Raw!H39</f>
        <v>7.9</v>
      </c>
      <c r="M40" s="200">
        <f>QB_Raw!I39</f>
        <v>24.9</v>
      </c>
      <c r="N40" s="200">
        <f>QB_Raw!J39</f>
        <v>0.1</v>
      </c>
      <c r="O40" s="203">
        <f>QB_Raw!K39</f>
        <v>0.6</v>
      </c>
      <c r="P40" s="205">
        <f t="shared" si="11"/>
        <v>33.493999999999993</v>
      </c>
      <c r="Q40" t="str">
        <f t="shared" ca="1" si="12"/>
        <v>Undrafted</v>
      </c>
      <c r="R40">
        <f t="shared" ca="1" si="13"/>
        <v>0</v>
      </c>
      <c r="S40">
        <f t="shared" ca="1" si="14"/>
        <v>-149.316</v>
      </c>
      <c r="T40" s="84">
        <f t="shared" ca="1" si="15"/>
        <v>-24.634087057586878</v>
      </c>
      <c r="U40" s="84">
        <f ca="1">T40*Auction!$A$2</f>
        <v>-24.634087057586878</v>
      </c>
      <c r="V40" s="5" t="str">
        <f>IF(OR(INDEX(Auction!$H$13:$H$650,MATCH(B40,Auction!$A$13:$A$650,0))&gt;0,IFERROR(INDEX(CheatSheet!$D$5:$D$34,MATCH(B40,CheatSheet!$A$5:$A$34,0)),"")&lt;&gt;""),"Yes","No")</f>
        <v>No</v>
      </c>
      <c r="W40" s="175"/>
      <c r="Y40" s="77">
        <f t="shared" ca="1" si="16"/>
        <v>1</v>
      </c>
      <c r="Z40" s="174">
        <f t="shared" ca="1" si="17"/>
        <v>-74.658000000000001</v>
      </c>
      <c r="AA40" t="str">
        <f t="shared" ca="1" si="9"/>
        <v>QB7</v>
      </c>
      <c r="AB40" s="174">
        <f ca="1">Z40*LeagueInfo!$H$5</f>
        <v>-24.110814318327748</v>
      </c>
      <c r="AC40" s="174">
        <f t="shared" ca="1" si="18"/>
        <v>-0.66276431976111294</v>
      </c>
    </row>
    <row r="41" spans="1:29" x14ac:dyDescent="0.35">
      <c r="A41">
        <f t="shared" si="10"/>
        <v>39</v>
      </c>
      <c r="B41" t="str">
        <f>QB_Raw!A40</f>
        <v>Nick Mullens</v>
      </c>
      <c r="C41" t="s">
        <v>26</v>
      </c>
      <c r="D41" t="str">
        <f>_xlfn.IFNA(INDEX(BYEs!E:E,MATCH(B41,BYEs!D:D,0)),"N/A")</f>
        <v>N/A</v>
      </c>
      <c r="E41">
        <f>INDEX(BYEs!$B$2:$B$34,MATCH(F41,BYEs!$A$2:$A$34,0))</f>
        <v>6</v>
      </c>
      <c r="F41" t="str">
        <f>QB_Raw!B40</f>
        <v>MIN</v>
      </c>
      <c r="G41" s="198">
        <f>QB_Raw!C40</f>
        <v>82.9</v>
      </c>
      <c r="H41" s="200">
        <f>QB_Raw!D40</f>
        <v>53.6</v>
      </c>
      <c r="I41" s="200">
        <f>QB_Raw!E40</f>
        <v>561.9</v>
      </c>
      <c r="J41" s="200">
        <f>QB_Raw!F40</f>
        <v>3</v>
      </c>
      <c r="K41" s="200">
        <f>QB_Raw!G40</f>
        <v>2.1</v>
      </c>
      <c r="L41" s="202">
        <f>QB_Raw!H40</f>
        <v>5.6</v>
      </c>
      <c r="M41" s="200">
        <f>QB_Raw!I40</f>
        <v>18.2</v>
      </c>
      <c r="N41" s="200">
        <f>QB_Raw!J40</f>
        <v>0.1</v>
      </c>
      <c r="O41" s="203">
        <f>QB_Raw!K40</f>
        <v>0.7</v>
      </c>
      <c r="P41" s="205">
        <f t="shared" si="11"/>
        <v>33.396000000000001</v>
      </c>
      <c r="Q41" t="str">
        <f t="shared" ca="1" si="12"/>
        <v>Undrafted</v>
      </c>
      <c r="R41">
        <f t="shared" ca="1" si="13"/>
        <v>0</v>
      </c>
      <c r="S41">
        <f t="shared" ca="1" si="14"/>
        <v>-149.41399999999999</v>
      </c>
      <c r="T41" s="84">
        <f t="shared" ca="1" si="15"/>
        <v>-24.650255053860842</v>
      </c>
      <c r="U41" s="84">
        <f ca="1">T41*Auction!$A$2</f>
        <v>-24.650255053860842</v>
      </c>
      <c r="V41" s="5" t="str">
        <f>IF(OR(INDEX(Auction!$H$13:$H$650,MATCH(B41,Auction!$A$13:$A$650,0))&gt;0,IFERROR(INDEX(CheatSheet!$D$5:$D$34,MATCH(B41,CheatSheet!$A$5:$A$34,0)),"")&lt;&gt;""),"Yes","No")</f>
        <v>No</v>
      </c>
      <c r="W41" s="175"/>
      <c r="Y41" s="77">
        <f t="shared" ca="1" si="16"/>
        <v>1</v>
      </c>
      <c r="Z41" s="174">
        <f t="shared" ca="1" si="17"/>
        <v>-74.706999999999994</v>
      </c>
      <c r="AA41" t="str">
        <f t="shared" ca="1" si="9"/>
        <v>QB7</v>
      </c>
      <c r="AB41" s="174">
        <f ca="1">Z41*LeagueInfo!$H$5</f>
        <v>-24.12663887700328</v>
      </c>
      <c r="AC41" s="174">
        <f t="shared" ca="1" si="18"/>
        <v>-0.66342718457349859</v>
      </c>
    </row>
    <row r="42" spans="1:29" x14ac:dyDescent="0.35">
      <c r="A42">
        <f t="shared" si="10"/>
        <v>40</v>
      </c>
      <c r="B42" t="str">
        <f>QB_Raw!A41</f>
        <v>Jarrett Stidham</v>
      </c>
      <c r="C42" t="s">
        <v>26</v>
      </c>
      <c r="D42">
        <f>_xlfn.IFNA(INDEX(BYEs!E:E,MATCH(B42,BYEs!D:D,0)),"N/A")</f>
        <v>27</v>
      </c>
      <c r="E42">
        <f>INDEX(BYEs!$B$2:$B$34,MATCH(F42,BYEs!$A$2:$A$34,0))</f>
        <v>14</v>
      </c>
      <c r="F42" t="str">
        <f>QB_Raw!B41</f>
        <v>DEN</v>
      </c>
      <c r="G42" s="198">
        <f>QB_Raw!C41</f>
        <v>64.400000000000006</v>
      </c>
      <c r="H42" s="200">
        <f>QB_Raw!D41</f>
        <v>40.1</v>
      </c>
      <c r="I42" s="200">
        <f>QB_Raw!E41</f>
        <v>439.5</v>
      </c>
      <c r="J42" s="200">
        <f>QB_Raw!F41</f>
        <v>2.4</v>
      </c>
      <c r="K42" s="200">
        <f>QB_Raw!G41</f>
        <v>1.8</v>
      </c>
      <c r="L42" s="202">
        <f>QB_Raw!H41</f>
        <v>8.1</v>
      </c>
      <c r="M42" s="200">
        <f>QB_Raw!I41</f>
        <v>25.9</v>
      </c>
      <c r="N42" s="200">
        <f>QB_Raw!J41</f>
        <v>0.3</v>
      </c>
      <c r="O42" s="203">
        <f>QB_Raw!K41</f>
        <v>0.6</v>
      </c>
      <c r="P42" s="205">
        <f t="shared" si="11"/>
        <v>28.57</v>
      </c>
      <c r="Q42" t="str">
        <f t="shared" ca="1" si="12"/>
        <v>Undrafted</v>
      </c>
      <c r="R42">
        <f t="shared" ca="1" si="13"/>
        <v>0</v>
      </c>
      <c r="S42">
        <f t="shared" ca="1" si="14"/>
        <v>-154.24</v>
      </c>
      <c r="T42" s="84">
        <f t="shared" ca="1" si="15"/>
        <v>-25.446446380576766</v>
      </c>
      <c r="U42" s="84">
        <f ca="1">T42*Auction!$A$2</f>
        <v>-25.446446380576766</v>
      </c>
      <c r="V42" s="5" t="str">
        <f>IF(OR(INDEX(Auction!$H$13:$H$650,MATCH(B42,Auction!$A$13:$A$650,0))&gt;0,IFERROR(INDEX(CheatSheet!$D$5:$D$34,MATCH(B42,CheatSheet!$A$5:$A$34,0)),"")&lt;&gt;""),"Yes","No")</f>
        <v>No</v>
      </c>
      <c r="W42" s="175"/>
      <c r="Y42" s="77">
        <f t="shared" ca="1" si="16"/>
        <v>1</v>
      </c>
      <c r="Z42" s="174">
        <f t="shared" ca="1" si="17"/>
        <v>-77.12</v>
      </c>
      <c r="AA42" t="str">
        <f t="shared" ca="1" si="9"/>
        <v>QB7</v>
      </c>
      <c r="AB42" s="174">
        <f ca="1">Z42*LeagueInfo!$H$5</f>
        <v>-24.9059176542291</v>
      </c>
      <c r="AC42" s="174">
        <f t="shared" ca="1" si="18"/>
        <v>-0.69606989462016755</v>
      </c>
    </row>
    <row r="43" spans="1:29" x14ac:dyDescent="0.35">
      <c r="A43">
        <f t="shared" si="10"/>
        <v>41</v>
      </c>
      <c r="B43" t="str">
        <f>QB_Raw!A42</f>
        <v>Jameis Winston</v>
      </c>
      <c r="C43" t="s">
        <v>26</v>
      </c>
      <c r="D43">
        <f>_xlfn.IFNA(INDEX(BYEs!E:E,MATCH(B43,BYEs!D:D,0)),"N/A")</f>
        <v>30</v>
      </c>
      <c r="E43">
        <f>INDEX(BYEs!$B$2:$B$34,MATCH(F43,BYEs!$A$2:$A$34,0))</f>
        <v>10</v>
      </c>
      <c r="F43" t="str">
        <f>QB_Raw!B42</f>
        <v>CLE</v>
      </c>
      <c r="G43" s="198">
        <f>QB_Raw!C42</f>
        <v>60.5</v>
      </c>
      <c r="H43" s="200">
        <f>QB_Raw!D42</f>
        <v>37.6</v>
      </c>
      <c r="I43" s="200">
        <f>QB_Raw!E42</f>
        <v>423.9</v>
      </c>
      <c r="J43" s="200">
        <f>QB_Raw!F42</f>
        <v>2.5</v>
      </c>
      <c r="K43" s="200">
        <f>QB_Raw!G42</f>
        <v>2</v>
      </c>
      <c r="L43" s="202">
        <f>QB_Raw!H42</f>
        <v>5.8</v>
      </c>
      <c r="M43" s="200">
        <f>QB_Raw!I42</f>
        <v>21.6</v>
      </c>
      <c r="N43" s="200">
        <f>QB_Raw!J42</f>
        <v>0.1</v>
      </c>
      <c r="O43" s="203">
        <f>QB_Raw!K42</f>
        <v>0.2</v>
      </c>
      <c r="P43" s="205">
        <f t="shared" si="11"/>
        <v>27.316000000000003</v>
      </c>
      <c r="Q43" t="str">
        <f t="shared" ca="1" si="12"/>
        <v>Undrafted</v>
      </c>
      <c r="R43">
        <f t="shared" ca="1" si="13"/>
        <v>0</v>
      </c>
      <c r="S43">
        <f t="shared" ca="1" si="14"/>
        <v>-155.494</v>
      </c>
      <c r="T43" s="84">
        <f t="shared" ca="1" si="15"/>
        <v>-25.653330741062003</v>
      </c>
      <c r="U43" s="84">
        <f ca="1">T43*Auction!$A$2</f>
        <v>-25.653330741062003</v>
      </c>
      <c r="V43" s="5" t="str">
        <f>IF(OR(INDEX(Auction!$H$13:$H$650,MATCH(B43,Auction!$A$13:$A$650,0))&gt;0,IFERROR(INDEX(CheatSheet!$D$5:$D$34,MATCH(B43,CheatSheet!$A$5:$A$34,0)),"")&lt;&gt;""),"Yes","No")</f>
        <v>No</v>
      </c>
      <c r="W43" s="175"/>
      <c r="Y43" s="77">
        <f t="shared" ca="1" si="16"/>
        <v>1</v>
      </c>
      <c r="Z43" s="174">
        <f t="shared" ca="1" si="17"/>
        <v>-77.747</v>
      </c>
      <c r="AA43" t="str">
        <f t="shared" ca="1" si="9"/>
        <v>QB7</v>
      </c>
      <c r="AB43" s="174">
        <f ca="1">Z43*LeagueInfo!$H$5</f>
        <v>-25.108407415240531</v>
      </c>
      <c r="AC43" s="174">
        <f t="shared" ca="1" si="18"/>
        <v>-0.70455185864804204</v>
      </c>
    </row>
    <row r="44" spans="1:29" x14ac:dyDescent="0.35">
      <c r="A44">
        <f t="shared" si="10"/>
        <v>42</v>
      </c>
      <c r="B44" t="str">
        <f>QB_Raw!A43</f>
        <v>Michael Penix Jr.</v>
      </c>
      <c r="C44" t="s">
        <v>26</v>
      </c>
      <c r="D44">
        <f>_xlfn.IFNA(INDEX(BYEs!E:E,MATCH(B44,BYEs!D:D,0)),"N/A")</f>
        <v>24</v>
      </c>
      <c r="E44">
        <f>INDEX(BYEs!$B$2:$B$34,MATCH(F44,BYEs!$A$2:$A$34,0))</f>
        <v>12</v>
      </c>
      <c r="F44" t="str">
        <f>QB_Raw!B43</f>
        <v>ATL</v>
      </c>
      <c r="G44" s="198">
        <f>QB_Raw!C43</f>
        <v>42.1</v>
      </c>
      <c r="H44" s="200">
        <f>QB_Raw!D43</f>
        <v>25.8</v>
      </c>
      <c r="I44" s="200">
        <f>QB_Raw!E43</f>
        <v>334.1</v>
      </c>
      <c r="J44" s="200">
        <f>QB_Raw!F43</f>
        <v>2.5</v>
      </c>
      <c r="K44" s="200">
        <f>QB_Raw!G43</f>
        <v>1.3</v>
      </c>
      <c r="L44" s="202">
        <f>QB_Raw!H43</f>
        <v>3.4</v>
      </c>
      <c r="M44" s="200">
        <f>QB_Raw!I43</f>
        <v>21.1</v>
      </c>
      <c r="N44" s="200">
        <f>QB_Raw!J43</f>
        <v>0.4</v>
      </c>
      <c r="O44" s="203">
        <f>QB_Raw!K43</f>
        <v>0.5</v>
      </c>
      <c r="P44" s="205">
        <f t="shared" si="11"/>
        <v>25.573999999999998</v>
      </c>
      <c r="Q44" t="str">
        <f t="shared" ca="1" si="12"/>
        <v>Undrafted</v>
      </c>
      <c r="R44">
        <f t="shared" ca="1" si="13"/>
        <v>0</v>
      </c>
      <c r="S44">
        <f t="shared" ca="1" si="14"/>
        <v>-157.23599999999999</v>
      </c>
      <c r="T44" s="84">
        <f t="shared" ca="1" si="15"/>
        <v>-25.94072512380944</v>
      </c>
      <c r="U44" s="84">
        <f ca="1">T44*Auction!$A$2</f>
        <v>-25.94072512380944</v>
      </c>
      <c r="V44" s="5" t="str">
        <f>IF(OR(INDEX(Auction!$H$13:$H$650,MATCH(B44,Auction!$A$13:$A$650,0))&gt;0,IFERROR(INDEX(CheatSheet!$D$5:$D$34,MATCH(B44,CheatSheet!$A$5:$A$34,0)),"")&lt;&gt;""),"Yes","No")</f>
        <v>No</v>
      </c>
      <c r="W44" s="175"/>
      <c r="Y44" s="77">
        <f t="shared" ca="1" si="16"/>
        <v>1</v>
      </c>
      <c r="Z44" s="174">
        <f t="shared" ca="1" si="17"/>
        <v>-78.617999999999995</v>
      </c>
      <c r="AA44" t="str">
        <f t="shared" ca="1" si="9"/>
        <v>QB7</v>
      </c>
      <c r="AB44" s="174">
        <f ca="1">Z44*LeagueInfo!$H$5</f>
        <v>-25.38969701945258</v>
      </c>
      <c r="AC44" s="174">
        <f t="shared" ca="1" si="18"/>
        <v>-0.7163346188845312</v>
      </c>
    </row>
    <row r="45" spans="1:29" x14ac:dyDescent="0.35">
      <c r="A45">
        <f t="shared" si="10"/>
        <v>43</v>
      </c>
      <c r="B45" t="str">
        <f>QB_Raw!A44</f>
        <v>Jake Browning</v>
      </c>
      <c r="C45" t="s">
        <v>26</v>
      </c>
      <c r="D45">
        <f>_xlfn.IFNA(INDEX(BYEs!E:E,MATCH(B45,BYEs!D:D,0)),"N/A")</f>
        <v>28</v>
      </c>
      <c r="E45">
        <f>INDEX(BYEs!$B$2:$B$34,MATCH(F45,BYEs!$A$2:$A$34,0))</f>
        <v>12</v>
      </c>
      <c r="F45" t="str">
        <f>QB_Raw!B44</f>
        <v>CIN</v>
      </c>
      <c r="G45" s="198">
        <f>QB_Raw!C44</f>
        <v>50.6</v>
      </c>
      <c r="H45" s="200">
        <f>QB_Raw!D44</f>
        <v>32.700000000000003</v>
      </c>
      <c r="I45" s="200">
        <f>QB_Raw!E44</f>
        <v>328.1</v>
      </c>
      <c r="J45" s="200">
        <f>QB_Raw!F44</f>
        <v>2.4</v>
      </c>
      <c r="K45" s="200">
        <f>QB_Raw!G44</f>
        <v>1</v>
      </c>
      <c r="L45" s="202">
        <f>QB_Raw!H44</f>
        <v>5.6</v>
      </c>
      <c r="M45" s="200">
        <f>QB_Raw!I44</f>
        <v>23.5</v>
      </c>
      <c r="N45" s="200">
        <f>QB_Raw!J44</f>
        <v>0.2</v>
      </c>
      <c r="O45" s="203">
        <f>QB_Raw!K44</f>
        <v>0.2</v>
      </c>
      <c r="P45" s="205">
        <f t="shared" si="11"/>
        <v>24.874000000000002</v>
      </c>
      <c r="Q45" t="str">
        <f t="shared" ca="1" si="12"/>
        <v>Undrafted</v>
      </c>
      <c r="R45">
        <f t="shared" ca="1" si="13"/>
        <v>0</v>
      </c>
      <c r="S45">
        <f t="shared" ca="1" si="14"/>
        <v>-157.93600000000001</v>
      </c>
      <c r="T45" s="84">
        <f t="shared" ca="1" si="15"/>
        <v>-26.056210811480629</v>
      </c>
      <c r="U45" s="84">
        <f ca="1">T45*Auction!$A$2</f>
        <v>-26.056210811480629</v>
      </c>
      <c r="V45" s="5" t="str">
        <f>IF(OR(INDEX(Auction!$H$13:$H$650,MATCH(B45,Auction!$A$13:$A$650,0))&gt;0,IFERROR(INDEX(CheatSheet!$D$5:$D$34,MATCH(B45,CheatSheet!$A$5:$A$34,0)),"")&lt;&gt;""),"Yes","No")</f>
        <v>No</v>
      </c>
      <c r="W45" s="175"/>
      <c r="Y45" s="77">
        <f t="shared" ca="1" si="16"/>
        <v>1</v>
      </c>
      <c r="Z45" s="174">
        <f t="shared" ca="1" si="17"/>
        <v>-78.968000000000004</v>
      </c>
      <c r="AA45" t="str">
        <f t="shared" ca="1" si="9"/>
        <v>QB7</v>
      </c>
      <c r="AB45" s="174">
        <f ca="1">Z45*LeagueInfo!$H$5</f>
        <v>-25.502729581420688</v>
      </c>
      <c r="AC45" s="174">
        <f t="shared" ca="1" si="18"/>
        <v>-0.72106936754442941</v>
      </c>
    </row>
    <row r="46" spans="1:29" x14ac:dyDescent="0.35">
      <c r="A46">
        <f t="shared" si="10"/>
        <v>44</v>
      </c>
      <c r="B46" t="str">
        <f>QB_Raw!A45</f>
        <v>Spencer Rattler</v>
      </c>
      <c r="C46" t="s">
        <v>26</v>
      </c>
      <c r="D46">
        <f>_xlfn.IFNA(INDEX(BYEs!E:E,MATCH(B46,BYEs!D:D,0)),"N/A")</f>
        <v>23</v>
      </c>
      <c r="E46">
        <f>INDEX(BYEs!$B$2:$B$34,MATCH(F46,BYEs!$A$2:$A$34,0))</f>
        <v>12</v>
      </c>
      <c r="F46" t="str">
        <f>QB_Raw!B45</f>
        <v>NO</v>
      </c>
      <c r="G46" s="198">
        <f>QB_Raw!C45</f>
        <v>66.5</v>
      </c>
      <c r="H46" s="200">
        <f>QB_Raw!D45</f>
        <v>43.6</v>
      </c>
      <c r="I46" s="200">
        <f>QB_Raw!E45</f>
        <v>336.5</v>
      </c>
      <c r="J46" s="200">
        <f>QB_Raw!F45</f>
        <v>2.4</v>
      </c>
      <c r="K46" s="200">
        <f>QB_Raw!G45</f>
        <v>0.8</v>
      </c>
      <c r="L46" s="202">
        <f>QB_Raw!H45</f>
        <v>5.5</v>
      </c>
      <c r="M46" s="200">
        <f>QB_Raw!I45</f>
        <v>22.2</v>
      </c>
      <c r="N46" s="200">
        <f>QB_Raw!J45</f>
        <v>0.1</v>
      </c>
      <c r="O46" s="203">
        <f>QB_Raw!K45</f>
        <v>0.2</v>
      </c>
      <c r="P46" s="205">
        <f t="shared" si="11"/>
        <v>24.680000000000003</v>
      </c>
      <c r="Q46" t="str">
        <f t="shared" ca="1" si="12"/>
        <v>Undrafted</v>
      </c>
      <c r="R46">
        <f t="shared" ca="1" si="13"/>
        <v>0</v>
      </c>
      <c r="S46">
        <f t="shared" ca="1" si="14"/>
        <v>-158.13</v>
      </c>
      <c r="T46" s="84">
        <f t="shared" ca="1" si="15"/>
        <v>-26.088216844920925</v>
      </c>
      <c r="U46" s="84">
        <f ca="1">T46*Auction!$A$2</f>
        <v>-26.088216844920925</v>
      </c>
      <c r="V46" s="5" t="str">
        <f>IF(OR(INDEX(Auction!$H$13:$H$650,MATCH(B46,Auction!$A$13:$A$650,0))&gt;0,IFERROR(INDEX(CheatSheet!$D$5:$D$34,MATCH(B46,CheatSheet!$A$5:$A$34,0)),"")&lt;&gt;""),"Yes","No")</f>
        <v>No</v>
      </c>
      <c r="W46" s="175"/>
      <c r="Y46" s="77">
        <f t="shared" ca="1" si="16"/>
        <v>1</v>
      </c>
      <c r="Z46" s="174">
        <f t="shared" ca="1" si="17"/>
        <v>-79.064999999999998</v>
      </c>
      <c r="AA46" t="str">
        <f t="shared" ca="1" si="9"/>
        <v>QB7</v>
      </c>
      <c r="AB46" s="174">
        <f ca="1">Z46*LeagueInfo!$H$5</f>
        <v>-25.534055748594703</v>
      </c>
      <c r="AC46" s="174">
        <f t="shared" ca="1" si="18"/>
        <v>-0.72238156931588671</v>
      </c>
    </row>
    <row r="47" spans="1:29" x14ac:dyDescent="0.35">
      <c r="A47">
        <f t="shared" si="10"/>
        <v>45</v>
      </c>
      <c r="B47" t="str">
        <f>QB_Raw!A47</f>
        <v>Josh Johnson</v>
      </c>
      <c r="C47" t="s">
        <v>26</v>
      </c>
      <c r="D47" t="str">
        <f>_xlfn.IFNA(INDEX(BYEs!E:E,MATCH(B47,BYEs!D:D,0)),"N/A")</f>
        <v>N/A</v>
      </c>
      <c r="E47">
        <f>INDEX(BYEs!$B$2:$B$34,MATCH(F47,BYEs!$A$2:$A$34,0))</f>
        <v>14</v>
      </c>
      <c r="F47" t="str">
        <f>QB_Raw!B47</f>
        <v>BAL</v>
      </c>
      <c r="G47" s="198">
        <f>QB_Raw!C47</f>
        <v>42.7</v>
      </c>
      <c r="H47" s="200">
        <f>QB_Raw!D47</f>
        <v>26.7</v>
      </c>
      <c r="I47" s="200">
        <f>QB_Raw!E47</f>
        <v>293.5</v>
      </c>
      <c r="J47" s="200">
        <f>QB_Raw!F47</f>
        <v>1.9</v>
      </c>
      <c r="K47" s="200">
        <f>QB_Raw!G47</f>
        <v>0.9</v>
      </c>
      <c r="L47" s="202">
        <f>QB_Raw!H47</f>
        <v>8.8000000000000007</v>
      </c>
      <c r="M47" s="200">
        <f>QB_Raw!I47</f>
        <v>37</v>
      </c>
      <c r="N47" s="200">
        <f>QB_Raw!J47</f>
        <v>0.3</v>
      </c>
      <c r="O47" s="203">
        <f>QB_Raw!K47</f>
        <v>0.3</v>
      </c>
      <c r="P47" s="205">
        <f t="shared" si="11"/>
        <v>23.34</v>
      </c>
      <c r="Q47" t="str">
        <f t="shared" ca="1" si="12"/>
        <v>Undrafted</v>
      </c>
      <c r="R47">
        <f t="shared" ca="1" si="13"/>
        <v>0</v>
      </c>
      <c r="S47">
        <f t="shared" ca="1" si="14"/>
        <v>-159.47</v>
      </c>
      <c r="T47" s="84">
        <f t="shared" ca="1" si="15"/>
        <v>-26.309289447034342</v>
      </c>
      <c r="U47" s="84">
        <f ca="1">T47*Auction!$A$2</f>
        <v>-26.309289447034342</v>
      </c>
      <c r="V47" s="5" t="str">
        <f>IF(OR(INDEX(Auction!$H$13:$H$650,MATCH(B47,Auction!$A$13:$A$650,0))&gt;0,IFERROR(INDEX(CheatSheet!$D$5:$D$34,MATCH(B47,CheatSheet!$A$5:$A$34,0)),"")&lt;&gt;""),"Yes","No")</f>
        <v>No</v>
      </c>
      <c r="W47" s="175"/>
      <c r="Y47" s="77">
        <f t="shared" ca="1" si="16"/>
        <v>1</v>
      </c>
      <c r="Z47" s="174">
        <f t="shared" ca="1" si="17"/>
        <v>-79.734999999999999</v>
      </c>
      <c r="AA47" t="str">
        <f t="shared" ca="1" si="9"/>
        <v>QB7</v>
      </c>
      <c r="AB47" s="174">
        <f ca="1">Z47*LeagueInfo!$H$5</f>
        <v>-25.750432367219361</v>
      </c>
      <c r="AC47" s="174">
        <f t="shared" ca="1" si="18"/>
        <v>-0.73144523103626313</v>
      </c>
    </row>
    <row r="48" spans="1:29" x14ac:dyDescent="0.35">
      <c r="A48">
        <f t="shared" si="10"/>
        <v>46</v>
      </c>
      <c r="B48" t="str">
        <f>QB_Raw!A46</f>
        <v>Hendon Hooker</v>
      </c>
      <c r="C48" t="s">
        <v>26</v>
      </c>
      <c r="D48">
        <f>_xlfn.IFNA(INDEX(BYEs!E:E,MATCH(B48,BYEs!D:D,0)),"N/A")</f>
        <v>26</v>
      </c>
      <c r="E48">
        <f>INDEX(BYEs!$B$2:$B$34,MATCH(F48,BYEs!$A$2:$A$34,0))</f>
        <v>5</v>
      </c>
      <c r="F48" t="str">
        <f>QB_Raw!B46</f>
        <v>DET</v>
      </c>
      <c r="G48" s="198">
        <f>QB_Raw!C46</f>
        <v>68.099999999999994</v>
      </c>
      <c r="H48" s="200">
        <f>QB_Raw!D46</f>
        <v>44.1</v>
      </c>
      <c r="I48" s="200">
        <f>QB_Raw!E46</f>
        <v>338.4</v>
      </c>
      <c r="J48" s="200">
        <f>QB_Raw!F46</f>
        <v>1.9</v>
      </c>
      <c r="K48" s="200">
        <f>QB_Raw!G46</f>
        <v>1.4</v>
      </c>
      <c r="L48" s="202">
        <f>QB_Raw!H46</f>
        <v>6.1</v>
      </c>
      <c r="M48" s="200">
        <f>QB_Raw!I46</f>
        <v>25.7</v>
      </c>
      <c r="N48" s="200">
        <f>QB_Raw!J46</f>
        <v>0.2</v>
      </c>
      <c r="O48" s="203">
        <f>QB_Raw!K46</f>
        <v>0.3</v>
      </c>
      <c r="P48" s="205">
        <f t="shared" si="11"/>
        <v>22.905999999999999</v>
      </c>
      <c r="Q48" t="str">
        <f t="shared" ca="1" si="12"/>
        <v>Undrafted</v>
      </c>
      <c r="R48">
        <f t="shared" ca="1" si="13"/>
        <v>0</v>
      </c>
      <c r="S48">
        <f t="shared" ca="1" si="14"/>
        <v>-159.904</v>
      </c>
      <c r="T48" s="84">
        <f t="shared" ca="1" si="15"/>
        <v>-26.380890573390474</v>
      </c>
      <c r="U48" s="84">
        <f ca="1">T48*Auction!$A$2</f>
        <v>-26.380890573390474</v>
      </c>
      <c r="V48" s="5" t="str">
        <f>IF(OR(INDEX(Auction!$H$13:$H$650,MATCH(B48,Auction!$A$13:$A$650,0))&gt;0,IFERROR(INDEX(CheatSheet!$D$5:$D$34,MATCH(B48,CheatSheet!$A$5:$A$34,0)),"")&lt;&gt;""),"Yes","No")</f>
        <v>No</v>
      </c>
      <c r="W48" s="175"/>
      <c r="Y48" s="77">
        <f t="shared" ca="1" si="16"/>
        <v>1</v>
      </c>
      <c r="Z48" s="174">
        <f t="shared" ca="1" si="17"/>
        <v>-79.951999999999998</v>
      </c>
      <c r="AA48" t="str">
        <f t="shared" ca="1" si="9"/>
        <v>QB7</v>
      </c>
      <c r="AB48" s="174">
        <f ca="1">Z48*LeagueInfo!$H$5</f>
        <v>-25.820512555639585</v>
      </c>
      <c r="AC48" s="174">
        <f t="shared" ca="1" si="18"/>
        <v>-0.7343807752053999</v>
      </c>
    </row>
    <row r="49" spans="1:29" x14ac:dyDescent="0.35">
      <c r="A49">
        <f t="shared" si="10"/>
        <v>47</v>
      </c>
      <c r="B49" t="str">
        <f>QB_Raw!A48</f>
        <v>Mitchell Trubisky</v>
      </c>
      <c r="C49" t="s">
        <v>26</v>
      </c>
      <c r="D49">
        <f>_xlfn.IFNA(INDEX(BYEs!E:E,MATCH(B49,BYEs!D:D,0)),"N/A")</f>
        <v>29</v>
      </c>
      <c r="E49">
        <f>INDEX(BYEs!$B$2:$B$34,MATCH(F49,BYEs!$A$2:$A$34,0))</f>
        <v>12</v>
      </c>
      <c r="F49" t="str">
        <f>QB_Raw!B48</f>
        <v>BUF</v>
      </c>
      <c r="G49" s="198">
        <f>QB_Raw!C48</f>
        <v>45.9</v>
      </c>
      <c r="H49" s="200">
        <f>QB_Raw!D48</f>
        <v>30.4</v>
      </c>
      <c r="I49" s="200">
        <f>QB_Raw!E48</f>
        <v>274.89999999999998</v>
      </c>
      <c r="J49" s="200">
        <f>QB_Raw!F48</f>
        <v>2</v>
      </c>
      <c r="K49" s="200">
        <f>QB_Raw!G48</f>
        <v>1.3</v>
      </c>
      <c r="L49" s="202">
        <f>QB_Raw!H48</f>
        <v>8</v>
      </c>
      <c r="M49" s="200">
        <f>QB_Raw!I48</f>
        <v>26.7</v>
      </c>
      <c r="N49" s="200">
        <f>QB_Raw!J48</f>
        <v>0.3</v>
      </c>
      <c r="O49" s="203">
        <f>QB_Raw!K48</f>
        <v>0.2</v>
      </c>
      <c r="P49" s="205">
        <f t="shared" si="11"/>
        <v>21.766000000000002</v>
      </c>
      <c r="Q49" t="str">
        <f t="shared" ca="1" si="12"/>
        <v>Undrafted</v>
      </c>
      <c r="R49">
        <f t="shared" ca="1" si="13"/>
        <v>0</v>
      </c>
      <c r="S49">
        <f t="shared" ca="1" si="14"/>
        <v>-161.04400000000001</v>
      </c>
      <c r="T49" s="84">
        <f t="shared" ca="1" si="15"/>
        <v>-26.568967264740696</v>
      </c>
      <c r="U49" s="84">
        <f ca="1">T49*Auction!$A$2</f>
        <v>-26.568967264740696</v>
      </c>
      <c r="V49" s="5" t="str">
        <f>IF(OR(INDEX(Auction!$H$13:$H$650,MATCH(B49,Auction!$A$13:$A$650,0))&gt;0,IFERROR(INDEX(CheatSheet!$D$5:$D$34,MATCH(B49,CheatSheet!$A$5:$A$34,0)),"")&lt;&gt;""),"Yes","No")</f>
        <v>No</v>
      </c>
      <c r="W49" s="175"/>
      <c r="Y49" s="77">
        <f t="shared" ca="1" si="16"/>
        <v>1</v>
      </c>
      <c r="Z49" s="174">
        <f t="shared" ca="1" si="17"/>
        <v>-80.522000000000006</v>
      </c>
      <c r="AA49" t="str">
        <f t="shared" ca="1" si="9"/>
        <v>QB7</v>
      </c>
      <c r="AB49" s="174">
        <f ca="1">Z49*LeagueInfo!$H$5</f>
        <v>-26.004594156559072</v>
      </c>
      <c r="AC49" s="174">
        <f t="shared" ca="1" si="18"/>
        <v>-0.74209165159437684</v>
      </c>
    </row>
    <row r="50" spans="1:29" x14ac:dyDescent="0.35">
      <c r="A50">
        <f t="shared" si="10"/>
        <v>48</v>
      </c>
      <c r="B50" t="str">
        <f>QB_Raw!A50</f>
        <v>Skylar Thompson</v>
      </c>
      <c r="C50" t="s">
        <v>26</v>
      </c>
      <c r="D50" t="str">
        <f>_xlfn.IFNA(INDEX(BYEs!E:E,MATCH(B50,BYEs!D:D,0)),"N/A")</f>
        <v>N/A</v>
      </c>
      <c r="E50">
        <f>INDEX(BYEs!$B$2:$B$34,MATCH(F50,BYEs!$A$2:$A$34,0))</f>
        <v>6</v>
      </c>
      <c r="F50" t="str">
        <f>QB_Raw!B50</f>
        <v>MIA</v>
      </c>
      <c r="G50" s="198">
        <f>QB_Raw!C50</f>
        <v>70.3</v>
      </c>
      <c r="H50" s="200">
        <f>QB_Raw!D50</f>
        <v>44.4</v>
      </c>
      <c r="I50" s="200">
        <f>QB_Raw!E50</f>
        <v>340.5</v>
      </c>
      <c r="J50" s="200">
        <f>QB_Raw!F50</f>
        <v>1.7</v>
      </c>
      <c r="K50" s="200">
        <f>QB_Raw!G50</f>
        <v>1.4</v>
      </c>
      <c r="L50" s="202">
        <f>QB_Raw!H50</f>
        <v>5.8</v>
      </c>
      <c r="M50" s="200">
        <f>QB_Raw!I50</f>
        <v>19.600000000000001</v>
      </c>
      <c r="N50" s="200">
        <f>QB_Raw!J50</f>
        <v>0.1</v>
      </c>
      <c r="O50" s="203">
        <f>QB_Raw!K50</f>
        <v>0.3</v>
      </c>
      <c r="P50" s="205">
        <f t="shared" si="11"/>
        <v>20.980000000000004</v>
      </c>
      <c r="Q50" t="str">
        <f t="shared" ca="1" si="12"/>
        <v>Undrafted</v>
      </c>
      <c r="R50">
        <f t="shared" ca="1" si="13"/>
        <v>0</v>
      </c>
      <c r="S50">
        <f t="shared" ca="1" si="14"/>
        <v>-161.82999999999998</v>
      </c>
      <c r="T50" s="84">
        <f t="shared" ca="1" si="15"/>
        <v>-26.69864119404005</v>
      </c>
      <c r="U50" s="84">
        <f ca="1">T50*Auction!$A$2</f>
        <v>-26.69864119404005</v>
      </c>
      <c r="V50" s="5" t="str">
        <f>IF(OR(INDEX(Auction!$H$13:$H$650,MATCH(B50,Auction!$A$13:$A$650,0))&gt;0,IFERROR(INDEX(CheatSheet!$D$5:$D$34,MATCH(B50,CheatSheet!$A$5:$A$34,0)),"")&lt;&gt;""),"Yes","No")</f>
        <v>No</v>
      </c>
      <c r="W50" s="175"/>
      <c r="Y50" s="77">
        <f t="shared" ca="1" si="16"/>
        <v>1</v>
      </c>
      <c r="Z50" s="174">
        <f t="shared" ca="1" si="17"/>
        <v>-80.914999999999992</v>
      </c>
      <c r="AA50" t="str">
        <f t="shared" ca="1" si="9"/>
        <v>QB7</v>
      </c>
      <c r="AB50" s="174">
        <f ca="1">Z50*LeagueInfo!$H$5</f>
        <v>-26.131513576140396</v>
      </c>
      <c r="AC50" s="174">
        <f t="shared" ca="1" si="18"/>
        <v>-0.74740809794677654</v>
      </c>
    </row>
    <row r="51" spans="1:29" x14ac:dyDescent="0.35">
      <c r="A51">
        <f t="shared" si="10"/>
        <v>49</v>
      </c>
      <c r="B51" t="str">
        <f>QB_Raw!A49</f>
        <v>Jimmy Garoppolo</v>
      </c>
      <c r="C51" t="s">
        <v>26</v>
      </c>
      <c r="D51">
        <f>_xlfn.IFNA(INDEX(BYEs!E:E,MATCH(B51,BYEs!D:D,0)),"N/A")</f>
        <v>32</v>
      </c>
      <c r="E51">
        <f>INDEX(BYEs!$B$2:$B$34,MATCH(F51,BYEs!$A$2:$A$34,0))</f>
        <v>6</v>
      </c>
      <c r="F51" t="str">
        <f>QB_Raw!B49</f>
        <v>LAR</v>
      </c>
      <c r="G51" s="198">
        <f>QB_Raw!C49</f>
        <v>46.9</v>
      </c>
      <c r="H51" s="200">
        <f>QB_Raw!D49</f>
        <v>30.5</v>
      </c>
      <c r="I51" s="200">
        <f>QB_Raw!E49</f>
        <v>317.7</v>
      </c>
      <c r="J51" s="200">
        <f>QB_Raw!F49</f>
        <v>2.1</v>
      </c>
      <c r="K51" s="200">
        <f>QB_Raw!G49</f>
        <v>1</v>
      </c>
      <c r="L51" s="202">
        <f>QB_Raw!H49</f>
        <v>3.8</v>
      </c>
      <c r="M51" s="200">
        <f>QB_Raw!I49</f>
        <v>10.6</v>
      </c>
      <c r="N51" s="200">
        <f>QB_Raw!J49</f>
        <v>0</v>
      </c>
      <c r="O51" s="203">
        <f>QB_Raw!K49</f>
        <v>0.1</v>
      </c>
      <c r="P51" s="205">
        <f t="shared" si="11"/>
        <v>20.968</v>
      </c>
      <c r="Q51" t="str">
        <f t="shared" ca="1" si="12"/>
        <v>Undrafted</v>
      </c>
      <c r="R51">
        <f t="shared" ca="1" si="13"/>
        <v>0</v>
      </c>
      <c r="S51">
        <f t="shared" ca="1" si="14"/>
        <v>-161.84200000000001</v>
      </c>
      <c r="T51" s="84">
        <f t="shared" ca="1" si="15"/>
        <v>-26.700620948685849</v>
      </c>
      <c r="U51" s="84">
        <f ca="1">T51*Auction!$A$2</f>
        <v>-26.700620948685849</v>
      </c>
      <c r="V51" s="5" t="str">
        <f>IF(OR(INDEX(Auction!$H$13:$H$650,MATCH(B51,Auction!$A$13:$A$650,0))&gt;0,IFERROR(INDEX(CheatSheet!$D$5:$D$34,MATCH(B51,CheatSheet!$A$5:$A$34,0)),"")&lt;&gt;""),"Yes","No")</f>
        <v>No</v>
      </c>
      <c r="W51" s="175"/>
      <c r="Y51" s="77">
        <f t="shared" ca="1" si="16"/>
        <v>1</v>
      </c>
      <c r="Z51" s="174">
        <f t="shared" ca="1" si="17"/>
        <v>-80.921000000000006</v>
      </c>
      <c r="AA51" t="str">
        <f t="shared" ca="1" si="9"/>
        <v>QB7</v>
      </c>
      <c r="AB51" s="174">
        <f ca="1">Z51*LeagueInfo!$H$5</f>
        <v>-26.13345127720271</v>
      </c>
      <c r="AC51" s="174">
        <f t="shared" ca="1" si="18"/>
        <v>-0.74748926506666069</v>
      </c>
    </row>
    <row r="52" spans="1:29" x14ac:dyDescent="0.35">
      <c r="A52">
        <f t="shared" si="10"/>
        <v>50</v>
      </c>
      <c r="B52" t="str">
        <f>QB_Raw!A52</f>
        <v>Carson Wentz</v>
      </c>
      <c r="C52" t="s">
        <v>26</v>
      </c>
      <c r="D52">
        <f>_xlfn.IFNA(INDEX(BYEs!E:E,MATCH(B52,BYEs!D:D,0)),"N/A")</f>
        <v>31</v>
      </c>
      <c r="E52">
        <f>INDEX(BYEs!$B$2:$B$34,MATCH(F52,BYEs!$A$2:$A$34,0))</f>
        <v>6</v>
      </c>
      <c r="F52" t="str">
        <f>QB_Raw!B52</f>
        <v>KC</v>
      </c>
      <c r="G52" s="198">
        <f>QB_Raw!C52</f>
        <v>44.7</v>
      </c>
      <c r="H52" s="200">
        <f>QB_Raw!D52</f>
        <v>27.9</v>
      </c>
      <c r="I52" s="200">
        <f>QB_Raw!E52</f>
        <v>278.10000000000002</v>
      </c>
      <c r="J52" s="200">
        <f>QB_Raw!F52</f>
        <v>2.1</v>
      </c>
      <c r="K52" s="200">
        <f>QB_Raw!G52</f>
        <v>0.7</v>
      </c>
      <c r="L52" s="202">
        <f>QB_Raw!H52</f>
        <v>3.8</v>
      </c>
      <c r="M52" s="200">
        <f>QB_Raw!I52</f>
        <v>15.5</v>
      </c>
      <c r="N52" s="200">
        <f>QB_Raw!J52</f>
        <v>0.1</v>
      </c>
      <c r="O52" s="203">
        <f>QB_Raw!K52</f>
        <v>0.2</v>
      </c>
      <c r="P52" s="205">
        <f t="shared" si="11"/>
        <v>20.574000000000005</v>
      </c>
      <c r="Q52" t="str">
        <f t="shared" ca="1" si="12"/>
        <v>Undrafted</v>
      </c>
      <c r="R52">
        <f t="shared" ca="1" si="13"/>
        <v>0</v>
      </c>
      <c r="S52">
        <f t="shared" ca="1" si="14"/>
        <v>-162.23599999999999</v>
      </c>
      <c r="T52" s="84">
        <f t="shared" ca="1" si="15"/>
        <v>-26.76562289288934</v>
      </c>
      <c r="U52" s="84">
        <f ca="1">T52*Auction!$A$2</f>
        <v>-26.76562289288934</v>
      </c>
      <c r="V52" s="5" t="str">
        <f>IF(OR(INDEX(Auction!$H$13:$H$650,MATCH(B52,Auction!$A$13:$A$650,0))&gt;0,IFERROR(INDEX(CheatSheet!$D$5:$D$34,MATCH(B52,CheatSheet!$A$5:$A$34,0)),"")&lt;&gt;""),"Yes","No")</f>
        <v>No</v>
      </c>
      <c r="W52" s="175"/>
      <c r="Y52" s="77">
        <f t="shared" ca="1" si="16"/>
        <v>1</v>
      </c>
      <c r="Z52" s="174">
        <f t="shared" ca="1" si="17"/>
        <v>-81.117999999999995</v>
      </c>
      <c r="AA52" t="str">
        <f t="shared" ca="1" si="9"/>
        <v>QB7</v>
      </c>
      <c r="AB52" s="174">
        <f ca="1">Z52*LeagueInfo!$H$5</f>
        <v>-26.197072462081895</v>
      </c>
      <c r="AC52" s="174">
        <f t="shared" ca="1" si="18"/>
        <v>-0.75015425216951748</v>
      </c>
    </row>
    <row r="53" spans="1:29" x14ac:dyDescent="0.35">
      <c r="A53">
        <f t="shared" si="10"/>
        <v>51</v>
      </c>
      <c r="B53" t="str">
        <f>QB_Raw!A51</f>
        <v>Joshua Dobbs</v>
      </c>
      <c r="C53" t="s">
        <v>26</v>
      </c>
      <c r="D53">
        <f>_xlfn.IFNA(INDEX(BYEs!E:E,MATCH(B53,BYEs!D:D,0)),"N/A")</f>
        <v>29</v>
      </c>
      <c r="E53">
        <f>INDEX(BYEs!$B$2:$B$34,MATCH(F53,BYEs!$A$2:$A$34,0))</f>
        <v>9</v>
      </c>
      <c r="F53" t="str">
        <f>QB_Raw!B51</f>
        <v>SF</v>
      </c>
      <c r="G53" s="198">
        <f>QB_Raw!C51</f>
        <v>40.6</v>
      </c>
      <c r="H53" s="200">
        <f>QB_Raw!D51</f>
        <v>26.9</v>
      </c>
      <c r="I53" s="200">
        <f>QB_Raw!E51</f>
        <v>267</v>
      </c>
      <c r="J53" s="200">
        <f>QB_Raw!F51</f>
        <v>1.8</v>
      </c>
      <c r="K53" s="200">
        <f>QB_Raw!G51</f>
        <v>0.9</v>
      </c>
      <c r="L53" s="202">
        <f>QB_Raw!H51</f>
        <v>6</v>
      </c>
      <c r="M53" s="200">
        <f>QB_Raw!I51</f>
        <v>27.8</v>
      </c>
      <c r="N53" s="200">
        <f>QB_Raw!J51</f>
        <v>0.2</v>
      </c>
      <c r="O53" s="203">
        <f>QB_Raw!K51</f>
        <v>0.2</v>
      </c>
      <c r="P53" s="205">
        <f t="shared" si="11"/>
        <v>20.560000000000002</v>
      </c>
      <c r="Q53" t="str">
        <f t="shared" ca="1" si="12"/>
        <v>Undrafted</v>
      </c>
      <c r="R53">
        <f t="shared" ca="1" si="13"/>
        <v>0</v>
      </c>
      <c r="S53">
        <f t="shared" ca="1" si="14"/>
        <v>-162.25</v>
      </c>
      <c r="T53" s="84">
        <f t="shared" ca="1" si="15"/>
        <v>-26.767932606642766</v>
      </c>
      <c r="U53" s="84">
        <f ca="1">T53*Auction!$A$2</f>
        <v>-26.767932606642766</v>
      </c>
      <c r="V53" s="5" t="str">
        <f>IF(OR(INDEX(Auction!$H$13:$H$650,MATCH(B53,Auction!$A$13:$A$650,0))&gt;0,IFERROR(INDEX(CheatSheet!$D$5:$D$34,MATCH(B53,CheatSheet!$A$5:$A$34,0)),"")&lt;&gt;""),"Yes","No")</f>
        <v>No</v>
      </c>
      <c r="W53" s="175"/>
      <c r="Y53" s="77">
        <f t="shared" ca="1" si="16"/>
        <v>1</v>
      </c>
      <c r="Z53" s="174">
        <f t="shared" ca="1" si="17"/>
        <v>-81.125</v>
      </c>
      <c r="AA53" t="str">
        <f t="shared" ca="1" si="9"/>
        <v>QB7</v>
      </c>
      <c r="AB53" s="174">
        <f ca="1">Z53*LeagueInfo!$H$5</f>
        <v>-26.199333113321259</v>
      </c>
      <c r="AC53" s="174">
        <f t="shared" ca="1" si="18"/>
        <v>-0.75024894714271551</v>
      </c>
    </row>
    <row r="54" spans="1:29" x14ac:dyDescent="0.35">
      <c r="A54">
        <f t="shared" si="10"/>
        <v>52</v>
      </c>
      <c r="B54" t="str">
        <f>QB_Raw!A55</f>
        <v>Cooper Rush</v>
      </c>
      <c r="C54" t="s">
        <v>26</v>
      </c>
      <c r="D54" t="str">
        <f>_xlfn.IFNA(INDEX(BYEs!E:E,MATCH(B54,BYEs!D:D,0)),"N/A")</f>
        <v>N/A</v>
      </c>
      <c r="E54">
        <f>INDEX(BYEs!$B$2:$B$34,MATCH(F54,BYEs!$A$2:$A$34,0))</f>
        <v>7</v>
      </c>
      <c r="F54" t="str">
        <f>QB_Raw!B55</f>
        <v>DAL</v>
      </c>
      <c r="G54" s="198">
        <f>QB_Raw!C55</f>
        <v>48.2</v>
      </c>
      <c r="H54" s="200">
        <f>QB_Raw!D55</f>
        <v>30.6</v>
      </c>
      <c r="I54" s="200">
        <f>QB_Raw!E55</f>
        <v>298.8</v>
      </c>
      <c r="J54" s="200">
        <f>QB_Raw!F55</f>
        <v>2</v>
      </c>
      <c r="K54" s="200">
        <f>QB_Raw!G55</f>
        <v>1.3</v>
      </c>
      <c r="L54" s="202">
        <f>QB_Raw!H55</f>
        <v>5.7</v>
      </c>
      <c r="M54" s="200">
        <f>QB_Raw!I55</f>
        <v>11</v>
      </c>
      <c r="N54" s="200">
        <f>QB_Raw!J55</f>
        <v>0.1</v>
      </c>
      <c r="O54" s="203">
        <f>QB_Raw!K55</f>
        <v>0.2</v>
      </c>
      <c r="P54" s="205">
        <f t="shared" si="11"/>
        <v>19.952000000000002</v>
      </c>
      <c r="Q54" t="str">
        <f t="shared" ca="1" si="12"/>
        <v>Undrafted</v>
      </c>
      <c r="R54">
        <f t="shared" ca="1" si="13"/>
        <v>0</v>
      </c>
      <c r="S54">
        <f t="shared" ca="1" si="14"/>
        <v>-162.858</v>
      </c>
      <c r="T54" s="84">
        <f t="shared" ca="1" si="15"/>
        <v>-26.868240175362882</v>
      </c>
      <c r="U54" s="84">
        <f ca="1">T54*Auction!$A$2</f>
        <v>-26.868240175362882</v>
      </c>
      <c r="V54" s="5" t="str">
        <f>IF(OR(INDEX(Auction!$H$13:$H$650,MATCH(B54,Auction!$A$13:$A$650,0))&gt;0,IFERROR(INDEX(CheatSheet!$D$5:$D$34,MATCH(B54,CheatSheet!$A$5:$A$34,0)),"")&lt;&gt;""),"Yes","No")</f>
        <v>No</v>
      </c>
      <c r="W54" s="175"/>
      <c r="Y54" s="77">
        <f t="shared" ca="1" si="16"/>
        <v>1</v>
      </c>
      <c r="Z54" s="174">
        <f t="shared" ca="1" si="17"/>
        <v>-81.429000000000002</v>
      </c>
      <c r="AA54" t="str">
        <f t="shared" ca="1" si="9"/>
        <v>QB7</v>
      </c>
      <c r="AB54" s="174">
        <f ca="1">Z54*LeagueInfo!$H$5</f>
        <v>-26.297509967144986</v>
      </c>
      <c r="AC54" s="174">
        <f t="shared" ca="1" si="18"/>
        <v>-0.75436141455016981</v>
      </c>
    </row>
    <row r="55" spans="1:29" x14ac:dyDescent="0.35">
      <c r="A55">
        <f t="shared" si="10"/>
        <v>53</v>
      </c>
      <c r="B55" t="str">
        <f>QB_Raw!A53</f>
        <v>Tyson Bagent</v>
      </c>
      <c r="C55" t="s">
        <v>26</v>
      </c>
      <c r="D55">
        <f>_xlfn.IFNA(INDEX(BYEs!E:E,MATCH(B55,BYEs!D:D,0)),"N/A")</f>
        <v>24</v>
      </c>
      <c r="E55">
        <f>INDEX(BYEs!$B$2:$B$34,MATCH(F55,BYEs!$A$2:$A$34,0))</f>
        <v>7</v>
      </c>
      <c r="F55" t="str">
        <f>QB_Raw!B53</f>
        <v>CHI</v>
      </c>
      <c r="G55" s="198">
        <f>QB_Raw!C53</f>
        <v>46.3</v>
      </c>
      <c r="H55" s="200">
        <f>QB_Raw!D53</f>
        <v>29.7</v>
      </c>
      <c r="I55" s="200">
        <f>QB_Raw!E53</f>
        <v>291.39999999999998</v>
      </c>
      <c r="J55" s="200">
        <f>QB_Raw!F53</f>
        <v>1.7</v>
      </c>
      <c r="K55" s="200">
        <f>QB_Raw!G53</f>
        <v>1.2</v>
      </c>
      <c r="L55" s="202">
        <f>QB_Raw!H53</f>
        <v>5.2</v>
      </c>
      <c r="M55" s="200">
        <f>QB_Raw!I53</f>
        <v>24.5</v>
      </c>
      <c r="N55" s="200">
        <f>QB_Raw!J53</f>
        <v>0.1</v>
      </c>
      <c r="O55" s="203">
        <f>QB_Raw!K53</f>
        <v>0.2</v>
      </c>
      <c r="P55" s="205">
        <f t="shared" si="11"/>
        <v>19.906000000000002</v>
      </c>
      <c r="Q55" t="str">
        <f t="shared" ca="1" si="12"/>
        <v>Undrafted</v>
      </c>
      <c r="R55">
        <f t="shared" ca="1" si="13"/>
        <v>0</v>
      </c>
      <c r="S55">
        <f t="shared" ca="1" si="14"/>
        <v>-162.904</v>
      </c>
      <c r="T55" s="84">
        <f t="shared" ca="1" si="15"/>
        <v>-26.875829234838417</v>
      </c>
      <c r="U55" s="84">
        <f ca="1">T55*Auction!$A$2</f>
        <v>-26.875829234838417</v>
      </c>
      <c r="V55" s="5" t="str">
        <f>IF(OR(INDEX(Auction!$H$13:$H$650,MATCH(B55,Auction!$A$13:$A$650,0))&gt;0,IFERROR(INDEX(CheatSheet!$D$5:$D$34,MATCH(B55,CheatSheet!$A$5:$A$34,0)),"")&lt;&gt;""),"Yes","No")</f>
        <v>No</v>
      </c>
      <c r="W55" s="175"/>
      <c r="Y55" s="77">
        <f t="shared" ca="1" si="16"/>
        <v>1</v>
      </c>
      <c r="Z55" s="174">
        <f t="shared" ca="1" si="17"/>
        <v>-81.451999999999998</v>
      </c>
      <c r="AA55" t="str">
        <f t="shared" ca="1" si="9"/>
        <v>QB7</v>
      </c>
      <c r="AB55" s="174">
        <f ca="1">Z55*LeagueInfo!$H$5</f>
        <v>-26.304937821217173</v>
      </c>
      <c r="AC55" s="174">
        <f t="shared" ca="1" si="18"/>
        <v>-0.75467255517639165</v>
      </c>
    </row>
    <row r="56" spans="1:29" x14ac:dyDescent="0.35">
      <c r="A56">
        <f t="shared" si="10"/>
        <v>54</v>
      </c>
      <c r="B56" t="str">
        <f>QB_Raw!A56</f>
        <v>Davis Mills</v>
      </c>
      <c r="C56" t="s">
        <v>26</v>
      </c>
      <c r="D56">
        <f>_xlfn.IFNA(INDEX(BYEs!E:E,MATCH(B56,BYEs!D:D,0)),"N/A")</f>
        <v>25</v>
      </c>
      <c r="E56">
        <f>INDEX(BYEs!$B$2:$B$34,MATCH(F56,BYEs!$A$2:$A$34,0))</f>
        <v>14</v>
      </c>
      <c r="F56" t="str">
        <f>QB_Raw!B56</f>
        <v>HOU</v>
      </c>
      <c r="G56" s="198">
        <f>QB_Raw!C56</f>
        <v>47.6</v>
      </c>
      <c r="H56" s="200">
        <f>QB_Raw!D56</f>
        <v>29.9</v>
      </c>
      <c r="I56" s="200">
        <f>QB_Raw!E56</f>
        <v>290.2</v>
      </c>
      <c r="J56" s="200">
        <f>QB_Raw!F56</f>
        <v>1.9</v>
      </c>
      <c r="K56" s="200">
        <f>QB_Raw!G56</f>
        <v>1</v>
      </c>
      <c r="L56" s="202">
        <f>QB_Raw!H56</f>
        <v>4.5</v>
      </c>
      <c r="M56" s="200">
        <f>QB_Raw!I56</f>
        <v>14.9</v>
      </c>
      <c r="N56" s="200">
        <f>QB_Raw!J56</f>
        <v>0.1</v>
      </c>
      <c r="O56" s="203">
        <f>QB_Raw!K56</f>
        <v>0.2</v>
      </c>
      <c r="P56" s="205">
        <f t="shared" si="11"/>
        <v>19.898000000000003</v>
      </c>
      <c r="Q56" t="str">
        <f t="shared" ca="1" si="12"/>
        <v>Undrafted</v>
      </c>
      <c r="R56">
        <f t="shared" ca="1" si="13"/>
        <v>0</v>
      </c>
      <c r="S56">
        <f t="shared" ca="1" si="14"/>
        <v>-162.91200000000001</v>
      </c>
      <c r="T56" s="84">
        <f t="shared" ca="1" si="15"/>
        <v>-26.877149071268946</v>
      </c>
      <c r="U56" s="84">
        <f ca="1">T56*Auction!$A$2</f>
        <v>-26.877149071268946</v>
      </c>
      <c r="V56" s="5" t="str">
        <f>IF(OR(INDEX(Auction!$H$13:$H$650,MATCH(B56,Auction!$A$13:$A$650,0))&gt;0,IFERROR(INDEX(CheatSheet!$D$5:$D$34,MATCH(B56,CheatSheet!$A$5:$A$34,0)),"")&lt;&gt;""),"Yes","No")</f>
        <v>No</v>
      </c>
      <c r="W56" s="175"/>
      <c r="Y56" s="77">
        <f t="shared" ca="1" si="16"/>
        <v>1</v>
      </c>
      <c r="Z56" s="174">
        <f t="shared" ca="1" si="17"/>
        <v>-81.456000000000003</v>
      </c>
      <c r="AA56" t="str">
        <f t="shared" ca="1" si="9"/>
        <v>QB7</v>
      </c>
      <c r="AB56" s="174">
        <f ca="1">Z56*LeagueInfo!$H$5</f>
        <v>-26.306229621925382</v>
      </c>
      <c r="AC56" s="174">
        <f t="shared" ca="1" si="18"/>
        <v>-0.75472666658964771</v>
      </c>
    </row>
    <row r="57" spans="1:29" x14ac:dyDescent="0.35">
      <c r="A57">
        <f t="shared" si="10"/>
        <v>55</v>
      </c>
      <c r="B57" t="str">
        <f>QB_Raw!A54</f>
        <v>Tyrod Taylor</v>
      </c>
      <c r="C57" t="s">
        <v>26</v>
      </c>
      <c r="D57">
        <f>_xlfn.IFNA(INDEX(BYEs!E:E,MATCH(B57,BYEs!D:D,0)),"N/A")</f>
        <v>35</v>
      </c>
      <c r="E57">
        <f>INDEX(BYEs!$B$2:$B$34,MATCH(F57,BYEs!$A$2:$A$34,0))</f>
        <v>12</v>
      </c>
      <c r="F57" t="str">
        <f>QB_Raw!B54</f>
        <v>NYJ</v>
      </c>
      <c r="G57" s="198">
        <f>QB_Raw!C54</f>
        <v>43.5</v>
      </c>
      <c r="H57" s="200">
        <f>QB_Raw!D54</f>
        <v>27.5</v>
      </c>
      <c r="I57" s="200">
        <f>QB_Raw!E54</f>
        <v>273.10000000000002</v>
      </c>
      <c r="J57" s="200">
        <f>QB_Raw!F54</f>
        <v>1.9</v>
      </c>
      <c r="K57" s="200">
        <f>QB_Raw!G54</f>
        <v>0.9</v>
      </c>
      <c r="L57" s="202">
        <f>QB_Raw!H54</f>
        <v>5.5</v>
      </c>
      <c r="M57" s="200">
        <f>QB_Raw!I54</f>
        <v>24</v>
      </c>
      <c r="N57" s="200">
        <f>QB_Raw!J54</f>
        <v>0</v>
      </c>
      <c r="O57" s="203">
        <f>QB_Raw!K54</f>
        <v>0.2</v>
      </c>
      <c r="P57" s="205">
        <f t="shared" si="11"/>
        <v>19.624000000000002</v>
      </c>
      <c r="Q57" t="str">
        <f t="shared" ca="1" si="12"/>
        <v>Undrafted</v>
      </c>
      <c r="R57">
        <f t="shared" ca="1" si="13"/>
        <v>0</v>
      </c>
      <c r="S57">
        <f t="shared" ca="1" si="14"/>
        <v>-163.18600000000001</v>
      </c>
      <c r="T57" s="84">
        <f t="shared" ca="1" si="15"/>
        <v>-26.922353469014524</v>
      </c>
      <c r="U57" s="84">
        <f ca="1">T57*Auction!$A$2</f>
        <v>-26.922353469014524</v>
      </c>
      <c r="V57" s="5" t="str">
        <f>IF(OR(INDEX(Auction!$H$13:$H$650,MATCH(B57,Auction!$A$13:$A$650,0))&gt;0,IFERROR(INDEX(CheatSheet!$D$5:$D$34,MATCH(B57,CheatSheet!$A$5:$A$34,0)),"")&lt;&gt;""),"Yes","No")</f>
        <v>No</v>
      </c>
      <c r="W57" s="175"/>
      <c r="Y57" s="77">
        <f t="shared" ca="1" si="16"/>
        <v>1</v>
      </c>
      <c r="Z57" s="174">
        <f t="shared" ca="1" si="17"/>
        <v>-81.593000000000004</v>
      </c>
      <c r="AA57" t="str">
        <f t="shared" ca="1" si="9"/>
        <v>QB7</v>
      </c>
      <c r="AB57" s="174">
        <f ca="1">Z57*LeagueInfo!$H$5</f>
        <v>-26.350473796181468</v>
      </c>
      <c r="AC57" s="174">
        <f t="shared" ca="1" si="18"/>
        <v>-0.75657998249366498</v>
      </c>
    </row>
    <row r="58" spans="1:29" x14ac:dyDescent="0.35">
      <c r="A58">
        <f t="shared" si="10"/>
        <v>56</v>
      </c>
      <c r="B58" t="str">
        <f>QB_Raw!A60</f>
        <v>Malik Willis</v>
      </c>
      <c r="C58" t="s">
        <v>26</v>
      </c>
      <c r="D58" t="str">
        <f>_xlfn.IFNA(INDEX(BYEs!E:E,MATCH(B58,BYEs!D:D,0)),"N/A")</f>
        <v>N/A</v>
      </c>
      <c r="E58">
        <f>INDEX(BYEs!$B$2:$B$34,MATCH(F58,BYEs!$A$2:$A$34,0))</f>
        <v>10</v>
      </c>
      <c r="F58" t="str">
        <f>QB_Raw!B60</f>
        <v>GB</v>
      </c>
      <c r="G58" s="198">
        <f>QB_Raw!C60</f>
        <v>40.799999999999997</v>
      </c>
      <c r="H58" s="200">
        <f>QB_Raw!D60</f>
        <v>25.1</v>
      </c>
      <c r="I58" s="200">
        <f>QB_Raw!E60</f>
        <v>255.8</v>
      </c>
      <c r="J58" s="200">
        <f>QB_Raw!F60</f>
        <v>1.9</v>
      </c>
      <c r="K58" s="200">
        <f>QB_Raw!G60</f>
        <v>0.9</v>
      </c>
      <c r="L58" s="202">
        <f>QB_Raw!H60</f>
        <v>6.9</v>
      </c>
      <c r="M58" s="200">
        <f>QB_Raw!I60</f>
        <v>26.1</v>
      </c>
      <c r="N58" s="200">
        <f>QB_Raw!J60</f>
        <v>0.1</v>
      </c>
      <c r="O58" s="203">
        <f>QB_Raw!K60</f>
        <v>0.3</v>
      </c>
      <c r="P58" s="205">
        <f t="shared" si="11"/>
        <v>19.542000000000002</v>
      </c>
      <c r="Q58" t="str">
        <f t="shared" ca="1" si="12"/>
        <v>Undrafted</v>
      </c>
      <c r="R58">
        <f t="shared" ca="1" si="13"/>
        <v>0</v>
      </c>
      <c r="S58">
        <f t="shared" ca="1" si="14"/>
        <v>-163.268</v>
      </c>
      <c r="T58" s="84">
        <f t="shared" ca="1" si="15"/>
        <v>-26.935881792427434</v>
      </c>
      <c r="U58" s="84">
        <f ca="1">T58*Auction!$A$2</f>
        <v>-26.935881792427434</v>
      </c>
      <c r="V58" s="5" t="str">
        <f>IF(OR(INDEX(Auction!$H$13:$H$650,MATCH(B58,Auction!$A$13:$A$650,0))&gt;0,IFERROR(INDEX(CheatSheet!$D$5:$D$34,MATCH(B58,CheatSheet!$A$5:$A$34,0)),"")&lt;&gt;""),"Yes","No")</f>
        <v>No</v>
      </c>
      <c r="W58" s="175"/>
      <c r="Y58" s="77">
        <f t="shared" ca="1" si="16"/>
        <v>1</v>
      </c>
      <c r="Z58" s="174">
        <f t="shared" ca="1" si="17"/>
        <v>-81.634</v>
      </c>
      <c r="AA58" t="str">
        <f t="shared" ca="1" si="9"/>
        <v>QB7</v>
      </c>
      <c r="AB58" s="174">
        <f ca="1">Z58*LeagueInfo!$H$5</f>
        <v>-26.36371475344059</v>
      </c>
      <c r="AC58" s="174">
        <f t="shared" ca="1" si="18"/>
        <v>-0.75713462447953872</v>
      </c>
    </row>
    <row r="59" spans="1:29" x14ac:dyDescent="0.35">
      <c r="A59">
        <f t="shared" si="10"/>
        <v>57</v>
      </c>
      <c r="B59" t="str">
        <f>QB_Raw!A58</f>
        <v>Clayton Tune</v>
      </c>
      <c r="C59" t="s">
        <v>26</v>
      </c>
      <c r="D59" t="str">
        <f>_xlfn.IFNA(INDEX(BYEs!E:E,MATCH(B59,BYEs!D:D,0)),"N/A")</f>
        <v>N/A</v>
      </c>
      <c r="E59">
        <f>INDEX(BYEs!$B$2:$B$34,MATCH(F59,BYEs!$A$2:$A$34,0))</f>
        <v>11</v>
      </c>
      <c r="F59" t="str">
        <f>QB_Raw!B58</f>
        <v>ARI</v>
      </c>
      <c r="G59" s="198">
        <f>QB_Raw!C58</f>
        <v>48.4</v>
      </c>
      <c r="H59" s="200">
        <f>QB_Raw!D58</f>
        <v>30.9</v>
      </c>
      <c r="I59" s="200">
        <f>QB_Raw!E58</f>
        <v>305.60000000000002</v>
      </c>
      <c r="J59" s="200">
        <f>QB_Raw!F58</f>
        <v>1.6</v>
      </c>
      <c r="K59" s="200">
        <f>QB_Raw!G58</f>
        <v>1.4</v>
      </c>
      <c r="L59" s="202">
        <f>QB_Raw!H58</f>
        <v>5.7</v>
      </c>
      <c r="M59" s="200">
        <f>QB_Raw!I58</f>
        <v>20.8</v>
      </c>
      <c r="N59" s="200">
        <f>QB_Raw!J58</f>
        <v>0.1</v>
      </c>
      <c r="O59" s="203">
        <f>QB_Raw!K58</f>
        <v>0.2</v>
      </c>
      <c r="P59" s="205">
        <f t="shared" si="11"/>
        <v>19.504000000000005</v>
      </c>
      <c r="Q59" t="str">
        <f t="shared" ca="1" si="12"/>
        <v>Undrafted</v>
      </c>
      <c r="R59">
        <f t="shared" ca="1" si="13"/>
        <v>0</v>
      </c>
      <c r="S59">
        <f t="shared" ca="1" si="14"/>
        <v>-163.30599999999998</v>
      </c>
      <c r="T59" s="84">
        <f t="shared" ca="1" si="15"/>
        <v>-26.942151015472437</v>
      </c>
      <c r="U59" s="84">
        <f ca="1">T59*Auction!$A$2</f>
        <v>-26.942151015472437</v>
      </c>
      <c r="V59" s="5" t="str">
        <f>IF(OR(INDEX(Auction!$H$13:$H$650,MATCH(B59,Auction!$A$13:$A$650,0))&gt;0,IFERROR(INDEX(CheatSheet!$D$5:$D$34,MATCH(B59,CheatSheet!$A$5:$A$34,0)),"")&lt;&gt;""),"Yes","No")</f>
        <v>No</v>
      </c>
      <c r="W59" s="175"/>
      <c r="Y59" s="77">
        <f t="shared" ca="1" si="16"/>
        <v>1</v>
      </c>
      <c r="Z59" s="174">
        <f t="shared" ca="1" si="17"/>
        <v>-81.652999999999992</v>
      </c>
      <c r="AA59" t="str">
        <f t="shared" ca="1" si="9"/>
        <v>QB7</v>
      </c>
      <c r="AB59" s="174">
        <f ca="1">Z59*LeagueInfo!$H$5</f>
        <v>-26.369850806804568</v>
      </c>
      <c r="AC59" s="174">
        <f t="shared" ca="1" si="18"/>
        <v>-0.7573916536925045</v>
      </c>
    </row>
    <row r="60" spans="1:29" x14ac:dyDescent="0.35">
      <c r="A60">
        <f t="shared" si="10"/>
        <v>58</v>
      </c>
      <c r="B60" t="str">
        <f>QB_Raw!A59</f>
        <v>Taylor Heinicke</v>
      </c>
      <c r="C60" t="s">
        <v>26</v>
      </c>
      <c r="D60" t="str">
        <f>_xlfn.IFNA(INDEX(BYEs!E:E,MATCH(B60,BYEs!D:D,0)),"N/A")</f>
        <v>N/A</v>
      </c>
      <c r="E60">
        <f>INDEX(BYEs!$B$2:$B$34,MATCH(F60,BYEs!$A$2:$A$34,0))</f>
        <v>5</v>
      </c>
      <c r="F60" t="str">
        <f>QB_Raw!B59</f>
        <v>LAC</v>
      </c>
      <c r="G60" s="198">
        <f>QB_Raw!C59</f>
        <v>42.8</v>
      </c>
      <c r="H60" s="200">
        <f>QB_Raw!D59</f>
        <v>27.2</v>
      </c>
      <c r="I60" s="200">
        <f>QB_Raw!E59</f>
        <v>274.60000000000002</v>
      </c>
      <c r="J60" s="200">
        <f>QB_Raw!F59</f>
        <v>1.7</v>
      </c>
      <c r="K60" s="200">
        <f>QB_Raw!G59</f>
        <v>0.9</v>
      </c>
      <c r="L60" s="202">
        <f>QB_Raw!H59</f>
        <v>6.6</v>
      </c>
      <c r="M60" s="200">
        <f>QB_Raw!I59</f>
        <v>27.6</v>
      </c>
      <c r="N60" s="200">
        <f>QB_Raw!J59</f>
        <v>0.1</v>
      </c>
      <c r="O60" s="203">
        <f>QB_Raw!K59</f>
        <v>0.5</v>
      </c>
      <c r="P60" s="205">
        <f t="shared" si="11"/>
        <v>19.244000000000007</v>
      </c>
      <c r="Q60" t="str">
        <f t="shared" ca="1" si="12"/>
        <v>Undrafted</v>
      </c>
      <c r="R60">
        <f t="shared" ca="1" si="13"/>
        <v>0</v>
      </c>
      <c r="S60">
        <f t="shared" ca="1" si="14"/>
        <v>-163.566</v>
      </c>
      <c r="T60" s="84">
        <f t="shared" ca="1" si="15"/>
        <v>-26.985045699464596</v>
      </c>
      <c r="U60" s="84">
        <f ca="1">T60*Auction!$A$2</f>
        <v>-26.985045699464596</v>
      </c>
      <c r="V60" s="5" t="str">
        <f>IF(OR(INDEX(Auction!$H$13:$H$650,MATCH(B60,Auction!$A$13:$A$650,0))&gt;0,IFERROR(INDEX(CheatSheet!$D$5:$D$34,MATCH(B60,CheatSheet!$A$5:$A$34,0)),"")&lt;&gt;""),"Yes","No")</f>
        <v>No</v>
      </c>
      <c r="W60" s="175"/>
      <c r="Y60" s="77">
        <f t="shared" ca="1" si="16"/>
        <v>1</v>
      </c>
      <c r="Z60" s="174">
        <f t="shared" ca="1" si="17"/>
        <v>-81.783000000000001</v>
      </c>
      <c r="AA60" t="str">
        <f t="shared" ca="1" si="9"/>
        <v>QB7</v>
      </c>
      <c r="AB60" s="174">
        <f ca="1">Z60*LeagueInfo!$H$5</f>
        <v>-26.411834329821296</v>
      </c>
      <c r="AC60" s="174">
        <f t="shared" ca="1" si="18"/>
        <v>-0.75915027462332385</v>
      </c>
    </row>
    <row r="61" spans="1:29" x14ac:dyDescent="0.35">
      <c r="A61">
        <f t="shared" si="10"/>
        <v>59</v>
      </c>
      <c r="B61" t="str">
        <f>QB_Raw!A57</f>
        <v>Joe Flacco</v>
      </c>
      <c r="C61" t="s">
        <v>26</v>
      </c>
      <c r="D61">
        <f>_xlfn.IFNA(INDEX(BYEs!E:E,MATCH(B61,BYEs!D:D,0)),"N/A")</f>
        <v>39</v>
      </c>
      <c r="E61">
        <f>INDEX(BYEs!$B$2:$B$34,MATCH(F61,BYEs!$A$2:$A$34,0))</f>
        <v>14</v>
      </c>
      <c r="F61" t="str">
        <f>QB_Raw!B57</f>
        <v>IND</v>
      </c>
      <c r="G61" s="198">
        <f>QB_Raw!C57</f>
        <v>48.8</v>
      </c>
      <c r="H61" s="200">
        <f>QB_Raw!D57</f>
        <v>30.6</v>
      </c>
      <c r="I61" s="200">
        <f>QB_Raw!E57</f>
        <v>317.2</v>
      </c>
      <c r="J61" s="200">
        <f>QB_Raw!F57</f>
        <v>1.8</v>
      </c>
      <c r="K61" s="200">
        <f>QB_Raw!G57</f>
        <v>1.1000000000000001</v>
      </c>
      <c r="L61" s="202">
        <f>QB_Raw!H57</f>
        <v>5</v>
      </c>
      <c r="M61" s="200">
        <f>QB_Raw!I57</f>
        <v>13.3</v>
      </c>
      <c r="N61" s="200">
        <f>QB_Raw!J57</f>
        <v>0</v>
      </c>
      <c r="O61" s="203">
        <f>QB_Raw!K57</f>
        <v>0.5</v>
      </c>
      <c r="P61" s="205">
        <f t="shared" si="11"/>
        <v>19.118000000000002</v>
      </c>
      <c r="Q61" t="str">
        <f t="shared" ca="1" si="12"/>
        <v>Undrafted</v>
      </c>
      <c r="R61">
        <f t="shared" ca="1" si="13"/>
        <v>0</v>
      </c>
      <c r="S61">
        <f t="shared" ca="1" si="14"/>
        <v>-163.69200000000001</v>
      </c>
      <c r="T61" s="84">
        <f t="shared" ca="1" si="15"/>
        <v>-27.005833123245409</v>
      </c>
      <c r="U61" s="84">
        <f ca="1">T61*Auction!$A$2</f>
        <v>-27.005833123245409</v>
      </c>
      <c r="V61" s="5" t="str">
        <f>IF(OR(INDEX(Auction!$H$13:$H$650,MATCH(B61,Auction!$A$13:$A$650,0))&gt;0,IFERROR(INDEX(CheatSheet!$D$5:$D$34,MATCH(B61,CheatSheet!$A$5:$A$34,0)),"")&lt;&gt;""),"Yes","No")</f>
        <v>No</v>
      </c>
      <c r="W61" s="175"/>
      <c r="Y61" s="77">
        <f t="shared" ca="1" si="16"/>
        <v>1</v>
      </c>
      <c r="Z61" s="174">
        <f t="shared" ca="1" si="17"/>
        <v>-81.846000000000004</v>
      </c>
      <c r="AA61" t="str">
        <f t="shared" ca="1" si="9"/>
        <v>QB7</v>
      </c>
      <c r="AB61" s="174">
        <f ca="1">Z61*LeagueInfo!$H$5</f>
        <v>-26.432180190975554</v>
      </c>
      <c r="AC61" s="174">
        <f t="shared" ca="1" si="18"/>
        <v>-0.76000252938210555</v>
      </c>
    </row>
    <row r="62" spans="1:29" x14ac:dyDescent="0.35">
      <c r="A62">
        <f t="shared" si="10"/>
        <v>60</v>
      </c>
      <c r="B62" t="str">
        <f>QB_Raw!A61</f>
        <v>Mac Jones</v>
      </c>
      <c r="C62" t="s">
        <v>26</v>
      </c>
      <c r="D62">
        <f>_xlfn.IFNA(INDEX(BYEs!E:E,MATCH(B62,BYEs!D:D,0)),"N/A")</f>
        <v>25</v>
      </c>
      <c r="E62">
        <f>INDEX(BYEs!$B$2:$B$34,MATCH(F62,BYEs!$A$2:$A$34,0))</f>
        <v>12</v>
      </c>
      <c r="F62" t="str">
        <f>QB_Raw!B61</f>
        <v>JAC</v>
      </c>
      <c r="G62" s="198">
        <f>QB_Raw!C61</f>
        <v>47</v>
      </c>
      <c r="H62" s="200">
        <f>QB_Raw!D61</f>
        <v>31.5</v>
      </c>
      <c r="I62" s="200">
        <f>QB_Raw!E61</f>
        <v>293.89999999999998</v>
      </c>
      <c r="J62" s="200">
        <f>QB_Raw!F61</f>
        <v>1.6</v>
      </c>
      <c r="K62" s="200">
        <f>QB_Raw!G61</f>
        <v>0.9</v>
      </c>
      <c r="L62" s="202">
        <f>QB_Raw!H61</f>
        <v>5.4</v>
      </c>
      <c r="M62" s="200">
        <f>QB_Raw!I61</f>
        <v>18.899999999999999</v>
      </c>
      <c r="N62" s="200">
        <f>QB_Raw!J61</f>
        <v>0</v>
      </c>
      <c r="O62" s="203">
        <f>QB_Raw!K61</f>
        <v>0.1</v>
      </c>
      <c r="P62" s="205">
        <f t="shared" si="11"/>
        <v>18.946000000000002</v>
      </c>
      <c r="Q62" t="str">
        <f t="shared" ca="1" si="12"/>
        <v>Undrafted</v>
      </c>
      <c r="R62">
        <f t="shared" ca="1" si="13"/>
        <v>0</v>
      </c>
      <c r="S62">
        <f t="shared" ca="1" si="14"/>
        <v>-163.864</v>
      </c>
      <c r="T62" s="84">
        <f t="shared" ca="1" si="15"/>
        <v>-27.034209606501758</v>
      </c>
      <c r="U62" s="84">
        <f ca="1">T62*Auction!$A$2</f>
        <v>-27.034209606501758</v>
      </c>
      <c r="V62" s="5" t="str">
        <f>IF(OR(INDEX(Auction!$H$13:$H$650,MATCH(B62,Auction!$A$13:$A$650,0))&gt;0,IFERROR(INDEX(CheatSheet!$D$5:$D$34,MATCH(B62,CheatSheet!$A$5:$A$34,0)),"")&lt;&gt;""),"Yes","No")</f>
        <v>No</v>
      </c>
      <c r="W62" s="175"/>
      <c r="Y62" s="77">
        <f t="shared" ca="1" si="16"/>
        <v>1</v>
      </c>
      <c r="Z62" s="174">
        <f t="shared" ca="1" si="17"/>
        <v>-81.932000000000002</v>
      </c>
      <c r="AA62" t="str">
        <f t="shared" ca="1" si="9"/>
        <v>QB7</v>
      </c>
      <c r="AB62" s="174">
        <f ca="1">Z62*LeagueInfo!$H$5</f>
        <v>-26.459953906202003</v>
      </c>
      <c r="AC62" s="174">
        <f t="shared" ca="1" si="18"/>
        <v>-0.76116592476710909</v>
      </c>
    </row>
    <row r="63" spans="1:29" x14ac:dyDescent="0.35">
      <c r="A63">
        <f t="shared" si="10"/>
        <v>61</v>
      </c>
      <c r="B63" t="str">
        <f>QB_Raw!A63</f>
        <v>Marcus Mariota</v>
      </c>
      <c r="C63" t="s">
        <v>26</v>
      </c>
      <c r="D63">
        <f>_xlfn.IFNA(INDEX(BYEs!E:E,MATCH(B63,BYEs!D:D,0)),"N/A")</f>
        <v>30</v>
      </c>
      <c r="E63">
        <f>INDEX(BYEs!$B$2:$B$34,MATCH(F63,BYEs!$A$2:$A$34,0))</f>
        <v>14</v>
      </c>
      <c r="F63" t="str">
        <f>QB_Raw!B63</f>
        <v>WAS</v>
      </c>
      <c r="G63" s="198">
        <f>QB_Raw!C63</f>
        <v>42.6</v>
      </c>
      <c r="H63" s="200">
        <f>QB_Raw!D63</f>
        <v>26.4</v>
      </c>
      <c r="I63" s="200">
        <f>QB_Raw!E63</f>
        <v>272.2</v>
      </c>
      <c r="J63" s="200">
        <f>QB_Raw!F63</f>
        <v>1.5</v>
      </c>
      <c r="K63" s="200">
        <f>QB_Raw!G63</f>
        <v>1.2</v>
      </c>
      <c r="L63" s="202">
        <f>QB_Raw!H63</f>
        <v>6.9</v>
      </c>
      <c r="M63" s="200">
        <f>QB_Raw!I63</f>
        <v>30.3</v>
      </c>
      <c r="N63" s="200">
        <f>QB_Raw!J63</f>
        <v>0.1</v>
      </c>
      <c r="O63" s="203">
        <f>QB_Raw!K63</f>
        <v>0.2</v>
      </c>
      <c r="P63" s="205">
        <f t="shared" si="11"/>
        <v>18.918000000000003</v>
      </c>
      <c r="Q63" t="str">
        <f t="shared" ca="1" si="12"/>
        <v>Undrafted</v>
      </c>
      <c r="R63">
        <f t="shared" ca="1" si="13"/>
        <v>0</v>
      </c>
      <c r="S63">
        <f t="shared" ca="1" si="14"/>
        <v>-163.892</v>
      </c>
      <c r="T63" s="84">
        <f t="shared" ca="1" si="15"/>
        <v>-27.038829034008604</v>
      </c>
      <c r="U63" s="84">
        <f ca="1">T63*Auction!$A$2</f>
        <v>-27.038829034008604</v>
      </c>
      <c r="V63" s="5" t="str">
        <f>IF(OR(INDEX(Auction!$H$13:$H$650,MATCH(B63,Auction!$A$13:$A$650,0))&gt;0,IFERROR(INDEX(CheatSheet!$D$5:$D$34,MATCH(B63,CheatSheet!$A$5:$A$34,0)),"")&lt;&gt;""),"Yes","No")</f>
        <v>No</v>
      </c>
      <c r="W63" s="175"/>
      <c r="Y63" s="77">
        <f t="shared" ca="1" si="16"/>
        <v>1</v>
      </c>
      <c r="Z63" s="174">
        <f t="shared" ca="1" si="17"/>
        <v>-81.945999999999998</v>
      </c>
      <c r="AA63" t="str">
        <f t="shared" ca="1" si="9"/>
        <v>QB7</v>
      </c>
      <c r="AB63" s="174">
        <f ca="1">Z63*LeagueInfo!$H$5</f>
        <v>-26.464475208680724</v>
      </c>
      <c r="AC63" s="174">
        <f t="shared" ca="1" si="18"/>
        <v>-0.76135531471350493</v>
      </c>
    </row>
    <row r="64" spans="1:29" x14ac:dyDescent="0.35">
      <c r="A64">
        <f t="shared" si="10"/>
        <v>62</v>
      </c>
      <c r="B64" t="str">
        <f>QB_Raw!A62</f>
        <v>Kenny Pickett</v>
      </c>
      <c r="C64" t="s">
        <v>26</v>
      </c>
      <c r="D64">
        <f>_xlfn.IFNA(INDEX(BYEs!E:E,MATCH(B64,BYEs!D:D,0)),"N/A")</f>
        <v>26</v>
      </c>
      <c r="E64">
        <f>INDEX(BYEs!$B$2:$B$34,MATCH(F64,BYEs!$A$2:$A$34,0))</f>
        <v>5</v>
      </c>
      <c r="F64" t="str">
        <f>QB_Raw!B62</f>
        <v>PHI</v>
      </c>
      <c r="G64" s="198">
        <f>QB_Raw!C62</f>
        <v>43.8</v>
      </c>
      <c r="H64" s="200">
        <f>QB_Raw!D62</f>
        <v>28.4</v>
      </c>
      <c r="I64" s="200">
        <f>QB_Raw!E62</f>
        <v>283.3</v>
      </c>
      <c r="J64" s="200">
        <f>QB_Raw!F62</f>
        <v>1.6</v>
      </c>
      <c r="K64" s="200">
        <f>QB_Raw!G62</f>
        <v>1.2</v>
      </c>
      <c r="L64" s="202">
        <f>QB_Raw!H62</f>
        <v>7.1</v>
      </c>
      <c r="M64" s="200">
        <f>QB_Raw!I62</f>
        <v>21.5</v>
      </c>
      <c r="N64" s="200">
        <f>QB_Raw!J62</f>
        <v>0.2</v>
      </c>
      <c r="O64" s="203">
        <f>QB_Raw!K62</f>
        <v>0.5</v>
      </c>
      <c r="P64" s="205">
        <f t="shared" si="11"/>
        <v>18.881999999999998</v>
      </c>
      <c r="Q64" t="str">
        <f t="shared" ca="1" si="12"/>
        <v>Undrafted</v>
      </c>
      <c r="R64">
        <f t="shared" ca="1" si="13"/>
        <v>0</v>
      </c>
      <c r="S64">
        <f t="shared" ca="1" si="14"/>
        <v>-163.928</v>
      </c>
      <c r="T64" s="84">
        <f t="shared" ca="1" si="15"/>
        <v>-27.044768297945978</v>
      </c>
      <c r="U64" s="84">
        <f ca="1">T64*Auction!$A$2</f>
        <v>-27.044768297945978</v>
      </c>
      <c r="V64" s="5" t="str">
        <f>IF(OR(INDEX(Auction!$H$13:$H$650,MATCH(B64,Auction!$A$13:$A$650,0))&gt;0,IFERROR(INDEX(CheatSheet!$D$5:$D$34,MATCH(B64,CheatSheet!$A$5:$A$34,0)),"")&lt;&gt;""),"Yes","No")</f>
        <v>No</v>
      </c>
      <c r="W64" s="175"/>
      <c r="Y64" s="77">
        <f t="shared" ca="1" si="16"/>
        <v>1</v>
      </c>
      <c r="Z64" s="174">
        <f t="shared" ca="1" si="17"/>
        <v>-81.963999999999999</v>
      </c>
      <c r="AA64" t="str">
        <f t="shared" ca="1" si="9"/>
        <v>QB7</v>
      </c>
      <c r="AB64" s="174">
        <f ca="1">Z64*LeagueInfo!$H$5</f>
        <v>-26.470288311867659</v>
      </c>
      <c r="AC64" s="174">
        <f t="shared" ca="1" si="18"/>
        <v>-0.76159881607315683</v>
      </c>
    </row>
    <row r="65" spans="1:29" x14ac:dyDescent="0.35">
      <c r="A65">
        <f t="shared" si="10"/>
        <v>63</v>
      </c>
      <c r="B65" t="str">
        <f>QB_Raw!A64</f>
        <v>Kyle Trask</v>
      </c>
      <c r="C65" t="s">
        <v>26</v>
      </c>
      <c r="D65">
        <f>_xlfn.IFNA(INDEX(BYEs!E:E,MATCH(B65,BYEs!D:D,0)),"N/A")</f>
        <v>26</v>
      </c>
      <c r="E65">
        <f>INDEX(BYEs!$B$2:$B$34,MATCH(F65,BYEs!$A$2:$A$34,0))</f>
        <v>11</v>
      </c>
      <c r="F65" t="str">
        <f>QB_Raw!B64</f>
        <v>TB</v>
      </c>
      <c r="G65" s="198">
        <f>QB_Raw!C64</f>
        <v>44.7</v>
      </c>
      <c r="H65" s="200">
        <f>QB_Raw!D64</f>
        <v>26.9</v>
      </c>
      <c r="I65" s="200">
        <f>QB_Raw!E64</f>
        <v>265</v>
      </c>
      <c r="J65" s="200">
        <f>QB_Raw!F64</f>
        <v>1.7</v>
      </c>
      <c r="K65" s="200">
        <f>QB_Raw!G64</f>
        <v>0.9</v>
      </c>
      <c r="L65" s="202">
        <f>QB_Raw!H64</f>
        <v>5.5</v>
      </c>
      <c r="M65" s="200">
        <f>QB_Raw!I64</f>
        <v>13.5</v>
      </c>
      <c r="N65" s="200">
        <f>QB_Raw!J64</f>
        <v>0.1</v>
      </c>
      <c r="O65" s="203">
        <f>QB_Raw!K64</f>
        <v>0.2</v>
      </c>
      <c r="P65" s="205">
        <f t="shared" si="11"/>
        <v>18.050000000000004</v>
      </c>
      <c r="Q65" t="str">
        <f t="shared" ca="1" si="12"/>
        <v>Undrafted</v>
      </c>
      <c r="R65">
        <f t="shared" ca="1" si="13"/>
        <v>0</v>
      </c>
      <c r="S65">
        <f t="shared" ca="1" si="14"/>
        <v>-164.76</v>
      </c>
      <c r="T65" s="84">
        <f t="shared" ca="1" si="15"/>
        <v>-27.182031286720875</v>
      </c>
      <c r="U65" s="84">
        <f ca="1">T65*Auction!$A$2</f>
        <v>-27.182031286720875</v>
      </c>
      <c r="V65" s="5" t="str">
        <f>IF(OR(INDEX(Auction!$H$13:$H$650,MATCH(B65,Auction!$A$13:$A$650,0))&gt;0,IFERROR(INDEX(CheatSheet!$D$5:$D$34,MATCH(B65,CheatSheet!$A$5:$A$34,0)),"")&lt;&gt;""),"Yes","No")</f>
        <v>No</v>
      </c>
      <c r="W65" s="175"/>
      <c r="Y65" s="77">
        <f t="shared" ca="1" si="16"/>
        <v>1</v>
      </c>
      <c r="Z65" s="174">
        <f t="shared" ca="1" si="17"/>
        <v>-82.38</v>
      </c>
      <c r="AA65" t="str">
        <f t="shared" ca="1" si="9"/>
        <v>QB7</v>
      </c>
      <c r="AB65" s="174">
        <f ca="1">Z65*LeagueInfo!$H$5</f>
        <v>-26.604635585521173</v>
      </c>
      <c r="AC65" s="174">
        <f t="shared" ca="1" si="18"/>
        <v>-0.76722640305177858</v>
      </c>
    </row>
    <row r="66" spans="1:29" x14ac:dyDescent="0.35">
      <c r="A66">
        <f t="shared" si="10"/>
        <v>64</v>
      </c>
      <c r="B66" t="str">
        <f>QB_Raw!A66</f>
        <v>Andy Dalton</v>
      </c>
      <c r="C66" t="s">
        <v>26</v>
      </c>
      <c r="D66" t="str">
        <f>_xlfn.IFNA(INDEX(BYEs!E:E,MATCH(B66,BYEs!D:D,0)),"N/A")</f>
        <v>N/A</v>
      </c>
      <c r="E66">
        <f>INDEX(BYEs!$B$2:$B$34,MATCH(F66,BYEs!$A$2:$A$34,0))</f>
        <v>11</v>
      </c>
      <c r="F66" t="str">
        <f>QB_Raw!B66</f>
        <v>CAR</v>
      </c>
      <c r="G66" s="198">
        <f>QB_Raw!C66</f>
        <v>45.6</v>
      </c>
      <c r="H66" s="200">
        <f>QB_Raw!D66</f>
        <v>28.6</v>
      </c>
      <c r="I66" s="200">
        <f>QB_Raw!E66</f>
        <v>270.5</v>
      </c>
      <c r="J66" s="200">
        <f>QB_Raw!F66</f>
        <v>1.5</v>
      </c>
      <c r="K66" s="200">
        <f>QB_Raw!G66</f>
        <v>0.9</v>
      </c>
      <c r="L66" s="202">
        <f>QB_Raw!H66</f>
        <v>4.7</v>
      </c>
      <c r="M66" s="200">
        <f>QB_Raw!I66</f>
        <v>16.600000000000001</v>
      </c>
      <c r="N66" s="200">
        <f>QB_Raw!J66</f>
        <v>0.1</v>
      </c>
      <c r="O66" s="203">
        <f>QB_Raw!K66</f>
        <v>0.1</v>
      </c>
      <c r="P66" s="205">
        <f t="shared" si="11"/>
        <v>17.98</v>
      </c>
      <c r="Q66" t="str">
        <f t="shared" ca="1" si="12"/>
        <v>Undrafted</v>
      </c>
      <c r="R66">
        <f t="shared" ca="1" si="13"/>
        <v>0</v>
      </c>
      <c r="S66">
        <f t="shared" ca="1" si="14"/>
        <v>-164.83</v>
      </c>
      <c r="T66" s="84">
        <f t="shared" ca="1" si="15"/>
        <v>-27.193579855487997</v>
      </c>
      <c r="U66" s="84">
        <f ca="1">T66*Auction!$A$2</f>
        <v>-27.193579855487997</v>
      </c>
      <c r="V66" s="5" t="str">
        <f>IF(OR(INDEX(Auction!$H$13:$H$650,MATCH(B66,Auction!$A$13:$A$650,0))&gt;0,IFERROR(INDEX(CheatSheet!$D$5:$D$34,MATCH(B66,CheatSheet!$A$5:$A$34,0)),"")&lt;&gt;""),"Yes","No")</f>
        <v>No</v>
      </c>
      <c r="W66" s="175"/>
      <c r="Y66" s="77">
        <f t="shared" ca="1" si="16"/>
        <v>1</v>
      </c>
      <c r="Z66" s="174">
        <f t="shared" ca="1" si="17"/>
        <v>-82.415000000000006</v>
      </c>
      <c r="AA66" t="str">
        <f t="shared" ca="1" si="9"/>
        <v>QB7</v>
      </c>
      <c r="AB66" s="174">
        <f ca="1">Z66*LeagueInfo!$H$5</f>
        <v>-26.615938841717988</v>
      </c>
      <c r="AC66" s="174">
        <f t="shared" ca="1" si="18"/>
        <v>-0.7676998779177685</v>
      </c>
    </row>
    <row r="67" spans="1:29" x14ac:dyDescent="0.35">
      <c r="A67">
        <f t="shared" ref="A67:A81" si="19">RANK(P67,P:P)</f>
        <v>65</v>
      </c>
      <c r="B67" t="str">
        <f>QB_Raw!A65</f>
        <v>Mason Rudolph</v>
      </c>
      <c r="C67" t="s">
        <v>26</v>
      </c>
      <c r="D67">
        <f>_xlfn.IFNA(INDEX(BYEs!E:E,MATCH(B67,BYEs!D:D,0)),"N/A")</f>
        <v>29</v>
      </c>
      <c r="E67">
        <f>INDEX(BYEs!$B$2:$B$34,MATCH(F67,BYEs!$A$2:$A$34,0))</f>
        <v>5</v>
      </c>
      <c r="F67" t="str">
        <f>QB_Raw!B65</f>
        <v>TEN</v>
      </c>
      <c r="G67" s="198">
        <f>QB_Raw!C65</f>
        <v>44</v>
      </c>
      <c r="H67" s="200">
        <f>QB_Raw!D65</f>
        <v>27.1</v>
      </c>
      <c r="I67" s="200">
        <f>QB_Raw!E65</f>
        <v>281.3</v>
      </c>
      <c r="J67" s="200">
        <f>QB_Raw!F65</f>
        <v>1.7</v>
      </c>
      <c r="K67" s="200">
        <f>QB_Raw!G65</f>
        <v>1.2</v>
      </c>
      <c r="L67" s="202">
        <f>QB_Raw!H65</f>
        <v>4.9000000000000004</v>
      </c>
      <c r="M67" s="200">
        <f>QB_Raw!I65</f>
        <v>14.5</v>
      </c>
      <c r="N67" s="200">
        <f>QB_Raw!J65</f>
        <v>0</v>
      </c>
      <c r="O67" s="203">
        <f>QB_Raw!K65</f>
        <v>0.2</v>
      </c>
      <c r="P67" s="205">
        <f t="shared" ref="P67:P98" si="20">(G67*QBPassAtt)+(I67*PassingYds)+(J67*PassingTD)+(K67*PassingINT)+(M67*QBRushingYd)+(N67*QBRushingTD)+(O67*QBFuml)+(H67*QBCompletion)+(L67*QBRushAtt)</f>
        <v>17.902000000000001</v>
      </c>
      <c r="Q67" t="str">
        <f t="shared" ref="Q67:Q81" ca="1" si="21">IF(A67&lt;=QBStarter,"Starter",IF(A67&gt;QBStarter+QBBench,"Undrafted","Bench"))</f>
        <v>Undrafted</v>
      </c>
      <c r="R67">
        <f t="shared" ref="R67:R81" ca="1" si="22">IFERROR(MAX(P67-LARGE(QBSheetCount,QBStarter),0),0)</f>
        <v>0</v>
      </c>
      <c r="S67">
        <f t="shared" ref="S67:S81" ca="1" si="23">IFERROR(IF(AllowNegative="Yes",P67-LARGE(QBSheetCount,QBCount),MAX(P67-LARGE(QBSheetCount,QBCount),0)),0)</f>
        <v>-164.90800000000002</v>
      </c>
      <c r="T67" s="84">
        <f t="shared" ref="T67:T98" ca="1" si="24">(S67-R67)*BenchPF+R67*StarterPF</f>
        <v>-27.206448260685644</v>
      </c>
      <c r="U67" s="84">
        <f ca="1">T67*Auction!$A$2</f>
        <v>-27.206448260685644</v>
      </c>
      <c r="V67" s="5" t="str">
        <f>IF(OR(INDEX(Auction!$H$13:$H$650,MATCH(B67,Auction!$A$13:$A$650,0))&gt;0,IFERROR(INDEX(CheatSheet!$D$5:$D$34,MATCH(B67,CheatSheet!$A$5:$A$34,0)),"")&lt;&gt;""),"Yes","No")</f>
        <v>No</v>
      </c>
      <c r="W67" s="175"/>
      <c r="Y67" s="77">
        <f t="shared" ref="Y67:Y86" ca="1" si="25">SUMIFS(Z:Z,Z:Z,"&gt;0",V:V,"No")/SUMIF(Z:Z,"&gt;0")</f>
        <v>1</v>
      </c>
      <c r="Z67" s="174">
        <f t="shared" ref="Z67:Z74" ca="1" si="26">AVERAGE(R67:S67)</f>
        <v>-82.454000000000008</v>
      </c>
      <c r="AA67" t="str">
        <f t="shared" ca="1" si="9"/>
        <v>QB7</v>
      </c>
      <c r="AB67" s="174">
        <f ca="1">Z67*LeagueInfo!$H$5</f>
        <v>-26.628533898623004</v>
      </c>
      <c r="AC67" s="174">
        <f t="shared" ref="AC67:AC86" ca="1" si="27">(Z67-AVERAGE(Z:Z))/_xlfn.STDEV.P(Z:Z)</f>
        <v>-0.76822746419701426</v>
      </c>
    </row>
    <row r="68" spans="1:29" x14ac:dyDescent="0.35">
      <c r="A68">
        <f t="shared" si="19"/>
        <v>66</v>
      </c>
      <c r="B68" t="str">
        <f>QB_Raw!A67</f>
        <v>Easton Stick</v>
      </c>
      <c r="C68" t="s">
        <v>26</v>
      </c>
      <c r="D68">
        <f>_xlfn.IFNA(INDEX(BYEs!E:E,MATCH(B68,BYEs!D:D,0)),"N/A")</f>
        <v>28</v>
      </c>
      <c r="E68">
        <f>INDEX(BYEs!$B$2:$B$34,MATCH(F68,BYEs!$A$2:$A$34,0))</f>
        <v>5</v>
      </c>
      <c r="F68" t="str">
        <f>QB_Raw!B67</f>
        <v>LAC</v>
      </c>
      <c r="G68" s="198">
        <f>QB_Raw!C67</f>
        <v>0</v>
      </c>
      <c r="H68" s="200">
        <f>QB_Raw!D67</f>
        <v>0</v>
      </c>
      <c r="I68" s="200">
        <f>QB_Raw!E67</f>
        <v>215</v>
      </c>
      <c r="J68" s="200">
        <f>QB_Raw!F67</f>
        <v>1</v>
      </c>
      <c r="K68" s="200">
        <f>QB_Raw!G67</f>
        <v>1</v>
      </c>
      <c r="L68" s="202">
        <f>QB_Raw!H67</f>
        <v>0</v>
      </c>
      <c r="M68" s="200">
        <f>QB_Raw!I67</f>
        <v>13</v>
      </c>
      <c r="N68" s="200">
        <f>QB_Raw!J67</f>
        <v>0</v>
      </c>
      <c r="O68" s="203">
        <f>QB_Raw!K67</f>
        <v>0</v>
      </c>
      <c r="P68" s="205">
        <f t="shared" si="20"/>
        <v>12.9</v>
      </c>
      <c r="Q68" t="str">
        <f t="shared" ca="1" si="21"/>
        <v>Undrafted</v>
      </c>
      <c r="R68">
        <f t="shared" ca="1" si="22"/>
        <v>0</v>
      </c>
      <c r="S68">
        <f t="shared" ca="1" si="23"/>
        <v>-169.91</v>
      </c>
      <c r="T68" s="84">
        <f t="shared" ca="1" si="24"/>
        <v>-28.031675988873172</v>
      </c>
      <c r="U68" s="84">
        <f ca="1">T68*Auction!$A$2</f>
        <v>-28.031675988873172</v>
      </c>
      <c r="V68" s="5" t="str">
        <f>IF(OR(INDEX(Auction!$H$13:$H$650,MATCH(B68,Auction!$A$13:$A$650,0))&gt;0,IFERROR(INDEX(CheatSheet!$D$5:$D$34,MATCH(B68,CheatSheet!$A$5:$A$34,0)),"")&lt;&gt;""),"Yes","No")</f>
        <v>No</v>
      </c>
      <c r="W68" s="175"/>
      <c r="Y68" s="77">
        <f t="shared" ca="1" si="25"/>
        <v>1</v>
      </c>
      <c r="Z68" s="174">
        <f t="shared" ca="1" si="26"/>
        <v>-84.954999999999998</v>
      </c>
      <c r="AA68" t="str">
        <f t="shared" ref="AA68:AA74" ca="1" si="28">IF(AC68&gt;2,"QB1",IF(AC68&gt;1.5,"QB2",IF(AC68&gt;1,"QB3",IF(AC68&gt;0.5,"QB4",IF(AC68&gt;0,"QB5",IF(AC68&gt;-0.5,"QB6","QB7"))))))</f>
        <v>QB7</v>
      </c>
      <c r="AB68" s="174">
        <f ca="1">Z68*LeagueInfo!$H$5</f>
        <v>-27.43623229142937</v>
      </c>
      <c r="AC68" s="174">
        <f t="shared" ca="1" si="27"/>
        <v>-0.80206062533531441</v>
      </c>
    </row>
    <row r="69" spans="1:29" x14ac:dyDescent="0.35">
      <c r="A69">
        <f t="shared" si="19"/>
        <v>67</v>
      </c>
      <c r="B69" t="str">
        <f>QB_Raw!A68</f>
        <v>Zach Wilson</v>
      </c>
      <c r="C69" t="s">
        <v>26</v>
      </c>
      <c r="D69">
        <f>_xlfn.IFNA(INDEX(BYEs!E:E,MATCH(B69,BYEs!D:D,0)),"N/A")</f>
        <v>25</v>
      </c>
      <c r="E69">
        <f>INDEX(BYEs!$B$2:$B$34,MATCH(F69,BYEs!$A$2:$A$34,0))</f>
        <v>14</v>
      </c>
      <c r="F69" t="str">
        <f>QB_Raw!B68</f>
        <v>DEN</v>
      </c>
      <c r="G69" s="198">
        <f>QB_Raw!C68</f>
        <v>0</v>
      </c>
      <c r="H69" s="200">
        <f>QB_Raw!D68</f>
        <v>0</v>
      </c>
      <c r="I69" s="200">
        <f>QB_Raw!E68</f>
        <v>200</v>
      </c>
      <c r="J69" s="200">
        <f>QB_Raw!F68</f>
        <v>1</v>
      </c>
      <c r="K69" s="200">
        <f>QB_Raw!G68</f>
        <v>1</v>
      </c>
      <c r="L69" s="202">
        <f>QB_Raw!H68</f>
        <v>0</v>
      </c>
      <c r="M69" s="200">
        <f>QB_Raw!I68</f>
        <v>17</v>
      </c>
      <c r="N69" s="200">
        <f>QB_Raw!J68</f>
        <v>0</v>
      </c>
      <c r="O69" s="203">
        <f>QB_Raw!K68</f>
        <v>0</v>
      </c>
      <c r="P69" s="205">
        <f t="shared" si="20"/>
        <v>12.7</v>
      </c>
      <c r="Q69" t="str">
        <f t="shared" ca="1" si="21"/>
        <v>Undrafted</v>
      </c>
      <c r="R69">
        <f t="shared" ca="1" si="22"/>
        <v>0</v>
      </c>
      <c r="S69">
        <f t="shared" ca="1" si="23"/>
        <v>-170.11</v>
      </c>
      <c r="T69" s="84">
        <f t="shared" ca="1" si="24"/>
        <v>-28.06467189963637</v>
      </c>
      <c r="U69" s="84">
        <f ca="1">T69*Auction!$A$2</f>
        <v>-28.06467189963637</v>
      </c>
      <c r="V69" s="5" t="str">
        <f>IF(OR(INDEX(Auction!$H$13:$H$650,MATCH(B69,Auction!$A$13:$A$650,0))&gt;0,IFERROR(INDEX(CheatSheet!$D$5:$D$34,MATCH(B69,CheatSheet!$A$5:$A$34,0)),"")&lt;&gt;""),"Yes","No")</f>
        <v>No</v>
      </c>
      <c r="W69" s="175"/>
      <c r="Y69" s="77">
        <f t="shared" ca="1" si="25"/>
        <v>1</v>
      </c>
      <c r="Z69" s="174">
        <f t="shared" ca="1" si="26"/>
        <v>-85.055000000000007</v>
      </c>
      <c r="AA69" t="str">
        <f t="shared" ca="1" si="28"/>
        <v>QB7</v>
      </c>
      <c r="AB69" s="174">
        <f ca="1">Z69*LeagueInfo!$H$5</f>
        <v>-27.468527309134544</v>
      </c>
      <c r="AC69" s="174">
        <f t="shared" ca="1" si="27"/>
        <v>-0.80341341066671401</v>
      </c>
    </row>
    <row r="70" spans="1:29" x14ac:dyDescent="0.35">
      <c r="A70">
        <f t="shared" si="19"/>
        <v>68</v>
      </c>
      <c r="B70" t="str">
        <f>QB_Raw!A69</f>
        <v>Tommy DeVito</v>
      </c>
      <c r="C70" t="s">
        <v>26</v>
      </c>
      <c r="D70">
        <f>_xlfn.IFNA(INDEX(BYEs!E:E,MATCH(B70,BYEs!D:D,0)),"N/A")</f>
        <v>25</v>
      </c>
      <c r="E70">
        <f>INDEX(BYEs!$B$2:$B$34,MATCH(F70,BYEs!$A$2:$A$34,0))</f>
        <v>11</v>
      </c>
      <c r="F70" t="str">
        <f>QB_Raw!B69</f>
        <v>NYG</v>
      </c>
      <c r="G70" s="198">
        <f>QB_Raw!C69</f>
        <v>0</v>
      </c>
      <c r="H70" s="200">
        <f>QB_Raw!D69</f>
        <v>0</v>
      </c>
      <c r="I70" s="200">
        <f>QB_Raw!E69</f>
        <v>190</v>
      </c>
      <c r="J70" s="200">
        <f>QB_Raw!F69</f>
        <v>1</v>
      </c>
      <c r="K70" s="200">
        <f>QB_Raw!G69</f>
        <v>1</v>
      </c>
      <c r="L70" s="202">
        <f>QB_Raw!H69</f>
        <v>0</v>
      </c>
      <c r="M70" s="200">
        <f>QB_Raw!I69</f>
        <v>17</v>
      </c>
      <c r="N70" s="200">
        <f>QB_Raw!J69</f>
        <v>0</v>
      </c>
      <c r="O70" s="203">
        <f>QB_Raw!K69</f>
        <v>0</v>
      </c>
      <c r="P70" s="205">
        <f t="shared" si="20"/>
        <v>12.3</v>
      </c>
      <c r="Q70" t="str">
        <f t="shared" ca="1" si="21"/>
        <v>Undrafted</v>
      </c>
      <c r="R70">
        <f t="shared" ca="1" si="22"/>
        <v>0</v>
      </c>
      <c r="S70">
        <f t="shared" ca="1" si="23"/>
        <v>-170.51</v>
      </c>
      <c r="T70" s="84">
        <f t="shared" ca="1" si="24"/>
        <v>-28.130663721162758</v>
      </c>
      <c r="U70" s="84">
        <f ca="1">T70*Auction!$A$2</f>
        <v>-28.130663721162758</v>
      </c>
      <c r="V70" s="5" t="str">
        <f>IF(OR(INDEX(Auction!$H$13:$H$650,MATCH(B70,Auction!$A$13:$A$650,0))&gt;0,IFERROR(INDEX(CheatSheet!$D$5:$D$34,MATCH(B70,CheatSheet!$A$5:$A$34,0)),"")&lt;&gt;""),"Yes","No")</f>
        <v>No</v>
      </c>
      <c r="W70" s="175"/>
      <c r="Y70" s="77">
        <f t="shared" ca="1" si="25"/>
        <v>1</v>
      </c>
      <c r="Z70" s="174">
        <f t="shared" ca="1" si="26"/>
        <v>-85.254999999999995</v>
      </c>
      <c r="AA70" t="str">
        <f t="shared" ca="1" si="28"/>
        <v>QB7</v>
      </c>
      <c r="AB70" s="174">
        <f ca="1">Z70*LeagueInfo!$H$5</f>
        <v>-27.533117344544888</v>
      </c>
      <c r="AC70" s="174">
        <f t="shared" ca="1" si="27"/>
        <v>-0.80611898132951276</v>
      </c>
    </row>
    <row r="71" spans="1:29" x14ac:dyDescent="0.35">
      <c r="A71">
        <f t="shared" si="19"/>
        <v>69</v>
      </c>
      <c r="B71" t="str">
        <f>QB_Raw!A70</f>
        <v>Case Keenum</v>
      </c>
      <c r="C71" t="s">
        <v>26</v>
      </c>
      <c r="D71" t="str">
        <f>_xlfn.IFNA(INDEX(BYEs!E:E,MATCH(B71,BYEs!D:D,0)),"N/A")</f>
        <v>N/A</v>
      </c>
      <c r="E71">
        <f>INDEX(BYEs!$B$2:$B$34,MATCH(F71,BYEs!$A$2:$A$34,0))</f>
        <v>14</v>
      </c>
      <c r="F71" t="str">
        <f>QB_Raw!B70</f>
        <v>HOU</v>
      </c>
      <c r="G71" s="198">
        <f>QB_Raw!C70</f>
        <v>0</v>
      </c>
      <c r="H71" s="200">
        <f>QB_Raw!D70</f>
        <v>0</v>
      </c>
      <c r="I71" s="200">
        <f>QB_Raw!E70</f>
        <v>205</v>
      </c>
      <c r="J71" s="200">
        <f>QB_Raw!F70</f>
        <v>1</v>
      </c>
      <c r="K71" s="200">
        <f>QB_Raw!G70</f>
        <v>1</v>
      </c>
      <c r="L71" s="202">
        <f>QB_Raw!H70</f>
        <v>0</v>
      </c>
      <c r="M71" s="200">
        <f>QB_Raw!I70</f>
        <v>8</v>
      </c>
      <c r="N71" s="200">
        <f>QB_Raw!J70</f>
        <v>0</v>
      </c>
      <c r="O71" s="203">
        <f>QB_Raw!K70</f>
        <v>0</v>
      </c>
      <c r="P71" s="205">
        <f t="shared" si="20"/>
        <v>12</v>
      </c>
      <c r="Q71" t="str">
        <f t="shared" ca="1" si="21"/>
        <v>Undrafted</v>
      </c>
      <c r="R71">
        <f t="shared" ca="1" si="22"/>
        <v>0</v>
      </c>
      <c r="S71">
        <f t="shared" ca="1" si="23"/>
        <v>-170.81</v>
      </c>
      <c r="T71" s="84">
        <f t="shared" ca="1" si="24"/>
        <v>-28.180157587307555</v>
      </c>
      <c r="U71" s="84">
        <f ca="1">T71*Auction!$A$2</f>
        <v>-28.180157587307555</v>
      </c>
      <c r="V71" s="5" t="str">
        <f>IF(OR(INDEX(Auction!$H$13:$H$650,MATCH(B71,Auction!$A$13:$A$650,0))&gt;0,IFERROR(INDEX(CheatSheet!$D$5:$D$34,MATCH(B71,CheatSheet!$A$5:$A$34,0)),"")&lt;&gt;""),"Yes","No")</f>
        <v>No</v>
      </c>
      <c r="W71" s="175"/>
      <c r="Y71" s="77">
        <f t="shared" ca="1" si="25"/>
        <v>1</v>
      </c>
      <c r="Z71" s="174">
        <f t="shared" ca="1" si="26"/>
        <v>-85.405000000000001</v>
      </c>
      <c r="AA71" t="str">
        <f t="shared" ca="1" si="28"/>
        <v>QB7</v>
      </c>
      <c r="AB71" s="174">
        <f ca="1">Z71*LeagueInfo!$H$5</f>
        <v>-27.581559871102648</v>
      </c>
      <c r="AC71" s="174">
        <f t="shared" ca="1" si="27"/>
        <v>-0.80814815932661199</v>
      </c>
    </row>
    <row r="72" spans="1:29" x14ac:dyDescent="0.35">
      <c r="A72">
        <f t="shared" si="19"/>
        <v>70</v>
      </c>
      <c r="B72" t="str">
        <f>QB_Raw!A71</f>
        <v>Trey Lance</v>
      </c>
      <c r="C72" t="s">
        <v>26</v>
      </c>
      <c r="D72">
        <f>_xlfn.IFNA(INDEX(BYEs!E:E,MATCH(B72,BYEs!D:D,0)),"N/A")</f>
        <v>24</v>
      </c>
      <c r="E72">
        <f>INDEX(BYEs!$B$2:$B$34,MATCH(F72,BYEs!$A$2:$A$34,0))</f>
        <v>7</v>
      </c>
      <c r="F72" t="str">
        <f>QB_Raw!B71</f>
        <v>DAL</v>
      </c>
      <c r="G72" s="198">
        <f>QB_Raw!C71</f>
        <v>24</v>
      </c>
      <c r="H72" s="200">
        <f>QB_Raw!D71</f>
        <v>15</v>
      </c>
      <c r="I72" s="200">
        <f>QB_Raw!E71</f>
        <v>177</v>
      </c>
      <c r="J72" s="200">
        <f>QB_Raw!F71</f>
        <v>1</v>
      </c>
      <c r="K72" s="200">
        <f>QB_Raw!G71</f>
        <v>1</v>
      </c>
      <c r="L72" s="202">
        <f>QB_Raw!H71</f>
        <v>5</v>
      </c>
      <c r="M72" s="200">
        <f>QB_Raw!I71</f>
        <v>18.5</v>
      </c>
      <c r="N72" s="200">
        <f>QB_Raw!J71</f>
        <v>0</v>
      </c>
      <c r="O72" s="203">
        <f>QB_Raw!K71</f>
        <v>0</v>
      </c>
      <c r="P72" s="205">
        <f t="shared" si="20"/>
        <v>11.93</v>
      </c>
      <c r="Q72" t="str">
        <f t="shared" ca="1" si="21"/>
        <v>Undrafted</v>
      </c>
      <c r="R72">
        <f t="shared" ca="1" si="22"/>
        <v>0</v>
      </c>
      <c r="S72">
        <f t="shared" ca="1" si="23"/>
        <v>-170.88</v>
      </c>
      <c r="T72" s="84">
        <f t="shared" ca="1" si="24"/>
        <v>-28.191706156074673</v>
      </c>
      <c r="U72" s="84">
        <f ca="1">T72*Auction!$A$2</f>
        <v>-28.191706156074673</v>
      </c>
      <c r="V72" s="5" t="str">
        <f>IF(OR(INDEX(Auction!$H$13:$H$650,MATCH(B72,Auction!$A$13:$A$650,0))&gt;0,IFERROR(INDEX(CheatSheet!$D$5:$D$34,MATCH(B72,CheatSheet!$A$5:$A$34,0)),"")&lt;&gt;""),"Yes","No")</f>
        <v>No</v>
      </c>
      <c r="W72" s="175"/>
      <c r="Y72" s="77">
        <f t="shared" ca="1" si="25"/>
        <v>1</v>
      </c>
      <c r="Z72" s="174">
        <f t="shared" ca="1" si="26"/>
        <v>-85.44</v>
      </c>
      <c r="AA72" t="str">
        <f t="shared" ca="1" si="28"/>
        <v>QB7</v>
      </c>
      <c r="AB72" s="174">
        <f ca="1">Z72*LeagueInfo!$H$5</f>
        <v>-27.592863127299456</v>
      </c>
      <c r="AC72" s="174">
        <f t="shared" ca="1" si="27"/>
        <v>-0.8086216341926018</v>
      </c>
    </row>
    <row r="73" spans="1:29" x14ac:dyDescent="0.35">
      <c r="A73">
        <f t="shared" si="19"/>
        <v>71</v>
      </c>
      <c r="B73" t="str">
        <f>QB_Raw!A72</f>
        <v>Michael Pratt</v>
      </c>
      <c r="C73" t="s">
        <v>26</v>
      </c>
      <c r="D73">
        <f>_xlfn.IFNA(INDEX(BYEs!E:E,MATCH(B73,BYEs!D:D,0)),"N/A")</f>
        <v>22</v>
      </c>
      <c r="E73">
        <f>INDEX(BYEs!$B$2:$B$34,MATCH(F73,BYEs!$A$2:$A$34,0))</f>
        <v>11</v>
      </c>
      <c r="F73" t="str">
        <f>QB_Raw!B72</f>
        <v>TB</v>
      </c>
      <c r="G73" s="198">
        <f>QB_Raw!C72</f>
        <v>0</v>
      </c>
      <c r="H73" s="200">
        <f>QB_Raw!D72</f>
        <v>0</v>
      </c>
      <c r="I73" s="200">
        <f>QB_Raw!E72</f>
        <v>190</v>
      </c>
      <c r="J73" s="200">
        <f>QB_Raw!F72</f>
        <v>1</v>
      </c>
      <c r="K73" s="200">
        <f>QB_Raw!G72</f>
        <v>1</v>
      </c>
      <c r="L73" s="202">
        <f>QB_Raw!H72</f>
        <v>0</v>
      </c>
      <c r="M73" s="200">
        <f>QB_Raw!I72</f>
        <v>12</v>
      </c>
      <c r="N73" s="200">
        <f>QB_Raw!J72</f>
        <v>0</v>
      </c>
      <c r="O73" s="203">
        <f>QB_Raw!K72</f>
        <v>0</v>
      </c>
      <c r="P73" s="205">
        <f t="shared" si="20"/>
        <v>11.8</v>
      </c>
      <c r="Q73" t="str">
        <f t="shared" ca="1" si="21"/>
        <v>Undrafted</v>
      </c>
      <c r="R73">
        <f t="shared" ca="1" si="22"/>
        <v>0</v>
      </c>
      <c r="S73">
        <f t="shared" ca="1" si="23"/>
        <v>-171.01</v>
      </c>
      <c r="T73" s="84">
        <f t="shared" ca="1" si="24"/>
        <v>-28.213153498070749</v>
      </c>
      <c r="U73" s="84">
        <f ca="1">T73*Auction!$A$2</f>
        <v>-28.213153498070749</v>
      </c>
      <c r="V73" s="5" t="str">
        <f>IF(OR(INDEX(Auction!$H$13:$H$650,MATCH(B73,Auction!$A$13:$A$650,0))&gt;0,IFERROR(INDEX(CheatSheet!$D$5:$D$34,MATCH(B73,CheatSheet!$A$5:$A$34,0)),"")&lt;&gt;""),"Yes","No")</f>
        <v>No</v>
      </c>
      <c r="W73" s="175"/>
      <c r="Y73" s="77">
        <f t="shared" ca="1" si="25"/>
        <v>1</v>
      </c>
      <c r="Z73" s="174">
        <f t="shared" ca="1" si="26"/>
        <v>-85.504999999999995</v>
      </c>
      <c r="AA73" t="str">
        <f t="shared" ca="1" si="28"/>
        <v>QB7</v>
      </c>
      <c r="AB73" s="174">
        <f ca="1">Z73*LeagueInfo!$H$5</f>
        <v>-27.613854888807818</v>
      </c>
      <c r="AC73" s="174">
        <f t="shared" ca="1" si="27"/>
        <v>-0.80950094465801137</v>
      </c>
    </row>
    <row r="74" spans="1:29" x14ac:dyDescent="0.35">
      <c r="A74">
        <f t="shared" si="19"/>
        <v>72</v>
      </c>
      <c r="B74" t="str">
        <f>QB_Raw!A73</f>
        <v>Jordan Travis</v>
      </c>
      <c r="C74" t="s">
        <v>26</v>
      </c>
      <c r="D74">
        <f>_xlfn.IFNA(INDEX(BYEs!E:E,MATCH(B74,BYEs!D:D,0)),"N/A")</f>
        <v>24</v>
      </c>
      <c r="E74">
        <f>INDEX(BYEs!$B$2:$B$34,MATCH(F74,BYEs!$A$2:$A$34,0))</f>
        <v>12</v>
      </c>
      <c r="F74" t="str">
        <f>QB_Raw!B73</f>
        <v>NYJ</v>
      </c>
      <c r="G74" s="198">
        <f>QB_Raw!C73</f>
        <v>0</v>
      </c>
      <c r="H74" s="200">
        <f>QB_Raw!D73</f>
        <v>0</v>
      </c>
      <c r="I74" s="200">
        <f>QB_Raw!E73</f>
        <v>188</v>
      </c>
      <c r="J74" s="200">
        <f>QB_Raw!F73</f>
        <v>1</v>
      </c>
      <c r="K74" s="200">
        <f>QB_Raw!G73</f>
        <v>1</v>
      </c>
      <c r="L74" s="202">
        <f>QB_Raw!H73</f>
        <v>0</v>
      </c>
      <c r="M74" s="200">
        <f>QB_Raw!I73</f>
        <v>10</v>
      </c>
      <c r="N74" s="200">
        <f>QB_Raw!J73</f>
        <v>0</v>
      </c>
      <c r="O74" s="203">
        <f>QB_Raw!K73</f>
        <v>0</v>
      </c>
      <c r="P74" s="205">
        <f t="shared" si="20"/>
        <v>11.52</v>
      </c>
      <c r="Q74" t="str">
        <f t="shared" ca="1" si="21"/>
        <v>Undrafted</v>
      </c>
      <c r="R74">
        <f t="shared" ca="1" si="22"/>
        <v>0</v>
      </c>
      <c r="S74">
        <f t="shared" ca="1" si="23"/>
        <v>-171.29</v>
      </c>
      <c r="T74" s="84">
        <f t="shared" ca="1" si="24"/>
        <v>-28.259347773139222</v>
      </c>
      <c r="U74" s="84">
        <f ca="1">T74*Auction!$A$2</f>
        <v>-28.259347773139222</v>
      </c>
      <c r="V74" s="5" t="str">
        <f>IF(OR(INDEX(Auction!$H$13:$H$650,MATCH(B74,Auction!$A$13:$A$650,0))&gt;0,IFERROR(INDEX(CheatSheet!$D$5:$D$34,MATCH(B74,CheatSheet!$A$5:$A$34,0)),"")&lt;&gt;""),"Yes","No")</f>
        <v>No</v>
      </c>
      <c r="W74" s="175"/>
      <c r="Y74" s="77">
        <f t="shared" ca="1" si="25"/>
        <v>1</v>
      </c>
      <c r="Z74" s="174">
        <f t="shared" ca="1" si="26"/>
        <v>-85.644999999999996</v>
      </c>
      <c r="AA74" t="str">
        <f t="shared" ca="1" si="28"/>
        <v>QB7</v>
      </c>
      <c r="AB74" s="174">
        <f ca="1">Z74*LeagueInfo!$H$5</f>
        <v>-27.659067913595059</v>
      </c>
      <c r="AC74" s="174">
        <f t="shared" ca="1" si="27"/>
        <v>-0.8113948441219706</v>
      </c>
    </row>
    <row r="75" spans="1:29" x14ac:dyDescent="0.35">
      <c r="A75">
        <f t="shared" si="19"/>
        <v>73</v>
      </c>
      <c r="B75" t="str">
        <f>QB_Raw!A74</f>
        <v>Joe Milton III</v>
      </c>
      <c r="C75" t="s">
        <v>26</v>
      </c>
      <c r="D75">
        <f>_xlfn.IFNA(INDEX(BYEs!E:E,MATCH(B75,BYEs!D:D,0)),"N/A")</f>
        <v>24</v>
      </c>
      <c r="E75">
        <f>INDEX(BYEs!$B$2:$B$34,MATCH(F75,BYEs!$A$2:$A$34,0))</f>
        <v>14</v>
      </c>
      <c r="F75" t="str">
        <f>QB_Raw!B74</f>
        <v>NE</v>
      </c>
      <c r="G75" s="198">
        <f>QB_Raw!C74</f>
        <v>0</v>
      </c>
      <c r="H75" s="200">
        <f>QB_Raw!D74</f>
        <v>0</v>
      </c>
      <c r="I75" s="200">
        <f>QB_Raw!E74</f>
        <v>190</v>
      </c>
      <c r="J75" s="200">
        <f>QB_Raw!F74</f>
        <v>1</v>
      </c>
      <c r="K75" s="200">
        <f>QB_Raw!G74</f>
        <v>1</v>
      </c>
      <c r="L75" s="202">
        <f>QB_Raw!H74</f>
        <v>0</v>
      </c>
      <c r="M75" s="200">
        <f>QB_Raw!I74</f>
        <v>17</v>
      </c>
      <c r="N75" s="200">
        <f>QB_Raw!J74</f>
        <v>0</v>
      </c>
      <c r="O75" s="203">
        <f>QB_Raw!K74</f>
        <v>1</v>
      </c>
      <c r="P75" s="205">
        <f t="shared" si="20"/>
        <v>10.3</v>
      </c>
      <c r="Q75" t="str">
        <f t="shared" ca="1" si="21"/>
        <v>Undrafted</v>
      </c>
      <c r="R75">
        <f t="shared" ca="1" si="22"/>
        <v>0</v>
      </c>
      <c r="S75">
        <f t="shared" ca="1" si="23"/>
        <v>-172.51</v>
      </c>
      <c r="T75" s="84">
        <f t="shared" ca="1" si="24"/>
        <v>-28.460622828794719</v>
      </c>
      <c r="U75" s="84">
        <f ca="1">T75*Auction!$A$2</f>
        <v>-28.460622828794719</v>
      </c>
      <c r="V75" s="5" t="str">
        <f>IF(OR(INDEX(Auction!$H$13:$H$650,MATCH(B75,Auction!$A$13:$A$650,0))&gt;0,IFERROR(INDEX(CheatSheet!$D$5:$D$34,MATCH(B75,CheatSheet!$A$5:$A$34,0)),"")&lt;&gt;""),"Yes","No")</f>
        <v>No</v>
      </c>
      <c r="W75" s="175"/>
      <c r="Y75" s="77">
        <f t="shared" ca="1" si="25"/>
        <v>1</v>
      </c>
      <c r="Z75" s="174">
        <f t="shared" ref="Z75:Z85" ca="1" si="29">AVERAGE(R75:S75)</f>
        <v>-86.254999999999995</v>
      </c>
      <c r="AA75" t="str">
        <f t="shared" ref="AA75:AA85" ca="1" si="30">IF(AC75&gt;2,"QB1",IF(AC75&gt;1.5,"QB2",IF(AC75&gt;1,"QB3",IF(AC75&gt;0.5,"QB4",IF(AC75&gt;0,"QB5",IF(AC75&gt;-0.5,"QB6","QB7"))))))</f>
        <v>QB7</v>
      </c>
      <c r="AB75" s="174">
        <f ca="1">Z75*LeagueInfo!$H$5</f>
        <v>-27.856067521596611</v>
      </c>
      <c r="AC75" s="174">
        <f t="shared" ca="1" si="27"/>
        <v>-0.81964683464350729</v>
      </c>
    </row>
    <row r="76" spans="1:29" x14ac:dyDescent="0.35">
      <c r="A76">
        <f t="shared" si="19"/>
        <v>74</v>
      </c>
      <c r="B76" t="str">
        <f>QB_Raw!A75</f>
        <v>Kyle Allen</v>
      </c>
      <c r="C76" t="s">
        <v>26</v>
      </c>
      <c r="D76" t="str">
        <f>_xlfn.IFNA(INDEX(BYEs!E:E,MATCH(B76,BYEs!D:D,0)),"N/A")</f>
        <v>N/A</v>
      </c>
      <c r="E76">
        <f>INDEX(BYEs!$B$2:$B$34,MATCH(F76,BYEs!$A$2:$A$34,0))</f>
        <v>9</v>
      </c>
      <c r="F76" t="str">
        <f>QB_Raw!B75</f>
        <v>PIT</v>
      </c>
      <c r="G76" s="198">
        <f>QB_Raw!C75</f>
        <v>0</v>
      </c>
      <c r="H76" s="200">
        <f>QB_Raw!D75</f>
        <v>0</v>
      </c>
      <c r="I76" s="200">
        <f>QB_Raw!E75</f>
        <v>149</v>
      </c>
      <c r="J76" s="200">
        <f>QB_Raw!F75</f>
        <v>1</v>
      </c>
      <c r="K76" s="200">
        <f>QB_Raw!G75</f>
        <v>1</v>
      </c>
      <c r="L76" s="202">
        <f>QB_Raw!H75</f>
        <v>0</v>
      </c>
      <c r="M76" s="200">
        <f>QB_Raw!I75</f>
        <v>10</v>
      </c>
      <c r="N76" s="200">
        <f>QB_Raw!J75</f>
        <v>0</v>
      </c>
      <c r="O76" s="203">
        <f>QB_Raw!K75</f>
        <v>0</v>
      </c>
      <c r="P76" s="205">
        <f t="shared" si="20"/>
        <v>9.9600000000000009</v>
      </c>
      <c r="Q76" t="str">
        <f t="shared" ca="1" si="21"/>
        <v>Undrafted</v>
      </c>
      <c r="R76">
        <f t="shared" ca="1" si="22"/>
        <v>0</v>
      </c>
      <c r="S76">
        <f t="shared" ca="1" si="23"/>
        <v>-172.85</v>
      </c>
      <c r="T76" s="84">
        <f t="shared" ca="1" si="24"/>
        <v>-28.516715877092153</v>
      </c>
      <c r="U76" s="84">
        <f ca="1">T76*Auction!$A$2</f>
        <v>-28.516715877092153</v>
      </c>
      <c r="V76" s="5" t="str">
        <f>IF(OR(INDEX(Auction!$H$13:$H$650,MATCH(B76,Auction!$A$13:$A$650,0))&gt;0,IFERROR(INDEX(CheatSheet!$D$5:$D$34,MATCH(B76,CheatSheet!$A$5:$A$34,0)),"")&lt;&gt;""),"Yes","No")</f>
        <v>No</v>
      </c>
      <c r="W76" s="175"/>
      <c r="Y76" s="77">
        <f t="shared" ca="1" si="25"/>
        <v>1</v>
      </c>
      <c r="Z76" s="174">
        <f t="shared" ca="1" si="29"/>
        <v>-86.424999999999997</v>
      </c>
      <c r="AA76" t="str">
        <f t="shared" ca="1" si="30"/>
        <v>QB7</v>
      </c>
      <c r="AB76" s="174">
        <f ca="1">Z76*LeagueInfo!$H$5</f>
        <v>-27.910969051695407</v>
      </c>
      <c r="AC76" s="174">
        <f t="shared" ca="1" si="27"/>
        <v>-0.8219465697068864</v>
      </c>
    </row>
    <row r="77" spans="1:29" x14ac:dyDescent="0.35">
      <c r="A77">
        <f t="shared" si="19"/>
        <v>74</v>
      </c>
      <c r="B77" t="str">
        <f>QB_Raw!A76</f>
        <v>Sean Clifford</v>
      </c>
      <c r="C77" t="s">
        <v>26</v>
      </c>
      <c r="D77">
        <f>_xlfn.IFNA(INDEX(BYEs!E:E,MATCH(B77,BYEs!D:D,0)),"N/A")</f>
        <v>26</v>
      </c>
      <c r="E77">
        <f>INDEX(BYEs!$B$2:$B$34,MATCH(F77,BYEs!$A$2:$A$34,0))</f>
        <v>10</v>
      </c>
      <c r="F77" t="str">
        <f>QB_Raw!B76</f>
        <v>GB</v>
      </c>
      <c r="G77" s="198">
        <f>QB_Raw!C76</f>
        <v>0</v>
      </c>
      <c r="H77" s="200">
        <f>QB_Raw!D76</f>
        <v>0</v>
      </c>
      <c r="I77" s="200">
        <f>QB_Raw!E76</f>
        <v>154</v>
      </c>
      <c r="J77" s="200">
        <f>QB_Raw!F76</f>
        <v>1</v>
      </c>
      <c r="K77" s="200">
        <f>QB_Raw!G76</f>
        <v>1</v>
      </c>
      <c r="L77" s="202">
        <f>QB_Raw!H76</f>
        <v>0</v>
      </c>
      <c r="M77" s="200">
        <f>QB_Raw!I76</f>
        <v>8</v>
      </c>
      <c r="N77" s="200">
        <f>QB_Raw!J76</f>
        <v>0</v>
      </c>
      <c r="O77" s="203">
        <f>QB_Raw!K76</f>
        <v>0</v>
      </c>
      <c r="P77" s="205">
        <f t="shared" si="20"/>
        <v>9.9600000000000009</v>
      </c>
      <c r="Q77" t="str">
        <f t="shared" ca="1" si="21"/>
        <v>Undrafted</v>
      </c>
      <c r="R77">
        <f t="shared" ca="1" si="22"/>
        <v>0</v>
      </c>
      <c r="S77">
        <f t="shared" ca="1" si="23"/>
        <v>-172.85</v>
      </c>
      <c r="T77" s="84">
        <f t="shared" ca="1" si="24"/>
        <v>-28.516715877092153</v>
      </c>
      <c r="U77" s="84">
        <f ca="1">T77*Auction!$A$2</f>
        <v>-28.516715877092153</v>
      </c>
      <c r="V77" s="5" t="str">
        <f>IF(OR(INDEX(Auction!$H$13:$H$650,MATCH(B77,Auction!$A$13:$A$650,0))&gt;0,IFERROR(INDEX(CheatSheet!$D$5:$D$34,MATCH(B77,CheatSheet!$A$5:$A$34,0)),"")&lt;&gt;""),"Yes","No")</f>
        <v>No</v>
      </c>
      <c r="W77" s="175"/>
      <c r="Y77" s="77">
        <f t="shared" ca="1" si="25"/>
        <v>1</v>
      </c>
      <c r="Z77" s="174">
        <f t="shared" ca="1" si="29"/>
        <v>-86.424999999999997</v>
      </c>
      <c r="AA77" t="str">
        <f t="shared" ca="1" si="30"/>
        <v>QB7</v>
      </c>
      <c r="AB77" s="174">
        <f ca="1">Z77*LeagueInfo!$H$5</f>
        <v>-27.910969051695407</v>
      </c>
      <c r="AC77" s="174">
        <f t="shared" ca="1" si="27"/>
        <v>-0.8219465697068864</v>
      </c>
    </row>
    <row r="78" spans="1:29" x14ac:dyDescent="0.35">
      <c r="A78">
        <f t="shared" si="19"/>
        <v>76</v>
      </c>
      <c r="B78" t="str">
        <f>QB_Raw!A77</f>
        <v>Mike White</v>
      </c>
      <c r="C78" t="s">
        <v>26</v>
      </c>
      <c r="D78">
        <f>_xlfn.IFNA(INDEX(BYEs!E:E,MATCH(B78,BYEs!D:D,0)),"N/A")</f>
        <v>29</v>
      </c>
      <c r="E78">
        <f>INDEX(BYEs!$B$2:$B$34,MATCH(F78,BYEs!$A$2:$A$34,0))</f>
        <v>12</v>
      </c>
      <c r="F78" t="str">
        <f>QB_Raw!B77</f>
        <v>BUF</v>
      </c>
      <c r="G78" s="198">
        <f>QB_Raw!C77</f>
        <v>0</v>
      </c>
      <c r="H78" s="200">
        <f>QB_Raw!D77</f>
        <v>0</v>
      </c>
      <c r="I78" s="200">
        <f>QB_Raw!E77</f>
        <v>155</v>
      </c>
      <c r="J78" s="200">
        <f>QB_Raw!F77</f>
        <v>1</v>
      </c>
      <c r="K78" s="200">
        <f>QB_Raw!G77</f>
        <v>1</v>
      </c>
      <c r="L78" s="202">
        <f>QB_Raw!H77</f>
        <v>0</v>
      </c>
      <c r="M78" s="200">
        <f>QB_Raw!I77</f>
        <v>7</v>
      </c>
      <c r="N78" s="200">
        <f>QB_Raw!J77</f>
        <v>0</v>
      </c>
      <c r="O78" s="203">
        <f>QB_Raw!K77</f>
        <v>0</v>
      </c>
      <c r="P78" s="205">
        <f t="shared" si="20"/>
        <v>9.8999999999999986</v>
      </c>
      <c r="Q78" t="str">
        <f t="shared" ca="1" si="21"/>
        <v>Undrafted</v>
      </c>
      <c r="R78">
        <f t="shared" ca="1" si="22"/>
        <v>0</v>
      </c>
      <c r="S78">
        <f t="shared" ca="1" si="23"/>
        <v>-172.91</v>
      </c>
      <c r="T78" s="84">
        <f t="shared" ca="1" si="24"/>
        <v>-28.526614650321111</v>
      </c>
      <c r="U78" s="84">
        <f ca="1">T78*Auction!$A$2</f>
        <v>-28.526614650321111</v>
      </c>
      <c r="V78" s="5" t="str">
        <f>IF(OR(INDEX(Auction!$H$13:$H$650,MATCH(B78,Auction!$A$13:$A$650,0))&gt;0,IFERROR(INDEX(CheatSheet!$D$5:$D$34,MATCH(B78,CheatSheet!$A$5:$A$34,0)),"")&lt;&gt;""),"Yes","No")</f>
        <v>No</v>
      </c>
      <c r="W78" s="175"/>
      <c r="Y78" s="77">
        <f t="shared" ca="1" si="25"/>
        <v>1</v>
      </c>
      <c r="Z78" s="174">
        <f t="shared" ca="1" si="29"/>
        <v>-86.454999999999998</v>
      </c>
      <c r="AA78" t="str">
        <f t="shared" ca="1" si="30"/>
        <v>QB7</v>
      </c>
      <c r="AB78" s="174">
        <f ca="1">Z78*LeagueInfo!$H$5</f>
        <v>-27.920657557006958</v>
      </c>
      <c r="AC78" s="174">
        <f t="shared" ca="1" si="27"/>
        <v>-0.82235240530630627</v>
      </c>
    </row>
    <row r="79" spans="1:29" x14ac:dyDescent="0.35">
      <c r="A79">
        <f t="shared" si="19"/>
        <v>77</v>
      </c>
      <c r="B79" t="str">
        <f>QB_Raw!A78</f>
        <v>Bailey Zappe</v>
      </c>
      <c r="C79" t="s">
        <v>26</v>
      </c>
      <c r="D79">
        <f>_xlfn.IFNA(INDEX(BYEs!E:E,MATCH(B79,BYEs!D:D,0)),"N/A")</f>
        <v>25</v>
      </c>
      <c r="E79">
        <f>INDEX(BYEs!$B$2:$B$34,MATCH(F79,BYEs!$A$2:$A$34,0))</f>
        <v>6</v>
      </c>
      <c r="F79" t="str">
        <f>QB_Raw!B78</f>
        <v>KC</v>
      </c>
      <c r="G79" s="198">
        <f>QB_Raw!C78</f>
        <v>0</v>
      </c>
      <c r="H79" s="200">
        <f>QB_Raw!D78</f>
        <v>0</v>
      </c>
      <c r="I79" s="200">
        <f>QB_Raw!E78</f>
        <v>140</v>
      </c>
      <c r="J79" s="200">
        <f>QB_Raw!F78</f>
        <v>1</v>
      </c>
      <c r="K79" s="200">
        <f>QB_Raw!G78</f>
        <v>1</v>
      </c>
      <c r="L79" s="202">
        <f>QB_Raw!H78</f>
        <v>0</v>
      </c>
      <c r="M79" s="200">
        <f>QB_Raw!I78</f>
        <v>11</v>
      </c>
      <c r="N79" s="200">
        <f>QB_Raw!J78</f>
        <v>0</v>
      </c>
      <c r="O79" s="203">
        <f>QB_Raw!K78</f>
        <v>0</v>
      </c>
      <c r="P79" s="205">
        <f t="shared" si="20"/>
        <v>9.7000000000000011</v>
      </c>
      <c r="Q79" t="str">
        <f t="shared" ca="1" si="21"/>
        <v>Undrafted</v>
      </c>
      <c r="R79">
        <f t="shared" ca="1" si="22"/>
        <v>0</v>
      </c>
      <c r="S79">
        <f t="shared" ca="1" si="23"/>
        <v>-173.11</v>
      </c>
      <c r="T79" s="84">
        <f t="shared" ca="1" si="24"/>
        <v>-28.559610561084313</v>
      </c>
      <c r="U79" s="84">
        <f ca="1">T79*Auction!$A$2</f>
        <v>-28.559610561084313</v>
      </c>
      <c r="V79" s="5" t="str">
        <f>IF(OR(INDEX(Auction!$H$13:$H$650,MATCH(B79,Auction!$A$13:$A$650,0))&gt;0,IFERROR(INDEX(CheatSheet!$D$5:$D$34,MATCH(B79,CheatSheet!$A$5:$A$34,0)),"")&lt;&gt;""),"Yes","No")</f>
        <v>No</v>
      </c>
      <c r="W79" s="175"/>
      <c r="Y79" s="77">
        <f t="shared" ca="1" si="25"/>
        <v>1</v>
      </c>
      <c r="Z79" s="174">
        <f t="shared" ca="1" si="29"/>
        <v>-86.555000000000007</v>
      </c>
      <c r="AA79" t="str">
        <f t="shared" ca="1" si="30"/>
        <v>QB7</v>
      </c>
      <c r="AB79" s="174">
        <f ca="1">Z79*LeagueInfo!$H$5</f>
        <v>-27.952952574712132</v>
      </c>
      <c r="AC79" s="174">
        <f t="shared" ca="1" si="27"/>
        <v>-0.82370519063770575</v>
      </c>
    </row>
    <row r="80" spans="1:29" x14ac:dyDescent="0.35">
      <c r="A80">
        <f t="shared" si="19"/>
        <v>78</v>
      </c>
      <c r="B80" t="str">
        <f>QB_Raw!A79</f>
        <v>Jake Haener</v>
      </c>
      <c r="C80" t="s">
        <v>26</v>
      </c>
      <c r="D80" t="str">
        <f>_xlfn.IFNA(INDEX(BYEs!E:E,MATCH(B80,BYEs!D:D,0)),"N/A")</f>
        <v>N/A</v>
      </c>
      <c r="E80">
        <f>INDEX(BYEs!$B$2:$B$34,MATCH(F80,BYEs!$A$2:$A$34,0))</f>
        <v>12</v>
      </c>
      <c r="F80" t="str">
        <f>QB_Raw!B79</f>
        <v>NO</v>
      </c>
      <c r="G80" s="198">
        <f>QB_Raw!C79</f>
        <v>17</v>
      </c>
      <c r="H80" s="200">
        <f>QB_Raw!D79</f>
        <v>11</v>
      </c>
      <c r="I80" s="200">
        <f>QB_Raw!E79</f>
        <v>119</v>
      </c>
      <c r="J80" s="200">
        <f>QB_Raw!F79</f>
        <v>1</v>
      </c>
      <c r="K80" s="200">
        <f>QB_Raw!G79</f>
        <v>0</v>
      </c>
      <c r="L80" s="202">
        <f>QB_Raw!H79</f>
        <v>2</v>
      </c>
      <c r="M80" s="200">
        <f>QB_Raw!I79</f>
        <v>8</v>
      </c>
      <c r="N80" s="200">
        <f>QB_Raw!J79</f>
        <v>0</v>
      </c>
      <c r="O80" s="203">
        <f>QB_Raw!K79</f>
        <v>0</v>
      </c>
      <c r="P80" s="205">
        <f t="shared" si="20"/>
        <v>9.56</v>
      </c>
      <c r="Q80" t="str">
        <f t="shared" ca="1" si="21"/>
        <v>Undrafted</v>
      </c>
      <c r="R80">
        <f t="shared" ca="1" si="22"/>
        <v>0</v>
      </c>
      <c r="S80">
        <f t="shared" ca="1" si="23"/>
        <v>-173.25</v>
      </c>
      <c r="T80" s="84">
        <f t="shared" ca="1" si="24"/>
        <v>-28.582707698618545</v>
      </c>
      <c r="U80" s="84">
        <f ca="1">T80*Auction!$A$2</f>
        <v>-28.582707698618545</v>
      </c>
      <c r="V80" s="5" t="str">
        <f>IF(OR(INDEX(Auction!$H$13:$H$650,MATCH(B80,Auction!$A$13:$A$650,0))&gt;0,IFERROR(INDEX(CheatSheet!$D$5:$D$34,MATCH(B80,CheatSheet!$A$5:$A$34,0)),"")&lt;&gt;""),"Yes","No")</f>
        <v>No</v>
      </c>
      <c r="W80" s="175"/>
      <c r="Y80" s="77">
        <f t="shared" ca="1" si="25"/>
        <v>1</v>
      </c>
      <c r="Z80" s="174">
        <f t="shared" ca="1" si="29"/>
        <v>-86.625</v>
      </c>
      <c r="AA80" t="str">
        <f t="shared" ca="1" si="30"/>
        <v>QB7</v>
      </c>
      <c r="AB80" s="174">
        <f ca="1">Z80*LeagueInfo!$H$5</f>
        <v>-27.975559087105751</v>
      </c>
      <c r="AC80" s="174">
        <f t="shared" ca="1" si="27"/>
        <v>-0.82465214036968537</v>
      </c>
    </row>
    <row r="81" spans="1:29" x14ac:dyDescent="0.35">
      <c r="A81">
        <f t="shared" si="19"/>
        <v>79</v>
      </c>
      <c r="B81" t="str">
        <f>QB_Raw!A80</f>
        <v>Stetson Bennett</v>
      </c>
      <c r="C81" t="s">
        <v>26</v>
      </c>
      <c r="D81">
        <f>_xlfn.IFNA(INDEX(BYEs!E:E,MATCH(B81,BYEs!D:D,0)),"N/A")</f>
        <v>26</v>
      </c>
      <c r="E81">
        <f>INDEX(BYEs!$B$2:$B$34,MATCH(F81,BYEs!$A$2:$A$34,0))</f>
        <v>6</v>
      </c>
      <c r="F81" t="str">
        <f>QB_Raw!B80</f>
        <v>LAR</v>
      </c>
      <c r="G81" s="198">
        <f>QB_Raw!C80</f>
        <v>0</v>
      </c>
      <c r="H81" s="200">
        <f>QB_Raw!D80</f>
        <v>0</v>
      </c>
      <c r="I81" s="200">
        <f>QB_Raw!E80</f>
        <v>92</v>
      </c>
      <c r="J81" s="200">
        <f>QB_Raw!F80</f>
        <v>1</v>
      </c>
      <c r="K81" s="200">
        <f>QB_Raw!G80</f>
        <v>0</v>
      </c>
      <c r="L81" s="202">
        <f>QB_Raw!H80</f>
        <v>0</v>
      </c>
      <c r="M81" s="200">
        <f>QB_Raw!I80</f>
        <v>13</v>
      </c>
      <c r="N81" s="200">
        <f>QB_Raw!J80</f>
        <v>0</v>
      </c>
      <c r="O81" s="203">
        <f>QB_Raw!K80</f>
        <v>0</v>
      </c>
      <c r="P81" s="205">
        <f t="shared" si="20"/>
        <v>8.98</v>
      </c>
      <c r="Q81" t="str">
        <f t="shared" ca="1" si="21"/>
        <v>Undrafted</v>
      </c>
      <c r="R81">
        <f t="shared" ca="1" si="22"/>
        <v>0</v>
      </c>
      <c r="S81">
        <f t="shared" ca="1" si="23"/>
        <v>-173.83</v>
      </c>
      <c r="T81" s="84">
        <f t="shared" ca="1" si="24"/>
        <v>-28.678395839831815</v>
      </c>
      <c r="U81" s="84">
        <f ca="1">T81*Auction!$A$2</f>
        <v>-28.678395839831815</v>
      </c>
      <c r="V81" s="5" t="str">
        <f>IF(OR(INDEX(Auction!$H$13:$H$650,MATCH(B81,Auction!$A$13:$A$650,0))&gt;0,IFERROR(INDEX(CheatSheet!$D$5:$D$34,MATCH(B81,CheatSheet!$A$5:$A$34,0)),"")&lt;&gt;""),"Yes","No")</f>
        <v>No</v>
      </c>
      <c r="W81" s="175"/>
      <c r="Y81" s="77">
        <f t="shared" ca="1" si="25"/>
        <v>1</v>
      </c>
      <c r="Z81" s="174">
        <f t="shared" ca="1" si="29"/>
        <v>-86.915000000000006</v>
      </c>
      <c r="AA81" t="str">
        <f t="shared" ca="1" si="30"/>
        <v>QB7</v>
      </c>
      <c r="AB81" s="174">
        <f ca="1">Z81*LeagueInfo!$H$5</f>
        <v>-28.069214638450756</v>
      </c>
      <c r="AC81" s="174">
        <f t="shared" ca="1" si="27"/>
        <v>-0.82857521783074384</v>
      </c>
    </row>
    <row r="82" spans="1:29" x14ac:dyDescent="0.35">
      <c r="A82">
        <f t="shared" ref="A82:A86" si="31">RANK(P82,P:P)</f>
        <v>80</v>
      </c>
      <c r="B82" t="str">
        <f>QB_Raw!A81</f>
        <v>Sam Hartman</v>
      </c>
      <c r="C82" t="s">
        <v>26</v>
      </c>
      <c r="D82" t="str">
        <f>_xlfn.IFNA(INDEX(BYEs!E:E,MATCH(B82,BYEs!D:D,0)),"N/A")</f>
        <v>N/A</v>
      </c>
      <c r="E82">
        <f>INDEX(BYEs!$B$2:$B$34,MATCH(F82,BYEs!$A$2:$A$34,0))</f>
        <v>14</v>
      </c>
      <c r="F82" t="str">
        <f>QB_Raw!B81</f>
        <v>WAS</v>
      </c>
      <c r="G82" s="198">
        <f>QB_Raw!C81</f>
        <v>0</v>
      </c>
      <c r="H82" s="200">
        <f>QB_Raw!D81</f>
        <v>0</v>
      </c>
      <c r="I82" s="200">
        <f>QB_Raw!E81</f>
        <v>100</v>
      </c>
      <c r="J82" s="200">
        <f>QB_Raw!F81</f>
        <v>1</v>
      </c>
      <c r="K82" s="200">
        <f>QB_Raw!G81</f>
        <v>0</v>
      </c>
      <c r="L82" s="202">
        <f>QB_Raw!H81</f>
        <v>0</v>
      </c>
      <c r="M82" s="200">
        <f>QB_Raw!I81</f>
        <v>7</v>
      </c>
      <c r="N82" s="200">
        <f>QB_Raw!J81</f>
        <v>0</v>
      </c>
      <c r="O82" s="203">
        <f>QB_Raw!K81</f>
        <v>0</v>
      </c>
      <c r="P82" s="205">
        <f t="shared" ref="P82:P86" si="32">(G82*QBPassAtt)+(I82*PassingYds)+(J82*PassingTD)+(K82*PassingINT)+(M82*QBRushingYd)+(N82*QBRushingTD)+(O82*QBFuml)+(H82*QBCompletion)+(L82*QBRushAtt)</f>
        <v>8.6999999999999993</v>
      </c>
      <c r="Q82" t="str">
        <f t="shared" ref="Q82:Q86" ca="1" si="33">IF(A82&lt;=QBStarter,"Starter",IF(A82&gt;QBStarter+QBBench,"Undrafted","Bench"))</f>
        <v>Undrafted</v>
      </c>
      <c r="R82">
        <f t="shared" ref="R82:R86" ca="1" si="34">IFERROR(MAX(P82-LARGE(QBSheetCount,QBStarter),0),0)</f>
        <v>0</v>
      </c>
      <c r="S82">
        <f t="shared" ref="S82:S86" ca="1" si="35">IFERROR(IF(AllowNegative="Yes",P82-LARGE(QBSheetCount,QBCount),MAX(P82-LARGE(QBSheetCount,QBCount),0)),0)</f>
        <v>-174.11</v>
      </c>
      <c r="T82" s="84">
        <f t="shared" ref="T82:T86" ca="1" si="36">(S82-R82)*BenchPF+R82*StarterPF</f>
        <v>-28.724590114900291</v>
      </c>
      <c r="U82" s="84">
        <f ca="1">T82*Auction!$A$2</f>
        <v>-28.724590114900291</v>
      </c>
      <c r="V82" s="5" t="str">
        <f>IF(OR(INDEX(Auction!$H$13:$H$650,MATCH(B82,Auction!$A$13:$A$650,0))&gt;0,IFERROR(INDEX(CheatSheet!$D$5:$D$34,MATCH(B82,CheatSheet!$A$5:$A$34,0)),"")&lt;&gt;""),"Yes","No")</f>
        <v>No</v>
      </c>
      <c r="W82" s="175"/>
      <c r="Y82" s="77">
        <f t="shared" ca="1" si="25"/>
        <v>1</v>
      </c>
      <c r="Z82" s="174">
        <f t="shared" ca="1" si="29"/>
        <v>-87.055000000000007</v>
      </c>
      <c r="AA82" t="str">
        <f t="shared" ca="1" si="30"/>
        <v>QB7</v>
      </c>
      <c r="AB82" s="174">
        <f ca="1">Z82*LeagueInfo!$H$5</f>
        <v>-28.114427663237997</v>
      </c>
      <c r="AC82" s="174">
        <f t="shared" ca="1" si="27"/>
        <v>-0.83046911729470307</v>
      </c>
    </row>
    <row r="83" spans="1:29" x14ac:dyDescent="0.35">
      <c r="A83">
        <f t="shared" si="31"/>
        <v>81</v>
      </c>
      <c r="B83" t="str">
        <f>QB_Raw!A82</f>
        <v>Dorian Thompson-Robinson</v>
      </c>
      <c r="C83" t="s">
        <v>26</v>
      </c>
      <c r="D83" t="str">
        <f>_xlfn.IFNA(INDEX(BYEs!E:E,MATCH(B83,BYEs!D:D,0)),"N/A")</f>
        <v>N/A</v>
      </c>
      <c r="E83">
        <f>INDEX(BYEs!$B$2:$B$34,MATCH(F83,BYEs!$A$2:$A$34,0))</f>
        <v>10</v>
      </c>
      <c r="F83" t="str">
        <f>QB_Raw!B82</f>
        <v>CLE</v>
      </c>
      <c r="G83" s="198">
        <f>QB_Raw!C82</f>
        <v>25</v>
      </c>
      <c r="H83" s="200">
        <f>QB_Raw!D82</f>
        <v>14</v>
      </c>
      <c r="I83" s="200">
        <f>QB_Raw!E82</f>
        <v>121.5</v>
      </c>
      <c r="J83" s="200">
        <f>QB_Raw!F82</f>
        <v>0.5</v>
      </c>
      <c r="K83" s="200">
        <f>QB_Raw!G82</f>
        <v>0.5</v>
      </c>
      <c r="L83" s="202">
        <f>QB_Raw!H82</f>
        <v>5</v>
      </c>
      <c r="M83" s="200">
        <f>QB_Raw!I82</f>
        <v>21</v>
      </c>
      <c r="N83" s="200">
        <f>QB_Raw!J82</f>
        <v>0</v>
      </c>
      <c r="O83" s="203">
        <f>QB_Raw!K82</f>
        <v>0</v>
      </c>
      <c r="P83" s="205">
        <f t="shared" si="32"/>
        <v>8.4600000000000009</v>
      </c>
      <c r="Q83" t="str">
        <f t="shared" ca="1" si="33"/>
        <v>Undrafted</v>
      </c>
      <c r="R83">
        <f t="shared" ca="1" si="34"/>
        <v>0</v>
      </c>
      <c r="S83">
        <f t="shared" ca="1" si="35"/>
        <v>-174.35</v>
      </c>
      <c r="T83" s="84">
        <f t="shared" ca="1" si="36"/>
        <v>-28.764185207816123</v>
      </c>
      <c r="U83" s="84">
        <f ca="1">T83*Auction!$A$2</f>
        <v>-28.764185207816123</v>
      </c>
      <c r="V83" s="5" t="str">
        <f>IF(OR(INDEX(Auction!$H$13:$H$650,MATCH(B83,Auction!$A$13:$A$650,0))&gt;0,IFERROR(INDEX(CheatSheet!$D$5:$D$34,MATCH(B83,CheatSheet!$A$5:$A$34,0)),"")&lt;&gt;""),"Yes","No")</f>
        <v>No</v>
      </c>
      <c r="W83" s="175"/>
      <c r="Y83" s="77">
        <f t="shared" ca="1" si="25"/>
        <v>1</v>
      </c>
      <c r="Z83" s="174">
        <f t="shared" ca="1" si="29"/>
        <v>-87.174999999999997</v>
      </c>
      <c r="AA83" t="str">
        <f t="shared" ca="1" si="30"/>
        <v>QB7</v>
      </c>
      <c r="AB83" s="174">
        <f ca="1">Z83*LeagueInfo!$H$5</f>
        <v>-28.153181684484199</v>
      </c>
      <c r="AC83" s="174">
        <f t="shared" ca="1" si="27"/>
        <v>-0.83209245969238221</v>
      </c>
    </row>
    <row r="84" spans="1:29" x14ac:dyDescent="0.35">
      <c r="A84">
        <f t="shared" si="31"/>
        <v>82</v>
      </c>
      <c r="B84" t="str">
        <f>QB_Raw!A83</f>
        <v>Tanner McKee</v>
      </c>
      <c r="C84" t="s">
        <v>26</v>
      </c>
      <c r="D84" t="str">
        <f>_xlfn.IFNA(INDEX(BYEs!E:E,MATCH(B84,BYEs!D:D,0)),"N/A")</f>
        <v>N/A</v>
      </c>
      <c r="E84">
        <f>INDEX(BYEs!$B$2:$B$34,MATCH(F84,BYEs!$A$2:$A$34,0))</f>
        <v>5</v>
      </c>
      <c r="F84" t="str">
        <f>QB_Raw!B83</f>
        <v>PHI</v>
      </c>
      <c r="G84" s="198">
        <f>QB_Raw!C83</f>
        <v>0</v>
      </c>
      <c r="H84" s="200">
        <f>QB_Raw!D83</f>
        <v>0</v>
      </c>
      <c r="I84" s="200">
        <f>QB_Raw!E83</f>
        <v>80</v>
      </c>
      <c r="J84" s="200">
        <f>QB_Raw!F83</f>
        <v>1</v>
      </c>
      <c r="K84" s="200">
        <f>QB_Raw!G83</f>
        <v>0</v>
      </c>
      <c r="L84" s="202">
        <f>QB_Raw!H83</f>
        <v>0</v>
      </c>
      <c r="M84" s="200">
        <f>QB_Raw!I83</f>
        <v>8</v>
      </c>
      <c r="N84" s="200">
        <f>QB_Raw!J83</f>
        <v>0</v>
      </c>
      <c r="O84" s="203">
        <f>QB_Raw!K83</f>
        <v>0</v>
      </c>
      <c r="P84" s="205">
        <f t="shared" si="32"/>
        <v>8</v>
      </c>
      <c r="Q84" t="str">
        <f t="shared" ca="1" si="33"/>
        <v>Undrafted</v>
      </c>
      <c r="R84">
        <f t="shared" ca="1" si="34"/>
        <v>0</v>
      </c>
      <c r="S84">
        <f t="shared" ca="1" si="35"/>
        <v>-174.81</v>
      </c>
      <c r="T84" s="84">
        <f t="shared" ca="1" si="36"/>
        <v>-28.840075802571477</v>
      </c>
      <c r="U84" s="84">
        <f ca="1">T84*Auction!$A$2</f>
        <v>-28.840075802571477</v>
      </c>
      <c r="V84" s="5" t="str">
        <f>IF(OR(INDEX(Auction!$H$13:$H$650,MATCH(B84,Auction!$A$13:$A$650,0))&gt;0,IFERROR(INDEX(CheatSheet!$D$5:$D$34,MATCH(B84,CheatSheet!$A$5:$A$34,0)),"")&lt;&gt;""),"Yes","No")</f>
        <v>No</v>
      </c>
      <c r="W84" s="175"/>
      <c r="Y84" s="77">
        <f t="shared" ca="1" si="25"/>
        <v>1</v>
      </c>
      <c r="Z84" s="174">
        <f t="shared" ca="1" si="29"/>
        <v>-87.405000000000001</v>
      </c>
      <c r="AA84" t="str">
        <f t="shared" ca="1" si="30"/>
        <v>QB7</v>
      </c>
      <c r="AB84" s="174">
        <f ca="1">Z84*LeagueInfo!$H$5</f>
        <v>-28.227460225206098</v>
      </c>
      <c r="AC84" s="174">
        <f t="shared" ca="1" si="27"/>
        <v>-0.83520386595460105</v>
      </c>
    </row>
    <row r="85" spans="1:29" x14ac:dyDescent="0.35">
      <c r="A85">
        <f t="shared" si="31"/>
        <v>83</v>
      </c>
      <c r="B85" t="str">
        <f>QB_Raw!A84</f>
        <v>Sam Ehlinger</v>
      </c>
      <c r="C85" t="s">
        <v>26</v>
      </c>
      <c r="D85" t="str">
        <f>_xlfn.IFNA(INDEX(BYEs!E:E,MATCH(B85,BYEs!D:D,0)),"N/A")</f>
        <v>N/A</v>
      </c>
      <c r="E85">
        <f>INDEX(BYEs!$B$2:$B$34,MATCH(F85,BYEs!$A$2:$A$34,0))</f>
        <v>14</v>
      </c>
      <c r="F85" t="str">
        <f>QB_Raw!B84</f>
        <v>IND</v>
      </c>
      <c r="G85" s="198">
        <f>QB_Raw!C84</f>
        <v>0</v>
      </c>
      <c r="H85" s="200">
        <f>QB_Raw!D84</f>
        <v>0</v>
      </c>
      <c r="I85" s="200">
        <f>QB_Raw!E84</f>
        <v>76</v>
      </c>
      <c r="J85" s="200">
        <f>QB_Raw!F84</f>
        <v>1</v>
      </c>
      <c r="K85" s="200">
        <f>QB_Raw!G84</f>
        <v>0</v>
      </c>
      <c r="L85" s="202">
        <f>QB_Raw!H84</f>
        <v>0</v>
      </c>
      <c r="M85" s="200">
        <f>QB_Raw!I84</f>
        <v>8</v>
      </c>
      <c r="N85" s="200">
        <f>QB_Raw!J84</f>
        <v>0</v>
      </c>
      <c r="O85" s="203">
        <f>QB_Raw!K84</f>
        <v>0</v>
      </c>
      <c r="P85" s="205">
        <f t="shared" si="32"/>
        <v>7.84</v>
      </c>
      <c r="Q85" t="str">
        <f t="shared" ca="1" si="33"/>
        <v>Undrafted</v>
      </c>
      <c r="R85">
        <f t="shared" ca="1" si="34"/>
        <v>0</v>
      </c>
      <c r="S85">
        <f t="shared" ca="1" si="35"/>
        <v>-174.97</v>
      </c>
      <c r="T85" s="84">
        <f t="shared" ca="1" si="36"/>
        <v>-28.86647253118203</v>
      </c>
      <c r="U85" s="84">
        <f ca="1">T85*Auction!$A$2</f>
        <v>-28.86647253118203</v>
      </c>
      <c r="V85" s="5" t="str">
        <f>IF(OR(INDEX(Auction!$H$13:$H$650,MATCH(B85,Auction!$A$13:$A$650,0))&gt;0,IFERROR(INDEX(CheatSheet!$D$5:$D$34,MATCH(B85,CheatSheet!$A$5:$A$34,0)),"")&lt;&gt;""),"Yes","No")</f>
        <v>No</v>
      </c>
      <c r="W85" s="175"/>
      <c r="Y85" s="77">
        <f t="shared" ca="1" si="25"/>
        <v>1</v>
      </c>
      <c r="Z85" s="174">
        <f t="shared" ca="1" si="29"/>
        <v>-87.484999999999999</v>
      </c>
      <c r="AA85" t="str">
        <f t="shared" ca="1" si="30"/>
        <v>QB7</v>
      </c>
      <c r="AB85" s="174">
        <f ca="1">Z85*LeagueInfo!$H$5</f>
        <v>-28.253296239370236</v>
      </c>
      <c r="AC85" s="174">
        <f t="shared" ca="1" si="27"/>
        <v>-0.83628609421972055</v>
      </c>
    </row>
    <row r="86" spans="1:29" x14ac:dyDescent="0.35">
      <c r="A86">
        <f t="shared" si="31"/>
        <v>84</v>
      </c>
      <c r="B86" t="str">
        <f>QB_Raw!A85</f>
        <v>Devin Leary</v>
      </c>
      <c r="C86" t="s">
        <v>26</v>
      </c>
      <c r="D86" t="str">
        <f>_xlfn.IFNA(INDEX(BYEs!E:E,MATCH(B86,BYEs!D:D,0)),"N/A")</f>
        <v>N/A</v>
      </c>
      <c r="E86">
        <f>INDEX(BYEs!$B$2:$B$34,MATCH(F86,BYEs!$A$2:$A$34,0))</f>
        <v>14</v>
      </c>
      <c r="F86" t="str">
        <f>QB_Raw!B85</f>
        <v>BAL</v>
      </c>
      <c r="G86" s="198">
        <f>QB_Raw!C85</f>
        <v>0</v>
      </c>
      <c r="H86" s="200">
        <f>QB_Raw!D85</f>
        <v>0</v>
      </c>
      <c r="I86" s="200">
        <f>QB_Raw!E85</f>
        <v>65</v>
      </c>
      <c r="J86" s="200">
        <f>QB_Raw!F85</f>
        <v>0</v>
      </c>
      <c r="K86" s="200">
        <f>QB_Raw!G85</f>
        <v>0</v>
      </c>
      <c r="L86" s="202">
        <f>QB_Raw!H85</f>
        <v>0</v>
      </c>
      <c r="M86" s="200">
        <f>QB_Raw!I85</f>
        <v>0</v>
      </c>
      <c r="N86" s="200">
        <f>QB_Raw!J85</f>
        <v>0</v>
      </c>
      <c r="O86" s="203">
        <f>QB_Raw!K85</f>
        <v>0</v>
      </c>
      <c r="P86" s="205">
        <f t="shared" si="32"/>
        <v>2.6</v>
      </c>
      <c r="Q86" t="str">
        <f t="shared" ca="1" si="33"/>
        <v>Undrafted</v>
      </c>
      <c r="R86">
        <f t="shared" ca="1" si="34"/>
        <v>0</v>
      </c>
      <c r="S86">
        <f t="shared" ca="1" si="35"/>
        <v>-180.21</v>
      </c>
      <c r="T86" s="84">
        <f t="shared" ca="1" si="36"/>
        <v>-29.730965393177769</v>
      </c>
      <c r="U86" s="84">
        <f ca="1">T86*Auction!$A$2</f>
        <v>-29.730965393177769</v>
      </c>
      <c r="V86" s="5" t="str">
        <f>IF(OR(INDEX(Auction!$H$13:$H$650,MATCH(B86,Auction!$A$13:$A$650,0))&gt;0,IFERROR(INDEX(CheatSheet!$D$5:$D$34,MATCH(B86,CheatSheet!$A$5:$A$34,0)),"")&lt;&gt;""),"Yes","No")</f>
        <v>No</v>
      </c>
      <c r="W86" s="175"/>
      <c r="Y86" s="77">
        <f t="shared" ca="1" si="25"/>
        <v>1</v>
      </c>
      <c r="Z86" s="174">
        <f t="shared" ref="Z86" ca="1" si="37">AVERAGE(R86:S86)</f>
        <v>-90.105000000000004</v>
      </c>
      <c r="AA86" t="str">
        <f t="shared" ref="AA86" ca="1" si="38">IF(AC86&gt;2,"QB1",IF(AC86&gt;1.5,"QB2",IF(AC86&gt;1,"QB3",IF(AC86&gt;0.5,"QB4",IF(AC86&gt;0,"QB5",IF(AC86&gt;-0.5,"QB6","QB7"))))))</f>
        <v>QB7</v>
      </c>
      <c r="AB86" s="174">
        <f ca="1">Z86*LeagueInfo!$H$5</f>
        <v>-29.09942570324576</v>
      </c>
      <c r="AC86" s="174">
        <f t="shared" ca="1" si="27"/>
        <v>-0.8717290699023863</v>
      </c>
    </row>
  </sheetData>
  <autoFilter ref="A2:AB86" xr:uid="{ED774EE4-A98B-4D19-9060-CABBB9E0372F}">
    <sortState xmlns:xlrd2="http://schemas.microsoft.com/office/spreadsheetml/2017/richdata2" ref="A3:AB74">
      <sortCondition ref="A2"/>
    </sortState>
  </autoFilter>
  <sortState xmlns:xlrd2="http://schemas.microsoft.com/office/spreadsheetml/2017/richdata2" ref="A3:V81">
    <sortCondition ref="A2:A81"/>
  </sortState>
  <mergeCells count="2">
    <mergeCell ref="G1:K1"/>
    <mergeCell ref="L1:O1"/>
  </mergeCells>
  <conditionalFormatting sqref="B3:D3 F3:V3 A3:A86 B4:B87 C4:V86">
    <cfRule type="expression" dxfId="85" priority="19">
      <formula>$V3="Yes"</formula>
    </cfRule>
  </conditionalFormatting>
  <conditionalFormatting sqref="E3">
    <cfRule type="expression" dxfId="84" priority="7">
      <formula>$V3="Yes"</formula>
    </cfRule>
  </conditionalFormatting>
  <conditionalFormatting sqref="D3:D86">
    <cfRule type="colorScale" priority="368">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LeagueInfo!$H$97:$H$100</xm:f>
          </x14:formula1>
          <xm:sqref>W3:W86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L85"/>
  <sheetViews>
    <sheetView topLeftCell="A64" workbookViewId="0">
      <selection activeCell="L64" sqref="L64"/>
    </sheetView>
  </sheetViews>
  <sheetFormatPr defaultColWidth="8.90625" defaultRowHeight="14.5" x14ac:dyDescent="0.35"/>
  <cols>
    <col min="1" max="1" width="24.90625" bestFit="1" customWidth="1"/>
    <col min="2" max="2" width="7.90625" bestFit="1" customWidth="1"/>
    <col min="3" max="3" width="14.26953125" bestFit="1" customWidth="1"/>
    <col min="4" max="4" width="15.26953125" bestFit="1" customWidth="1"/>
    <col min="5" max="5" width="14.453125" bestFit="1" customWidth="1"/>
    <col min="6" max="6" width="14.26953125" bestFit="1" customWidth="1"/>
    <col min="7" max="7" width="15.08984375" bestFit="1" customWidth="1"/>
    <col min="8" max="8" width="14.81640625" bestFit="1" customWidth="1"/>
    <col min="9" max="9" width="15" bestFit="1" customWidth="1"/>
    <col min="10" max="10" width="14.81640625" bestFit="1" customWidth="1"/>
    <col min="11" max="11" width="9.81640625" bestFit="1" customWidth="1"/>
    <col min="12" max="12" width="12" bestFit="1" customWidth="1"/>
  </cols>
  <sheetData>
    <row r="1" spans="1:12" x14ac:dyDescent="0.35">
      <c r="A1" t="s">
        <v>82</v>
      </c>
      <c r="B1" t="s">
        <v>272</v>
      </c>
      <c r="C1" t="s">
        <v>381</v>
      </c>
      <c r="D1" t="s">
        <v>382</v>
      </c>
      <c r="E1" t="s">
        <v>383</v>
      </c>
      <c r="F1" t="s">
        <v>384</v>
      </c>
      <c r="G1" t="s">
        <v>385</v>
      </c>
      <c r="H1" t="s">
        <v>386</v>
      </c>
      <c r="I1" t="s">
        <v>387</v>
      </c>
      <c r="J1" t="s">
        <v>388</v>
      </c>
      <c r="K1" t="s">
        <v>389</v>
      </c>
      <c r="L1" t="s">
        <v>390</v>
      </c>
    </row>
    <row r="2" spans="1:12" x14ac:dyDescent="0.35">
      <c r="A2" t="s">
        <v>342</v>
      </c>
      <c r="B2" t="s">
        <v>203</v>
      </c>
      <c r="C2">
        <v>564.79999999999995</v>
      </c>
      <c r="D2">
        <v>368</v>
      </c>
      <c r="E2">
        <v>4061.9</v>
      </c>
      <c r="F2">
        <v>27.7</v>
      </c>
      <c r="G2">
        <v>14</v>
      </c>
      <c r="H2">
        <v>108.7</v>
      </c>
      <c r="I2">
        <v>558.79999999999995</v>
      </c>
      <c r="J2">
        <v>8.9</v>
      </c>
      <c r="K2">
        <v>4</v>
      </c>
      <c r="L2">
        <v>360.4</v>
      </c>
    </row>
    <row r="3" spans="1:12" x14ac:dyDescent="0.35">
      <c r="A3" t="s">
        <v>513</v>
      </c>
      <c r="B3" t="s">
        <v>207</v>
      </c>
      <c r="C3">
        <v>520.20000000000005</v>
      </c>
      <c r="D3">
        <v>339.4</v>
      </c>
      <c r="E3">
        <v>3810.4</v>
      </c>
      <c r="F3">
        <v>24.4</v>
      </c>
      <c r="G3">
        <v>12.1</v>
      </c>
      <c r="H3">
        <v>144.80000000000001</v>
      </c>
      <c r="I3">
        <v>622.4</v>
      </c>
      <c r="J3">
        <v>11.3</v>
      </c>
      <c r="K3">
        <v>3.8</v>
      </c>
      <c r="L3">
        <v>360.2</v>
      </c>
    </row>
    <row r="4" spans="1:12" x14ac:dyDescent="0.35">
      <c r="A4" t="s">
        <v>345</v>
      </c>
      <c r="B4" t="s">
        <v>209</v>
      </c>
      <c r="C4">
        <v>463.6</v>
      </c>
      <c r="D4">
        <v>303.7</v>
      </c>
      <c r="E4">
        <v>3567.1</v>
      </c>
      <c r="F4">
        <v>25</v>
      </c>
      <c r="G4">
        <v>10.6</v>
      </c>
      <c r="H4">
        <v>146.1</v>
      </c>
      <c r="I4">
        <v>836.1</v>
      </c>
      <c r="J4">
        <v>5.4</v>
      </c>
      <c r="K4">
        <v>4.4000000000000004</v>
      </c>
      <c r="L4">
        <v>339.2</v>
      </c>
    </row>
    <row r="5" spans="1:12" x14ac:dyDescent="0.35">
      <c r="A5" t="s">
        <v>531</v>
      </c>
      <c r="B5" t="s">
        <v>210</v>
      </c>
      <c r="C5">
        <v>584.79999999999995</v>
      </c>
      <c r="D5">
        <v>392.4</v>
      </c>
      <c r="E5">
        <v>4371.3999999999996</v>
      </c>
      <c r="F5">
        <v>32.700000000000003</v>
      </c>
      <c r="G5">
        <v>11.2</v>
      </c>
      <c r="H5">
        <v>72</v>
      </c>
      <c r="I5">
        <v>376.4</v>
      </c>
      <c r="J5">
        <v>1.8</v>
      </c>
      <c r="K5">
        <v>3.1</v>
      </c>
      <c r="L5">
        <v>336.8</v>
      </c>
    </row>
    <row r="6" spans="1:12" x14ac:dyDescent="0.35">
      <c r="A6" t="s">
        <v>734</v>
      </c>
      <c r="B6" t="s">
        <v>194</v>
      </c>
      <c r="C6">
        <v>511.6</v>
      </c>
      <c r="D6">
        <v>325.5</v>
      </c>
      <c r="E6">
        <v>3503</v>
      </c>
      <c r="F6">
        <v>19.899999999999999</v>
      </c>
      <c r="G6">
        <v>11.4</v>
      </c>
      <c r="H6">
        <v>128.19999999999999</v>
      </c>
      <c r="I6">
        <v>648.5</v>
      </c>
      <c r="J6">
        <v>7.9</v>
      </c>
      <c r="K6">
        <v>5</v>
      </c>
      <c r="L6">
        <v>310.60000000000002</v>
      </c>
    </row>
    <row r="7" spans="1:12" x14ac:dyDescent="0.35">
      <c r="A7" t="s">
        <v>115</v>
      </c>
      <c r="B7" t="s">
        <v>199</v>
      </c>
      <c r="C7">
        <v>574.20000000000005</v>
      </c>
      <c r="D7">
        <v>386.4</v>
      </c>
      <c r="E7">
        <v>4191.3999999999996</v>
      </c>
      <c r="F7">
        <v>30.8</v>
      </c>
      <c r="G7">
        <v>12</v>
      </c>
      <c r="H7">
        <v>51.9</v>
      </c>
      <c r="I7">
        <v>221.5</v>
      </c>
      <c r="J7">
        <v>2</v>
      </c>
      <c r="K7">
        <v>2.8</v>
      </c>
      <c r="L7">
        <v>307.5</v>
      </c>
    </row>
    <row r="8" spans="1:12" x14ac:dyDescent="0.35">
      <c r="A8" t="s">
        <v>732</v>
      </c>
      <c r="B8" t="s">
        <v>219</v>
      </c>
      <c r="C8">
        <v>556.9</v>
      </c>
      <c r="D8">
        <v>362.5</v>
      </c>
      <c r="E8">
        <v>4334.8999999999996</v>
      </c>
      <c r="F8">
        <v>29.4</v>
      </c>
      <c r="G8">
        <v>10.1</v>
      </c>
      <c r="H8">
        <v>43.8</v>
      </c>
      <c r="I8">
        <v>183.8</v>
      </c>
      <c r="J8">
        <v>2.4</v>
      </c>
      <c r="K8">
        <v>3.6</v>
      </c>
      <c r="L8">
        <v>306.10000000000002</v>
      </c>
    </row>
    <row r="9" spans="1:12" x14ac:dyDescent="0.35">
      <c r="A9" t="s">
        <v>510</v>
      </c>
      <c r="B9" t="s">
        <v>204</v>
      </c>
      <c r="C9">
        <v>580.20000000000005</v>
      </c>
      <c r="D9">
        <v>388.9</v>
      </c>
      <c r="E9">
        <v>4239.6000000000004</v>
      </c>
      <c r="F9">
        <v>30.1</v>
      </c>
      <c r="G9">
        <v>11.5</v>
      </c>
      <c r="H9">
        <v>56.7</v>
      </c>
      <c r="I9">
        <v>191.3</v>
      </c>
      <c r="J9">
        <v>2.1</v>
      </c>
      <c r="K9">
        <v>3.1</v>
      </c>
      <c r="L9">
        <v>304.39999999999998</v>
      </c>
    </row>
    <row r="10" spans="1:12" x14ac:dyDescent="0.35">
      <c r="A10" t="s">
        <v>412</v>
      </c>
      <c r="B10" t="s">
        <v>208</v>
      </c>
      <c r="C10">
        <v>530.70000000000005</v>
      </c>
      <c r="D10">
        <v>353.8</v>
      </c>
      <c r="E10">
        <v>3710.8</v>
      </c>
      <c r="F10">
        <v>21.8</v>
      </c>
      <c r="G10">
        <v>12.1</v>
      </c>
      <c r="H10">
        <v>96.1</v>
      </c>
      <c r="I10">
        <v>530.70000000000005</v>
      </c>
      <c r="J10">
        <v>5.2</v>
      </c>
      <c r="K10">
        <v>2.6</v>
      </c>
      <c r="L10">
        <v>302.5</v>
      </c>
    </row>
    <row r="11" spans="1:12" x14ac:dyDescent="0.35">
      <c r="A11" t="s">
        <v>514</v>
      </c>
      <c r="B11" t="s">
        <v>189</v>
      </c>
      <c r="C11">
        <v>545.4</v>
      </c>
      <c r="D11">
        <v>354.8</v>
      </c>
      <c r="E11">
        <v>3987.2</v>
      </c>
      <c r="F11">
        <v>29.4</v>
      </c>
      <c r="G11">
        <v>11.5</v>
      </c>
      <c r="H11">
        <v>45.7</v>
      </c>
      <c r="I11">
        <v>200.5</v>
      </c>
      <c r="J11">
        <v>2.4</v>
      </c>
      <c r="K11">
        <v>3</v>
      </c>
      <c r="L11">
        <v>294.2</v>
      </c>
    </row>
    <row r="12" spans="1:12" x14ac:dyDescent="0.35">
      <c r="A12" t="s">
        <v>764</v>
      </c>
      <c r="B12" t="s">
        <v>214</v>
      </c>
      <c r="C12">
        <v>498.3</v>
      </c>
      <c r="D12">
        <v>336.3</v>
      </c>
      <c r="E12">
        <v>4078.2</v>
      </c>
      <c r="F12">
        <v>29.6</v>
      </c>
      <c r="G12">
        <v>10.8</v>
      </c>
      <c r="H12">
        <v>44.1</v>
      </c>
      <c r="I12">
        <v>162</v>
      </c>
      <c r="J12">
        <v>1.9</v>
      </c>
      <c r="K12">
        <v>2.6</v>
      </c>
      <c r="L12">
        <v>293.3</v>
      </c>
    </row>
    <row r="13" spans="1:12" x14ac:dyDescent="0.35">
      <c r="A13" t="s">
        <v>851</v>
      </c>
      <c r="B13" t="s">
        <v>197</v>
      </c>
      <c r="C13">
        <v>543.4</v>
      </c>
      <c r="D13">
        <v>338.5</v>
      </c>
      <c r="E13">
        <v>3582</v>
      </c>
      <c r="F13">
        <v>20</v>
      </c>
      <c r="G13">
        <v>13.8</v>
      </c>
      <c r="H13">
        <v>114.6</v>
      </c>
      <c r="I13">
        <v>594.79999999999995</v>
      </c>
      <c r="J13">
        <v>5</v>
      </c>
      <c r="K13">
        <v>4.4000000000000004</v>
      </c>
      <c r="L13">
        <v>290.2</v>
      </c>
    </row>
    <row r="14" spans="1:12" x14ac:dyDescent="0.35">
      <c r="A14" t="s">
        <v>852</v>
      </c>
      <c r="B14" t="s">
        <v>213</v>
      </c>
      <c r="C14">
        <v>532.70000000000005</v>
      </c>
      <c r="D14">
        <v>346.6</v>
      </c>
      <c r="E14">
        <v>3784</v>
      </c>
      <c r="F14">
        <v>25.3</v>
      </c>
      <c r="G14">
        <v>13.4</v>
      </c>
      <c r="H14">
        <v>78.099999999999994</v>
      </c>
      <c r="I14">
        <v>363.4</v>
      </c>
      <c r="J14">
        <v>3.3</v>
      </c>
      <c r="K14">
        <v>4.3</v>
      </c>
      <c r="L14">
        <v>286.7</v>
      </c>
    </row>
    <row r="15" spans="1:12" x14ac:dyDescent="0.35">
      <c r="A15" t="s">
        <v>532</v>
      </c>
      <c r="B15" t="s">
        <v>205</v>
      </c>
      <c r="C15">
        <v>566.29999999999995</v>
      </c>
      <c r="D15">
        <v>373.3</v>
      </c>
      <c r="E15">
        <v>3984.1</v>
      </c>
      <c r="F15">
        <v>24.4</v>
      </c>
      <c r="G15">
        <v>12.5</v>
      </c>
      <c r="H15">
        <v>66.099999999999994</v>
      </c>
      <c r="I15">
        <v>306.2</v>
      </c>
      <c r="J15">
        <v>3.5</v>
      </c>
      <c r="K15">
        <v>4.8</v>
      </c>
      <c r="L15">
        <v>286.2</v>
      </c>
    </row>
    <row r="16" spans="1:12" x14ac:dyDescent="0.35">
      <c r="A16" t="s">
        <v>137</v>
      </c>
      <c r="B16" t="s">
        <v>220</v>
      </c>
      <c r="C16">
        <v>545</v>
      </c>
      <c r="D16">
        <v>334.6</v>
      </c>
      <c r="E16">
        <v>3748.8</v>
      </c>
      <c r="F16">
        <v>23</v>
      </c>
      <c r="G16">
        <v>13.3</v>
      </c>
      <c r="H16">
        <v>77.099999999999994</v>
      </c>
      <c r="I16">
        <v>385.5</v>
      </c>
      <c r="J16">
        <v>3.2</v>
      </c>
      <c r="K16">
        <v>3.8</v>
      </c>
      <c r="L16">
        <v>278.60000000000002</v>
      </c>
    </row>
    <row r="17" spans="1:12" x14ac:dyDescent="0.35">
      <c r="A17" t="s">
        <v>512</v>
      </c>
      <c r="B17" t="s">
        <v>200</v>
      </c>
      <c r="C17">
        <v>544.4</v>
      </c>
      <c r="D17">
        <v>356.1</v>
      </c>
      <c r="E17">
        <v>3849.4</v>
      </c>
      <c r="F17">
        <v>24.5</v>
      </c>
      <c r="G17">
        <v>9.9</v>
      </c>
      <c r="H17">
        <v>64.599999999999994</v>
      </c>
      <c r="I17">
        <v>263.2</v>
      </c>
      <c r="J17">
        <v>2.7</v>
      </c>
      <c r="K17">
        <v>3</v>
      </c>
      <c r="L17">
        <v>278.60000000000002</v>
      </c>
    </row>
    <row r="18" spans="1:12" x14ac:dyDescent="0.35">
      <c r="A18" t="s">
        <v>215</v>
      </c>
      <c r="B18" t="s">
        <v>201</v>
      </c>
      <c r="C18">
        <v>568.9</v>
      </c>
      <c r="D18">
        <v>384</v>
      </c>
      <c r="E18">
        <v>4231.8999999999996</v>
      </c>
      <c r="F18">
        <v>28.1</v>
      </c>
      <c r="G18">
        <v>10.6</v>
      </c>
      <c r="H18">
        <v>24</v>
      </c>
      <c r="I18">
        <v>54</v>
      </c>
      <c r="J18">
        <v>1.1000000000000001</v>
      </c>
      <c r="K18">
        <v>3.1</v>
      </c>
      <c r="L18">
        <v>276.7</v>
      </c>
    </row>
    <row r="19" spans="1:12" x14ac:dyDescent="0.35">
      <c r="A19" t="s">
        <v>511</v>
      </c>
      <c r="B19" t="s">
        <v>212</v>
      </c>
      <c r="C19">
        <v>545.1</v>
      </c>
      <c r="D19">
        <v>371</v>
      </c>
      <c r="E19">
        <v>4269.3</v>
      </c>
      <c r="F19">
        <v>27.3</v>
      </c>
      <c r="G19">
        <v>12.5</v>
      </c>
      <c r="H19">
        <v>31.8</v>
      </c>
      <c r="I19">
        <v>88.8</v>
      </c>
      <c r="J19">
        <v>0.6</v>
      </c>
      <c r="K19">
        <v>3.8</v>
      </c>
      <c r="L19">
        <v>272.5</v>
      </c>
    </row>
    <row r="20" spans="1:12" x14ac:dyDescent="0.35">
      <c r="A20" t="s">
        <v>344</v>
      </c>
      <c r="B20" t="s">
        <v>195</v>
      </c>
      <c r="C20">
        <v>562.1</v>
      </c>
      <c r="D20">
        <v>355.2</v>
      </c>
      <c r="E20">
        <v>3943.7</v>
      </c>
      <c r="F20">
        <v>25.7</v>
      </c>
      <c r="G20">
        <v>11.9</v>
      </c>
      <c r="H20">
        <v>51.9</v>
      </c>
      <c r="I20">
        <v>171.1</v>
      </c>
      <c r="J20">
        <v>1.4</v>
      </c>
      <c r="K20">
        <v>3.3</v>
      </c>
      <c r="L20">
        <v>268</v>
      </c>
    </row>
    <row r="21" spans="1:12" x14ac:dyDescent="0.35">
      <c r="A21" t="s">
        <v>119</v>
      </c>
      <c r="B21" t="s">
        <v>192</v>
      </c>
      <c r="C21">
        <v>533.4</v>
      </c>
      <c r="D21">
        <v>349.7</v>
      </c>
      <c r="E21">
        <v>4017.1</v>
      </c>
      <c r="F21">
        <v>27</v>
      </c>
      <c r="G21">
        <v>10.5</v>
      </c>
      <c r="H21">
        <v>34</v>
      </c>
      <c r="I21">
        <v>99.7</v>
      </c>
      <c r="J21">
        <v>1.4</v>
      </c>
      <c r="K21">
        <v>4.5</v>
      </c>
      <c r="L21">
        <v>267.8</v>
      </c>
    </row>
    <row r="22" spans="1:12" x14ac:dyDescent="0.35">
      <c r="A22" t="s">
        <v>129</v>
      </c>
      <c r="B22" t="s">
        <v>216</v>
      </c>
      <c r="C22">
        <v>552.9</v>
      </c>
      <c r="D22">
        <v>355.4</v>
      </c>
      <c r="E22">
        <v>4126.7</v>
      </c>
      <c r="F22">
        <v>26.9</v>
      </c>
      <c r="G22">
        <v>12.5</v>
      </c>
      <c r="H22">
        <v>23.4</v>
      </c>
      <c r="I22">
        <v>66</v>
      </c>
      <c r="J22">
        <v>0.6</v>
      </c>
      <c r="K22">
        <v>2.2000000000000002</v>
      </c>
      <c r="L22">
        <v>265.7</v>
      </c>
    </row>
    <row r="23" spans="1:12" x14ac:dyDescent="0.35">
      <c r="A23" t="s">
        <v>95</v>
      </c>
      <c r="B23" t="s">
        <v>217</v>
      </c>
      <c r="C23">
        <v>544.5</v>
      </c>
      <c r="D23">
        <v>359.5</v>
      </c>
      <c r="E23">
        <v>3840.8</v>
      </c>
      <c r="F23">
        <v>26.2</v>
      </c>
      <c r="G23">
        <v>9</v>
      </c>
      <c r="H23">
        <v>32.6</v>
      </c>
      <c r="I23">
        <v>107.5</v>
      </c>
      <c r="J23">
        <v>1.3</v>
      </c>
      <c r="K23">
        <v>2.7</v>
      </c>
      <c r="L23">
        <v>262.60000000000002</v>
      </c>
    </row>
    <row r="24" spans="1:12" x14ac:dyDescent="0.35">
      <c r="A24" t="s">
        <v>222</v>
      </c>
      <c r="B24" t="s">
        <v>193</v>
      </c>
      <c r="C24">
        <v>522.79999999999995</v>
      </c>
      <c r="D24">
        <v>342.6</v>
      </c>
      <c r="E24">
        <v>3755.2</v>
      </c>
      <c r="F24">
        <v>24.1</v>
      </c>
      <c r="G24">
        <v>11.9</v>
      </c>
      <c r="H24">
        <v>50.6</v>
      </c>
      <c r="I24">
        <v>203.9</v>
      </c>
      <c r="J24">
        <v>1.7</v>
      </c>
      <c r="K24">
        <v>3.1</v>
      </c>
      <c r="L24">
        <v>259.5</v>
      </c>
    </row>
    <row r="25" spans="1:12" x14ac:dyDescent="0.35">
      <c r="A25" t="s">
        <v>774</v>
      </c>
      <c r="B25" t="s">
        <v>198</v>
      </c>
      <c r="C25">
        <v>512.9</v>
      </c>
      <c r="D25">
        <v>323.2</v>
      </c>
      <c r="E25">
        <v>3728</v>
      </c>
      <c r="F25">
        <v>22.2</v>
      </c>
      <c r="G25">
        <v>12.4</v>
      </c>
      <c r="H25">
        <v>53.9</v>
      </c>
      <c r="I25">
        <v>185.5</v>
      </c>
      <c r="J25">
        <v>2.2000000000000002</v>
      </c>
      <c r="K25">
        <v>4.2</v>
      </c>
      <c r="L25">
        <v>248.9</v>
      </c>
    </row>
    <row r="26" spans="1:12" x14ac:dyDescent="0.35">
      <c r="A26" t="s">
        <v>414</v>
      </c>
      <c r="B26" t="s">
        <v>206</v>
      </c>
      <c r="C26">
        <v>493.9</v>
      </c>
      <c r="D26">
        <v>322.39999999999998</v>
      </c>
      <c r="E26">
        <v>3227.4</v>
      </c>
      <c r="F26">
        <v>16.600000000000001</v>
      </c>
      <c r="G26">
        <v>10.6</v>
      </c>
      <c r="H26">
        <v>95</v>
      </c>
      <c r="I26">
        <v>469.2</v>
      </c>
      <c r="J26">
        <v>3.5</v>
      </c>
      <c r="K26">
        <v>3.6</v>
      </c>
      <c r="L26">
        <v>245.5</v>
      </c>
    </row>
    <row r="27" spans="1:12" x14ac:dyDescent="0.35">
      <c r="A27" t="s">
        <v>117</v>
      </c>
      <c r="B27" t="s">
        <v>191</v>
      </c>
      <c r="C27">
        <v>544.6</v>
      </c>
      <c r="D27">
        <v>363.6</v>
      </c>
      <c r="E27">
        <v>3842.8</v>
      </c>
      <c r="F27">
        <v>24.5</v>
      </c>
      <c r="G27">
        <v>10.9</v>
      </c>
      <c r="H27">
        <v>24.2</v>
      </c>
      <c r="I27">
        <v>69.7</v>
      </c>
      <c r="J27">
        <v>0.5</v>
      </c>
      <c r="K27">
        <v>3.2</v>
      </c>
      <c r="L27">
        <v>244.2</v>
      </c>
    </row>
    <row r="28" spans="1:12" x14ac:dyDescent="0.35">
      <c r="A28" t="s">
        <v>343</v>
      </c>
      <c r="B28" t="s">
        <v>211</v>
      </c>
      <c r="C28">
        <v>540.9</v>
      </c>
      <c r="D28">
        <v>343.6</v>
      </c>
      <c r="E28">
        <v>3721.6</v>
      </c>
      <c r="F28">
        <v>21.9</v>
      </c>
      <c r="G28">
        <v>14.4</v>
      </c>
      <c r="H28">
        <v>44.5</v>
      </c>
      <c r="I28">
        <v>173.2</v>
      </c>
      <c r="J28">
        <v>2.1</v>
      </c>
      <c r="K28">
        <v>4.0999999999999996</v>
      </c>
      <c r="L28">
        <v>244</v>
      </c>
    </row>
    <row r="29" spans="1:12" x14ac:dyDescent="0.35">
      <c r="A29" t="s">
        <v>854</v>
      </c>
      <c r="B29" t="s">
        <v>218</v>
      </c>
      <c r="C29">
        <v>496.6</v>
      </c>
      <c r="D29">
        <v>309.7</v>
      </c>
      <c r="E29">
        <v>3211</v>
      </c>
      <c r="F29">
        <v>19</v>
      </c>
      <c r="G29">
        <v>12.1</v>
      </c>
      <c r="H29">
        <v>61.4</v>
      </c>
      <c r="I29">
        <v>281.10000000000002</v>
      </c>
      <c r="J29">
        <v>2.4</v>
      </c>
      <c r="K29">
        <v>3.6</v>
      </c>
      <c r="L29">
        <v>227.7</v>
      </c>
    </row>
    <row r="30" spans="1:12" x14ac:dyDescent="0.35">
      <c r="A30" t="s">
        <v>713</v>
      </c>
      <c r="B30" t="s">
        <v>196</v>
      </c>
      <c r="C30">
        <v>531.4</v>
      </c>
      <c r="D30">
        <v>333</v>
      </c>
      <c r="E30">
        <v>3450.7</v>
      </c>
      <c r="F30">
        <v>19.2</v>
      </c>
      <c r="G30">
        <v>11.9</v>
      </c>
      <c r="H30">
        <v>42.6</v>
      </c>
      <c r="I30">
        <v>235.5</v>
      </c>
      <c r="J30">
        <v>1.2</v>
      </c>
      <c r="K30">
        <v>3.5</v>
      </c>
      <c r="L30">
        <v>227</v>
      </c>
    </row>
    <row r="31" spans="1:12" x14ac:dyDescent="0.35">
      <c r="A31" t="s">
        <v>106</v>
      </c>
      <c r="B31" t="s">
        <v>202</v>
      </c>
      <c r="C31">
        <v>442.9</v>
      </c>
      <c r="D31">
        <v>281.7</v>
      </c>
      <c r="E31">
        <v>2950.5</v>
      </c>
      <c r="F31">
        <v>18.100000000000001</v>
      </c>
      <c r="G31">
        <v>9.4</v>
      </c>
      <c r="H31">
        <v>66.400000000000006</v>
      </c>
      <c r="I31">
        <v>299.89999999999998</v>
      </c>
      <c r="J31">
        <v>2.6</v>
      </c>
      <c r="K31">
        <v>3.5</v>
      </c>
      <c r="L31">
        <v>219.7</v>
      </c>
    </row>
    <row r="32" spans="1:12" x14ac:dyDescent="0.35">
      <c r="A32" t="s">
        <v>855</v>
      </c>
      <c r="B32" t="s">
        <v>190</v>
      </c>
      <c r="C32">
        <v>434.4</v>
      </c>
      <c r="D32">
        <v>275.39999999999998</v>
      </c>
      <c r="E32">
        <v>3034.3</v>
      </c>
      <c r="F32">
        <v>15.6</v>
      </c>
      <c r="G32">
        <v>12.3</v>
      </c>
      <c r="H32">
        <v>56.3</v>
      </c>
      <c r="I32">
        <v>257.39999999999998</v>
      </c>
      <c r="J32">
        <v>2</v>
      </c>
      <c r="K32">
        <v>2.6</v>
      </c>
      <c r="L32">
        <v>204.5</v>
      </c>
    </row>
    <row r="33" spans="1:12" x14ac:dyDescent="0.35">
      <c r="A33" t="s">
        <v>509</v>
      </c>
      <c r="B33" t="s">
        <v>478</v>
      </c>
      <c r="C33">
        <v>413.7</v>
      </c>
      <c r="D33">
        <v>259.39999999999998</v>
      </c>
      <c r="E33">
        <v>2794.5</v>
      </c>
      <c r="F33">
        <v>16</v>
      </c>
      <c r="G33">
        <v>10.3</v>
      </c>
      <c r="H33">
        <v>34</v>
      </c>
      <c r="I33">
        <v>123.3</v>
      </c>
      <c r="J33">
        <v>1.8</v>
      </c>
      <c r="K33">
        <v>2.9</v>
      </c>
      <c r="L33">
        <v>182.7</v>
      </c>
    </row>
    <row r="34" spans="1:12" x14ac:dyDescent="0.35">
      <c r="A34" t="s">
        <v>350</v>
      </c>
      <c r="B34" t="s">
        <v>191</v>
      </c>
      <c r="C34">
        <v>5</v>
      </c>
      <c r="D34">
        <v>4</v>
      </c>
      <c r="E34">
        <v>38</v>
      </c>
      <c r="F34">
        <v>0</v>
      </c>
      <c r="G34">
        <v>0</v>
      </c>
      <c r="H34">
        <v>80</v>
      </c>
      <c r="I34">
        <v>403</v>
      </c>
      <c r="J34">
        <v>6</v>
      </c>
      <c r="K34">
        <v>1</v>
      </c>
      <c r="L34">
        <v>75.8</v>
      </c>
    </row>
    <row r="35" spans="1:12" x14ac:dyDescent="0.35">
      <c r="A35" t="s">
        <v>777</v>
      </c>
      <c r="B35" t="s">
        <v>478</v>
      </c>
      <c r="C35">
        <v>202.6</v>
      </c>
      <c r="D35">
        <v>127.9</v>
      </c>
      <c r="E35">
        <v>1244</v>
      </c>
      <c r="F35">
        <v>6.4</v>
      </c>
      <c r="G35">
        <v>4.5999999999999996</v>
      </c>
      <c r="H35">
        <v>18.100000000000001</v>
      </c>
      <c r="I35">
        <v>36.6</v>
      </c>
      <c r="J35">
        <v>0.3</v>
      </c>
      <c r="K35">
        <v>1</v>
      </c>
      <c r="L35">
        <v>74.599999999999994</v>
      </c>
    </row>
    <row r="36" spans="1:12" x14ac:dyDescent="0.35">
      <c r="A36" t="s">
        <v>534</v>
      </c>
      <c r="B36" t="s">
        <v>202</v>
      </c>
      <c r="C36">
        <v>98.9</v>
      </c>
      <c r="D36">
        <v>60.7</v>
      </c>
      <c r="E36">
        <v>761.1</v>
      </c>
      <c r="F36">
        <v>4.0999999999999996</v>
      </c>
      <c r="G36">
        <v>3.1</v>
      </c>
      <c r="H36">
        <v>38.799999999999997</v>
      </c>
      <c r="I36">
        <v>219.4</v>
      </c>
      <c r="J36">
        <v>1.6</v>
      </c>
      <c r="K36">
        <v>1.8</v>
      </c>
      <c r="L36">
        <v>71.400000000000006</v>
      </c>
    </row>
    <row r="37" spans="1:12" x14ac:dyDescent="0.35">
      <c r="A37" t="s">
        <v>346</v>
      </c>
      <c r="B37" t="s">
        <v>190</v>
      </c>
      <c r="C37">
        <v>114.6</v>
      </c>
      <c r="D37">
        <v>72.900000000000006</v>
      </c>
      <c r="E37">
        <v>734.5</v>
      </c>
      <c r="F37">
        <v>4.2</v>
      </c>
      <c r="G37">
        <v>2.8</v>
      </c>
      <c r="H37">
        <v>10.199999999999999</v>
      </c>
      <c r="I37">
        <v>39.200000000000003</v>
      </c>
      <c r="J37">
        <v>0.2</v>
      </c>
      <c r="K37">
        <v>1</v>
      </c>
      <c r="L37">
        <v>46.5</v>
      </c>
    </row>
    <row r="38" spans="1:12" x14ac:dyDescent="0.35">
      <c r="A38" t="s">
        <v>583</v>
      </c>
      <c r="B38" t="s">
        <v>193</v>
      </c>
      <c r="C38">
        <v>72.900000000000006</v>
      </c>
      <c r="D38">
        <v>46.9</v>
      </c>
      <c r="E38">
        <v>495.4</v>
      </c>
      <c r="F38">
        <v>3.1</v>
      </c>
      <c r="G38">
        <v>2.2000000000000002</v>
      </c>
      <c r="H38">
        <v>8</v>
      </c>
      <c r="I38">
        <v>39</v>
      </c>
      <c r="J38">
        <v>0.4</v>
      </c>
      <c r="K38">
        <v>0.5</v>
      </c>
      <c r="L38">
        <v>35.4</v>
      </c>
    </row>
    <row r="39" spans="1:12" x14ac:dyDescent="0.35">
      <c r="A39" t="s">
        <v>413</v>
      </c>
      <c r="B39" t="s">
        <v>206</v>
      </c>
      <c r="C39">
        <v>74.099999999999994</v>
      </c>
      <c r="D39">
        <v>46.4</v>
      </c>
      <c r="E39">
        <v>505.1</v>
      </c>
      <c r="F39">
        <v>3.3</v>
      </c>
      <c r="G39">
        <v>1.8</v>
      </c>
      <c r="H39">
        <v>7.9</v>
      </c>
      <c r="I39">
        <v>24.9</v>
      </c>
      <c r="J39">
        <v>0.1</v>
      </c>
      <c r="K39">
        <v>0.6</v>
      </c>
      <c r="L39">
        <v>33.9</v>
      </c>
    </row>
    <row r="40" spans="1:12" x14ac:dyDescent="0.35">
      <c r="A40" t="s">
        <v>415</v>
      </c>
      <c r="B40" t="s">
        <v>211</v>
      </c>
      <c r="C40">
        <v>82.9</v>
      </c>
      <c r="D40">
        <v>53.6</v>
      </c>
      <c r="E40">
        <v>561.9</v>
      </c>
      <c r="F40">
        <v>3</v>
      </c>
      <c r="G40">
        <v>2.1</v>
      </c>
      <c r="H40">
        <v>5.6</v>
      </c>
      <c r="I40">
        <v>18.2</v>
      </c>
      <c r="J40">
        <v>0.1</v>
      </c>
      <c r="K40">
        <v>0.7</v>
      </c>
      <c r="L40">
        <v>33.299999999999997</v>
      </c>
    </row>
    <row r="41" spans="1:12" x14ac:dyDescent="0.35">
      <c r="A41" t="s">
        <v>417</v>
      </c>
      <c r="B41" t="s">
        <v>218</v>
      </c>
      <c r="C41">
        <v>64.400000000000006</v>
      </c>
      <c r="D41">
        <v>40.1</v>
      </c>
      <c r="E41">
        <v>439.5</v>
      </c>
      <c r="F41">
        <v>2.4</v>
      </c>
      <c r="G41">
        <v>1.8</v>
      </c>
      <c r="H41">
        <v>8.1</v>
      </c>
      <c r="I41">
        <v>25.9</v>
      </c>
      <c r="J41">
        <v>0.3</v>
      </c>
      <c r="K41">
        <v>0.6</v>
      </c>
      <c r="L41">
        <v>28.9</v>
      </c>
    </row>
    <row r="42" spans="1:12" x14ac:dyDescent="0.35">
      <c r="A42" t="s">
        <v>114</v>
      </c>
      <c r="B42" t="s">
        <v>220</v>
      </c>
      <c r="C42">
        <v>60.5</v>
      </c>
      <c r="D42">
        <v>37.6</v>
      </c>
      <c r="E42">
        <v>423.9</v>
      </c>
      <c r="F42">
        <v>2.5</v>
      </c>
      <c r="G42">
        <v>2</v>
      </c>
      <c r="H42">
        <v>5.8</v>
      </c>
      <c r="I42">
        <v>21.6</v>
      </c>
      <c r="J42">
        <v>0.1</v>
      </c>
      <c r="K42">
        <v>0.2</v>
      </c>
      <c r="L42">
        <v>27</v>
      </c>
    </row>
    <row r="43" spans="1:12" x14ac:dyDescent="0.35">
      <c r="A43" t="s">
        <v>857</v>
      </c>
      <c r="B43" t="s">
        <v>192</v>
      </c>
      <c r="C43">
        <v>42.1</v>
      </c>
      <c r="D43">
        <v>25.8</v>
      </c>
      <c r="E43">
        <v>334.1</v>
      </c>
      <c r="F43">
        <v>2.5</v>
      </c>
      <c r="G43">
        <v>1.3</v>
      </c>
      <c r="H43">
        <v>3.4</v>
      </c>
      <c r="I43">
        <v>21.1</v>
      </c>
      <c r="J43">
        <v>0.4</v>
      </c>
      <c r="K43">
        <v>0.5</v>
      </c>
      <c r="L43">
        <v>25.6</v>
      </c>
    </row>
    <row r="44" spans="1:12" x14ac:dyDescent="0.35">
      <c r="A44" t="s">
        <v>836</v>
      </c>
      <c r="B44" t="s">
        <v>204</v>
      </c>
      <c r="C44">
        <v>50.6</v>
      </c>
      <c r="D44">
        <v>32.700000000000003</v>
      </c>
      <c r="E44">
        <v>328.1</v>
      </c>
      <c r="F44">
        <v>2.4</v>
      </c>
      <c r="G44">
        <v>1</v>
      </c>
      <c r="H44">
        <v>5.6</v>
      </c>
      <c r="I44">
        <v>23.5</v>
      </c>
      <c r="J44">
        <v>0.2</v>
      </c>
      <c r="K44">
        <v>0.2</v>
      </c>
      <c r="L44">
        <v>24.7</v>
      </c>
    </row>
    <row r="45" spans="1:12" x14ac:dyDescent="0.35">
      <c r="A45" t="s">
        <v>860</v>
      </c>
      <c r="B45" t="s">
        <v>191</v>
      </c>
      <c r="C45">
        <v>66.5</v>
      </c>
      <c r="D45">
        <v>43.6</v>
      </c>
      <c r="E45">
        <v>336.5</v>
      </c>
      <c r="F45">
        <v>2.4</v>
      </c>
      <c r="G45">
        <v>0.8</v>
      </c>
      <c r="H45">
        <v>5.5</v>
      </c>
      <c r="I45">
        <v>22.2</v>
      </c>
      <c r="J45">
        <v>0.1</v>
      </c>
      <c r="K45">
        <v>0.2</v>
      </c>
      <c r="L45">
        <v>24.5</v>
      </c>
    </row>
    <row r="46" spans="1:12" x14ac:dyDescent="0.35">
      <c r="A46" t="s">
        <v>723</v>
      </c>
      <c r="B46" t="s">
        <v>201</v>
      </c>
      <c r="C46">
        <v>68.099999999999994</v>
      </c>
      <c r="D46">
        <v>44.1</v>
      </c>
      <c r="E46">
        <v>338.4</v>
      </c>
      <c r="F46">
        <v>1.9</v>
      </c>
      <c r="G46">
        <v>1.4</v>
      </c>
      <c r="H46">
        <v>6.1</v>
      </c>
      <c r="I46">
        <v>25.7</v>
      </c>
      <c r="J46">
        <v>0.2</v>
      </c>
      <c r="K46">
        <v>0.3</v>
      </c>
      <c r="L46">
        <v>22.9</v>
      </c>
    </row>
    <row r="47" spans="1:12" x14ac:dyDescent="0.35">
      <c r="A47" t="s">
        <v>856</v>
      </c>
      <c r="B47" t="s">
        <v>209</v>
      </c>
      <c r="C47">
        <v>42.7</v>
      </c>
      <c r="D47">
        <v>26.7</v>
      </c>
      <c r="E47">
        <v>293.5</v>
      </c>
      <c r="F47">
        <v>1.9</v>
      </c>
      <c r="G47">
        <v>0.9</v>
      </c>
      <c r="H47">
        <v>8.8000000000000007</v>
      </c>
      <c r="I47">
        <v>37</v>
      </c>
      <c r="J47">
        <v>0.3</v>
      </c>
      <c r="K47">
        <v>0.3</v>
      </c>
      <c r="L47">
        <v>22.9</v>
      </c>
    </row>
    <row r="48" spans="1:12" x14ac:dyDescent="0.35">
      <c r="A48" t="s">
        <v>673</v>
      </c>
      <c r="B48" t="s">
        <v>203</v>
      </c>
      <c r="C48">
        <v>45.9</v>
      </c>
      <c r="D48">
        <v>30.4</v>
      </c>
      <c r="E48">
        <v>274.89999999999998</v>
      </c>
      <c r="F48">
        <v>2</v>
      </c>
      <c r="G48">
        <v>1.3</v>
      </c>
      <c r="H48">
        <v>8</v>
      </c>
      <c r="I48">
        <v>26.7</v>
      </c>
      <c r="J48">
        <v>0.3</v>
      </c>
      <c r="K48">
        <v>0.2</v>
      </c>
      <c r="L48">
        <v>22</v>
      </c>
    </row>
    <row r="49" spans="1:12" x14ac:dyDescent="0.35">
      <c r="A49" t="s">
        <v>224</v>
      </c>
      <c r="B49" t="s">
        <v>216</v>
      </c>
      <c r="C49">
        <v>46.9</v>
      </c>
      <c r="D49">
        <v>30.5</v>
      </c>
      <c r="E49">
        <v>317.7</v>
      </c>
      <c r="F49">
        <v>2.1</v>
      </c>
      <c r="G49">
        <v>1</v>
      </c>
      <c r="H49">
        <v>3.8</v>
      </c>
      <c r="I49">
        <v>10.6</v>
      </c>
      <c r="J49">
        <v>0</v>
      </c>
      <c r="K49">
        <v>0.1</v>
      </c>
      <c r="L49">
        <v>21.3</v>
      </c>
    </row>
    <row r="50" spans="1:12" x14ac:dyDescent="0.35">
      <c r="A50" t="s">
        <v>986</v>
      </c>
      <c r="B50" t="s">
        <v>212</v>
      </c>
      <c r="C50">
        <v>70.3</v>
      </c>
      <c r="D50">
        <v>44.4</v>
      </c>
      <c r="E50">
        <v>340.5</v>
      </c>
      <c r="F50">
        <v>1.7</v>
      </c>
      <c r="G50">
        <v>1.4</v>
      </c>
      <c r="H50">
        <v>5.8</v>
      </c>
      <c r="I50">
        <v>19.600000000000001</v>
      </c>
      <c r="J50">
        <v>0.1</v>
      </c>
      <c r="K50">
        <v>0.3</v>
      </c>
      <c r="L50">
        <v>21.1</v>
      </c>
    </row>
    <row r="51" spans="1:12" x14ac:dyDescent="0.35">
      <c r="A51" t="s">
        <v>416</v>
      </c>
      <c r="B51" t="s">
        <v>214</v>
      </c>
      <c r="C51">
        <v>40.6</v>
      </c>
      <c r="D51">
        <v>26.9</v>
      </c>
      <c r="E51">
        <v>267</v>
      </c>
      <c r="F51">
        <v>1.8</v>
      </c>
      <c r="G51">
        <v>0.9</v>
      </c>
      <c r="H51">
        <v>6</v>
      </c>
      <c r="I51">
        <v>27.8</v>
      </c>
      <c r="J51">
        <v>0.2</v>
      </c>
      <c r="K51">
        <v>0.2</v>
      </c>
      <c r="L51">
        <v>20.399999999999999</v>
      </c>
    </row>
    <row r="52" spans="1:12" x14ac:dyDescent="0.35">
      <c r="A52" t="s">
        <v>135</v>
      </c>
      <c r="B52" t="s">
        <v>210</v>
      </c>
      <c r="C52">
        <v>44.7</v>
      </c>
      <c r="D52">
        <v>27.9</v>
      </c>
      <c r="E52">
        <v>278.10000000000002</v>
      </c>
      <c r="F52">
        <v>2.1</v>
      </c>
      <c r="G52">
        <v>0.7</v>
      </c>
      <c r="H52">
        <v>3.8</v>
      </c>
      <c r="I52">
        <v>15.5</v>
      </c>
      <c r="J52">
        <v>0.1</v>
      </c>
      <c r="K52">
        <v>0.2</v>
      </c>
      <c r="L52">
        <v>20.3</v>
      </c>
    </row>
    <row r="53" spans="1:12" x14ac:dyDescent="0.35">
      <c r="A53" t="s">
        <v>835</v>
      </c>
      <c r="B53" t="s">
        <v>213</v>
      </c>
      <c r="C53">
        <v>46.3</v>
      </c>
      <c r="D53">
        <v>29.7</v>
      </c>
      <c r="E53">
        <v>291.39999999999998</v>
      </c>
      <c r="F53">
        <v>1.7</v>
      </c>
      <c r="G53">
        <v>1.2</v>
      </c>
      <c r="H53">
        <v>5.2</v>
      </c>
      <c r="I53">
        <v>24.5</v>
      </c>
      <c r="J53">
        <v>0.1</v>
      </c>
      <c r="K53">
        <v>0.2</v>
      </c>
      <c r="L53">
        <v>20.100000000000001</v>
      </c>
    </row>
    <row r="54" spans="1:12" x14ac:dyDescent="0.35">
      <c r="A54" t="s">
        <v>133</v>
      </c>
      <c r="B54" t="s">
        <v>217</v>
      </c>
      <c r="C54">
        <v>43.5</v>
      </c>
      <c r="D54">
        <v>27.5</v>
      </c>
      <c r="E54">
        <v>273.10000000000002</v>
      </c>
      <c r="F54">
        <v>1.9</v>
      </c>
      <c r="G54">
        <v>0.9</v>
      </c>
      <c r="H54">
        <v>5.5</v>
      </c>
      <c r="I54">
        <v>24</v>
      </c>
      <c r="J54">
        <v>0</v>
      </c>
      <c r="K54">
        <v>0.2</v>
      </c>
      <c r="L54">
        <v>19.7</v>
      </c>
    </row>
    <row r="55" spans="1:12" x14ac:dyDescent="0.35">
      <c r="A55" t="s">
        <v>347</v>
      </c>
      <c r="B55" t="s">
        <v>199</v>
      </c>
      <c r="C55">
        <v>48.2</v>
      </c>
      <c r="D55">
        <v>30.6</v>
      </c>
      <c r="E55">
        <v>298.8</v>
      </c>
      <c r="F55">
        <v>2</v>
      </c>
      <c r="G55">
        <v>1.3</v>
      </c>
      <c r="H55">
        <v>5.7</v>
      </c>
      <c r="I55">
        <v>11</v>
      </c>
      <c r="J55">
        <v>0.1</v>
      </c>
      <c r="K55">
        <v>0.2</v>
      </c>
      <c r="L55">
        <v>19.7</v>
      </c>
    </row>
    <row r="56" spans="1:12" x14ac:dyDescent="0.35">
      <c r="A56" t="s">
        <v>537</v>
      </c>
      <c r="B56" t="s">
        <v>219</v>
      </c>
      <c r="C56">
        <v>47.6</v>
      </c>
      <c r="D56">
        <v>29.9</v>
      </c>
      <c r="E56">
        <v>290.2</v>
      </c>
      <c r="F56">
        <v>1.9</v>
      </c>
      <c r="G56">
        <v>1</v>
      </c>
      <c r="H56">
        <v>4.5</v>
      </c>
      <c r="I56">
        <v>14.9</v>
      </c>
      <c r="J56">
        <v>0.1</v>
      </c>
      <c r="K56">
        <v>0.2</v>
      </c>
      <c r="L56">
        <v>19.5</v>
      </c>
    </row>
    <row r="57" spans="1:12" x14ac:dyDescent="0.35">
      <c r="A57" t="s">
        <v>858</v>
      </c>
      <c r="B57" t="s">
        <v>194</v>
      </c>
      <c r="C57">
        <v>48.8</v>
      </c>
      <c r="D57">
        <v>30.6</v>
      </c>
      <c r="E57">
        <v>317.2</v>
      </c>
      <c r="F57">
        <v>1.8</v>
      </c>
      <c r="G57">
        <v>1.1000000000000001</v>
      </c>
      <c r="H57">
        <v>5</v>
      </c>
      <c r="I57">
        <v>13.3</v>
      </c>
      <c r="J57">
        <v>0</v>
      </c>
      <c r="K57">
        <v>0.5</v>
      </c>
      <c r="L57">
        <v>19.399999999999999</v>
      </c>
    </row>
    <row r="58" spans="1:12" x14ac:dyDescent="0.35">
      <c r="A58" t="s">
        <v>776</v>
      </c>
      <c r="B58" t="s">
        <v>208</v>
      </c>
      <c r="C58">
        <v>48.4</v>
      </c>
      <c r="D58">
        <v>30.9</v>
      </c>
      <c r="E58">
        <v>305.60000000000002</v>
      </c>
      <c r="F58">
        <v>1.6</v>
      </c>
      <c r="G58">
        <v>1.4</v>
      </c>
      <c r="H58">
        <v>5.7</v>
      </c>
      <c r="I58">
        <v>20.8</v>
      </c>
      <c r="J58">
        <v>0.1</v>
      </c>
      <c r="K58">
        <v>0.2</v>
      </c>
      <c r="L58">
        <v>19.3</v>
      </c>
    </row>
    <row r="59" spans="1:12" x14ac:dyDescent="0.35">
      <c r="A59" t="s">
        <v>349</v>
      </c>
      <c r="B59" t="s">
        <v>200</v>
      </c>
      <c r="C59">
        <v>42.8</v>
      </c>
      <c r="D59">
        <v>27.2</v>
      </c>
      <c r="E59">
        <v>274.60000000000002</v>
      </c>
      <c r="F59">
        <v>1.7</v>
      </c>
      <c r="G59">
        <v>0.9</v>
      </c>
      <c r="H59">
        <v>6.6</v>
      </c>
      <c r="I59">
        <v>27.6</v>
      </c>
      <c r="J59">
        <v>0.1</v>
      </c>
      <c r="K59">
        <v>0.5</v>
      </c>
      <c r="L59">
        <v>19.3</v>
      </c>
    </row>
    <row r="60" spans="1:12" x14ac:dyDescent="0.35">
      <c r="A60" t="s">
        <v>582</v>
      </c>
      <c r="B60" t="s">
        <v>189</v>
      </c>
      <c r="C60">
        <v>40.799999999999997</v>
      </c>
      <c r="D60">
        <v>25.1</v>
      </c>
      <c r="E60">
        <v>255.8</v>
      </c>
      <c r="F60">
        <v>1.9</v>
      </c>
      <c r="G60">
        <v>0.9</v>
      </c>
      <c r="H60">
        <v>6.9</v>
      </c>
      <c r="I60">
        <v>26.1</v>
      </c>
      <c r="J60">
        <v>0.1</v>
      </c>
      <c r="K60">
        <v>0.3</v>
      </c>
      <c r="L60">
        <v>19.2</v>
      </c>
    </row>
    <row r="61" spans="1:12" x14ac:dyDescent="0.35">
      <c r="A61" t="s">
        <v>536</v>
      </c>
      <c r="B61" t="s">
        <v>205</v>
      </c>
      <c r="C61">
        <v>47</v>
      </c>
      <c r="D61">
        <v>31.5</v>
      </c>
      <c r="E61">
        <v>293.89999999999998</v>
      </c>
      <c r="F61">
        <v>1.6</v>
      </c>
      <c r="G61">
        <v>0.9</v>
      </c>
      <c r="H61">
        <v>5.4</v>
      </c>
      <c r="I61">
        <v>18.899999999999999</v>
      </c>
      <c r="J61">
        <v>0</v>
      </c>
      <c r="K61">
        <v>0.1</v>
      </c>
      <c r="L61">
        <v>19.2</v>
      </c>
    </row>
    <row r="62" spans="1:12" x14ac:dyDescent="0.35">
      <c r="A62" t="s">
        <v>580</v>
      </c>
      <c r="B62" t="s">
        <v>207</v>
      </c>
      <c r="C62">
        <v>43.8</v>
      </c>
      <c r="D62">
        <v>28.4</v>
      </c>
      <c r="E62">
        <v>283.3</v>
      </c>
      <c r="F62">
        <v>1.6</v>
      </c>
      <c r="G62">
        <v>1.2</v>
      </c>
      <c r="H62">
        <v>7.1</v>
      </c>
      <c r="I62">
        <v>21.5</v>
      </c>
      <c r="J62">
        <v>0.2</v>
      </c>
      <c r="K62">
        <v>0.5</v>
      </c>
      <c r="L62">
        <v>18.899999999999999</v>
      </c>
    </row>
    <row r="63" spans="1:12" x14ac:dyDescent="0.35">
      <c r="A63" t="s">
        <v>105</v>
      </c>
      <c r="B63" t="s">
        <v>197</v>
      </c>
      <c r="C63">
        <v>42.6</v>
      </c>
      <c r="D63">
        <v>26.4</v>
      </c>
      <c r="E63">
        <v>272.2</v>
      </c>
      <c r="F63">
        <v>1.5</v>
      </c>
      <c r="G63">
        <v>1.2</v>
      </c>
      <c r="H63">
        <v>6.9</v>
      </c>
      <c r="I63">
        <v>30.3</v>
      </c>
      <c r="J63">
        <v>0.1</v>
      </c>
      <c r="K63">
        <v>0.2</v>
      </c>
      <c r="L63">
        <v>18.899999999999999</v>
      </c>
    </row>
    <row r="64" spans="1:12" x14ac:dyDescent="0.35">
      <c r="A64" t="s">
        <v>538</v>
      </c>
      <c r="B64" t="s">
        <v>195</v>
      </c>
      <c r="C64">
        <v>44.7</v>
      </c>
      <c r="D64">
        <v>26.9</v>
      </c>
      <c r="E64">
        <v>265</v>
      </c>
      <c r="F64">
        <v>1.7</v>
      </c>
      <c r="G64">
        <v>0.9</v>
      </c>
      <c r="H64">
        <v>5.5</v>
      </c>
      <c r="I64">
        <v>13.5</v>
      </c>
      <c r="J64">
        <v>0.1</v>
      </c>
      <c r="K64">
        <v>0.2</v>
      </c>
      <c r="L64">
        <v>18</v>
      </c>
    </row>
    <row r="65" spans="1:12" x14ac:dyDescent="0.35">
      <c r="A65" t="s">
        <v>348</v>
      </c>
      <c r="B65" t="s">
        <v>198</v>
      </c>
      <c r="C65">
        <v>44</v>
      </c>
      <c r="D65">
        <v>27.1</v>
      </c>
      <c r="E65">
        <v>281.3</v>
      </c>
      <c r="F65">
        <v>1.7</v>
      </c>
      <c r="G65">
        <v>1.2</v>
      </c>
      <c r="H65">
        <v>4.9000000000000004</v>
      </c>
      <c r="I65">
        <v>14.5</v>
      </c>
      <c r="J65">
        <v>0</v>
      </c>
      <c r="K65">
        <v>0.2</v>
      </c>
      <c r="L65">
        <v>18</v>
      </c>
    </row>
    <row r="66" spans="1:12" x14ac:dyDescent="0.35">
      <c r="A66" t="s">
        <v>132</v>
      </c>
      <c r="B66" t="s">
        <v>196</v>
      </c>
      <c r="C66">
        <v>45.6</v>
      </c>
      <c r="D66">
        <v>28.6</v>
      </c>
      <c r="E66">
        <v>270.5</v>
      </c>
      <c r="F66">
        <v>1.5</v>
      </c>
      <c r="G66">
        <v>0.9</v>
      </c>
      <c r="H66">
        <v>4.7</v>
      </c>
      <c r="I66">
        <v>16.600000000000001</v>
      </c>
      <c r="J66">
        <v>0.1</v>
      </c>
      <c r="K66">
        <v>0.1</v>
      </c>
      <c r="L66">
        <v>17.8</v>
      </c>
    </row>
    <row r="67" spans="1:12" x14ac:dyDescent="0.35">
      <c r="A67" t="s">
        <v>419</v>
      </c>
      <c r="B67" t="s">
        <v>200</v>
      </c>
      <c r="C67">
        <v>0</v>
      </c>
      <c r="D67">
        <v>0</v>
      </c>
      <c r="E67">
        <v>215</v>
      </c>
      <c r="F67">
        <v>1</v>
      </c>
      <c r="G67">
        <v>1</v>
      </c>
      <c r="H67">
        <v>0</v>
      </c>
      <c r="I67">
        <v>13</v>
      </c>
      <c r="J67">
        <v>0</v>
      </c>
      <c r="K67">
        <v>0</v>
      </c>
      <c r="L67">
        <v>12.9</v>
      </c>
    </row>
    <row r="68" spans="1:12" x14ac:dyDescent="0.35">
      <c r="A68" t="s">
        <v>533</v>
      </c>
      <c r="B68" t="s">
        <v>218</v>
      </c>
      <c r="C68">
        <v>0</v>
      </c>
      <c r="D68">
        <v>0</v>
      </c>
      <c r="E68">
        <v>200</v>
      </c>
      <c r="F68">
        <v>1</v>
      </c>
      <c r="G68">
        <v>1</v>
      </c>
      <c r="H68">
        <v>0</v>
      </c>
      <c r="I68">
        <v>17</v>
      </c>
      <c r="J68">
        <v>0</v>
      </c>
      <c r="K68">
        <v>0</v>
      </c>
      <c r="L68">
        <v>12.7</v>
      </c>
    </row>
    <row r="69" spans="1:12" x14ac:dyDescent="0.35">
      <c r="A69" t="s">
        <v>984</v>
      </c>
      <c r="B69" t="s">
        <v>206</v>
      </c>
      <c r="C69">
        <v>0</v>
      </c>
      <c r="D69">
        <v>0</v>
      </c>
      <c r="E69">
        <v>190</v>
      </c>
      <c r="F69">
        <v>1</v>
      </c>
      <c r="G69">
        <v>1</v>
      </c>
      <c r="H69">
        <v>0</v>
      </c>
      <c r="I69">
        <v>17</v>
      </c>
      <c r="J69">
        <v>0</v>
      </c>
      <c r="K69">
        <v>0</v>
      </c>
      <c r="L69">
        <v>12.3</v>
      </c>
    </row>
    <row r="70" spans="1:12" x14ac:dyDescent="0.35">
      <c r="A70" t="s">
        <v>223</v>
      </c>
      <c r="B70" t="s">
        <v>219</v>
      </c>
      <c r="C70">
        <v>0</v>
      </c>
      <c r="D70">
        <v>0</v>
      </c>
      <c r="E70">
        <v>205</v>
      </c>
      <c r="F70">
        <v>1</v>
      </c>
      <c r="G70">
        <v>1</v>
      </c>
      <c r="H70">
        <v>0</v>
      </c>
      <c r="I70">
        <v>8</v>
      </c>
      <c r="J70">
        <v>0</v>
      </c>
      <c r="K70">
        <v>0</v>
      </c>
      <c r="L70">
        <v>12</v>
      </c>
    </row>
    <row r="71" spans="1:12" x14ac:dyDescent="0.35">
      <c r="A71" t="s">
        <v>535</v>
      </c>
      <c r="B71" t="s">
        <v>199</v>
      </c>
      <c r="C71">
        <v>24</v>
      </c>
      <c r="D71">
        <v>15</v>
      </c>
      <c r="E71">
        <v>177</v>
      </c>
      <c r="F71">
        <v>1</v>
      </c>
      <c r="G71">
        <v>1</v>
      </c>
      <c r="H71">
        <v>5</v>
      </c>
      <c r="I71">
        <v>18.5</v>
      </c>
      <c r="J71">
        <v>0</v>
      </c>
      <c r="K71">
        <v>0</v>
      </c>
      <c r="L71">
        <v>11.9</v>
      </c>
    </row>
    <row r="72" spans="1:12" x14ac:dyDescent="0.35">
      <c r="A72" t="s">
        <v>859</v>
      </c>
      <c r="B72" t="s">
        <v>195</v>
      </c>
      <c r="C72">
        <v>0</v>
      </c>
      <c r="D72">
        <v>0</v>
      </c>
      <c r="E72">
        <v>190</v>
      </c>
      <c r="F72">
        <v>1</v>
      </c>
      <c r="G72">
        <v>1</v>
      </c>
      <c r="H72">
        <v>0</v>
      </c>
      <c r="I72">
        <v>12</v>
      </c>
      <c r="J72">
        <v>0</v>
      </c>
      <c r="K72">
        <v>0</v>
      </c>
      <c r="L72">
        <v>11.8</v>
      </c>
    </row>
    <row r="73" spans="1:12" x14ac:dyDescent="0.35">
      <c r="A73" t="s">
        <v>985</v>
      </c>
      <c r="B73" t="s">
        <v>217</v>
      </c>
      <c r="C73">
        <v>0</v>
      </c>
      <c r="D73">
        <v>0</v>
      </c>
      <c r="E73">
        <v>188</v>
      </c>
      <c r="F73">
        <v>1</v>
      </c>
      <c r="G73">
        <v>1</v>
      </c>
      <c r="H73">
        <v>0</v>
      </c>
      <c r="I73">
        <v>10</v>
      </c>
      <c r="J73">
        <v>0</v>
      </c>
      <c r="K73">
        <v>0</v>
      </c>
      <c r="L73">
        <v>11.5</v>
      </c>
    </row>
    <row r="74" spans="1:12" x14ac:dyDescent="0.35">
      <c r="A74" t="s">
        <v>987</v>
      </c>
      <c r="B74" t="s">
        <v>190</v>
      </c>
      <c r="C74">
        <v>0</v>
      </c>
      <c r="D74">
        <v>0</v>
      </c>
      <c r="E74">
        <v>190</v>
      </c>
      <c r="F74">
        <v>1</v>
      </c>
      <c r="G74">
        <v>1</v>
      </c>
      <c r="H74">
        <v>0</v>
      </c>
      <c r="I74">
        <v>17</v>
      </c>
      <c r="J74">
        <v>0</v>
      </c>
      <c r="K74">
        <v>1</v>
      </c>
      <c r="L74">
        <v>10.3</v>
      </c>
    </row>
    <row r="75" spans="1:12" x14ac:dyDescent="0.35">
      <c r="A75" t="s">
        <v>418</v>
      </c>
      <c r="B75" t="s">
        <v>202</v>
      </c>
      <c r="C75">
        <v>0</v>
      </c>
      <c r="D75">
        <v>0</v>
      </c>
      <c r="E75">
        <v>149</v>
      </c>
      <c r="F75">
        <v>1</v>
      </c>
      <c r="G75">
        <v>1</v>
      </c>
      <c r="H75">
        <v>0</v>
      </c>
      <c r="I75">
        <v>10</v>
      </c>
      <c r="J75">
        <v>0</v>
      </c>
      <c r="K75">
        <v>0</v>
      </c>
      <c r="L75">
        <v>10</v>
      </c>
    </row>
    <row r="76" spans="1:12" x14ac:dyDescent="0.35">
      <c r="A76" t="s">
        <v>726</v>
      </c>
      <c r="B76" t="s">
        <v>189</v>
      </c>
      <c r="C76">
        <v>0</v>
      </c>
      <c r="D76">
        <v>0</v>
      </c>
      <c r="E76">
        <v>154</v>
      </c>
      <c r="F76">
        <v>1</v>
      </c>
      <c r="G76">
        <v>1</v>
      </c>
      <c r="H76">
        <v>0</v>
      </c>
      <c r="I76">
        <v>8</v>
      </c>
      <c r="J76">
        <v>0</v>
      </c>
      <c r="K76">
        <v>0</v>
      </c>
      <c r="L76">
        <v>10</v>
      </c>
    </row>
    <row r="77" spans="1:12" x14ac:dyDescent="0.35">
      <c r="A77" t="s">
        <v>420</v>
      </c>
      <c r="B77" t="s">
        <v>203</v>
      </c>
      <c r="C77">
        <v>0</v>
      </c>
      <c r="D77">
        <v>0</v>
      </c>
      <c r="E77">
        <v>155</v>
      </c>
      <c r="F77">
        <v>1</v>
      </c>
      <c r="G77">
        <v>1</v>
      </c>
      <c r="H77">
        <v>0</v>
      </c>
      <c r="I77">
        <v>7</v>
      </c>
      <c r="J77">
        <v>0</v>
      </c>
      <c r="K77">
        <v>0</v>
      </c>
      <c r="L77">
        <v>9.9</v>
      </c>
    </row>
    <row r="78" spans="1:12" x14ac:dyDescent="0.35">
      <c r="A78" t="s">
        <v>754</v>
      </c>
      <c r="B78" t="s">
        <v>210</v>
      </c>
      <c r="C78">
        <v>0</v>
      </c>
      <c r="D78">
        <v>0</v>
      </c>
      <c r="E78">
        <v>140</v>
      </c>
      <c r="F78">
        <v>1</v>
      </c>
      <c r="G78">
        <v>1</v>
      </c>
      <c r="H78">
        <v>0</v>
      </c>
      <c r="I78">
        <v>11</v>
      </c>
      <c r="J78">
        <v>0</v>
      </c>
      <c r="K78">
        <v>0</v>
      </c>
      <c r="L78">
        <v>9.6999999999999993</v>
      </c>
    </row>
    <row r="79" spans="1:12" x14ac:dyDescent="0.35">
      <c r="A79" t="s">
        <v>1126</v>
      </c>
      <c r="B79" t="s">
        <v>191</v>
      </c>
      <c r="C79">
        <v>17</v>
      </c>
      <c r="D79">
        <v>11</v>
      </c>
      <c r="E79">
        <v>119</v>
      </c>
      <c r="F79">
        <v>1</v>
      </c>
      <c r="G79">
        <v>0</v>
      </c>
      <c r="H79">
        <v>2</v>
      </c>
      <c r="I79">
        <v>8</v>
      </c>
      <c r="J79">
        <v>0</v>
      </c>
      <c r="K79">
        <v>0</v>
      </c>
      <c r="L79">
        <v>9.6</v>
      </c>
    </row>
    <row r="80" spans="1:12" x14ac:dyDescent="0.35">
      <c r="A80" t="s">
        <v>749</v>
      </c>
      <c r="B80" t="s">
        <v>216</v>
      </c>
      <c r="C80">
        <v>0</v>
      </c>
      <c r="D80">
        <v>0</v>
      </c>
      <c r="E80">
        <v>92</v>
      </c>
      <c r="F80">
        <v>1</v>
      </c>
      <c r="G80">
        <v>0</v>
      </c>
      <c r="H80">
        <v>0</v>
      </c>
      <c r="I80">
        <v>13</v>
      </c>
      <c r="J80">
        <v>0</v>
      </c>
      <c r="K80">
        <v>0</v>
      </c>
      <c r="L80">
        <v>9</v>
      </c>
    </row>
    <row r="81" spans="1:12" x14ac:dyDescent="0.35">
      <c r="A81" t="s">
        <v>988</v>
      </c>
      <c r="B81" t="s">
        <v>197</v>
      </c>
      <c r="C81">
        <v>0</v>
      </c>
      <c r="D81">
        <v>0</v>
      </c>
      <c r="E81">
        <v>100</v>
      </c>
      <c r="F81">
        <v>1</v>
      </c>
      <c r="G81">
        <v>0</v>
      </c>
      <c r="H81">
        <v>0</v>
      </c>
      <c r="I81">
        <v>7</v>
      </c>
      <c r="J81">
        <v>0</v>
      </c>
      <c r="K81">
        <v>0</v>
      </c>
      <c r="L81">
        <v>8.6999999999999993</v>
      </c>
    </row>
    <row r="82" spans="1:12" x14ac:dyDescent="0.35">
      <c r="A82" t="s">
        <v>991</v>
      </c>
      <c r="B82" t="s">
        <v>220</v>
      </c>
      <c r="C82">
        <v>25</v>
      </c>
      <c r="D82">
        <v>14</v>
      </c>
      <c r="E82">
        <v>121.5</v>
      </c>
      <c r="F82">
        <v>0.5</v>
      </c>
      <c r="G82">
        <v>0.5</v>
      </c>
      <c r="H82">
        <v>5</v>
      </c>
      <c r="I82">
        <v>21</v>
      </c>
      <c r="J82">
        <v>0</v>
      </c>
      <c r="K82">
        <v>0</v>
      </c>
      <c r="L82">
        <v>8.5</v>
      </c>
    </row>
    <row r="83" spans="1:12" x14ac:dyDescent="0.35">
      <c r="A83" t="s">
        <v>989</v>
      </c>
      <c r="B83" t="s">
        <v>207</v>
      </c>
      <c r="C83">
        <v>0</v>
      </c>
      <c r="D83">
        <v>0</v>
      </c>
      <c r="E83">
        <v>80</v>
      </c>
      <c r="F83">
        <v>1</v>
      </c>
      <c r="G83">
        <v>0</v>
      </c>
      <c r="H83">
        <v>0</v>
      </c>
      <c r="I83">
        <v>8</v>
      </c>
      <c r="J83">
        <v>0</v>
      </c>
      <c r="K83">
        <v>0</v>
      </c>
      <c r="L83">
        <v>8</v>
      </c>
    </row>
    <row r="84" spans="1:12" x14ac:dyDescent="0.35">
      <c r="A84" t="s">
        <v>990</v>
      </c>
      <c r="B84" t="s">
        <v>194</v>
      </c>
      <c r="C84">
        <v>0</v>
      </c>
      <c r="D84">
        <v>0</v>
      </c>
      <c r="E84">
        <v>76</v>
      </c>
      <c r="F84">
        <v>1</v>
      </c>
      <c r="G84">
        <v>0</v>
      </c>
      <c r="H84">
        <v>0</v>
      </c>
      <c r="I84">
        <v>8</v>
      </c>
      <c r="J84">
        <v>0</v>
      </c>
      <c r="K84">
        <v>0</v>
      </c>
      <c r="L84">
        <v>7.8</v>
      </c>
    </row>
    <row r="85" spans="1:12" x14ac:dyDescent="0.35">
      <c r="A85" t="s">
        <v>992</v>
      </c>
      <c r="B85" t="s">
        <v>209</v>
      </c>
      <c r="C85">
        <v>0</v>
      </c>
      <c r="D85">
        <v>0</v>
      </c>
      <c r="E85">
        <v>65</v>
      </c>
      <c r="F85">
        <v>0</v>
      </c>
      <c r="G85">
        <v>0</v>
      </c>
      <c r="H85">
        <v>0</v>
      </c>
      <c r="I85">
        <v>0</v>
      </c>
      <c r="J85">
        <v>0</v>
      </c>
      <c r="K85">
        <v>0</v>
      </c>
      <c r="L85">
        <v>2.6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C137"/>
  <sheetViews>
    <sheetView zoomScale="85" zoomScaleNormal="85" workbookViewId="0">
      <selection activeCell="V135" sqref="V135"/>
    </sheetView>
  </sheetViews>
  <sheetFormatPr defaultColWidth="8.90625" defaultRowHeight="14.5" x14ac:dyDescent="0.35"/>
  <cols>
    <col min="1" max="1" width="7.08984375" bestFit="1" customWidth="1"/>
    <col min="2" max="2" width="21.453125" bestFit="1" customWidth="1"/>
    <col min="3" max="4" width="6.453125" bestFit="1" customWidth="1"/>
    <col min="5" max="5" width="6.08984375" bestFit="1" customWidth="1"/>
    <col min="6" max="6" width="5.6328125" bestFit="1" customWidth="1"/>
    <col min="7" max="7" width="6.453125" hidden="1" customWidth="1"/>
    <col min="8" max="8" width="6.90625" hidden="1" customWidth="1"/>
    <col min="9" max="9" width="6.453125" bestFit="1" customWidth="1"/>
    <col min="10" max="10" width="6.81640625" bestFit="1" customWidth="1"/>
    <col min="11" max="14" width="6.36328125" bestFit="1" customWidth="1"/>
    <col min="15" max="15" width="5.08984375" bestFit="1" customWidth="1"/>
    <col min="16" max="16" width="7.08984375" bestFit="1" customWidth="1"/>
    <col min="17" max="17" width="13.08984375" bestFit="1" customWidth="1"/>
    <col min="18" max="18" width="10.08984375" bestFit="1" customWidth="1"/>
    <col min="19" max="19" width="10.36328125" bestFit="1" customWidth="1"/>
    <col min="20" max="20" width="7.6328125" bestFit="1" customWidth="1"/>
    <col min="21" max="21" width="10.453125" bestFit="1" customWidth="1"/>
    <col min="22" max="22" width="9" style="5" bestFit="1" customWidth="1"/>
    <col min="23" max="23" width="9.453125" bestFit="1" customWidth="1"/>
    <col min="24" max="24" width="8.90625" hidden="1" customWidth="1"/>
    <col min="25" max="25" width="8.08984375" bestFit="1" customWidth="1"/>
    <col min="26" max="26" width="9.453125" bestFit="1" customWidth="1"/>
    <col min="27" max="27" width="6.453125" bestFit="1" customWidth="1"/>
    <col min="28" max="28" width="10.6328125" bestFit="1" customWidth="1"/>
    <col min="29" max="29" width="7.08984375" bestFit="1" customWidth="1"/>
  </cols>
  <sheetData>
    <row r="1" spans="1:29" x14ac:dyDescent="0.35">
      <c r="G1" s="264" t="s">
        <v>165</v>
      </c>
      <c r="H1" s="264"/>
      <c r="I1" s="264" t="s">
        <v>166</v>
      </c>
      <c r="J1" s="264"/>
      <c r="K1" s="264"/>
      <c r="L1" s="264" t="s">
        <v>225</v>
      </c>
      <c r="M1" s="264"/>
      <c r="N1" s="264"/>
    </row>
    <row r="2" spans="1:29" x14ac:dyDescent="0.35">
      <c r="A2" s="99" t="s">
        <v>167</v>
      </c>
      <c r="B2" s="99" t="s">
        <v>82</v>
      </c>
      <c r="C2" s="99" t="s">
        <v>168</v>
      </c>
      <c r="D2" s="99" t="s">
        <v>465</v>
      </c>
      <c r="E2" s="99" t="s">
        <v>169</v>
      </c>
      <c r="F2" s="99" t="s">
        <v>170</v>
      </c>
      <c r="G2" s="99" t="s">
        <v>171</v>
      </c>
      <c r="H2" s="99" t="s">
        <v>172</v>
      </c>
      <c r="I2" s="99" t="s">
        <v>171</v>
      </c>
      <c r="J2" s="99" t="s">
        <v>173</v>
      </c>
      <c r="K2" s="99" t="s">
        <v>174</v>
      </c>
      <c r="L2" s="99" t="s">
        <v>226</v>
      </c>
      <c r="M2" s="99" t="s">
        <v>173</v>
      </c>
      <c r="N2" s="99" t="s">
        <v>174</v>
      </c>
      <c r="O2" s="99" t="s">
        <v>176</v>
      </c>
      <c r="P2" s="99" t="s">
        <v>177</v>
      </c>
      <c r="Q2" s="99" t="s">
        <v>178</v>
      </c>
      <c r="R2" s="99" t="s">
        <v>179</v>
      </c>
      <c r="S2" s="99" t="s">
        <v>180</v>
      </c>
      <c r="T2" s="99" t="s">
        <v>181</v>
      </c>
      <c r="U2" s="99" t="s">
        <v>182</v>
      </c>
      <c r="V2" s="99" t="s">
        <v>183</v>
      </c>
      <c r="W2" s="99" t="s">
        <v>184</v>
      </c>
      <c r="Y2" s="99" t="s">
        <v>185</v>
      </c>
      <c r="Z2" s="99" t="s">
        <v>186</v>
      </c>
      <c r="AA2" s="99" t="s">
        <v>187</v>
      </c>
      <c r="AB2" s="99" t="s">
        <v>188</v>
      </c>
      <c r="AC2" s="99" t="s">
        <v>1094</v>
      </c>
    </row>
    <row r="3" spans="1:29" x14ac:dyDescent="0.35">
      <c r="A3">
        <f t="shared" ref="A3:A34" si="0">RANK(P3,P:P)</f>
        <v>1</v>
      </c>
      <c r="B3" t="str">
        <f>RB_Raw!A2</f>
        <v>Christian McCaffrey</v>
      </c>
      <c r="C3" t="s">
        <v>25</v>
      </c>
      <c r="D3">
        <f>_xlfn.IFNA(INDEX(BYEs!E:E,MATCH(B3,BYEs!D:D,0)),"N/A")</f>
        <v>28</v>
      </c>
      <c r="E3">
        <f>INDEX(BYEs!$B$2:$B$34,MATCH(F3,BYEs!$A$2:$A$34,0))</f>
        <v>9</v>
      </c>
      <c r="F3" t="str">
        <f>RB_Raw!B2</f>
        <v>SF</v>
      </c>
      <c r="G3" s="202">
        <v>0</v>
      </c>
      <c r="H3" s="203">
        <v>0</v>
      </c>
      <c r="I3" s="202">
        <f>RB_Raw!C2</f>
        <v>272.39999999999998</v>
      </c>
      <c r="J3" s="200">
        <f>RB_Raw!D2</f>
        <v>1288.8</v>
      </c>
      <c r="K3" s="203">
        <f>RB_Raw!E2</f>
        <v>11.6</v>
      </c>
      <c r="L3" s="202">
        <f>RB_Raw!F2</f>
        <v>69.900000000000006</v>
      </c>
      <c r="M3" s="200">
        <f>RB_Raw!G2</f>
        <v>567.9</v>
      </c>
      <c r="N3" s="203">
        <f>RB_Raw!H2</f>
        <v>4.8</v>
      </c>
      <c r="O3" s="200">
        <f>RB_Raw!I2</f>
        <v>1.7</v>
      </c>
      <c r="P3" s="205">
        <f t="shared" ref="P3:P34" si="1">(J3*RBRushingYd)+(K3*RBRushingTD)+(L3*RBReceptions)+(M3*RBRecYd)+(N3*RBRecTD)+(O3*RBFuml)+(I3*RBRushAtt)</f>
        <v>315.62000000000006</v>
      </c>
      <c r="Q3" t="str">
        <f t="shared" ref="Q3:Q34" ca="1" si="2">IF(A3&lt;=RBStarters,"Starter",IF(A3&gt;RBStarters+RBBench,"Undrafted","Bench"))</f>
        <v>Starter</v>
      </c>
      <c r="R3">
        <f t="shared" ref="R3:R34" ca="1" si="3">IFERROR(MAX(P3-LARGE(RBSheetCount,RBStarters),0),0)</f>
        <v>152.36000000000004</v>
      </c>
      <c r="S3">
        <f t="shared" ref="S3:S34" ca="1" si="4">IFERROR(IF(AllowNegative="Yes",P3-LARGE(RBSheetCount,RBCount),MAX(P3-LARGE(RBSheetCount,RBCount),0)),0)</f>
        <v>211.94000000000005</v>
      </c>
      <c r="T3" s="84">
        <f t="shared" ref="T3:T34" ca="1" si="5">(S3-R3)*BenchPF+R3*StarterPF</f>
        <v>58.004454831713801</v>
      </c>
      <c r="U3" s="84">
        <f ca="1">T3*Auction!$A$2</f>
        <v>58.004454831713801</v>
      </c>
      <c r="V3" s="5" t="str">
        <f>IF(OR(INDEX(Auction!$H$13:$H$650,MATCH(B3,Auction!$A$13:$A$650,0))&gt;0,IFERROR(INDEX(CheatSheet!$M$5:$M$64,MATCH(B3,CheatSheet!$J$5:$J$64,0)),"")&lt;&gt;""),"Yes","No")</f>
        <v>No</v>
      </c>
      <c r="W3" s="175"/>
      <c r="Y3" s="77">
        <f t="shared" ref="Y3:Y34" ca="1" si="6">SUMIFS(Z:Z,Z:Z,"&gt;0",V:V,"No")/SUMIF(Z:Z,"&gt;0")</f>
        <v>1</v>
      </c>
      <c r="Z3" s="174">
        <f t="shared" ref="Z3:Z34" ca="1" si="7">AVERAGE(R3:S3)</f>
        <v>182.15000000000003</v>
      </c>
      <c r="AA3" t="str">
        <f ca="1">IF(AC3&gt;3,"RB1",IF(AC3&gt;2.5,"RB2",IF(AC3&gt;2,"RB3",IF(AC3&gt;1.5,"RB4",IF(AC3&gt;1,"RB5",IF(AC3&gt;0.5,"RB6",IF(AC3&gt;0,"RB7","RB8")))))))</f>
        <v>RB1</v>
      </c>
      <c r="AB3" s="174">
        <f ca="1">Z3*LeagueInfo!$H$5</f>
        <v>58.825374749971871</v>
      </c>
      <c r="AC3" s="174">
        <f t="shared" ref="AC3:AC34" ca="1" si="8">(Z3-AVERAGE(Z:Z))/_xlfn.STDEV.P(Z:Z)</f>
        <v>3.9855038805747531</v>
      </c>
    </row>
    <row r="4" spans="1:29" x14ac:dyDescent="0.35">
      <c r="A4">
        <f t="shared" si="0"/>
        <v>2</v>
      </c>
      <c r="B4" t="str">
        <f>RB_Raw!A3</f>
        <v>Breece Hall</v>
      </c>
      <c r="C4" t="s">
        <v>25</v>
      </c>
      <c r="D4">
        <f>_xlfn.IFNA(INDEX(BYEs!E:E,MATCH(B4,BYEs!D:D,0)),"N/A")</f>
        <v>23</v>
      </c>
      <c r="E4">
        <f>INDEX(BYEs!$B$2:$B$34,MATCH(F4,BYEs!$A$2:$A$34,0))</f>
        <v>12</v>
      </c>
      <c r="F4" t="str">
        <f>RB_Raw!B3</f>
        <v>NYJ</v>
      </c>
      <c r="G4" s="202">
        <v>0</v>
      </c>
      <c r="H4" s="203">
        <v>0</v>
      </c>
      <c r="I4" s="202">
        <f>RB_Raw!C3</f>
        <v>249.2</v>
      </c>
      <c r="J4" s="200">
        <f>RB_Raw!D3</f>
        <v>1129.3</v>
      </c>
      <c r="K4" s="203">
        <f>RB_Raw!E3</f>
        <v>8.1</v>
      </c>
      <c r="L4" s="202">
        <f>RB_Raw!F3</f>
        <v>66.8</v>
      </c>
      <c r="M4" s="200">
        <f>RB_Raw!G3</f>
        <v>530</v>
      </c>
      <c r="N4" s="203">
        <f>RB_Raw!H3</f>
        <v>3.8</v>
      </c>
      <c r="O4" s="200">
        <f>RB_Raw!I3</f>
        <v>1.4</v>
      </c>
      <c r="P4" s="205">
        <f t="shared" si="1"/>
        <v>267.93</v>
      </c>
      <c r="Q4" t="str">
        <f t="shared" ca="1" si="2"/>
        <v>Starter</v>
      </c>
      <c r="R4">
        <f t="shared" ca="1" si="3"/>
        <v>104.66999999999999</v>
      </c>
      <c r="S4">
        <f t="shared" ca="1" si="4"/>
        <v>164.25</v>
      </c>
      <c r="T4" s="84">
        <f t="shared" ca="1" si="5"/>
        <v>42.925270904814283</v>
      </c>
      <c r="U4" s="84">
        <f ca="1">T4*Auction!$A$2</f>
        <v>42.925270904814283</v>
      </c>
      <c r="V4" s="5" t="str">
        <f>IF(OR(INDEX(Auction!$H$13:$H$650,MATCH(B4,Auction!$A$13:$A$650,0))&gt;0,IFERROR(INDEX(CheatSheet!$M$5:$M$64,MATCH(B4,CheatSheet!$J$5:$J$64,0)),"")&lt;&gt;""),"Yes","No")</f>
        <v>No</v>
      </c>
      <c r="W4" s="175"/>
      <c r="Y4" s="77">
        <f t="shared" ca="1" si="6"/>
        <v>1</v>
      </c>
      <c r="Z4" s="174">
        <f t="shared" ca="1" si="7"/>
        <v>134.45999999999998</v>
      </c>
      <c r="AA4" t="str">
        <f t="shared" ref="AA4:AA67" ca="1" si="9">IF(AC4&gt;3,"RB1",IF(AC4&gt;2.5,"RB2",IF(AC4&gt;2,"RB3",IF(AC4&gt;1.5,"RB4",IF(AC4&gt;1,"RB5",IF(AC4&gt;0.5,"RB6",IF(AC4&gt;0,"RB7","RB8")))))))</f>
        <v>RB2</v>
      </c>
      <c r="AB4" s="174">
        <f ca="1">Z4*LeagueInfo!$H$5</f>
        <v>43.423880806375053</v>
      </c>
      <c r="AC4" s="174">
        <f t="shared" ca="1" si="8"/>
        <v>2.9729479167735762</v>
      </c>
    </row>
    <row r="5" spans="1:29" x14ac:dyDescent="0.35">
      <c r="A5">
        <f t="shared" si="0"/>
        <v>3</v>
      </c>
      <c r="B5" t="str">
        <f>RB_Raw!A4</f>
        <v>Bijan Robinson</v>
      </c>
      <c r="C5" t="s">
        <v>25</v>
      </c>
      <c r="D5">
        <f>_xlfn.IFNA(INDEX(BYEs!E:E,MATCH(B5,BYEs!D:D,0)),"N/A")</f>
        <v>22</v>
      </c>
      <c r="E5">
        <f>INDEX(BYEs!$B$2:$B$34,MATCH(F5,BYEs!$A$2:$A$34,0))</f>
        <v>12</v>
      </c>
      <c r="F5" t="str">
        <f>RB_Raw!B4</f>
        <v>ATL</v>
      </c>
      <c r="G5" s="202">
        <v>0</v>
      </c>
      <c r="H5" s="203">
        <v>0</v>
      </c>
      <c r="I5" s="202">
        <f>RB_Raw!C4</f>
        <v>244</v>
      </c>
      <c r="J5" s="200">
        <f>RB_Raw!D4</f>
        <v>1113.0999999999999</v>
      </c>
      <c r="K5" s="203">
        <f>RB_Raw!E4</f>
        <v>7.4</v>
      </c>
      <c r="L5" s="202">
        <f>RB_Raw!F4</f>
        <v>65.5</v>
      </c>
      <c r="M5" s="200">
        <f>RB_Raw!G4</f>
        <v>534.1</v>
      </c>
      <c r="N5" s="203">
        <f>RB_Raw!H4</f>
        <v>4.3</v>
      </c>
      <c r="O5" s="200">
        <f>RB_Raw!I4</f>
        <v>2.2000000000000002</v>
      </c>
      <c r="P5" s="205">
        <f t="shared" si="1"/>
        <v>263.27000000000004</v>
      </c>
      <c r="Q5" t="str">
        <f t="shared" ca="1" si="2"/>
        <v>Starter</v>
      </c>
      <c r="R5">
        <f t="shared" ca="1" si="3"/>
        <v>100.01000000000002</v>
      </c>
      <c r="S5">
        <f t="shared" ca="1" si="4"/>
        <v>159.59000000000003</v>
      </c>
      <c r="T5" s="84">
        <f t="shared" ca="1" si="5"/>
        <v>41.451817411433041</v>
      </c>
      <c r="U5" s="84">
        <f ca="1">T5*Auction!$A$2</f>
        <v>41.451817411433041</v>
      </c>
      <c r="V5" s="5" t="str">
        <f>IF(OR(INDEX(Auction!$H$13:$H$650,MATCH(B5,Auction!$A$13:$A$650,0))&gt;0,IFERROR(INDEX(CheatSheet!$M$5:$M$64,MATCH(B5,CheatSheet!$J$5:$J$64,0)),"")&lt;&gt;""),"Yes","No")</f>
        <v>No</v>
      </c>
      <c r="W5" s="175"/>
      <c r="Y5" s="77">
        <f t="shared" ca="1" si="6"/>
        <v>1</v>
      </c>
      <c r="Z5" s="174">
        <f t="shared" ca="1" si="7"/>
        <v>129.80000000000001</v>
      </c>
      <c r="AA5" t="str">
        <f t="shared" ca="1" si="9"/>
        <v>RB2</v>
      </c>
      <c r="AB5" s="174">
        <f ca="1">Z5*LeagueInfo!$H$5</f>
        <v>41.918932981314022</v>
      </c>
      <c r="AC5" s="174">
        <f t="shared" ca="1" si="8"/>
        <v>2.8740066126990649</v>
      </c>
    </row>
    <row r="6" spans="1:29" x14ac:dyDescent="0.35">
      <c r="A6">
        <f t="shared" si="0"/>
        <v>4</v>
      </c>
      <c r="B6" t="str">
        <f>RB_Raw!A6</f>
        <v>Saquon Barkley</v>
      </c>
      <c r="C6" t="s">
        <v>25</v>
      </c>
      <c r="D6">
        <f>_xlfn.IFNA(INDEX(BYEs!E:E,MATCH(B6,BYEs!D:D,0)),"N/A")</f>
        <v>27</v>
      </c>
      <c r="E6">
        <f>INDEX(BYEs!$B$2:$B$34,MATCH(F6,BYEs!$A$2:$A$34,0))</f>
        <v>5</v>
      </c>
      <c r="F6" t="str">
        <f>RB_Raw!B6</f>
        <v>PHI</v>
      </c>
      <c r="G6" s="202">
        <v>0</v>
      </c>
      <c r="H6" s="203">
        <v>0</v>
      </c>
      <c r="I6" s="202">
        <f>RB_Raw!C6</f>
        <v>269.10000000000002</v>
      </c>
      <c r="J6" s="200">
        <f>RB_Raw!D6</f>
        <v>1128.5999999999999</v>
      </c>
      <c r="K6" s="203">
        <f>RB_Raw!E6</f>
        <v>9.3000000000000007</v>
      </c>
      <c r="L6" s="202">
        <f>RB_Raw!F6</f>
        <v>48</v>
      </c>
      <c r="M6" s="200">
        <f>RB_Raw!G6</f>
        <v>344.2</v>
      </c>
      <c r="N6" s="203">
        <f>RB_Raw!H6</f>
        <v>3</v>
      </c>
      <c r="O6" s="200">
        <f>RB_Raw!I6</f>
        <v>1.7</v>
      </c>
      <c r="P6" s="205">
        <f t="shared" si="1"/>
        <v>241.67999999999998</v>
      </c>
      <c r="Q6" t="str">
        <f t="shared" ca="1" si="2"/>
        <v>Starter</v>
      </c>
      <c r="R6">
        <f t="shared" ca="1" si="3"/>
        <v>78.419999999999959</v>
      </c>
      <c r="S6">
        <f t="shared" ca="1" si="4"/>
        <v>137.99999999999997</v>
      </c>
      <c r="T6" s="84">
        <f t="shared" ca="1" si="5"/>
        <v>34.625237814415613</v>
      </c>
      <c r="U6" s="84">
        <f ca="1">T6*Auction!$A$2</f>
        <v>34.625237814415613</v>
      </c>
      <c r="V6" s="5" t="str">
        <f>IF(OR(INDEX(Auction!$H$13:$H$650,MATCH(B6,Auction!$A$13:$A$650,0))&gt;0,IFERROR(INDEX(CheatSheet!$M$5:$M$64,MATCH(B6,CheatSheet!$J$5:$J$64,0)),"")&lt;&gt;""),"Yes","No")</f>
        <v>No</v>
      </c>
      <c r="W6" s="175"/>
      <c r="Y6" s="77">
        <f t="shared" ca="1" si="6"/>
        <v>1</v>
      </c>
      <c r="Z6" s="174">
        <f t="shared" ca="1" si="7"/>
        <v>108.20999999999997</v>
      </c>
      <c r="AA6" t="str">
        <f t="shared" ca="1" si="9"/>
        <v>RB3</v>
      </c>
      <c r="AB6" s="174">
        <f ca="1">Z6*LeagueInfo!$H$5</f>
        <v>34.946438658767242</v>
      </c>
      <c r="AC6" s="174">
        <f t="shared" ca="1" si="8"/>
        <v>2.4156068798731587</v>
      </c>
    </row>
    <row r="7" spans="1:29" x14ac:dyDescent="0.35">
      <c r="A7">
        <f t="shared" si="0"/>
        <v>5</v>
      </c>
      <c r="B7" t="str">
        <f>RB_Raw!A5</f>
        <v>Jonathan Taylor</v>
      </c>
      <c r="C7" t="s">
        <v>25</v>
      </c>
      <c r="D7">
        <f>_xlfn.IFNA(INDEX(BYEs!E:E,MATCH(B7,BYEs!D:D,0)),"N/A")</f>
        <v>25</v>
      </c>
      <c r="E7">
        <f>INDEX(BYEs!$B$2:$B$34,MATCH(F7,BYEs!$A$2:$A$34,0))</f>
        <v>14</v>
      </c>
      <c r="F7" t="str">
        <f>RB_Raw!B5</f>
        <v>IND</v>
      </c>
      <c r="G7" s="202">
        <v>0</v>
      </c>
      <c r="H7" s="203">
        <v>0</v>
      </c>
      <c r="I7" s="202">
        <f>RB_Raw!C5</f>
        <v>283.89999999999998</v>
      </c>
      <c r="J7" s="200">
        <f>RB_Raw!D5</f>
        <v>1271.5999999999999</v>
      </c>
      <c r="K7" s="203">
        <f>RB_Raw!E5</f>
        <v>10.1</v>
      </c>
      <c r="L7" s="202">
        <f>RB_Raw!F5</f>
        <v>37.200000000000003</v>
      </c>
      <c r="M7" s="200">
        <f>RB_Raw!G5</f>
        <v>278.89999999999998</v>
      </c>
      <c r="N7" s="203">
        <f>RB_Raw!H5</f>
        <v>1.6</v>
      </c>
      <c r="O7" s="200">
        <f>RB_Raw!I5</f>
        <v>1.4</v>
      </c>
      <c r="P7" s="205">
        <f t="shared" si="1"/>
        <v>241.04999999999998</v>
      </c>
      <c r="Q7" t="str">
        <f t="shared" ca="1" si="2"/>
        <v>Starter</v>
      </c>
      <c r="R7">
        <f t="shared" ca="1" si="3"/>
        <v>77.789999999999964</v>
      </c>
      <c r="S7">
        <f t="shared" ca="1" si="4"/>
        <v>137.36999999999998</v>
      </c>
      <c r="T7" s="84">
        <f t="shared" ca="1" si="5"/>
        <v>34.426037020246042</v>
      </c>
      <c r="U7" s="84">
        <f ca="1">T7*Auction!$A$2</f>
        <v>34.426037020246042</v>
      </c>
      <c r="V7" s="5" t="str">
        <f>IF(OR(INDEX(Auction!$H$13:$H$650,MATCH(B7,Auction!$A$13:$A$650,0))&gt;0,IFERROR(INDEX(CheatSheet!$M$5:$M$64,MATCH(B7,CheatSheet!$J$5:$J$64,0)),"")&lt;&gt;""),"Yes","No")</f>
        <v>No</v>
      </c>
      <c r="W7" s="175"/>
      <c r="Y7" s="77">
        <f t="shared" ca="1" si="6"/>
        <v>1</v>
      </c>
      <c r="Z7" s="174">
        <f t="shared" ca="1" si="7"/>
        <v>107.57999999999997</v>
      </c>
      <c r="AA7" t="str">
        <f t="shared" ca="1" si="9"/>
        <v>RB3</v>
      </c>
      <c r="AB7" s="174">
        <f ca="1">Z7*LeagueInfo!$H$5</f>
        <v>34.742980047224655</v>
      </c>
      <c r="AC7" s="174">
        <f t="shared" ca="1" si="8"/>
        <v>2.4022306949875492</v>
      </c>
    </row>
    <row r="8" spans="1:29" x14ac:dyDescent="0.35">
      <c r="A8">
        <f t="shared" si="0"/>
        <v>6</v>
      </c>
      <c r="B8" t="str">
        <f>RB_Raw!A7</f>
        <v>Derrick Henry</v>
      </c>
      <c r="C8" t="s">
        <v>25</v>
      </c>
      <c r="D8">
        <f>_xlfn.IFNA(INDEX(BYEs!E:E,MATCH(B8,BYEs!D:D,0)),"N/A")</f>
        <v>30</v>
      </c>
      <c r="E8">
        <f>INDEX(BYEs!$B$2:$B$34,MATCH(F8,BYEs!$A$2:$A$34,0))</f>
        <v>14</v>
      </c>
      <c r="F8" t="str">
        <f>RB_Raw!B7</f>
        <v>BAL</v>
      </c>
      <c r="G8" s="202">
        <v>0</v>
      </c>
      <c r="H8" s="203">
        <v>0</v>
      </c>
      <c r="I8" s="202">
        <f>RB_Raw!C7</f>
        <v>269.2</v>
      </c>
      <c r="J8" s="200">
        <f>RB_Raw!D7</f>
        <v>1203.3</v>
      </c>
      <c r="K8" s="203">
        <f>RB_Raw!E7</f>
        <v>11.2</v>
      </c>
      <c r="L8" s="202">
        <f>RB_Raw!F7</f>
        <v>24.9</v>
      </c>
      <c r="M8" s="200">
        <f>RB_Raw!G7</f>
        <v>199.1</v>
      </c>
      <c r="N8" s="203">
        <f>RB_Raw!H7</f>
        <v>0.9</v>
      </c>
      <c r="O8" s="200">
        <f>RB_Raw!I7</f>
        <v>1</v>
      </c>
      <c r="P8" s="205">
        <f t="shared" si="1"/>
        <v>223.28999999999996</v>
      </c>
      <c r="Q8" t="str">
        <f t="shared" ca="1" si="2"/>
        <v>Starter</v>
      </c>
      <c r="R8">
        <f t="shared" ca="1" si="3"/>
        <v>60.029999999999944</v>
      </c>
      <c r="S8">
        <f t="shared" ca="1" si="4"/>
        <v>119.60999999999996</v>
      </c>
      <c r="T8" s="84">
        <f t="shared" ca="1" si="5"/>
        <v>28.810471775084892</v>
      </c>
      <c r="U8" s="84">
        <f ca="1">T8*Auction!$A$2</f>
        <v>28.810471775084892</v>
      </c>
      <c r="V8" s="5" t="str">
        <f>IF(OR(INDEX(Auction!$H$13:$H$650,MATCH(B8,Auction!$A$13:$A$650,0))&gt;0,IFERROR(INDEX(CheatSheet!$M$5:$M$64,MATCH(B8,CheatSheet!$J$5:$J$64,0)),"")&lt;&gt;""),"Yes","No")</f>
        <v>No</v>
      </c>
      <c r="W8" s="175"/>
      <c r="Y8" s="77">
        <f t="shared" ca="1" si="6"/>
        <v>1</v>
      </c>
      <c r="Z8" s="174">
        <f t="shared" ca="1" si="7"/>
        <v>89.819999999999951</v>
      </c>
      <c r="AA8" t="str">
        <f t="shared" ca="1" si="9"/>
        <v>RB3</v>
      </c>
      <c r="AB8" s="174">
        <f ca="1">Z8*LeagueInfo!$H$5</f>
        <v>29.007384902786001</v>
      </c>
      <c r="AC8" s="174">
        <f t="shared" ca="1" si="8"/>
        <v>2.0251496734503522</v>
      </c>
    </row>
    <row r="9" spans="1:29" x14ac:dyDescent="0.35">
      <c r="A9">
        <f t="shared" si="0"/>
        <v>7</v>
      </c>
      <c r="B9" t="str">
        <f>RB_Raw!A8</f>
        <v>Kyren Williams</v>
      </c>
      <c r="C9" t="s">
        <v>25</v>
      </c>
      <c r="D9">
        <f>_xlfn.IFNA(INDEX(BYEs!E:E,MATCH(B9,BYEs!D:D,0)),"N/A")</f>
        <v>23</v>
      </c>
      <c r="E9">
        <f>INDEX(BYEs!$B$2:$B$34,MATCH(F9,BYEs!$A$2:$A$34,0))</f>
        <v>6</v>
      </c>
      <c r="F9" t="str">
        <f>RB_Raw!B8</f>
        <v>LAR</v>
      </c>
      <c r="G9" s="202">
        <v>0</v>
      </c>
      <c r="H9" s="203">
        <v>0</v>
      </c>
      <c r="I9" s="202">
        <f>RB_Raw!C8</f>
        <v>245.5</v>
      </c>
      <c r="J9" s="200">
        <f>RB_Raw!D8</f>
        <v>1115.9000000000001</v>
      </c>
      <c r="K9" s="203">
        <f>RB_Raw!E8</f>
        <v>10</v>
      </c>
      <c r="L9" s="202">
        <f>RB_Raw!F8</f>
        <v>34.700000000000003</v>
      </c>
      <c r="M9" s="200">
        <f>RB_Raw!G8</f>
        <v>253.6</v>
      </c>
      <c r="N9" s="203">
        <f>RB_Raw!H8</f>
        <v>2</v>
      </c>
      <c r="O9" s="200">
        <f>RB_Raw!I8</f>
        <v>1.7</v>
      </c>
      <c r="P9" s="205">
        <f t="shared" si="1"/>
        <v>222.9</v>
      </c>
      <c r="Q9" t="str">
        <f t="shared" ca="1" si="2"/>
        <v>Starter</v>
      </c>
      <c r="R9">
        <f t="shared" ca="1" si="3"/>
        <v>59.639999999999986</v>
      </c>
      <c r="S9">
        <f t="shared" ca="1" si="4"/>
        <v>119.22</v>
      </c>
      <c r="T9" s="84">
        <f t="shared" ca="1" si="5"/>
        <v>28.687156997741841</v>
      </c>
      <c r="U9" s="84">
        <f ca="1">T9*Auction!$A$2</f>
        <v>28.687156997741841</v>
      </c>
      <c r="V9" s="5" t="str">
        <f>IF(OR(INDEX(Auction!$H$13:$H$650,MATCH(B9,Auction!$A$13:$A$650,0))&gt;0,IFERROR(INDEX(CheatSheet!$M$5:$M$64,MATCH(B9,CheatSheet!$J$5:$J$64,0)),"")&lt;&gt;""),"Yes","No")</f>
        <v>No</v>
      </c>
      <c r="W9" s="175"/>
      <c r="Y9" s="77">
        <f t="shared" ca="1" si="6"/>
        <v>1</v>
      </c>
      <c r="Z9" s="174">
        <f t="shared" ca="1" si="7"/>
        <v>89.429999999999993</v>
      </c>
      <c r="AA9" t="str">
        <f t="shared" ca="1" si="9"/>
        <v>RB3</v>
      </c>
      <c r="AB9" s="174">
        <f ca="1">Z9*LeagueInfo!$H$5</f>
        <v>28.881434333735839</v>
      </c>
      <c r="AC9" s="174">
        <f t="shared" ca="1" si="8"/>
        <v>2.0168691780449759</v>
      </c>
    </row>
    <row r="10" spans="1:29" x14ac:dyDescent="0.35">
      <c r="A10">
        <f t="shared" si="0"/>
        <v>8</v>
      </c>
      <c r="B10" t="str">
        <f>RB_Raw!A9</f>
        <v>Jahmyr Gibbs</v>
      </c>
      <c r="C10" t="s">
        <v>25</v>
      </c>
      <c r="D10">
        <f>_xlfn.IFNA(INDEX(BYEs!E:E,MATCH(B10,BYEs!D:D,0)),"N/A")</f>
        <v>22</v>
      </c>
      <c r="E10">
        <f>INDEX(BYEs!$B$2:$B$34,MATCH(F10,BYEs!$A$2:$A$34,0))</f>
        <v>5</v>
      </c>
      <c r="F10" t="str">
        <f>RB_Raw!B9</f>
        <v>DET</v>
      </c>
      <c r="G10" s="202">
        <v>0</v>
      </c>
      <c r="H10" s="203">
        <v>0</v>
      </c>
      <c r="I10" s="202">
        <f>RB_Raw!C9</f>
        <v>202.5</v>
      </c>
      <c r="J10" s="200">
        <f>RB_Raw!D9</f>
        <v>941.3</v>
      </c>
      <c r="K10" s="203">
        <f>RB_Raw!E9</f>
        <v>8.4</v>
      </c>
      <c r="L10" s="202">
        <f>RB_Raw!F9</f>
        <v>54.6</v>
      </c>
      <c r="M10" s="200">
        <f>RB_Raw!G9</f>
        <v>388.9</v>
      </c>
      <c r="N10" s="203">
        <f>RB_Raw!H9</f>
        <v>2.2000000000000002</v>
      </c>
      <c r="O10" s="200">
        <f>RB_Raw!I9</f>
        <v>1.4</v>
      </c>
      <c r="P10" s="205">
        <f t="shared" si="1"/>
        <v>221.12</v>
      </c>
      <c r="Q10" t="str">
        <f t="shared" ca="1" si="2"/>
        <v>Starter</v>
      </c>
      <c r="R10">
        <f t="shared" ca="1" si="3"/>
        <v>57.859999999999985</v>
      </c>
      <c r="S10">
        <f t="shared" ca="1" si="4"/>
        <v>117.44</v>
      </c>
      <c r="T10" s="84">
        <f t="shared" ca="1" si="5"/>
        <v>28.124335706278615</v>
      </c>
      <c r="U10" s="84">
        <f ca="1">T10*Auction!$A$2</f>
        <v>28.124335706278615</v>
      </c>
      <c r="V10" s="5" t="str">
        <f>IF(OR(INDEX(Auction!$H$13:$H$650,MATCH(B10,Auction!$A$13:$A$650,0))&gt;0,IFERROR(INDEX(CheatSheet!$M$5:$M$64,MATCH(B10,CheatSheet!$J$5:$J$64,0)),"")&lt;&gt;""),"Yes","No")</f>
        <v>No</v>
      </c>
      <c r="W10" s="175"/>
      <c r="Y10" s="77">
        <f t="shared" ca="1" si="6"/>
        <v>1</v>
      </c>
      <c r="Z10" s="174">
        <f t="shared" ca="1" si="7"/>
        <v>87.649999999999991</v>
      </c>
      <c r="AA10" t="str">
        <f t="shared" ca="1" si="9"/>
        <v>RB4</v>
      </c>
      <c r="AB10" s="174">
        <f ca="1">Z10*LeagueInfo!$H$5</f>
        <v>28.306583018583769</v>
      </c>
      <c r="AC10" s="174">
        <f t="shared" ca="1" si="8"/>
        <v>1.9790761477332521</v>
      </c>
    </row>
    <row r="11" spans="1:29" x14ac:dyDescent="0.35">
      <c r="A11">
        <f t="shared" si="0"/>
        <v>9</v>
      </c>
      <c r="B11" t="str">
        <f>RB_Raw!A12</f>
        <v>Travis Etienne Jr.</v>
      </c>
      <c r="C11" t="s">
        <v>25</v>
      </c>
      <c r="D11">
        <f>_xlfn.IFNA(INDEX(BYEs!E:E,MATCH(B11,BYEs!D:D,0)),"N/A")</f>
        <v>25</v>
      </c>
      <c r="E11">
        <f>INDEX(BYEs!$B$2:$B$34,MATCH(F11,BYEs!$A$2:$A$34,0))</f>
        <v>12</v>
      </c>
      <c r="F11" t="str">
        <f>RB_Raw!B12</f>
        <v>JAC</v>
      </c>
      <c r="G11" s="202">
        <v>0</v>
      </c>
      <c r="H11" s="203">
        <v>0</v>
      </c>
      <c r="I11" s="202">
        <f>RB_Raw!C12</f>
        <v>250</v>
      </c>
      <c r="J11" s="200">
        <f>RB_Raw!D12</f>
        <v>1024.9000000000001</v>
      </c>
      <c r="K11" s="203">
        <f>RB_Raw!E12</f>
        <v>8.1999999999999993</v>
      </c>
      <c r="L11" s="202">
        <f>RB_Raw!F12</f>
        <v>46.1</v>
      </c>
      <c r="M11" s="200">
        <f>RB_Raw!G12</f>
        <v>357.9</v>
      </c>
      <c r="N11" s="203">
        <f>RB_Raw!H12</f>
        <v>1.2</v>
      </c>
      <c r="O11" s="200">
        <f>RB_Raw!I12</f>
        <v>1.3</v>
      </c>
      <c r="P11" s="205">
        <f t="shared" si="1"/>
        <v>215.13</v>
      </c>
      <c r="Q11" t="str">
        <f t="shared" ca="1" si="2"/>
        <v>Starter</v>
      </c>
      <c r="R11">
        <f t="shared" ca="1" si="3"/>
        <v>51.869999999999976</v>
      </c>
      <c r="S11">
        <f t="shared" ca="1" si="4"/>
        <v>111.44999999999999</v>
      </c>
      <c r="T11" s="84">
        <f t="shared" ca="1" si="5"/>
        <v>26.230347202983832</v>
      </c>
      <c r="U11" s="84">
        <f ca="1">T11*Auction!$A$2</f>
        <v>26.230347202983832</v>
      </c>
      <c r="V11" s="5" t="str">
        <f>IF(OR(INDEX(Auction!$H$13:$H$650,MATCH(B11,Auction!$A$13:$A$650,0))&gt;0,IFERROR(INDEX(CheatSheet!$M$5:$M$64,MATCH(B11,CheatSheet!$J$5:$J$64,0)),"")&lt;&gt;""),"Yes","No")</f>
        <v>No</v>
      </c>
      <c r="W11" s="175"/>
      <c r="Y11" s="77">
        <f t="shared" ca="1" si="6"/>
        <v>1</v>
      </c>
      <c r="Z11" s="174">
        <f t="shared" ca="1" si="7"/>
        <v>81.659999999999982</v>
      </c>
      <c r="AA11" t="str">
        <f t="shared" ca="1" si="9"/>
        <v>RB4</v>
      </c>
      <c r="AB11" s="174">
        <f ca="1">Z11*LeagueInfo!$H$5</f>
        <v>26.372111458043928</v>
      </c>
      <c r="AC11" s="174">
        <f t="shared" ca="1" si="8"/>
        <v>1.8518962311224523</v>
      </c>
    </row>
    <row r="12" spans="1:29" x14ac:dyDescent="0.35">
      <c r="A12">
        <f t="shared" si="0"/>
        <v>10</v>
      </c>
      <c r="B12" t="str">
        <f>RB_Raw!A11</f>
        <v>Josh Jacobs</v>
      </c>
      <c r="C12" t="s">
        <v>25</v>
      </c>
      <c r="D12">
        <f>_xlfn.IFNA(INDEX(BYEs!E:E,MATCH(B12,BYEs!D:D,0)),"N/A")</f>
        <v>26</v>
      </c>
      <c r="E12">
        <f>INDEX(BYEs!$B$2:$B$34,MATCH(F12,BYEs!$A$2:$A$34,0))</f>
        <v>10</v>
      </c>
      <c r="F12" t="str">
        <f>RB_Raw!B11</f>
        <v>GB</v>
      </c>
      <c r="G12" s="202">
        <v>0</v>
      </c>
      <c r="H12" s="203">
        <v>0</v>
      </c>
      <c r="I12" s="202">
        <f>RB_Raw!C11</f>
        <v>255.5</v>
      </c>
      <c r="J12" s="200">
        <f>RB_Raw!D11</f>
        <v>1055.9000000000001</v>
      </c>
      <c r="K12" s="203">
        <f>RB_Raw!E11</f>
        <v>8.6</v>
      </c>
      <c r="L12" s="202">
        <f>RB_Raw!F11</f>
        <v>39.700000000000003</v>
      </c>
      <c r="M12" s="200">
        <f>RB_Raw!G11</f>
        <v>301.7</v>
      </c>
      <c r="N12" s="203">
        <f>RB_Raw!H11</f>
        <v>1.1000000000000001</v>
      </c>
      <c r="O12" s="200">
        <f>RB_Raw!I11</f>
        <v>1.1000000000000001</v>
      </c>
      <c r="P12" s="205">
        <f t="shared" si="1"/>
        <v>211.60999999999999</v>
      </c>
      <c r="Q12" t="str">
        <f t="shared" ca="1" si="2"/>
        <v>Starter</v>
      </c>
      <c r="R12">
        <f t="shared" ca="1" si="3"/>
        <v>48.349999999999966</v>
      </c>
      <c r="S12">
        <f t="shared" ca="1" si="4"/>
        <v>107.92999999999998</v>
      </c>
      <c r="T12" s="84">
        <f t="shared" ca="1" si="5"/>
        <v>25.117352289528469</v>
      </c>
      <c r="U12" s="84">
        <f ca="1">T12*Auction!$A$2</f>
        <v>25.117352289528469</v>
      </c>
      <c r="V12" s="5" t="str">
        <f>IF(OR(INDEX(Auction!$H$13:$H$650,MATCH(B12,Auction!$A$13:$A$650,0))&gt;0,IFERROR(INDEX(CheatSheet!$M$5:$M$64,MATCH(B12,CheatSheet!$J$5:$J$64,0)),"")&lt;&gt;""),"Yes","No")</f>
        <v>No</v>
      </c>
      <c r="W12" s="175"/>
      <c r="Y12" s="77">
        <f t="shared" ca="1" si="6"/>
        <v>1</v>
      </c>
      <c r="Z12" s="174">
        <f t="shared" ca="1" si="7"/>
        <v>78.139999999999972</v>
      </c>
      <c r="AA12" t="str">
        <f t="shared" ca="1" si="9"/>
        <v>RB4</v>
      </c>
      <c r="AB12" s="174">
        <f ca="1">Z12*LeagueInfo!$H$5</f>
        <v>25.235326834821848</v>
      </c>
      <c r="AC12" s="174">
        <f t="shared" ca="1" si="8"/>
        <v>1.7771594520790437</v>
      </c>
    </row>
    <row r="13" spans="1:29" x14ac:dyDescent="0.35">
      <c r="A13">
        <f t="shared" si="0"/>
        <v>11</v>
      </c>
      <c r="B13" t="str">
        <f>RB_Raw!A10</f>
        <v>Isiah Pacheco</v>
      </c>
      <c r="C13" t="s">
        <v>25</v>
      </c>
      <c r="D13">
        <f>_xlfn.IFNA(INDEX(BYEs!E:E,MATCH(B13,BYEs!D:D,0)),"N/A")</f>
        <v>25</v>
      </c>
      <c r="E13">
        <f>INDEX(BYEs!$B$2:$B$34,MATCH(F13,BYEs!$A$2:$A$34,0))</f>
        <v>6</v>
      </c>
      <c r="F13" t="str">
        <f>RB_Raw!B10</f>
        <v>KC</v>
      </c>
      <c r="G13" s="202">
        <v>0</v>
      </c>
      <c r="H13" s="203">
        <v>0</v>
      </c>
      <c r="I13" s="202">
        <f>RB_Raw!C10</f>
        <v>238.6</v>
      </c>
      <c r="J13" s="200">
        <f>RB_Raw!D10</f>
        <v>1065.8</v>
      </c>
      <c r="K13" s="203">
        <f>RB_Raw!E10</f>
        <v>8.5</v>
      </c>
      <c r="L13" s="202">
        <f>RB_Raw!F10</f>
        <v>38.799999999999997</v>
      </c>
      <c r="M13" s="200">
        <f>RB_Raw!G10</f>
        <v>258.39999999999998</v>
      </c>
      <c r="N13" s="203">
        <f>RB_Raw!H10</f>
        <v>1.9</v>
      </c>
      <c r="O13" s="200">
        <f>RB_Raw!I10</f>
        <v>1.4</v>
      </c>
      <c r="P13" s="205">
        <f t="shared" si="1"/>
        <v>211.42</v>
      </c>
      <c r="Q13" t="str">
        <f t="shared" ca="1" si="2"/>
        <v>Starter</v>
      </c>
      <c r="R13">
        <f t="shared" ca="1" si="3"/>
        <v>48.159999999999968</v>
      </c>
      <c r="S13">
        <f t="shared" ca="1" si="4"/>
        <v>107.73999999999998</v>
      </c>
      <c r="T13" s="84">
        <f t="shared" ca="1" si="5"/>
        <v>25.057275859540823</v>
      </c>
      <c r="U13" s="84">
        <f ca="1">T13*Auction!$A$2</f>
        <v>25.057275859540823</v>
      </c>
      <c r="V13" s="5" t="str">
        <f>IF(OR(INDEX(Auction!$H$13:$H$650,MATCH(B13,Auction!$A$13:$A$650,0))&gt;0,IFERROR(INDEX(CheatSheet!$M$5:$M$64,MATCH(B13,CheatSheet!$J$5:$J$64,0)),"")&lt;&gt;""),"Yes","No")</f>
        <v>No</v>
      </c>
      <c r="W13" s="175"/>
      <c r="Y13" s="77">
        <f t="shared" ca="1" si="6"/>
        <v>1</v>
      </c>
      <c r="Z13" s="174">
        <f t="shared" ca="1" si="7"/>
        <v>77.949999999999974</v>
      </c>
      <c r="AA13" t="str">
        <f t="shared" ca="1" si="9"/>
        <v>RB4</v>
      </c>
      <c r="AB13" s="174">
        <f ca="1">Z13*LeagueInfo!$H$5</f>
        <v>25.173966301182023</v>
      </c>
      <c r="AC13" s="174">
        <f t="shared" ca="1" si="8"/>
        <v>1.7731253645738598</v>
      </c>
    </row>
    <row r="14" spans="1:29" x14ac:dyDescent="0.35">
      <c r="A14">
        <f t="shared" si="0"/>
        <v>12</v>
      </c>
      <c r="B14" t="str">
        <f>RB_Raw!A13</f>
        <v>James Cook</v>
      </c>
      <c r="C14" t="s">
        <v>25</v>
      </c>
      <c r="D14">
        <f>_xlfn.IFNA(INDEX(BYEs!E:E,MATCH(B14,BYEs!D:D,0)),"N/A")</f>
        <v>24</v>
      </c>
      <c r="E14">
        <f>INDEX(BYEs!$B$2:$B$34,MATCH(F14,BYEs!$A$2:$A$34,0))</f>
        <v>12</v>
      </c>
      <c r="F14" t="str">
        <f>RB_Raw!B13</f>
        <v>BUF</v>
      </c>
      <c r="G14" s="202">
        <v>0</v>
      </c>
      <c r="H14" s="203">
        <v>0</v>
      </c>
      <c r="I14" s="202">
        <f>RB_Raw!C13</f>
        <v>231.7</v>
      </c>
      <c r="J14" s="200">
        <f>RB_Raw!D13</f>
        <v>1033.4000000000001</v>
      </c>
      <c r="K14" s="203">
        <f>RB_Raw!E13</f>
        <v>5.0999999999999996</v>
      </c>
      <c r="L14" s="202">
        <f>RB_Raw!F13</f>
        <v>45</v>
      </c>
      <c r="M14" s="200">
        <f>RB_Raw!G13</f>
        <v>382.4</v>
      </c>
      <c r="N14" s="203">
        <f>RB_Raw!H13</f>
        <v>2.8</v>
      </c>
      <c r="O14" s="200">
        <f>RB_Raw!I13</f>
        <v>1.4</v>
      </c>
      <c r="P14" s="205">
        <f t="shared" si="1"/>
        <v>208.68</v>
      </c>
      <c r="Q14" t="str">
        <f t="shared" ca="1" si="2"/>
        <v>Starter</v>
      </c>
      <c r="R14">
        <f t="shared" ca="1" si="3"/>
        <v>45.419999999999987</v>
      </c>
      <c r="S14">
        <f t="shared" ca="1" si="4"/>
        <v>105</v>
      </c>
      <c r="T14" s="84">
        <f t="shared" ca="1" si="5"/>
        <v>24.190910500771594</v>
      </c>
      <c r="U14" s="84">
        <f ca="1">T14*Auction!$A$2</f>
        <v>24.190910500771594</v>
      </c>
      <c r="V14" s="5" t="str">
        <f>IF(OR(INDEX(Auction!$H$13:$H$650,MATCH(B14,Auction!$A$13:$A$650,0))&gt;0,IFERROR(INDEX(CheatSheet!$M$5:$M$64,MATCH(B14,CheatSheet!$J$5:$J$64,0)),"")&lt;&gt;""),"Yes","No")</f>
        <v>No</v>
      </c>
      <c r="W14" s="175"/>
      <c r="Y14" s="77">
        <f t="shared" ca="1" si="6"/>
        <v>1</v>
      </c>
      <c r="Z14" s="174">
        <f t="shared" ca="1" si="7"/>
        <v>75.209999999999994</v>
      </c>
      <c r="AA14" t="str">
        <f t="shared" ca="1" si="9"/>
        <v>RB4</v>
      </c>
      <c r="AB14" s="174">
        <f ca="1">Z14*LeagueInfo!$H$5</f>
        <v>24.289082816060301</v>
      </c>
      <c r="AC14" s="174">
        <f t="shared" ca="1" si="8"/>
        <v>1.7149495763412073</v>
      </c>
    </row>
    <row r="15" spans="1:29" x14ac:dyDescent="0.35">
      <c r="A15">
        <f t="shared" si="0"/>
        <v>13</v>
      </c>
      <c r="B15" t="str">
        <f>RB_Raw!A18</f>
        <v>Alvin Kamara</v>
      </c>
      <c r="C15" t="s">
        <v>25</v>
      </c>
      <c r="D15">
        <f>_xlfn.IFNA(INDEX(BYEs!E:E,MATCH(B15,BYEs!D:D,0)),"N/A")</f>
        <v>29</v>
      </c>
      <c r="E15">
        <f>INDEX(BYEs!$B$2:$B$34,MATCH(F15,BYEs!$A$2:$A$34,0))</f>
        <v>12</v>
      </c>
      <c r="F15" t="str">
        <f>RB_Raw!B18</f>
        <v>NO</v>
      </c>
      <c r="G15" s="202">
        <v>0</v>
      </c>
      <c r="H15" s="203">
        <v>0</v>
      </c>
      <c r="I15" s="202">
        <f>RB_Raw!C18</f>
        <v>208.6</v>
      </c>
      <c r="J15" s="200">
        <f>RB_Raw!D18</f>
        <v>814.9</v>
      </c>
      <c r="K15" s="203">
        <f>RB_Raw!E18</f>
        <v>5.3</v>
      </c>
      <c r="L15" s="202">
        <f>RB_Raw!F18</f>
        <v>68.900000000000006</v>
      </c>
      <c r="M15" s="200">
        <f>RB_Raw!G18</f>
        <v>488.5</v>
      </c>
      <c r="N15" s="203">
        <f>RB_Raw!H18</f>
        <v>2.2999999999999998</v>
      </c>
      <c r="O15" s="200">
        <f>RB_Raw!I18</f>
        <v>0.9</v>
      </c>
      <c r="P15" s="205">
        <f t="shared" si="1"/>
        <v>208.59</v>
      </c>
      <c r="Q15" t="str">
        <f t="shared" ca="1" si="2"/>
        <v>Starter</v>
      </c>
      <c r="R15">
        <f t="shared" ca="1" si="3"/>
        <v>45.329999999999984</v>
      </c>
      <c r="S15">
        <f t="shared" ca="1" si="4"/>
        <v>104.91</v>
      </c>
      <c r="T15" s="84">
        <f t="shared" ca="1" si="5"/>
        <v>24.162453244461656</v>
      </c>
      <c r="U15" s="84">
        <f ca="1">T15*Auction!$A$2</f>
        <v>24.162453244461656</v>
      </c>
      <c r="V15" s="5" t="str">
        <f>IF(OR(INDEX(Auction!$H$13:$H$650,MATCH(B15,Auction!$A$13:$A$650,0))&gt;0,IFERROR(INDEX(CheatSheet!$M$5:$M$64,MATCH(B15,CheatSheet!$J$5:$J$64,0)),"")&lt;&gt;""),"Yes","No")</f>
        <v>No</v>
      </c>
      <c r="W15" s="175"/>
      <c r="Y15" s="77">
        <f t="shared" ca="1" si="6"/>
        <v>1</v>
      </c>
      <c r="Z15" s="174">
        <f t="shared" ca="1" si="7"/>
        <v>75.11999999999999</v>
      </c>
      <c r="AA15" t="str">
        <f t="shared" ca="1" si="9"/>
        <v>RB4</v>
      </c>
      <c r="AB15" s="174">
        <f ca="1">Z15*LeagueInfo!$H$5</f>
        <v>24.260017300125643</v>
      </c>
      <c r="AC15" s="174">
        <f t="shared" ca="1" si="8"/>
        <v>1.7130386927861201</v>
      </c>
    </row>
    <row r="16" spans="1:29" x14ac:dyDescent="0.35">
      <c r="A16">
        <f t="shared" si="0"/>
        <v>14</v>
      </c>
      <c r="B16" t="str">
        <f>RB_Raw!A14</f>
        <v>De'Von Achane</v>
      </c>
      <c r="C16" t="s">
        <v>25</v>
      </c>
      <c r="D16">
        <f>_xlfn.IFNA(INDEX(BYEs!E:E,MATCH(B16,BYEs!D:D,0)),"N/A")</f>
        <v>22</v>
      </c>
      <c r="E16">
        <f>INDEX(BYEs!$B$2:$B$34,MATCH(F16,BYEs!$A$2:$A$34,0))</f>
        <v>6</v>
      </c>
      <c r="F16" t="str">
        <f>RB_Raw!B14</f>
        <v>MIA</v>
      </c>
      <c r="G16" s="202">
        <v>0</v>
      </c>
      <c r="H16" s="203">
        <v>0</v>
      </c>
      <c r="I16" s="202">
        <f>RB_Raw!C14</f>
        <v>175.1</v>
      </c>
      <c r="J16" s="200">
        <f>RB_Raw!D14</f>
        <v>907.3</v>
      </c>
      <c r="K16" s="203">
        <f>RB_Raw!E14</f>
        <v>7.3</v>
      </c>
      <c r="L16" s="202">
        <f>RB_Raw!F14</f>
        <v>45.4</v>
      </c>
      <c r="M16" s="200">
        <f>RB_Raw!G14</f>
        <v>348.4</v>
      </c>
      <c r="N16" s="203">
        <f>RB_Raw!H14</f>
        <v>2.9</v>
      </c>
      <c r="O16" s="200">
        <f>RB_Raw!I14</f>
        <v>0.9</v>
      </c>
      <c r="P16" s="205">
        <f t="shared" si="1"/>
        <v>207.67</v>
      </c>
      <c r="Q16" t="str">
        <f t="shared" ca="1" si="2"/>
        <v>Starter</v>
      </c>
      <c r="R16">
        <f t="shared" ca="1" si="3"/>
        <v>44.409999999999968</v>
      </c>
      <c r="S16">
        <f t="shared" ca="1" si="4"/>
        <v>103.98999999999998</v>
      </c>
      <c r="T16" s="84">
        <f t="shared" ca="1" si="5"/>
        <v>23.871556846626724</v>
      </c>
      <c r="U16" s="84">
        <f ca="1">T16*Auction!$A$2</f>
        <v>23.871556846626724</v>
      </c>
      <c r="V16" s="5" t="str">
        <f>IF(OR(INDEX(Auction!$H$13:$H$650,MATCH(B16,Auction!$A$13:$A$650,0))&gt;0,IFERROR(INDEX(CheatSheet!$M$5:$M$64,MATCH(B16,CheatSheet!$J$5:$J$64,0)),"")&lt;&gt;""),"Yes","No")</f>
        <v>No</v>
      </c>
      <c r="W16" s="175"/>
      <c r="Y16" s="77">
        <f t="shared" ca="1" si="6"/>
        <v>1</v>
      </c>
      <c r="Z16" s="174">
        <f t="shared" ca="1" si="7"/>
        <v>74.199999999999974</v>
      </c>
      <c r="AA16" t="str">
        <f t="shared" ca="1" si="9"/>
        <v>RB4</v>
      </c>
      <c r="AB16" s="174">
        <f ca="1">Z16*LeagueInfo!$H$5</f>
        <v>23.962903137238051</v>
      </c>
      <c r="AC16" s="174">
        <f t="shared" ca="1" si="8"/>
        <v>1.6935052164452289</v>
      </c>
    </row>
    <row r="17" spans="1:29" x14ac:dyDescent="0.35">
      <c r="A17">
        <f t="shared" si="0"/>
        <v>15</v>
      </c>
      <c r="B17" t="str">
        <f>RB_Raw!A16</f>
        <v>Rachaad White</v>
      </c>
      <c r="C17" t="s">
        <v>25</v>
      </c>
      <c r="D17">
        <f>_xlfn.IFNA(INDEX(BYEs!E:E,MATCH(B17,BYEs!D:D,0)),"N/A")</f>
        <v>25</v>
      </c>
      <c r="E17">
        <f>INDEX(BYEs!$B$2:$B$34,MATCH(F17,BYEs!$A$2:$A$34,0))</f>
        <v>11</v>
      </c>
      <c r="F17" t="str">
        <f>RB_Raw!B16</f>
        <v>TB</v>
      </c>
      <c r="G17" s="202">
        <v>0</v>
      </c>
      <c r="H17" s="203">
        <v>0</v>
      </c>
      <c r="I17" s="202">
        <f>RB_Raw!C16</f>
        <v>235.6</v>
      </c>
      <c r="J17" s="200">
        <f>RB_Raw!D16</f>
        <v>914.9</v>
      </c>
      <c r="K17" s="203">
        <f>RB_Raw!E16</f>
        <v>6.5</v>
      </c>
      <c r="L17" s="202">
        <f>RB_Raw!F16</f>
        <v>52.5</v>
      </c>
      <c r="M17" s="200">
        <f>RB_Raw!G16</f>
        <v>395.6</v>
      </c>
      <c r="N17" s="203">
        <f>RB_Raw!H16</f>
        <v>2.4</v>
      </c>
      <c r="O17" s="200">
        <f>RB_Raw!I16</f>
        <v>1.7</v>
      </c>
      <c r="P17" s="205">
        <f t="shared" si="1"/>
        <v>207.3</v>
      </c>
      <c r="Q17" t="str">
        <f t="shared" ca="1" si="2"/>
        <v>Starter</v>
      </c>
      <c r="R17">
        <f t="shared" ca="1" si="3"/>
        <v>44.039999999999992</v>
      </c>
      <c r="S17">
        <f t="shared" ca="1" si="4"/>
        <v>103.62</v>
      </c>
      <c r="T17" s="84">
        <f t="shared" ca="1" si="5"/>
        <v>23.754565904019209</v>
      </c>
      <c r="U17" s="84">
        <f ca="1">T17*Auction!$A$2</f>
        <v>23.754565904019209</v>
      </c>
      <c r="V17" s="5" t="str">
        <f>IF(OR(INDEX(Auction!$H$13:$H$650,MATCH(B17,Auction!$A$13:$A$650,0))&gt;0,IFERROR(INDEX(CheatSheet!$M$5:$M$64,MATCH(B17,CheatSheet!$J$5:$J$64,0)),"")&lt;&gt;""),"Yes","No")</f>
        <v>No</v>
      </c>
      <c r="W17" s="175"/>
      <c r="Y17" s="77">
        <f t="shared" ca="1" si="6"/>
        <v>1</v>
      </c>
      <c r="Z17" s="174">
        <f t="shared" ca="1" si="7"/>
        <v>73.83</v>
      </c>
      <c r="AA17" t="str">
        <f t="shared" ca="1" si="9"/>
        <v>RB4</v>
      </c>
      <c r="AB17" s="174">
        <f ca="1">Z17*LeagueInfo!$H$5</f>
        <v>23.843411571728918</v>
      </c>
      <c r="AC17" s="174">
        <f t="shared" ca="1" si="8"/>
        <v>1.6856493618298711</v>
      </c>
    </row>
    <row r="18" spans="1:29" x14ac:dyDescent="0.35">
      <c r="A18">
        <f t="shared" si="0"/>
        <v>16</v>
      </c>
      <c r="B18" t="str">
        <f>RB_Raw!A15</f>
        <v>Joe Mixon</v>
      </c>
      <c r="C18" t="s">
        <v>25</v>
      </c>
      <c r="D18">
        <f>_xlfn.IFNA(INDEX(BYEs!E:E,MATCH(B18,BYEs!D:D,0)),"N/A")</f>
        <v>28</v>
      </c>
      <c r="E18">
        <f>INDEX(BYEs!$B$2:$B$34,MATCH(F18,BYEs!$A$2:$A$34,0))</f>
        <v>14</v>
      </c>
      <c r="F18" t="str">
        <f>RB_Raw!B15</f>
        <v>HOU</v>
      </c>
      <c r="G18" s="202">
        <v>0</v>
      </c>
      <c r="H18" s="203">
        <v>0</v>
      </c>
      <c r="I18" s="202">
        <f>RB_Raw!C15</f>
        <v>244.8</v>
      </c>
      <c r="J18" s="200">
        <f>RB_Raw!D15</f>
        <v>961.9</v>
      </c>
      <c r="K18" s="203">
        <f>RB_Raw!E15</f>
        <v>7.6</v>
      </c>
      <c r="L18" s="202">
        <f>RB_Raw!F15</f>
        <v>40.1</v>
      </c>
      <c r="M18" s="200">
        <f>RB_Raw!G15</f>
        <v>304.3</v>
      </c>
      <c r="N18" s="203">
        <f>RB_Raw!H15</f>
        <v>2.2000000000000002</v>
      </c>
      <c r="O18" s="200">
        <f>RB_Raw!I15</f>
        <v>0.9</v>
      </c>
      <c r="P18" s="205">
        <f t="shared" si="1"/>
        <v>203.67</v>
      </c>
      <c r="Q18" t="str">
        <f t="shared" ca="1" si="2"/>
        <v>Starter</v>
      </c>
      <c r="R18">
        <f t="shared" ca="1" si="3"/>
        <v>40.409999999999968</v>
      </c>
      <c r="S18">
        <f t="shared" ca="1" si="4"/>
        <v>99.989999999999981</v>
      </c>
      <c r="T18" s="84">
        <f t="shared" ca="1" si="5"/>
        <v>22.606789899518361</v>
      </c>
      <c r="U18" s="84">
        <f ca="1">T18*Auction!$A$2</f>
        <v>22.606789899518361</v>
      </c>
      <c r="V18" s="5" t="str">
        <f>IF(OR(INDEX(Auction!$H$13:$H$650,MATCH(B18,Auction!$A$13:$A$650,0))&gt;0,IFERROR(INDEX(CheatSheet!$M$5:$M$64,MATCH(B18,CheatSheet!$J$5:$J$64,0)),"")&lt;&gt;""),"Yes","No")</f>
        <v>No</v>
      </c>
      <c r="W18" s="175"/>
      <c r="Y18" s="77">
        <f t="shared" ca="1" si="6"/>
        <v>1</v>
      </c>
      <c r="Z18" s="174">
        <f t="shared" ca="1" si="7"/>
        <v>70.199999999999974</v>
      </c>
      <c r="AA18" t="str">
        <f t="shared" ca="1" si="9"/>
        <v>RB4</v>
      </c>
      <c r="AB18" s="174">
        <f ca="1">Z18*LeagueInfo!$H$5</f>
        <v>22.671102429031148</v>
      </c>
      <c r="AC18" s="174">
        <f t="shared" ca="1" si="8"/>
        <v>1.6085770584413559</v>
      </c>
    </row>
    <row r="19" spans="1:29" x14ac:dyDescent="0.35">
      <c r="A19">
        <f t="shared" si="0"/>
        <v>17</v>
      </c>
      <c r="B19" t="str">
        <f>RB_Raw!A17</f>
        <v>Kenneth Walker III</v>
      </c>
      <c r="C19" t="s">
        <v>25</v>
      </c>
      <c r="D19">
        <f>_xlfn.IFNA(INDEX(BYEs!E:E,MATCH(B19,BYEs!D:D,0)),"N/A")</f>
        <v>23</v>
      </c>
      <c r="E19">
        <f>INDEX(BYEs!$B$2:$B$34,MATCH(F19,BYEs!$A$2:$A$34,0))</f>
        <v>10</v>
      </c>
      <c r="F19" t="str">
        <f>RB_Raw!B17</f>
        <v>SEA</v>
      </c>
      <c r="G19" s="202">
        <v>0</v>
      </c>
      <c r="H19" s="203">
        <v>0</v>
      </c>
      <c r="I19" s="202">
        <f>RB_Raw!C17</f>
        <v>240.3</v>
      </c>
      <c r="J19" s="200">
        <f>RB_Raw!D17</f>
        <v>1004</v>
      </c>
      <c r="K19" s="203">
        <f>RB_Raw!E17</f>
        <v>9</v>
      </c>
      <c r="L19" s="202">
        <f>RB_Raw!F17</f>
        <v>29.1</v>
      </c>
      <c r="M19" s="200">
        <f>RB_Raw!G17</f>
        <v>224.9</v>
      </c>
      <c r="N19" s="203">
        <f>RB_Raw!H17</f>
        <v>1</v>
      </c>
      <c r="O19" s="200">
        <f>RB_Raw!I17</f>
        <v>0.9</v>
      </c>
      <c r="P19" s="205">
        <f t="shared" si="1"/>
        <v>195.64000000000001</v>
      </c>
      <c r="Q19" t="str">
        <f t="shared" ca="1" si="2"/>
        <v>Starter</v>
      </c>
      <c r="R19">
        <f t="shared" ca="1" si="3"/>
        <v>32.379999999999995</v>
      </c>
      <c r="S19">
        <f t="shared" ca="1" si="4"/>
        <v>91.960000000000008</v>
      </c>
      <c r="T19" s="84">
        <f t="shared" ca="1" si="5"/>
        <v>20.067770253198322</v>
      </c>
      <c r="U19" s="84">
        <f ca="1">T19*Auction!$A$2</f>
        <v>20.067770253198322</v>
      </c>
      <c r="V19" s="5" t="str">
        <f>IF(OR(INDEX(Auction!$H$13:$H$650,MATCH(B19,Auction!$A$13:$A$650,0))&gt;0,IFERROR(INDEX(CheatSheet!$M$5:$M$64,MATCH(B19,CheatSheet!$J$5:$J$64,0)),"")&lt;&gt;""),"Yes","No")</f>
        <v>No</v>
      </c>
      <c r="W19" s="175"/>
      <c r="Y19" s="77">
        <f t="shared" ca="1" si="6"/>
        <v>1</v>
      </c>
      <c r="Z19" s="174">
        <f t="shared" ca="1" si="7"/>
        <v>62.17</v>
      </c>
      <c r="AA19" t="str">
        <f t="shared" ca="1" si="9"/>
        <v>RB5</v>
      </c>
      <c r="AB19" s="174">
        <f ca="1">Z19*LeagueInfo!$H$5</f>
        <v>20.077812507305797</v>
      </c>
      <c r="AC19" s="174">
        <f t="shared" ca="1" si="8"/>
        <v>1.4380837812485814</v>
      </c>
    </row>
    <row r="20" spans="1:29" x14ac:dyDescent="0.35">
      <c r="A20">
        <f t="shared" si="0"/>
        <v>18</v>
      </c>
      <c r="B20" t="str">
        <f>RB_Raw!A20</f>
        <v>Aaron Jones</v>
      </c>
      <c r="C20" t="s">
        <v>25</v>
      </c>
      <c r="D20">
        <f>_xlfn.IFNA(INDEX(BYEs!E:E,MATCH(B20,BYEs!D:D,0)),"N/A")</f>
        <v>29</v>
      </c>
      <c r="E20">
        <f>INDEX(BYEs!$B$2:$B$34,MATCH(F20,BYEs!$A$2:$A$34,0))</f>
        <v>6</v>
      </c>
      <c r="F20" t="str">
        <f>RB_Raw!B20</f>
        <v>MIN</v>
      </c>
      <c r="G20" s="202">
        <v>0</v>
      </c>
      <c r="H20" s="203">
        <v>0</v>
      </c>
      <c r="I20" s="202">
        <f>RB_Raw!C20</f>
        <v>189.3</v>
      </c>
      <c r="J20" s="200">
        <f>RB_Raw!D20</f>
        <v>869.1</v>
      </c>
      <c r="K20" s="203">
        <f>RB_Raw!E20</f>
        <v>5.5</v>
      </c>
      <c r="L20" s="202">
        <f>RB_Raw!F20</f>
        <v>42.8</v>
      </c>
      <c r="M20" s="200">
        <f>RB_Raw!G20</f>
        <v>313.5</v>
      </c>
      <c r="N20" s="203">
        <f>RB_Raw!H20</f>
        <v>1.9</v>
      </c>
      <c r="O20" s="200">
        <f>RB_Raw!I20</f>
        <v>1</v>
      </c>
      <c r="P20" s="205">
        <f t="shared" si="1"/>
        <v>182.06</v>
      </c>
      <c r="Q20" t="str">
        <f t="shared" ca="1" si="2"/>
        <v>Starter</v>
      </c>
      <c r="R20">
        <f t="shared" ca="1" si="3"/>
        <v>18.799999999999983</v>
      </c>
      <c r="S20">
        <f t="shared" ca="1" si="4"/>
        <v>78.38</v>
      </c>
      <c r="T20" s="84">
        <f t="shared" ca="1" si="5"/>
        <v>15.773886467765411</v>
      </c>
      <c r="U20" s="84">
        <f ca="1">T20*Auction!$A$2</f>
        <v>15.773886467765411</v>
      </c>
      <c r="V20" s="5" t="str">
        <f>IF(OR(INDEX(Auction!$H$13:$H$650,MATCH(B20,Auction!$A$13:$A$650,0))&gt;0,IFERROR(INDEX(CheatSheet!$M$5:$M$64,MATCH(B20,CheatSheet!$J$5:$J$64,0)),"")&lt;&gt;""),"Yes","No")</f>
        <v>No</v>
      </c>
      <c r="W20" s="175"/>
      <c r="Y20" s="77">
        <f t="shared" ca="1" si="6"/>
        <v>1</v>
      </c>
      <c r="Z20" s="174">
        <f t="shared" ca="1" si="7"/>
        <v>48.589999999999989</v>
      </c>
      <c r="AA20" t="str">
        <f t="shared" ca="1" si="9"/>
        <v>RB5</v>
      </c>
      <c r="AB20" s="174">
        <f ca="1">Z20*LeagueInfo!$H$5</f>
        <v>15.692149102943356</v>
      </c>
      <c r="AC20" s="174">
        <f t="shared" ca="1" si="8"/>
        <v>1.1497526848254322</v>
      </c>
    </row>
    <row r="21" spans="1:29" x14ac:dyDescent="0.35">
      <c r="A21">
        <f t="shared" si="0"/>
        <v>19</v>
      </c>
      <c r="B21" t="str">
        <f>RB_Raw!A19</f>
        <v>David Montgomery</v>
      </c>
      <c r="C21" t="s">
        <v>25</v>
      </c>
      <c r="D21">
        <f>_xlfn.IFNA(INDEX(BYEs!E:E,MATCH(B21,BYEs!D:D,0)),"N/A")</f>
        <v>27</v>
      </c>
      <c r="E21">
        <f>INDEX(BYEs!$B$2:$B$34,MATCH(F21,BYEs!$A$2:$A$34,0))</f>
        <v>5</v>
      </c>
      <c r="F21" t="str">
        <f>RB_Raw!B19</f>
        <v>DET</v>
      </c>
      <c r="G21" s="202">
        <v>0</v>
      </c>
      <c r="H21" s="203">
        <v>0</v>
      </c>
      <c r="I21" s="202">
        <f>RB_Raw!C19</f>
        <v>205.1</v>
      </c>
      <c r="J21" s="200">
        <f>RB_Raw!D19</f>
        <v>901.7</v>
      </c>
      <c r="K21" s="203">
        <f>RB_Raw!E19</f>
        <v>9.9</v>
      </c>
      <c r="L21" s="202">
        <f>RB_Raw!F19</f>
        <v>22.4</v>
      </c>
      <c r="M21" s="200">
        <f>RB_Raw!G19</f>
        <v>167.6</v>
      </c>
      <c r="N21" s="203">
        <f>RB_Raw!H19</f>
        <v>0.8</v>
      </c>
      <c r="O21" s="200">
        <f>RB_Raw!I19</f>
        <v>0.9</v>
      </c>
      <c r="P21" s="205">
        <f t="shared" si="1"/>
        <v>180.53</v>
      </c>
      <c r="Q21" t="str">
        <f t="shared" ca="1" si="2"/>
        <v>Starter</v>
      </c>
      <c r="R21">
        <f t="shared" ca="1" si="3"/>
        <v>17.269999999999982</v>
      </c>
      <c r="S21">
        <f t="shared" ca="1" si="4"/>
        <v>76.849999999999994</v>
      </c>
      <c r="T21" s="84">
        <f t="shared" ca="1" si="5"/>
        <v>15.290113110496462</v>
      </c>
      <c r="U21" s="84">
        <f ca="1">T21*Auction!$A$2</f>
        <v>15.290113110496462</v>
      </c>
      <c r="V21" s="5" t="str">
        <f>IF(OR(INDEX(Auction!$H$13:$H$650,MATCH(B21,Auction!$A$13:$A$650,0))&gt;0,IFERROR(INDEX(CheatSheet!$M$5:$M$64,MATCH(B21,CheatSheet!$J$5:$J$64,0)),"")&lt;&gt;""),"Yes","No")</f>
        <v>No</v>
      </c>
      <c r="W21" s="175"/>
      <c r="Y21" s="77">
        <f t="shared" ca="1" si="6"/>
        <v>1</v>
      </c>
      <c r="Z21" s="174">
        <f t="shared" ca="1" si="7"/>
        <v>47.059999999999988</v>
      </c>
      <c r="AA21" t="str">
        <f t="shared" ca="1" si="9"/>
        <v>RB5</v>
      </c>
      <c r="AB21" s="174">
        <f ca="1">Z21*LeagueInfo!$H$5</f>
        <v>15.198035332054214</v>
      </c>
      <c r="AC21" s="174">
        <f t="shared" ca="1" si="8"/>
        <v>1.1172676643889508</v>
      </c>
    </row>
    <row r="22" spans="1:29" x14ac:dyDescent="0.35">
      <c r="A22">
        <f t="shared" si="0"/>
        <v>20</v>
      </c>
      <c r="B22" t="str">
        <f>RB_Raw!A25</f>
        <v>Rhamondre Stevenson</v>
      </c>
      <c r="C22" t="s">
        <v>25</v>
      </c>
      <c r="D22">
        <f>_xlfn.IFNA(INDEX(BYEs!E:E,MATCH(B22,BYEs!D:D,0)),"N/A")</f>
        <v>26</v>
      </c>
      <c r="E22">
        <f>INDEX(BYEs!$B$2:$B$34,MATCH(F22,BYEs!$A$2:$A$34,0))</f>
        <v>14</v>
      </c>
      <c r="F22" t="str">
        <f>RB_Raw!B25</f>
        <v>NE</v>
      </c>
      <c r="G22" s="202">
        <v>0</v>
      </c>
      <c r="H22" s="203">
        <v>0</v>
      </c>
      <c r="I22" s="202">
        <f>RB_Raw!C25</f>
        <v>213.2</v>
      </c>
      <c r="J22" s="200">
        <f>RB_Raw!D25</f>
        <v>885.4</v>
      </c>
      <c r="K22" s="203">
        <f>RB_Raw!E25</f>
        <v>5.7</v>
      </c>
      <c r="L22" s="202">
        <f>RB_Raw!F25</f>
        <v>41.8</v>
      </c>
      <c r="M22" s="200">
        <f>RB_Raw!G25</f>
        <v>286.8</v>
      </c>
      <c r="N22" s="203">
        <f>RB_Raw!H25</f>
        <v>0.8</v>
      </c>
      <c r="O22" s="200">
        <f>RB_Raw!I25</f>
        <v>1</v>
      </c>
      <c r="P22" s="205">
        <f t="shared" si="1"/>
        <v>175.12000000000003</v>
      </c>
      <c r="Q22" t="str">
        <f t="shared" ca="1" si="2"/>
        <v>Starter</v>
      </c>
      <c r="R22">
        <f t="shared" ca="1" si="3"/>
        <v>11.860000000000014</v>
      </c>
      <c r="S22">
        <f t="shared" ca="1" si="4"/>
        <v>71.440000000000026</v>
      </c>
      <c r="T22" s="84">
        <f t="shared" ca="1" si="5"/>
        <v>13.579515814532405</v>
      </c>
      <c r="U22" s="84">
        <f ca="1">T22*Auction!$A$2</f>
        <v>13.579515814532405</v>
      </c>
      <c r="V22" s="5" t="str">
        <f>IF(OR(INDEX(Auction!$H$13:$H$650,MATCH(B22,Auction!$A$13:$A$650,0))&gt;0,IFERROR(INDEX(CheatSheet!$M$5:$M$64,MATCH(B22,CheatSheet!$J$5:$J$64,0)),"")&lt;&gt;""),"Yes","No")</f>
        <v>No</v>
      </c>
      <c r="W22" s="175"/>
      <c r="Y22" s="77">
        <f t="shared" ca="1" si="6"/>
        <v>1</v>
      </c>
      <c r="Z22" s="174">
        <f t="shared" ca="1" si="7"/>
        <v>41.65000000000002</v>
      </c>
      <c r="AA22" t="str">
        <f t="shared" ca="1" si="9"/>
        <v>RB5</v>
      </c>
      <c r="AB22" s="174">
        <f ca="1">Z22*LeagueInfo!$H$5</f>
        <v>13.450874874204388</v>
      </c>
      <c r="AC22" s="174">
        <f t="shared" ca="1" si="8"/>
        <v>1.0024023306887133</v>
      </c>
    </row>
    <row r="23" spans="1:29" x14ac:dyDescent="0.35">
      <c r="A23">
        <f t="shared" si="0"/>
        <v>21</v>
      </c>
      <c r="B23" t="str">
        <f>RB_Raw!A21</f>
        <v>Zamir White</v>
      </c>
      <c r="C23" t="s">
        <v>25</v>
      </c>
      <c r="D23">
        <f>_xlfn.IFNA(INDEX(BYEs!E:E,MATCH(B23,BYEs!D:D,0)),"N/A")</f>
        <v>24</v>
      </c>
      <c r="E23">
        <f>INDEX(BYEs!$B$2:$B$34,MATCH(F23,BYEs!$A$2:$A$34,0))</f>
        <v>10</v>
      </c>
      <c r="F23" t="str">
        <f>RB_Raw!B21</f>
        <v>LV</v>
      </c>
      <c r="G23" s="202">
        <v>0</v>
      </c>
      <c r="H23" s="203">
        <v>0</v>
      </c>
      <c r="I23" s="202">
        <f>RB_Raw!C21</f>
        <v>234.8</v>
      </c>
      <c r="J23" s="200">
        <f>RB_Raw!D21</f>
        <v>987</v>
      </c>
      <c r="K23" s="203">
        <f>RB_Raw!E21</f>
        <v>5.7</v>
      </c>
      <c r="L23" s="202">
        <f>RB_Raw!F21</f>
        <v>33</v>
      </c>
      <c r="M23" s="200">
        <f>RB_Raw!G21</f>
        <v>230.1</v>
      </c>
      <c r="N23" s="203">
        <f>RB_Raw!H21</f>
        <v>0.8</v>
      </c>
      <c r="O23" s="200">
        <f>RB_Raw!I21</f>
        <v>1.3</v>
      </c>
      <c r="P23" s="205">
        <f t="shared" si="1"/>
        <v>174.61</v>
      </c>
      <c r="Q23" t="str">
        <f t="shared" ca="1" si="2"/>
        <v>Starter</v>
      </c>
      <c r="R23">
        <f t="shared" ca="1" si="3"/>
        <v>11.349999999999994</v>
      </c>
      <c r="S23">
        <f t="shared" ca="1" si="4"/>
        <v>70.930000000000007</v>
      </c>
      <c r="T23" s="84">
        <f t="shared" ca="1" si="5"/>
        <v>13.418258028776084</v>
      </c>
      <c r="U23" s="84">
        <f ca="1">T23*Auction!$A$2</f>
        <v>13.418258028776084</v>
      </c>
      <c r="V23" s="5" t="str">
        <f>IF(OR(INDEX(Auction!$H$13:$H$650,MATCH(B23,Auction!$A$13:$A$650,0))&gt;0,IFERROR(INDEX(CheatSheet!$M$5:$M$64,MATCH(B23,CheatSheet!$J$5:$J$64,0)),"")&lt;&gt;""),"Yes","No")</f>
        <v>No</v>
      </c>
      <c r="W23" s="175"/>
      <c r="Y23" s="77">
        <f t="shared" ca="1" si="6"/>
        <v>1</v>
      </c>
      <c r="Z23" s="174">
        <f t="shared" ca="1" si="7"/>
        <v>41.14</v>
      </c>
      <c r="AA23" t="str">
        <f t="shared" ca="1" si="9"/>
        <v>RB6</v>
      </c>
      <c r="AB23" s="174">
        <f ca="1">Z23*LeagueInfo!$H$5</f>
        <v>13.286170283908001</v>
      </c>
      <c r="AC23" s="174">
        <f t="shared" ca="1" si="8"/>
        <v>0.99157399054321904</v>
      </c>
    </row>
    <row r="24" spans="1:29" x14ac:dyDescent="0.35">
      <c r="A24">
        <f t="shared" si="0"/>
        <v>22</v>
      </c>
      <c r="B24" t="str">
        <f>RB_Raw!A23</f>
        <v>James Conner</v>
      </c>
      <c r="C24" t="s">
        <v>25</v>
      </c>
      <c r="D24">
        <f>_xlfn.IFNA(INDEX(BYEs!E:E,MATCH(B24,BYEs!D:D,0)),"N/A")</f>
        <v>29</v>
      </c>
      <c r="E24">
        <f>INDEX(BYEs!$B$2:$B$34,MATCH(F24,BYEs!$A$2:$A$34,0))</f>
        <v>11</v>
      </c>
      <c r="F24" t="str">
        <f>RB_Raw!B23</f>
        <v>ARI</v>
      </c>
      <c r="G24" s="202">
        <v>0</v>
      </c>
      <c r="H24" s="203">
        <v>0</v>
      </c>
      <c r="I24" s="202">
        <f>RB_Raw!C23</f>
        <v>201.7</v>
      </c>
      <c r="J24" s="200">
        <f>RB_Raw!D23</f>
        <v>883.7</v>
      </c>
      <c r="K24" s="203">
        <f>RB_Raw!E23</f>
        <v>6.7</v>
      </c>
      <c r="L24" s="202">
        <f>RB_Raw!F23</f>
        <v>32.6</v>
      </c>
      <c r="M24" s="200">
        <f>RB_Raw!G23</f>
        <v>222.3</v>
      </c>
      <c r="N24" s="203">
        <f>RB_Raw!H23</f>
        <v>1.4</v>
      </c>
      <c r="O24" s="200">
        <f>RB_Raw!I23</f>
        <v>0.9</v>
      </c>
      <c r="P24" s="205">
        <f t="shared" si="1"/>
        <v>173.70000000000002</v>
      </c>
      <c r="Q24" t="str">
        <f t="shared" ca="1" si="2"/>
        <v>Starter</v>
      </c>
      <c r="R24">
        <f t="shared" ca="1" si="3"/>
        <v>10.439999999999998</v>
      </c>
      <c r="S24">
        <f t="shared" ca="1" si="4"/>
        <v>70.02000000000001</v>
      </c>
      <c r="T24" s="84">
        <f t="shared" ca="1" si="5"/>
        <v>13.130523548308929</v>
      </c>
      <c r="U24" s="84">
        <f ca="1">T24*Auction!$A$2</f>
        <v>13.130523548308929</v>
      </c>
      <c r="V24" s="5" t="str">
        <f>IF(OR(INDEX(Auction!$H$13:$H$650,MATCH(B24,Auction!$A$13:$A$650,0))&gt;0,IFERROR(INDEX(CheatSheet!$M$5:$M$64,MATCH(B24,CheatSheet!$J$5:$J$64,0)),"")&lt;&gt;""),"Yes","No")</f>
        <v>No</v>
      </c>
      <c r="W24" s="175"/>
      <c r="Y24" s="77">
        <f t="shared" ca="1" si="6"/>
        <v>1</v>
      </c>
      <c r="Z24" s="174">
        <f t="shared" ca="1" si="7"/>
        <v>40.230000000000004</v>
      </c>
      <c r="AA24" t="str">
        <f t="shared" ca="1" si="9"/>
        <v>RB6</v>
      </c>
      <c r="AB24" s="174">
        <f ca="1">Z24*LeagueInfo!$H$5</f>
        <v>12.992285622790932</v>
      </c>
      <c r="AC24" s="174">
        <f t="shared" ca="1" si="8"/>
        <v>0.97225283459733802</v>
      </c>
    </row>
    <row r="25" spans="1:29" x14ac:dyDescent="0.35">
      <c r="A25">
        <f t="shared" si="0"/>
        <v>23</v>
      </c>
      <c r="B25" t="str">
        <f>RB_Raw!A22</f>
        <v>Najee Harris</v>
      </c>
      <c r="C25" t="s">
        <v>25</v>
      </c>
      <c r="D25">
        <f>_xlfn.IFNA(INDEX(BYEs!E:E,MATCH(B25,BYEs!D:D,0)),"N/A")</f>
        <v>26</v>
      </c>
      <c r="E25">
        <f>INDEX(BYEs!$B$2:$B$34,MATCH(F25,BYEs!$A$2:$A$34,0))</f>
        <v>9</v>
      </c>
      <c r="F25" t="str">
        <f>RB_Raw!B22</f>
        <v>PIT</v>
      </c>
      <c r="G25" s="202">
        <v>0</v>
      </c>
      <c r="H25" s="203">
        <v>0</v>
      </c>
      <c r="I25" s="202">
        <f>RB_Raw!C22</f>
        <v>237.2</v>
      </c>
      <c r="J25" s="200">
        <f>RB_Raw!D22</f>
        <v>948.8</v>
      </c>
      <c r="K25" s="203">
        <f>RB_Raw!E22</f>
        <v>6.6</v>
      </c>
      <c r="L25" s="202">
        <f>RB_Raw!F22</f>
        <v>29</v>
      </c>
      <c r="M25" s="200">
        <f>RB_Raw!G22</f>
        <v>182.8</v>
      </c>
      <c r="N25" s="203">
        <f>RB_Raw!H22</f>
        <v>1.2</v>
      </c>
      <c r="O25" s="200">
        <f>RB_Raw!I22</f>
        <v>1</v>
      </c>
      <c r="P25" s="205">
        <f t="shared" si="1"/>
        <v>172.45999999999998</v>
      </c>
      <c r="Q25" t="str">
        <f t="shared" ca="1" si="2"/>
        <v>Starter</v>
      </c>
      <c r="R25">
        <f t="shared" ca="1" si="3"/>
        <v>9.1999999999999602</v>
      </c>
      <c r="S25">
        <f t="shared" ca="1" si="4"/>
        <v>68.779999999999973</v>
      </c>
      <c r="T25" s="84">
        <f t="shared" ca="1" si="5"/>
        <v>12.738445794705324</v>
      </c>
      <c r="U25" s="84">
        <f ca="1">T25*Auction!$A$2</f>
        <v>12.738445794705324</v>
      </c>
      <c r="V25" s="5" t="str">
        <f>IF(OR(INDEX(Auction!$H$13:$H$650,MATCH(B25,Auction!$A$13:$A$650,0))&gt;0,IFERROR(INDEX(CheatSheet!$M$5:$M$64,MATCH(B25,CheatSheet!$J$5:$J$64,0)),"")&lt;&gt;""),"Yes","No")</f>
        <v>No</v>
      </c>
      <c r="W25" s="175"/>
      <c r="Y25" s="77">
        <f t="shared" ca="1" si="6"/>
        <v>1</v>
      </c>
      <c r="Z25" s="174">
        <f t="shared" ca="1" si="7"/>
        <v>38.989999999999966</v>
      </c>
      <c r="AA25" t="str">
        <f t="shared" ca="1" si="9"/>
        <v>RB6</v>
      </c>
      <c r="AB25" s="174">
        <f ca="1">Z25*LeagueInfo!$H$5</f>
        <v>12.59182740324678</v>
      </c>
      <c r="AC25" s="174">
        <f t="shared" ca="1" si="8"/>
        <v>0.94592510561613663</v>
      </c>
    </row>
    <row r="26" spans="1:29" x14ac:dyDescent="0.35">
      <c r="A26">
        <f t="shared" si="0"/>
        <v>24</v>
      </c>
      <c r="B26" t="str">
        <f>RB_Raw!A24</f>
        <v>Raheem Mostert</v>
      </c>
      <c r="C26" t="s">
        <v>25</v>
      </c>
      <c r="D26">
        <f>_xlfn.IFNA(INDEX(BYEs!E:E,MATCH(B26,BYEs!D:D,0)),"N/A")</f>
        <v>32</v>
      </c>
      <c r="E26">
        <f>INDEX(BYEs!$B$2:$B$34,MATCH(F26,BYEs!$A$2:$A$34,0))</f>
        <v>6</v>
      </c>
      <c r="F26" t="str">
        <f>RB_Raw!B24</f>
        <v>MIA</v>
      </c>
      <c r="G26" s="202">
        <v>0</v>
      </c>
      <c r="H26" s="203">
        <v>0</v>
      </c>
      <c r="I26" s="202">
        <f>RB_Raw!C24</f>
        <v>168.7</v>
      </c>
      <c r="J26" s="200">
        <f>RB_Raw!D24</f>
        <v>804.4</v>
      </c>
      <c r="K26" s="203">
        <f>RB_Raw!E24</f>
        <v>8.5</v>
      </c>
      <c r="L26" s="202">
        <f>RB_Raw!F24</f>
        <v>25.4</v>
      </c>
      <c r="M26" s="200">
        <f>RB_Raw!G24</f>
        <v>179.2</v>
      </c>
      <c r="N26" s="203">
        <f>RB_Raw!H24</f>
        <v>1.3</v>
      </c>
      <c r="O26" s="200">
        <f>RB_Raw!I24</f>
        <v>1</v>
      </c>
      <c r="P26" s="205">
        <f t="shared" si="1"/>
        <v>167.85999999999999</v>
      </c>
      <c r="Q26" t="str">
        <f t="shared" ca="1" si="2"/>
        <v>Starter</v>
      </c>
      <c r="R26">
        <f t="shared" ca="1" si="3"/>
        <v>4.5999999999999659</v>
      </c>
      <c r="S26">
        <f t="shared" ca="1" si="4"/>
        <v>64.179999999999978</v>
      </c>
      <c r="T26" s="84">
        <f t="shared" ca="1" si="5"/>
        <v>11.283963805530705</v>
      </c>
      <c r="U26" s="84">
        <f ca="1">T26*Auction!$A$2</f>
        <v>11.283963805530705</v>
      </c>
      <c r="V26" s="5" t="str">
        <f>IF(OR(INDEX(Auction!$H$13:$H$650,MATCH(B26,Auction!$A$13:$A$650,0))&gt;0,IFERROR(INDEX(CheatSheet!$M$5:$M$64,MATCH(B26,CheatSheet!$J$5:$J$64,0)),"")&lt;&gt;""),"Yes","No")</f>
        <v>No</v>
      </c>
      <c r="W26" s="175"/>
      <c r="Y26" s="77">
        <f t="shared" ca="1" si="6"/>
        <v>1</v>
      </c>
      <c r="Z26" s="174">
        <f t="shared" ca="1" si="7"/>
        <v>34.389999999999972</v>
      </c>
      <c r="AA26" t="str">
        <f t="shared" ca="1" si="9"/>
        <v>RB6</v>
      </c>
      <c r="AB26" s="174">
        <f ca="1">Z26*LeagueInfo!$H$5</f>
        <v>11.106256588808844</v>
      </c>
      <c r="AC26" s="174">
        <f t="shared" ca="1" si="8"/>
        <v>0.84825772391168275</v>
      </c>
    </row>
    <row r="27" spans="1:29" x14ac:dyDescent="0.35">
      <c r="A27">
        <f t="shared" si="0"/>
        <v>25</v>
      </c>
      <c r="B27" t="str">
        <f>RB_Raw!A28</f>
        <v>Javonte Williams</v>
      </c>
      <c r="C27" t="s">
        <v>25</v>
      </c>
      <c r="D27">
        <f>_xlfn.IFNA(INDEX(BYEs!E:E,MATCH(B27,BYEs!D:D,0)),"N/A")</f>
        <v>24</v>
      </c>
      <c r="E27">
        <f>INDEX(BYEs!$B$2:$B$34,MATCH(F27,BYEs!$A$2:$A$34,0))</f>
        <v>14</v>
      </c>
      <c r="F27" t="str">
        <f>RB_Raw!B28</f>
        <v>DEN</v>
      </c>
      <c r="G27" s="202">
        <v>0</v>
      </c>
      <c r="H27" s="203">
        <v>0</v>
      </c>
      <c r="I27" s="202">
        <f>RB_Raw!C28</f>
        <v>204.3</v>
      </c>
      <c r="J27" s="200">
        <f>RB_Raw!D28</f>
        <v>834.6</v>
      </c>
      <c r="K27" s="203">
        <f>RB_Raw!E28</f>
        <v>4.7</v>
      </c>
      <c r="L27" s="202">
        <f>RB_Raw!F28</f>
        <v>41.2</v>
      </c>
      <c r="M27" s="200">
        <f>RB_Raw!G28</f>
        <v>247</v>
      </c>
      <c r="N27" s="203">
        <f>RB_Raw!H28</f>
        <v>1.5</v>
      </c>
      <c r="O27" s="200">
        <f>RB_Raw!I28</f>
        <v>0.9</v>
      </c>
      <c r="P27" s="205">
        <f t="shared" si="1"/>
        <v>164.16000000000003</v>
      </c>
      <c r="Q27" t="str">
        <f t="shared" ca="1" si="2"/>
        <v>Starter</v>
      </c>
      <c r="R27">
        <f t="shared" ca="1" si="3"/>
        <v>0.90000000000000568</v>
      </c>
      <c r="S27">
        <f t="shared" ca="1" si="4"/>
        <v>60.480000000000018</v>
      </c>
      <c r="T27" s="84">
        <f t="shared" ca="1" si="5"/>
        <v>10.114054379455478</v>
      </c>
      <c r="U27" s="84">
        <f ca="1">T27*Auction!$A$2</f>
        <v>10.114054379455478</v>
      </c>
      <c r="V27" s="5" t="str">
        <f>IF(OR(INDEX(Auction!$H$13:$H$650,MATCH(B27,Auction!$A$13:$A$650,0))&gt;0,IFERROR(INDEX(CheatSheet!$M$5:$M$64,MATCH(B27,CheatSheet!$J$5:$J$64,0)),"")&lt;&gt;""),"Yes","No")</f>
        <v>No</v>
      </c>
      <c r="W27" s="175"/>
      <c r="Y27" s="77">
        <f t="shared" ca="1" si="6"/>
        <v>1</v>
      </c>
      <c r="Z27" s="174">
        <f t="shared" ca="1" si="7"/>
        <v>30.690000000000012</v>
      </c>
      <c r="AA27" t="str">
        <f t="shared" ca="1" si="9"/>
        <v>RB6</v>
      </c>
      <c r="AB27" s="174">
        <f ca="1">Z27*LeagueInfo!$H$5</f>
        <v>9.9113409337174705</v>
      </c>
      <c r="AC27" s="174">
        <f t="shared" ca="1" si="8"/>
        <v>0.76969917775810104</v>
      </c>
    </row>
    <row r="28" spans="1:29" x14ac:dyDescent="0.35">
      <c r="A28">
        <f t="shared" si="0"/>
        <v>26</v>
      </c>
      <c r="B28" t="str">
        <f>RB_Raw!A27</f>
        <v>D'Andre Swift</v>
      </c>
      <c r="C28" t="s">
        <v>25</v>
      </c>
      <c r="D28">
        <f>_xlfn.IFNA(INDEX(BYEs!E:E,MATCH(B28,BYEs!D:D,0)),"N/A")</f>
        <v>25</v>
      </c>
      <c r="E28">
        <f>INDEX(BYEs!$B$2:$B$34,MATCH(F28,BYEs!$A$2:$A$34,0))</f>
        <v>7</v>
      </c>
      <c r="F28" t="str">
        <f>RB_Raw!B27</f>
        <v>CHI</v>
      </c>
      <c r="G28" s="202">
        <v>0</v>
      </c>
      <c r="H28" s="203">
        <v>0</v>
      </c>
      <c r="I28" s="202">
        <f>RB_Raw!C27</f>
        <v>178.3</v>
      </c>
      <c r="J28" s="200">
        <f>RB_Raw!D27</f>
        <v>810.3</v>
      </c>
      <c r="K28" s="203">
        <f>RB_Raw!E27</f>
        <v>5.2</v>
      </c>
      <c r="L28" s="202">
        <f>RB_Raw!F27</f>
        <v>36.5</v>
      </c>
      <c r="M28" s="200">
        <f>RB_Raw!G27</f>
        <v>251.8</v>
      </c>
      <c r="N28" s="203">
        <f>RB_Raw!H27</f>
        <v>1.6</v>
      </c>
      <c r="O28" s="200">
        <f>RB_Raw!I27</f>
        <v>1</v>
      </c>
      <c r="P28" s="205">
        <f t="shared" si="1"/>
        <v>163.26000000000002</v>
      </c>
      <c r="Q28" t="str">
        <f t="shared" ca="1" si="2"/>
        <v>Starter</v>
      </c>
      <c r="R28">
        <f t="shared" ca="1" si="3"/>
        <v>0</v>
      </c>
      <c r="S28">
        <f t="shared" ca="1" si="4"/>
        <v>59.580000000000013</v>
      </c>
      <c r="T28" s="84">
        <f t="shared" ca="1" si="5"/>
        <v>9.8294818163560933</v>
      </c>
      <c r="U28" s="84">
        <f ca="1">T28*Auction!$A$2</f>
        <v>9.8294818163560933</v>
      </c>
      <c r="V28" s="5" t="str">
        <f>IF(OR(INDEX(Auction!$H$13:$H$650,MATCH(B28,Auction!$A$13:$A$650,0))&gt;0,IFERROR(INDEX(CheatSheet!$M$5:$M$64,MATCH(B28,CheatSheet!$J$5:$J$64,0)),"")&lt;&gt;""),"Yes","No")</f>
        <v>No</v>
      </c>
      <c r="W28" s="175"/>
      <c r="Y28" s="77">
        <f t="shared" ca="1" si="6"/>
        <v>1</v>
      </c>
      <c r="Z28" s="174">
        <f t="shared" ca="1" si="7"/>
        <v>29.790000000000006</v>
      </c>
      <c r="AA28" t="str">
        <f t="shared" ca="1" si="9"/>
        <v>RB6</v>
      </c>
      <c r="AB28" s="174">
        <f ca="1">Z28*LeagueInfo!$H$5</f>
        <v>9.6206857743709158</v>
      </c>
      <c r="AC28" s="174">
        <f t="shared" ca="1" si="8"/>
        <v>0.75059034220722953</v>
      </c>
    </row>
    <row r="29" spans="1:29" x14ac:dyDescent="0.35">
      <c r="A29">
        <f t="shared" si="0"/>
        <v>27</v>
      </c>
      <c r="B29" t="str">
        <f>RB_Raw!A26</f>
        <v>Tony Pollard</v>
      </c>
      <c r="C29" t="s">
        <v>25</v>
      </c>
      <c r="D29">
        <f>_xlfn.IFNA(INDEX(BYEs!E:E,MATCH(B29,BYEs!D:D,0)),"N/A")</f>
        <v>27</v>
      </c>
      <c r="E29">
        <f>INDEX(BYEs!$B$2:$B$34,MATCH(F29,BYEs!$A$2:$A$34,0))</f>
        <v>5</v>
      </c>
      <c r="F29" t="str">
        <f>RB_Raw!B26</f>
        <v>TEN</v>
      </c>
      <c r="G29" s="202">
        <v>0</v>
      </c>
      <c r="H29" s="203">
        <v>0</v>
      </c>
      <c r="I29" s="202">
        <f>RB_Raw!C26</f>
        <v>197.6</v>
      </c>
      <c r="J29" s="200">
        <f>RB_Raw!D26</f>
        <v>846.7</v>
      </c>
      <c r="K29" s="203">
        <f>RB_Raw!E26</f>
        <v>5.7</v>
      </c>
      <c r="L29" s="202">
        <f>RB_Raw!F26</f>
        <v>34.1</v>
      </c>
      <c r="M29" s="200">
        <f>RB_Raw!G26</f>
        <v>236.7</v>
      </c>
      <c r="N29" s="203">
        <f>RB_Raw!H26</f>
        <v>0.9</v>
      </c>
      <c r="O29" s="200">
        <f>RB_Raw!I26</f>
        <v>0.9</v>
      </c>
      <c r="P29" s="205">
        <f t="shared" si="1"/>
        <v>163.19000000000003</v>
      </c>
      <c r="Q29" t="str">
        <f t="shared" ca="1" si="2"/>
        <v>Bench</v>
      </c>
      <c r="R29">
        <f t="shared" ca="1" si="3"/>
        <v>0</v>
      </c>
      <c r="S29">
        <f t="shared" ca="1" si="4"/>
        <v>59.510000000000019</v>
      </c>
      <c r="T29" s="84">
        <f t="shared" ca="1" si="5"/>
        <v>9.8179332475889769</v>
      </c>
      <c r="U29" s="84">
        <f ca="1">T29*Auction!$A$2</f>
        <v>9.8179332475889769</v>
      </c>
      <c r="V29" s="5" t="str">
        <f>IF(OR(INDEX(Auction!$H$13:$H$650,MATCH(B29,Auction!$A$13:$A$650,0))&gt;0,IFERROR(INDEX(CheatSheet!$M$5:$M$64,MATCH(B29,CheatSheet!$J$5:$J$64,0)),"")&lt;&gt;""),"Yes","No")</f>
        <v>No</v>
      </c>
      <c r="W29" s="175"/>
      <c r="Y29" s="77">
        <f t="shared" ca="1" si="6"/>
        <v>1</v>
      </c>
      <c r="Z29" s="174">
        <f t="shared" ca="1" si="7"/>
        <v>29.75500000000001</v>
      </c>
      <c r="AA29" t="str">
        <f t="shared" ca="1" si="9"/>
        <v>RB6</v>
      </c>
      <c r="AB29" s="174">
        <f ca="1">Z29*LeagueInfo!$H$5</f>
        <v>9.6093825181741064</v>
      </c>
      <c r="AC29" s="174">
        <f t="shared" ca="1" si="8"/>
        <v>0.74984722082469568</v>
      </c>
    </row>
    <row r="30" spans="1:29" x14ac:dyDescent="0.35">
      <c r="A30">
        <f t="shared" si="0"/>
        <v>28</v>
      </c>
      <c r="B30" t="str">
        <f>RB_Raw!A33</f>
        <v>Jaylen Warren</v>
      </c>
      <c r="C30" t="s">
        <v>25</v>
      </c>
      <c r="D30">
        <f>_xlfn.IFNA(INDEX(BYEs!E:E,MATCH(B30,BYEs!D:D,0)),"N/A")</f>
        <v>25</v>
      </c>
      <c r="E30">
        <f>INDEX(BYEs!$B$2:$B$34,MATCH(F30,BYEs!$A$2:$A$34,0))</f>
        <v>9</v>
      </c>
      <c r="F30" t="str">
        <f>RB_Raw!B33</f>
        <v>PIT</v>
      </c>
      <c r="G30" s="202">
        <v>0</v>
      </c>
      <c r="H30" s="203">
        <v>0</v>
      </c>
      <c r="I30" s="202">
        <f>RB_Raw!C33</f>
        <v>142.4</v>
      </c>
      <c r="J30" s="200">
        <f>RB_Raw!D33</f>
        <v>685.7</v>
      </c>
      <c r="K30" s="203">
        <f>RB_Raw!E33</f>
        <v>3.9</v>
      </c>
      <c r="L30" s="202">
        <f>RB_Raw!F33</f>
        <v>47.9</v>
      </c>
      <c r="M30" s="200">
        <f>RB_Raw!G33</f>
        <v>327.60000000000002</v>
      </c>
      <c r="N30" s="203">
        <f>RB_Raw!H33</f>
        <v>1.7</v>
      </c>
      <c r="O30" s="200">
        <f>RB_Raw!I33</f>
        <v>1.4</v>
      </c>
      <c r="P30" s="205">
        <f t="shared" si="1"/>
        <v>156.07999999999998</v>
      </c>
      <c r="Q30" t="str">
        <f t="shared" ca="1" si="2"/>
        <v>Bench</v>
      </c>
      <c r="R30">
        <f t="shared" ca="1" si="3"/>
        <v>0</v>
      </c>
      <c r="S30">
        <f t="shared" ca="1" si="4"/>
        <v>52.399999999999977</v>
      </c>
      <c r="T30" s="84">
        <f t="shared" ca="1" si="5"/>
        <v>8.6449286199573514</v>
      </c>
      <c r="U30" s="84">
        <f ca="1">T30*Auction!$A$2</f>
        <v>8.6449286199573514</v>
      </c>
      <c r="V30" s="5" t="str">
        <f>IF(OR(INDEX(Auction!$H$13:$H$650,MATCH(B30,Auction!$A$13:$A$650,0))&gt;0,IFERROR(INDEX(CheatSheet!$M$5:$M$64,MATCH(B30,CheatSheet!$J$5:$J$64,0)),"")&lt;&gt;""),"Yes","No")</f>
        <v>No</v>
      </c>
      <c r="W30" s="175"/>
      <c r="Y30" s="77">
        <f t="shared" ca="1" si="6"/>
        <v>1</v>
      </c>
      <c r="Z30" s="174">
        <f t="shared" ca="1" si="7"/>
        <v>26.199999999999989</v>
      </c>
      <c r="AA30" t="str">
        <f t="shared" ca="1" si="9"/>
        <v>RB6</v>
      </c>
      <c r="AB30" s="174">
        <f ca="1">Z30*LeagueInfo!$H$5</f>
        <v>8.4612946387552128</v>
      </c>
      <c r="AC30" s="174">
        <f t="shared" ca="1" si="8"/>
        <v>0.67436732039875313</v>
      </c>
    </row>
    <row r="31" spans="1:29" x14ac:dyDescent="0.35">
      <c r="A31">
        <f t="shared" si="0"/>
        <v>29</v>
      </c>
      <c r="B31" t="str">
        <f>RB_Raw!A29</f>
        <v>Brian Robinson Jr.</v>
      </c>
      <c r="C31" t="s">
        <v>25</v>
      </c>
      <c r="D31">
        <f>_xlfn.IFNA(INDEX(BYEs!E:E,MATCH(B31,BYEs!D:D,0)),"N/A")</f>
        <v>25</v>
      </c>
      <c r="E31">
        <f>INDEX(BYEs!$B$2:$B$34,MATCH(F31,BYEs!$A$2:$A$34,0))</f>
        <v>14</v>
      </c>
      <c r="F31" t="str">
        <f>RB_Raw!B29</f>
        <v>WAS</v>
      </c>
      <c r="G31" s="202">
        <v>0</v>
      </c>
      <c r="H31" s="203">
        <v>0</v>
      </c>
      <c r="I31" s="202">
        <f>RB_Raw!C29</f>
        <v>185.3</v>
      </c>
      <c r="J31" s="200">
        <f>RB_Raw!D29</f>
        <v>776.2</v>
      </c>
      <c r="K31" s="203">
        <f>RB_Raw!E29</f>
        <v>5.3</v>
      </c>
      <c r="L31" s="202">
        <f>RB_Raw!F29</f>
        <v>28.8</v>
      </c>
      <c r="M31" s="200">
        <f>RB_Raw!G29</f>
        <v>241.1</v>
      </c>
      <c r="N31" s="203">
        <f>RB_Raw!H29</f>
        <v>1.8</v>
      </c>
      <c r="O31" s="200">
        <f>RB_Raw!I29</f>
        <v>1.5</v>
      </c>
      <c r="P31" s="205">
        <f t="shared" si="1"/>
        <v>155.73000000000002</v>
      </c>
      <c r="Q31" t="str">
        <f t="shared" ca="1" si="2"/>
        <v>Bench</v>
      </c>
      <c r="R31">
        <f t="shared" ca="1" si="3"/>
        <v>0</v>
      </c>
      <c r="S31">
        <f t="shared" ca="1" si="4"/>
        <v>52.050000000000011</v>
      </c>
      <c r="T31" s="84">
        <f t="shared" ca="1" si="5"/>
        <v>8.587185776121764</v>
      </c>
      <c r="U31" s="84">
        <f ca="1">T31*Auction!$A$2</f>
        <v>8.587185776121764</v>
      </c>
      <c r="V31" s="5" t="str">
        <f>IF(OR(INDEX(Auction!$H$13:$H$650,MATCH(B31,Auction!$A$13:$A$650,0))&gt;0,IFERROR(INDEX(CheatSheet!$M$5:$M$64,MATCH(B31,CheatSheet!$J$5:$J$64,0)),"")&lt;&gt;""),"Yes","No")</f>
        <v>No</v>
      </c>
      <c r="W31" s="175"/>
      <c r="Y31" s="77">
        <f t="shared" ca="1" si="6"/>
        <v>1</v>
      </c>
      <c r="Z31" s="174">
        <f t="shared" ca="1" si="7"/>
        <v>26.025000000000006</v>
      </c>
      <c r="AA31" t="str">
        <f t="shared" ca="1" si="9"/>
        <v>RB6</v>
      </c>
      <c r="AB31" s="174">
        <f ca="1">Z31*LeagueInfo!$H$5</f>
        <v>8.4047783577711677</v>
      </c>
      <c r="AC31" s="174">
        <f t="shared" ca="1" si="8"/>
        <v>0.67065171348608399</v>
      </c>
    </row>
    <row r="32" spans="1:29" x14ac:dyDescent="0.35">
      <c r="A32">
        <f t="shared" si="0"/>
        <v>30</v>
      </c>
      <c r="B32" t="str">
        <f>RB_Raw!A30</f>
        <v>Devin Singletary</v>
      </c>
      <c r="C32" t="s">
        <v>25</v>
      </c>
      <c r="D32">
        <f>_xlfn.IFNA(INDEX(BYEs!E:E,MATCH(B32,BYEs!D:D,0)),"N/A")</f>
        <v>26</v>
      </c>
      <c r="E32">
        <f>INDEX(BYEs!$B$2:$B$34,MATCH(F32,BYEs!$A$2:$A$34,0))</f>
        <v>11</v>
      </c>
      <c r="F32" t="str">
        <f>RB_Raw!B30</f>
        <v>NYG</v>
      </c>
      <c r="G32" s="202">
        <v>0</v>
      </c>
      <c r="H32" s="203">
        <v>0</v>
      </c>
      <c r="I32" s="202">
        <f>RB_Raw!C30</f>
        <v>196.3</v>
      </c>
      <c r="J32" s="200">
        <f>RB_Raw!D30</f>
        <v>847.4</v>
      </c>
      <c r="K32" s="203">
        <f>RB_Raw!E30</f>
        <v>5</v>
      </c>
      <c r="L32" s="202">
        <f>RB_Raw!F30</f>
        <v>33</v>
      </c>
      <c r="M32" s="200">
        <f>RB_Raw!G30</f>
        <v>212.9</v>
      </c>
      <c r="N32" s="203">
        <f>RB_Raw!H30</f>
        <v>0.7</v>
      </c>
      <c r="O32" s="200">
        <f>RB_Raw!I30</f>
        <v>1</v>
      </c>
      <c r="P32" s="205">
        <f t="shared" si="1"/>
        <v>154.72999999999999</v>
      </c>
      <c r="Q32" t="str">
        <f t="shared" ca="1" si="2"/>
        <v>Bench</v>
      </c>
      <c r="R32">
        <f t="shared" ca="1" si="3"/>
        <v>0</v>
      </c>
      <c r="S32">
        <f t="shared" ca="1" si="4"/>
        <v>51.049999999999983</v>
      </c>
      <c r="T32" s="84">
        <f t="shared" ca="1" si="5"/>
        <v>8.4222062223057801</v>
      </c>
      <c r="U32" s="84">
        <f ca="1">T32*Auction!$A$2</f>
        <v>8.4222062223057801</v>
      </c>
      <c r="V32" s="5" t="str">
        <f>IF(OR(INDEX(Auction!$H$13:$H$650,MATCH(B32,Auction!$A$13:$A$650,0))&gt;0,IFERROR(INDEX(CheatSheet!$M$5:$M$64,MATCH(B32,CheatSheet!$J$5:$J$64,0)),"")&lt;&gt;""),"Yes","No")</f>
        <v>No</v>
      </c>
      <c r="W32" s="175"/>
      <c r="Y32" s="77">
        <f t="shared" ca="1" si="6"/>
        <v>1</v>
      </c>
      <c r="Z32" s="174">
        <f t="shared" ca="1" si="7"/>
        <v>25.524999999999991</v>
      </c>
      <c r="AA32" t="str">
        <f t="shared" ca="1" si="9"/>
        <v>RB6</v>
      </c>
      <c r="AB32" s="174">
        <f ca="1">Z32*LeagueInfo!$H$5</f>
        <v>8.243303269245299</v>
      </c>
      <c r="AC32" s="174">
        <f t="shared" ca="1" si="8"/>
        <v>0.66003569373559956</v>
      </c>
    </row>
    <row r="33" spans="1:29" x14ac:dyDescent="0.35">
      <c r="A33">
        <f t="shared" si="0"/>
        <v>31</v>
      </c>
      <c r="B33" t="str">
        <f>RB_Raw!A31</f>
        <v>Zack Moss</v>
      </c>
      <c r="C33" t="s">
        <v>25</v>
      </c>
      <c r="D33">
        <f>_xlfn.IFNA(INDEX(BYEs!E:E,MATCH(B33,BYEs!D:D,0)),"N/A")</f>
        <v>26</v>
      </c>
      <c r="E33">
        <f>INDEX(BYEs!$B$2:$B$34,MATCH(F33,BYEs!$A$2:$A$34,0))</f>
        <v>12</v>
      </c>
      <c r="F33" t="str">
        <f>RB_Raw!B31</f>
        <v>CIN</v>
      </c>
      <c r="G33" s="202">
        <v>0</v>
      </c>
      <c r="H33" s="203">
        <v>0</v>
      </c>
      <c r="I33" s="202">
        <f>RB_Raw!C31</f>
        <v>170.3</v>
      </c>
      <c r="J33" s="200">
        <f>RB_Raw!D31</f>
        <v>738</v>
      </c>
      <c r="K33" s="203">
        <f>RB_Raw!E31</f>
        <v>5.8</v>
      </c>
      <c r="L33" s="202">
        <f>RB_Raw!F31</f>
        <v>29.5</v>
      </c>
      <c r="M33" s="200">
        <f>RB_Raw!G31</f>
        <v>205</v>
      </c>
      <c r="N33" s="203">
        <f>RB_Raw!H31</f>
        <v>1.4</v>
      </c>
      <c r="O33" s="200">
        <f>RB_Raw!I31</f>
        <v>0.5</v>
      </c>
      <c r="P33" s="205">
        <f t="shared" si="1"/>
        <v>151.25</v>
      </c>
      <c r="Q33" t="str">
        <f t="shared" ca="1" si="2"/>
        <v>Bench</v>
      </c>
      <c r="R33">
        <f t="shared" ca="1" si="3"/>
        <v>0</v>
      </c>
      <c r="S33">
        <f t="shared" ca="1" si="4"/>
        <v>47.569999999999993</v>
      </c>
      <c r="T33" s="84">
        <f t="shared" ca="1" si="5"/>
        <v>7.8480773750261701</v>
      </c>
      <c r="U33" s="84">
        <f ca="1">T33*Auction!$A$2</f>
        <v>7.8480773750261701</v>
      </c>
      <c r="V33" s="5" t="str">
        <f>IF(OR(INDEX(Auction!$H$13:$H$650,MATCH(B33,Auction!$A$13:$A$650,0))&gt;0,IFERROR(INDEX(CheatSheet!$M$5:$M$64,MATCH(B33,CheatSheet!$J$5:$J$64,0)),"")&lt;&gt;""),"Yes","No")</f>
        <v>No</v>
      </c>
      <c r="W33" s="175"/>
      <c r="Y33" s="77">
        <f t="shared" ca="1" si="6"/>
        <v>1</v>
      </c>
      <c r="Z33" s="174">
        <f t="shared" ca="1" si="7"/>
        <v>23.784999999999997</v>
      </c>
      <c r="AA33" t="str">
        <f t="shared" ca="1" si="9"/>
        <v>RB6</v>
      </c>
      <c r="AB33" s="174">
        <f ca="1">Z33*LeagueInfo!$H$5</f>
        <v>7.6813699611752986</v>
      </c>
      <c r="AC33" s="174">
        <f t="shared" ca="1" si="8"/>
        <v>0.62309194500391496</v>
      </c>
    </row>
    <row r="34" spans="1:29" x14ac:dyDescent="0.35">
      <c r="A34">
        <f t="shared" si="0"/>
        <v>32</v>
      </c>
      <c r="B34" t="str">
        <f>RB_Raw!A36</f>
        <v>Tyjae Spears</v>
      </c>
      <c r="C34" t="s">
        <v>25</v>
      </c>
      <c r="D34">
        <f>_xlfn.IFNA(INDEX(BYEs!E:E,MATCH(B34,BYEs!D:D,0)),"N/A")</f>
        <v>23</v>
      </c>
      <c r="E34">
        <f>INDEX(BYEs!$B$2:$B$34,MATCH(F34,BYEs!$A$2:$A$34,0))</f>
        <v>5</v>
      </c>
      <c r="F34" t="str">
        <f>RB_Raw!B36</f>
        <v>TEN</v>
      </c>
      <c r="G34" s="202">
        <v>0</v>
      </c>
      <c r="H34" s="203">
        <v>0</v>
      </c>
      <c r="I34" s="202">
        <f>RB_Raw!C36</f>
        <v>141.9</v>
      </c>
      <c r="J34" s="200">
        <f>RB_Raw!D36</f>
        <v>621.1</v>
      </c>
      <c r="K34" s="203">
        <f>RB_Raw!E36</f>
        <v>3.6</v>
      </c>
      <c r="L34" s="202">
        <f>RB_Raw!F36</f>
        <v>43.3</v>
      </c>
      <c r="M34" s="200">
        <f>RB_Raw!G36</f>
        <v>336</v>
      </c>
      <c r="N34" s="203">
        <f>RB_Raw!H36</f>
        <v>1.6</v>
      </c>
      <c r="O34" s="200">
        <f>RB_Raw!I36</f>
        <v>0.9</v>
      </c>
      <c r="P34" s="205">
        <f t="shared" si="1"/>
        <v>146.76</v>
      </c>
      <c r="Q34" t="str">
        <f t="shared" ca="1" si="2"/>
        <v>Bench</v>
      </c>
      <c r="R34">
        <f t="shared" ca="1" si="3"/>
        <v>0</v>
      </c>
      <c r="S34">
        <f t="shared" ca="1" si="4"/>
        <v>43.079999999999984</v>
      </c>
      <c r="T34" s="84">
        <f t="shared" ca="1" si="5"/>
        <v>7.1073191783924186</v>
      </c>
      <c r="U34" s="84">
        <f ca="1">T34*Auction!$A$2</f>
        <v>7.1073191783924186</v>
      </c>
      <c r="V34" s="5" t="str">
        <f>IF(OR(INDEX(Auction!$H$13:$H$650,MATCH(B34,Auction!$A$13:$A$650,0))&gt;0,IFERROR(INDEX(CheatSheet!$M$5:$M$64,MATCH(B34,CheatSheet!$J$5:$J$64,0)),"")&lt;&gt;""),"Yes","No")</f>
        <v>No</v>
      </c>
      <c r="W34" s="175"/>
      <c r="Y34" s="77">
        <f t="shared" ca="1" si="6"/>
        <v>1</v>
      </c>
      <c r="Z34" s="174">
        <f t="shared" ca="1" si="7"/>
        <v>21.539999999999992</v>
      </c>
      <c r="AA34" t="str">
        <f t="shared" ca="1" si="9"/>
        <v>RB6</v>
      </c>
      <c r="AB34" s="174">
        <f ca="1">Z34*LeagueInfo!$H$5</f>
        <v>6.9563468136941724</v>
      </c>
      <c r="AC34" s="174">
        <f t="shared" ca="1" si="8"/>
        <v>0.57542601632424117</v>
      </c>
    </row>
    <row r="35" spans="1:29" x14ac:dyDescent="0.35">
      <c r="A35">
        <f t="shared" ref="A35:A66" si="10">RANK(P35,P:P)</f>
        <v>33</v>
      </c>
      <c r="B35" t="str">
        <f>RB_Raw!A37</f>
        <v>Austin Ekeler</v>
      </c>
      <c r="C35" t="s">
        <v>25</v>
      </c>
      <c r="D35">
        <f>_xlfn.IFNA(INDEX(BYEs!E:E,MATCH(B35,BYEs!D:D,0)),"N/A")</f>
        <v>29</v>
      </c>
      <c r="E35">
        <f>INDEX(BYEs!$B$2:$B$34,MATCH(F35,BYEs!$A$2:$A$34,0))</f>
        <v>14</v>
      </c>
      <c r="F35" t="str">
        <f>RB_Raw!B37</f>
        <v>WAS</v>
      </c>
      <c r="G35" s="202">
        <v>0</v>
      </c>
      <c r="H35" s="203">
        <v>0</v>
      </c>
      <c r="I35" s="202">
        <f>RB_Raw!C37</f>
        <v>126.6</v>
      </c>
      <c r="J35" s="200">
        <f>RB_Raw!D37</f>
        <v>524.1</v>
      </c>
      <c r="K35" s="203">
        <f>RB_Raw!E37</f>
        <v>4.2</v>
      </c>
      <c r="L35" s="202">
        <f>RB_Raw!F37</f>
        <v>46.3</v>
      </c>
      <c r="M35" s="200">
        <f>RB_Raw!G37</f>
        <v>366.7</v>
      </c>
      <c r="N35" s="203">
        <f>RB_Raw!H37</f>
        <v>2</v>
      </c>
      <c r="O35" s="200">
        <f>RB_Raw!I37</f>
        <v>1.7</v>
      </c>
      <c r="P35" s="205">
        <f t="shared" ref="P35:P66" si="11">(J35*RBRushingYd)+(K35*RBRushingTD)+(L35*RBReceptions)+(M35*RBRecYd)+(N35*RBRecTD)+(O35*RBFuml)+(I35*RBRushAtt)</f>
        <v>146.03</v>
      </c>
      <c r="Q35" t="str">
        <f t="shared" ref="Q35:Q66" ca="1" si="12">IF(A35&lt;=RBStarters,"Starter",IF(A35&gt;RBStarters+RBBench,"Undrafted","Bench"))</f>
        <v>Bench</v>
      </c>
      <c r="R35">
        <f t="shared" ref="R35:R66" ca="1" si="13">IFERROR(MAX(P35-LARGE(RBSheetCount,RBStarters),0),0)</f>
        <v>0</v>
      </c>
      <c r="S35">
        <f t="shared" ref="S35:S66" ca="1" si="14">IFERROR(IF(AllowNegative="Yes",P35-LARGE(RBSheetCount,RBCount),MAX(P35-LARGE(RBSheetCount,RBCount),0)),0)</f>
        <v>42.349999999999994</v>
      </c>
      <c r="T35" s="84">
        <f t="shared" ref="T35:T66" ca="1" si="15">(S35-R35)*BenchPF+R35*StarterPF</f>
        <v>6.9868841041067551</v>
      </c>
      <c r="U35" s="84">
        <f ca="1">T35*Auction!$A$2</f>
        <v>6.9868841041067551</v>
      </c>
      <c r="V35" s="5" t="str">
        <f>IF(OR(INDEX(Auction!$H$13:$H$650,MATCH(B35,Auction!$A$13:$A$650,0))&gt;0,IFERROR(INDEX(CheatSheet!$M$5:$M$64,MATCH(B35,CheatSheet!$J$5:$J$64,0)),"")&lt;&gt;""),"Yes","No")</f>
        <v>No</v>
      </c>
      <c r="W35" s="175"/>
      <c r="Y35" s="77">
        <f t="shared" ref="Y35:Y66" ca="1" si="16">SUMIFS(Z:Z,Z:Z,"&gt;0",V:V,"No")/SUMIF(Z:Z,"&gt;0")</f>
        <v>1</v>
      </c>
      <c r="Z35" s="174">
        <f t="shared" ref="Z35:Z66" ca="1" si="17">AVERAGE(R35:S35)</f>
        <v>21.174999999999997</v>
      </c>
      <c r="AA35" t="str">
        <f t="shared" ca="1" si="9"/>
        <v>RB6</v>
      </c>
      <c r="AB35" s="174">
        <f ca="1">Z35*LeagueInfo!$H$5</f>
        <v>6.838469999070294</v>
      </c>
      <c r="AC35" s="174">
        <f t="shared" ref="AC35:AC66" ca="1" si="18">(Z35-AVERAGE(Z:Z))/_xlfn.STDEV.P(Z:Z)</f>
        <v>0.56767632190638784</v>
      </c>
    </row>
    <row r="36" spans="1:29" x14ac:dyDescent="0.35">
      <c r="A36">
        <f t="shared" si="10"/>
        <v>34</v>
      </c>
      <c r="B36" t="str">
        <f>RB_Raw!A34</f>
        <v>Chase Brown</v>
      </c>
      <c r="C36" t="s">
        <v>25</v>
      </c>
      <c r="D36">
        <f>_xlfn.IFNA(INDEX(BYEs!E:E,MATCH(B36,BYEs!D:D,0)),"N/A")</f>
        <v>24</v>
      </c>
      <c r="E36">
        <f>INDEX(BYEs!$B$2:$B$34,MATCH(F36,BYEs!$A$2:$A$34,0))</f>
        <v>12</v>
      </c>
      <c r="F36" t="str">
        <f>RB_Raw!B34</f>
        <v>CIN</v>
      </c>
      <c r="G36" s="202">
        <v>0</v>
      </c>
      <c r="H36" s="203">
        <v>0</v>
      </c>
      <c r="I36" s="202">
        <f>RB_Raw!C34</f>
        <v>142.69999999999999</v>
      </c>
      <c r="J36" s="200">
        <f>RB_Raw!D34</f>
        <v>618.6</v>
      </c>
      <c r="K36" s="203">
        <f>RB_Raw!E34</f>
        <v>4</v>
      </c>
      <c r="L36" s="202">
        <f>RB_Raw!F34</f>
        <v>37.299999999999997</v>
      </c>
      <c r="M36" s="200">
        <f>RB_Raw!G34</f>
        <v>304.5</v>
      </c>
      <c r="N36" s="203">
        <f>RB_Raw!H34</f>
        <v>1.9</v>
      </c>
      <c r="O36" s="200">
        <f>RB_Raw!I34</f>
        <v>0.6</v>
      </c>
      <c r="P36" s="205">
        <f t="shared" si="11"/>
        <v>145.16000000000005</v>
      </c>
      <c r="Q36" t="str">
        <f t="shared" ca="1" si="12"/>
        <v>Bench</v>
      </c>
      <c r="R36">
        <f t="shared" ca="1" si="13"/>
        <v>0</v>
      </c>
      <c r="S36">
        <f t="shared" ca="1" si="14"/>
        <v>41.480000000000047</v>
      </c>
      <c r="T36" s="84">
        <f t="shared" ca="1" si="15"/>
        <v>6.8433518922868606</v>
      </c>
      <c r="U36" s="84">
        <f ca="1">T36*Auction!$A$2</f>
        <v>6.8433518922868606</v>
      </c>
      <c r="V36" s="5" t="str">
        <f>IF(OR(INDEX(Auction!$H$13:$H$650,MATCH(B36,Auction!$A$13:$A$650,0))&gt;0,IFERROR(INDEX(CheatSheet!$M$5:$M$64,MATCH(B36,CheatSheet!$J$5:$J$64,0)),"")&lt;&gt;""),"Yes","No")</f>
        <v>No</v>
      </c>
      <c r="W36" s="175"/>
      <c r="Y36" s="77">
        <f t="shared" ca="1" si="16"/>
        <v>1</v>
      </c>
      <c r="Z36" s="174">
        <f t="shared" ca="1" si="17"/>
        <v>20.740000000000023</v>
      </c>
      <c r="AA36" t="str">
        <f t="shared" ca="1" si="9"/>
        <v>RB6</v>
      </c>
      <c r="AB36" s="174">
        <f ca="1">Z36*LeagueInfo!$H$5</f>
        <v>6.6979866720528021</v>
      </c>
      <c r="AC36" s="174">
        <f t="shared" ca="1" si="18"/>
        <v>0.55844038472346724</v>
      </c>
    </row>
    <row r="37" spans="1:29" x14ac:dyDescent="0.35">
      <c r="A37">
        <f t="shared" si="10"/>
        <v>35</v>
      </c>
      <c r="B37" t="str">
        <f>RB_Raw!A32</f>
        <v>Gus Edwards</v>
      </c>
      <c r="C37" t="s">
        <v>25</v>
      </c>
      <c r="D37">
        <f>_xlfn.IFNA(INDEX(BYEs!E:E,MATCH(B37,BYEs!D:D,0)),"N/A")</f>
        <v>29</v>
      </c>
      <c r="E37">
        <f>INDEX(BYEs!$B$2:$B$34,MATCH(F37,BYEs!$A$2:$A$34,0))</f>
        <v>5</v>
      </c>
      <c r="F37" t="str">
        <f>RB_Raw!B32</f>
        <v>LAC</v>
      </c>
      <c r="G37" s="202">
        <v>0</v>
      </c>
      <c r="H37" s="203">
        <v>0</v>
      </c>
      <c r="I37" s="202">
        <f>RB_Raw!C32</f>
        <v>183.7</v>
      </c>
      <c r="J37" s="200">
        <f>RB_Raw!D32</f>
        <v>780.3</v>
      </c>
      <c r="K37" s="203">
        <f>RB_Raw!E32</f>
        <v>7</v>
      </c>
      <c r="L37" s="202">
        <f>RB_Raw!F32</f>
        <v>15</v>
      </c>
      <c r="M37" s="200">
        <f>RB_Raw!G32</f>
        <v>131</v>
      </c>
      <c r="N37" s="203">
        <f>RB_Raw!H32</f>
        <v>0.4</v>
      </c>
      <c r="O37" s="200">
        <f>RB_Raw!I32</f>
        <v>1.3</v>
      </c>
      <c r="P37" s="205">
        <f t="shared" si="11"/>
        <v>140.43</v>
      </c>
      <c r="Q37" t="str">
        <f t="shared" ca="1" si="12"/>
        <v>Bench</v>
      </c>
      <c r="R37">
        <f t="shared" ca="1" si="13"/>
        <v>0</v>
      </c>
      <c r="S37">
        <f t="shared" ca="1" si="14"/>
        <v>36.75</v>
      </c>
      <c r="T37" s="84">
        <f t="shared" ca="1" si="15"/>
        <v>6.0629986027372675</v>
      </c>
      <c r="U37" s="84">
        <f ca="1">T37*Auction!$A$2</f>
        <v>6.0629986027372675</v>
      </c>
      <c r="V37" s="5" t="str">
        <f>IF(OR(INDEX(Auction!$H$13:$H$650,MATCH(B37,Auction!$A$13:$A$650,0))&gt;0,IFERROR(INDEX(CheatSheet!$M$5:$M$64,MATCH(B37,CheatSheet!$J$5:$J$64,0)),"")&lt;&gt;""),"Yes","No")</f>
        <v>No</v>
      </c>
      <c r="W37" s="175"/>
      <c r="Y37" s="77">
        <f t="shared" ca="1" si="16"/>
        <v>1</v>
      </c>
      <c r="Z37" s="174">
        <f t="shared" ca="1" si="17"/>
        <v>18.375</v>
      </c>
      <c r="AA37" t="str">
        <f t="shared" ca="1" si="9"/>
        <v>RB6</v>
      </c>
      <c r="AB37" s="174">
        <f ca="1">Z37*LeagueInfo!$H$5</f>
        <v>5.9342095033254623</v>
      </c>
      <c r="AC37" s="174">
        <f t="shared" ca="1" si="18"/>
        <v>0.50822661130367675</v>
      </c>
    </row>
    <row r="38" spans="1:29" x14ac:dyDescent="0.35">
      <c r="A38">
        <f t="shared" si="10"/>
        <v>36</v>
      </c>
      <c r="B38" t="str">
        <f>RB_Raw!A35</f>
        <v>Ezekiel Elliott</v>
      </c>
      <c r="C38" t="s">
        <v>25</v>
      </c>
      <c r="D38">
        <f>_xlfn.IFNA(INDEX(BYEs!E:E,MATCH(B38,BYEs!D:D,0)),"N/A")</f>
        <v>29</v>
      </c>
      <c r="E38">
        <f>INDEX(BYEs!$B$2:$B$34,MATCH(F38,BYEs!$A$2:$A$34,0))</f>
        <v>7</v>
      </c>
      <c r="F38" t="str">
        <f>RB_Raw!B35</f>
        <v>DAL</v>
      </c>
      <c r="G38" s="202">
        <v>0</v>
      </c>
      <c r="H38" s="203">
        <v>0</v>
      </c>
      <c r="I38" s="202">
        <f>RB_Raw!C35</f>
        <v>170.2</v>
      </c>
      <c r="J38" s="200">
        <f>RB_Raw!D35</f>
        <v>663.2</v>
      </c>
      <c r="K38" s="203">
        <f>RB_Raw!E35</f>
        <v>5.7</v>
      </c>
      <c r="L38" s="202">
        <f>RB_Raw!F35</f>
        <v>29.2</v>
      </c>
      <c r="M38" s="200">
        <f>RB_Raw!G35</f>
        <v>193.8</v>
      </c>
      <c r="N38" s="203">
        <f>RB_Raw!H35</f>
        <v>1.3</v>
      </c>
      <c r="O38" s="200">
        <f>RB_Raw!I35</f>
        <v>1</v>
      </c>
      <c r="P38" s="205">
        <f t="shared" si="11"/>
        <v>140.30000000000001</v>
      </c>
      <c r="Q38" t="str">
        <f t="shared" ca="1" si="12"/>
        <v>Bench</v>
      </c>
      <c r="R38">
        <f t="shared" ca="1" si="13"/>
        <v>0</v>
      </c>
      <c r="S38">
        <f t="shared" ca="1" si="14"/>
        <v>36.620000000000005</v>
      </c>
      <c r="T38" s="84">
        <f t="shared" ca="1" si="15"/>
        <v>6.0415512607411905</v>
      </c>
      <c r="U38" s="84">
        <f ca="1">T38*Auction!$A$2</f>
        <v>6.0415512607411905</v>
      </c>
      <c r="V38" s="5" t="str">
        <f>IF(OR(INDEX(Auction!$H$13:$H$650,MATCH(B38,Auction!$A$13:$A$650,0))&gt;0,IFERROR(INDEX(CheatSheet!$M$5:$M$64,MATCH(B38,CheatSheet!$J$5:$J$64,0)),"")&lt;&gt;""),"Yes","No")</f>
        <v>No</v>
      </c>
      <c r="W38" s="175"/>
      <c r="Y38" s="77">
        <f t="shared" ca="1" si="16"/>
        <v>1</v>
      </c>
      <c r="Z38" s="174">
        <f t="shared" ca="1" si="17"/>
        <v>18.310000000000002</v>
      </c>
      <c r="AA38" t="str">
        <f t="shared" ca="1" si="9"/>
        <v>RB6</v>
      </c>
      <c r="AB38" s="174">
        <f ca="1">Z38*LeagueInfo!$H$5</f>
        <v>5.9132177418171015</v>
      </c>
      <c r="AC38" s="174">
        <f t="shared" ca="1" si="18"/>
        <v>0.50684652873611391</v>
      </c>
    </row>
    <row r="39" spans="1:29" x14ac:dyDescent="0.35">
      <c r="A39">
        <f t="shared" si="10"/>
        <v>37</v>
      </c>
      <c r="B39" t="str">
        <f>RB_Raw!A38</f>
        <v>Jerome Ford</v>
      </c>
      <c r="C39" t="s">
        <v>25</v>
      </c>
      <c r="D39">
        <f>_xlfn.IFNA(INDEX(BYEs!E:E,MATCH(B39,BYEs!D:D,0)),"N/A")</f>
        <v>24</v>
      </c>
      <c r="E39">
        <f>INDEX(BYEs!$B$2:$B$34,MATCH(F39,BYEs!$A$2:$A$34,0))</f>
        <v>10</v>
      </c>
      <c r="F39" t="str">
        <f>RB_Raw!B38</f>
        <v>CLE</v>
      </c>
      <c r="G39" s="202">
        <v>0</v>
      </c>
      <c r="H39" s="203">
        <v>0</v>
      </c>
      <c r="I39" s="202">
        <f>RB_Raw!C38</f>
        <v>162.5</v>
      </c>
      <c r="J39" s="200">
        <f>RB_Raw!D38</f>
        <v>643.5</v>
      </c>
      <c r="K39" s="203">
        <f>RB_Raw!E38</f>
        <v>3.8</v>
      </c>
      <c r="L39" s="202">
        <f>RB_Raw!F38</f>
        <v>34</v>
      </c>
      <c r="M39" s="200">
        <f>RB_Raw!G38</f>
        <v>241.8</v>
      </c>
      <c r="N39" s="203">
        <f>RB_Raw!H38</f>
        <v>1.9</v>
      </c>
      <c r="O39" s="200">
        <f>RB_Raw!I38</f>
        <v>0.8</v>
      </c>
      <c r="P39" s="205">
        <f t="shared" si="11"/>
        <v>138.13000000000002</v>
      </c>
      <c r="Q39" t="str">
        <f t="shared" ca="1" si="12"/>
        <v>Bench</v>
      </c>
      <c r="R39">
        <f t="shared" ca="1" si="13"/>
        <v>0</v>
      </c>
      <c r="S39">
        <f t="shared" ca="1" si="14"/>
        <v>34.450000000000017</v>
      </c>
      <c r="T39" s="84">
        <f t="shared" ca="1" si="15"/>
        <v>5.6835456289605162</v>
      </c>
      <c r="U39" s="84">
        <f ca="1">T39*Auction!$A$2</f>
        <v>5.6835456289605162</v>
      </c>
      <c r="V39" s="5" t="str">
        <f>IF(OR(INDEX(Auction!$H$13:$H$650,MATCH(B39,Auction!$A$13:$A$650,0))&gt;0,IFERROR(INDEX(CheatSheet!$M$5:$M$64,MATCH(B39,CheatSheet!$J$5:$J$64,0)),"")&lt;&gt;""),"Yes","No")</f>
        <v>No</v>
      </c>
      <c r="W39" s="175"/>
      <c r="Y39" s="77">
        <f t="shared" ca="1" si="16"/>
        <v>1</v>
      </c>
      <c r="Z39" s="174">
        <f t="shared" ca="1" si="17"/>
        <v>17.225000000000009</v>
      </c>
      <c r="AA39" t="str">
        <f t="shared" ca="1" si="9"/>
        <v>RB7</v>
      </c>
      <c r="AB39" s="174">
        <f ca="1">Z39*LeagueInfo!$H$5</f>
        <v>5.5628167997159803</v>
      </c>
      <c r="AC39" s="174">
        <f t="shared" ca="1" si="18"/>
        <v>0.48380976587756347</v>
      </c>
    </row>
    <row r="40" spans="1:29" x14ac:dyDescent="0.35">
      <c r="A40">
        <f t="shared" si="10"/>
        <v>38</v>
      </c>
      <c r="B40" t="str">
        <f>RB_Raw!A39</f>
        <v>Nick Chubb</v>
      </c>
      <c r="C40" t="s">
        <v>25</v>
      </c>
      <c r="D40">
        <f>_xlfn.IFNA(INDEX(BYEs!E:E,MATCH(B40,BYEs!D:D,0)),"N/A")</f>
        <v>28</v>
      </c>
      <c r="E40">
        <f>INDEX(BYEs!$B$2:$B$34,MATCH(F40,BYEs!$A$2:$A$34,0))</f>
        <v>10</v>
      </c>
      <c r="F40" t="str">
        <f>RB_Raw!B39</f>
        <v>CLE</v>
      </c>
      <c r="G40" s="202">
        <v>0</v>
      </c>
      <c r="H40" s="203">
        <v>0</v>
      </c>
      <c r="I40" s="202">
        <f>RB_Raw!C39</f>
        <v>150.69999999999999</v>
      </c>
      <c r="J40" s="200">
        <f>RB_Raw!D39</f>
        <v>730.6</v>
      </c>
      <c r="K40" s="203">
        <f>RB_Raw!E39</f>
        <v>5</v>
      </c>
      <c r="L40" s="202">
        <f>RB_Raw!F39</f>
        <v>17.5</v>
      </c>
      <c r="M40" s="200">
        <f>RB_Raw!G39</f>
        <v>138.1</v>
      </c>
      <c r="N40" s="203">
        <f>RB_Raw!H39</f>
        <v>0.6</v>
      </c>
      <c r="O40" s="200">
        <f>RB_Raw!I39</f>
        <v>0.8</v>
      </c>
      <c r="P40" s="205">
        <f t="shared" si="11"/>
        <v>127.62</v>
      </c>
      <c r="Q40" t="str">
        <f t="shared" ca="1" si="12"/>
        <v>Bench</v>
      </c>
      <c r="R40">
        <f t="shared" ca="1" si="13"/>
        <v>0</v>
      </c>
      <c r="S40">
        <f t="shared" ca="1" si="14"/>
        <v>23.939999999999998</v>
      </c>
      <c r="T40" s="84">
        <f t="shared" ca="1" si="15"/>
        <v>3.9496105183545622</v>
      </c>
      <c r="U40" s="84">
        <f ca="1">T40*Auction!$A$2</f>
        <v>3.9496105183545622</v>
      </c>
      <c r="V40" s="5" t="str">
        <f>IF(OR(INDEX(Auction!$H$13:$H$650,MATCH(B40,Auction!$A$13:$A$650,0))&gt;0,IFERROR(INDEX(CheatSheet!$M$5:$M$64,MATCH(B40,CheatSheet!$J$5:$J$64,0)),"")&lt;&gt;""),"Yes","No")</f>
        <v>No</v>
      </c>
      <c r="W40" s="175"/>
      <c r="Y40" s="77">
        <f t="shared" ca="1" si="16"/>
        <v>1</v>
      </c>
      <c r="Z40" s="174">
        <f t="shared" ca="1" si="17"/>
        <v>11.969999999999999</v>
      </c>
      <c r="AA40" t="str">
        <f t="shared" ca="1" si="9"/>
        <v>RB7</v>
      </c>
      <c r="AB40" s="174">
        <f ca="1">Z40*LeagueInfo!$H$5</f>
        <v>3.8657136193091581</v>
      </c>
      <c r="AC40" s="174">
        <f t="shared" ca="1" si="18"/>
        <v>0.37223539829997515</v>
      </c>
    </row>
    <row r="41" spans="1:29" x14ac:dyDescent="0.35">
      <c r="A41">
        <f t="shared" si="10"/>
        <v>39</v>
      </c>
      <c r="B41" t="str">
        <f>RB_Raw!A40</f>
        <v>Jonathon Brooks</v>
      </c>
      <c r="C41" t="s">
        <v>25</v>
      </c>
      <c r="D41">
        <f>_xlfn.IFNA(INDEX(BYEs!E:E,MATCH(B41,BYEs!D:D,0)),"N/A")</f>
        <v>21</v>
      </c>
      <c r="E41">
        <f>INDEX(BYEs!$B$2:$B$34,MATCH(F41,BYEs!$A$2:$A$34,0))</f>
        <v>11</v>
      </c>
      <c r="F41" t="str">
        <f>RB_Raw!B40</f>
        <v>CAR</v>
      </c>
      <c r="G41" s="202">
        <v>0</v>
      </c>
      <c r="H41" s="203">
        <v>0</v>
      </c>
      <c r="I41" s="202">
        <f>RB_Raw!C40</f>
        <v>152.1</v>
      </c>
      <c r="J41" s="200">
        <f>RB_Raw!D40</f>
        <v>664.2</v>
      </c>
      <c r="K41" s="203">
        <f>RB_Raw!E40</f>
        <v>4.4000000000000004</v>
      </c>
      <c r="L41" s="202">
        <f>RB_Raw!F40</f>
        <v>23.1</v>
      </c>
      <c r="M41" s="200">
        <f>RB_Raw!G40</f>
        <v>177.9</v>
      </c>
      <c r="N41" s="203">
        <f>RB_Raw!H40</f>
        <v>0.9</v>
      </c>
      <c r="O41" s="200">
        <f>RB_Raw!I40</f>
        <v>1.6</v>
      </c>
      <c r="P41" s="205">
        <f t="shared" si="11"/>
        <v>124.36000000000001</v>
      </c>
      <c r="Q41" t="str">
        <f t="shared" ca="1" si="12"/>
        <v>Bench</v>
      </c>
      <c r="R41">
        <f t="shared" ca="1" si="13"/>
        <v>0</v>
      </c>
      <c r="S41">
        <f t="shared" ca="1" si="14"/>
        <v>20.680000000000007</v>
      </c>
      <c r="T41" s="84">
        <f t="shared" ca="1" si="15"/>
        <v>3.4117771729144688</v>
      </c>
      <c r="U41" s="84">
        <f ca="1">T41*Auction!$A$2</f>
        <v>3.4117771729144688</v>
      </c>
      <c r="V41" s="5" t="str">
        <f>IF(OR(INDEX(Auction!$H$13:$H$650,MATCH(B41,Auction!$A$13:$A$650,0))&gt;0,IFERROR(INDEX(CheatSheet!$M$5:$M$64,MATCH(B41,CheatSheet!$J$5:$J$64,0)),"")&lt;&gt;""),"Yes","No")</f>
        <v>No</v>
      </c>
      <c r="W41" s="175"/>
      <c r="Y41" s="77">
        <f t="shared" ca="1" si="16"/>
        <v>1</v>
      </c>
      <c r="Z41" s="174">
        <f t="shared" ca="1" si="17"/>
        <v>10.340000000000003</v>
      </c>
      <c r="AA41" t="str">
        <f t="shared" ca="1" si="9"/>
        <v>RB7</v>
      </c>
      <c r="AB41" s="174">
        <f ca="1">Z41*LeagueInfo!$H$5</f>
        <v>3.3393048307148465</v>
      </c>
      <c r="AC41" s="174">
        <f t="shared" ca="1" si="18"/>
        <v>0.33762717391339703</v>
      </c>
    </row>
    <row r="42" spans="1:29" x14ac:dyDescent="0.35">
      <c r="A42">
        <f t="shared" si="10"/>
        <v>40</v>
      </c>
      <c r="B42" t="str">
        <f>RB_Raw!A41</f>
        <v>Chuba Hubbard</v>
      </c>
      <c r="C42" t="s">
        <v>25</v>
      </c>
      <c r="D42">
        <f>_xlfn.IFNA(INDEX(BYEs!E:E,MATCH(B42,BYEs!D:D,0)),"N/A")</f>
        <v>25</v>
      </c>
      <c r="E42">
        <f>INDEX(BYEs!$B$2:$B$34,MATCH(F42,BYEs!$A$2:$A$34,0))</f>
        <v>11</v>
      </c>
      <c r="F42" t="str">
        <f>RB_Raw!B41</f>
        <v>CAR</v>
      </c>
      <c r="G42" s="202">
        <v>0</v>
      </c>
      <c r="H42" s="203">
        <v>0</v>
      </c>
      <c r="I42" s="202">
        <f>RB_Raw!C41</f>
        <v>156.30000000000001</v>
      </c>
      <c r="J42" s="200">
        <f>RB_Raw!D41</f>
        <v>622</v>
      </c>
      <c r="K42" s="203">
        <f>RB_Raw!E41</f>
        <v>4</v>
      </c>
      <c r="L42" s="202">
        <f>RB_Raw!F41</f>
        <v>27.7</v>
      </c>
      <c r="M42" s="200">
        <f>RB_Raw!G41</f>
        <v>192.5</v>
      </c>
      <c r="N42" s="203">
        <f>RB_Raw!H41</f>
        <v>0.5</v>
      </c>
      <c r="O42" s="200">
        <f>RB_Raw!I41</f>
        <v>0.9</v>
      </c>
      <c r="P42" s="205">
        <f t="shared" si="11"/>
        <v>120.5</v>
      </c>
      <c r="Q42" t="str">
        <f t="shared" ca="1" si="12"/>
        <v>Bench</v>
      </c>
      <c r="R42">
        <f t="shared" ca="1" si="13"/>
        <v>0</v>
      </c>
      <c r="S42">
        <f t="shared" ca="1" si="14"/>
        <v>16.819999999999993</v>
      </c>
      <c r="T42" s="84">
        <f t="shared" ca="1" si="15"/>
        <v>2.7749560951847836</v>
      </c>
      <c r="U42" s="84">
        <f ca="1">T42*Auction!$A$2</f>
        <v>2.7749560951847836</v>
      </c>
      <c r="V42" s="5" t="str">
        <f>IF(OR(INDEX(Auction!$H$13:$H$650,MATCH(B42,Auction!$A$13:$A$650,0))&gt;0,IFERROR(INDEX(CheatSheet!$M$5:$M$64,MATCH(B42,CheatSheet!$J$5:$J$64,0)),"")&lt;&gt;""),"Yes","No")</f>
        <v>No</v>
      </c>
      <c r="W42" s="175"/>
      <c r="Y42" s="77">
        <f t="shared" ca="1" si="16"/>
        <v>1</v>
      </c>
      <c r="Z42" s="174">
        <f t="shared" ca="1" si="17"/>
        <v>8.4099999999999966</v>
      </c>
      <c r="AA42" t="str">
        <f t="shared" ca="1" si="9"/>
        <v>RB7</v>
      </c>
      <c r="AB42" s="174">
        <f ca="1">Z42*LeagueInfo!$H$5</f>
        <v>2.7160109890050133</v>
      </c>
      <c r="AC42" s="174">
        <f t="shared" ca="1" si="18"/>
        <v>0.29664933767652812</v>
      </c>
    </row>
    <row r="43" spans="1:29" x14ac:dyDescent="0.35">
      <c r="A43">
        <f t="shared" si="10"/>
        <v>41</v>
      </c>
      <c r="B43" t="str">
        <f>RB_Raw!A42</f>
        <v>J.K. Dobbins</v>
      </c>
      <c r="C43" t="s">
        <v>25</v>
      </c>
      <c r="D43">
        <f>_xlfn.IFNA(INDEX(BYEs!E:E,MATCH(B43,BYEs!D:D,0)),"N/A")</f>
        <v>25</v>
      </c>
      <c r="E43">
        <f>INDEX(BYEs!$B$2:$B$34,MATCH(F43,BYEs!$A$2:$A$34,0))</f>
        <v>5</v>
      </c>
      <c r="F43" t="str">
        <f>RB_Raw!B42</f>
        <v>LAC</v>
      </c>
      <c r="G43" s="202">
        <v>0</v>
      </c>
      <c r="H43" s="203">
        <v>0</v>
      </c>
      <c r="I43" s="202">
        <f>RB_Raw!C42</f>
        <v>133.6</v>
      </c>
      <c r="J43" s="200">
        <f>RB_Raw!D42</f>
        <v>571.5</v>
      </c>
      <c r="K43" s="203">
        <f>RB_Raw!E42</f>
        <v>3.9</v>
      </c>
      <c r="L43" s="202">
        <f>RB_Raw!F42</f>
        <v>24.3</v>
      </c>
      <c r="M43" s="200">
        <f>RB_Raw!G42</f>
        <v>182.8</v>
      </c>
      <c r="N43" s="203">
        <f>RB_Raw!H42</f>
        <v>1.5</v>
      </c>
      <c r="O43" s="200">
        <f>RB_Raw!I42</f>
        <v>0.9</v>
      </c>
      <c r="P43" s="205">
        <f t="shared" si="11"/>
        <v>118.18000000000002</v>
      </c>
      <c r="Q43" t="str">
        <f t="shared" ca="1" si="12"/>
        <v>Bench</v>
      </c>
      <c r="R43">
        <f t="shared" ca="1" si="13"/>
        <v>0</v>
      </c>
      <c r="S43">
        <f t="shared" ca="1" si="14"/>
        <v>14.500000000000014</v>
      </c>
      <c r="T43" s="84">
        <f t="shared" ca="1" si="15"/>
        <v>2.3922035303317131</v>
      </c>
      <c r="U43" s="84">
        <f ca="1">T43*Auction!$A$2</f>
        <v>2.3922035303317131</v>
      </c>
      <c r="V43" s="5" t="str">
        <f>IF(OR(INDEX(Auction!$H$13:$H$650,MATCH(B43,Auction!$A$13:$A$650,0))&gt;0,IFERROR(INDEX(CheatSheet!$M$5:$M$64,MATCH(B43,CheatSheet!$J$5:$J$64,0)),"")&lt;&gt;""),"Yes","No")</f>
        <v>No</v>
      </c>
      <c r="W43" s="175"/>
      <c r="Y43" s="77">
        <f t="shared" ca="1" si="16"/>
        <v>1</v>
      </c>
      <c r="Z43" s="174">
        <f t="shared" ca="1" si="17"/>
        <v>7.2500000000000071</v>
      </c>
      <c r="AA43" t="str">
        <f t="shared" ca="1" si="9"/>
        <v>RB7</v>
      </c>
      <c r="AB43" s="174">
        <f ca="1">Z43*LeagueInfo!$H$5</f>
        <v>2.3413887836250149</v>
      </c>
      <c r="AC43" s="174">
        <f t="shared" ca="1" si="18"/>
        <v>0.27202017185540522</v>
      </c>
    </row>
    <row r="44" spans="1:29" x14ac:dyDescent="0.35">
      <c r="A44">
        <f t="shared" si="10"/>
        <v>42</v>
      </c>
      <c r="B44" t="str">
        <f>RB_Raw!A43</f>
        <v>Ty Chandler</v>
      </c>
      <c r="C44" t="s">
        <v>25</v>
      </c>
      <c r="D44">
        <f>_xlfn.IFNA(INDEX(BYEs!E:E,MATCH(B44,BYEs!D:D,0)),"N/A")</f>
        <v>26</v>
      </c>
      <c r="E44">
        <f>INDEX(BYEs!$B$2:$B$34,MATCH(F44,BYEs!$A$2:$A$34,0))</f>
        <v>6</v>
      </c>
      <c r="F44" t="str">
        <f>RB_Raw!B43</f>
        <v>MIN</v>
      </c>
      <c r="G44" s="202">
        <v>0</v>
      </c>
      <c r="H44" s="203">
        <v>0</v>
      </c>
      <c r="I44" s="202">
        <f>RB_Raw!C43</f>
        <v>146.6</v>
      </c>
      <c r="J44" s="200">
        <f>RB_Raw!D43</f>
        <v>598.6</v>
      </c>
      <c r="K44" s="203">
        <f>RB_Raw!E43</f>
        <v>4.3</v>
      </c>
      <c r="L44" s="202">
        <f>RB_Raw!F43</f>
        <v>21.1</v>
      </c>
      <c r="M44" s="200">
        <f>RB_Raw!G43</f>
        <v>154.6</v>
      </c>
      <c r="N44" s="203">
        <f>RB_Raw!H43</f>
        <v>0.6</v>
      </c>
      <c r="O44" s="200">
        <f>RB_Raw!I43</f>
        <v>0.8</v>
      </c>
      <c r="P44" s="205">
        <f t="shared" si="11"/>
        <v>113.66999999999999</v>
      </c>
      <c r="Q44" t="str">
        <f t="shared" ca="1" si="12"/>
        <v>Bench</v>
      </c>
      <c r="R44">
        <f t="shared" ca="1" si="13"/>
        <v>0</v>
      </c>
      <c r="S44">
        <f t="shared" ca="1" si="14"/>
        <v>9.9899999999999807</v>
      </c>
      <c r="T44" s="84">
        <f t="shared" ca="1" si="15"/>
        <v>1.6481457426216377</v>
      </c>
      <c r="U44" s="84">
        <f ca="1">T44*Auction!$A$2</f>
        <v>1.6481457426216377</v>
      </c>
      <c r="V44" s="5" t="str">
        <f>IF(OR(INDEX(Auction!$H$13:$H$650,MATCH(B44,Auction!$A$13:$A$650,0))&gt;0,IFERROR(INDEX(CheatSheet!$M$5:$M$64,MATCH(B44,CheatSheet!$J$5:$J$64,0)),"")&lt;&gt;""),"Yes","No")</f>
        <v>No</v>
      </c>
      <c r="W44" s="175"/>
      <c r="Y44" s="77">
        <f t="shared" ca="1" si="16"/>
        <v>1</v>
      </c>
      <c r="Z44" s="174">
        <f t="shared" ca="1" si="17"/>
        <v>4.9949999999999903</v>
      </c>
      <c r="AA44" t="str">
        <f t="shared" ca="1" si="9"/>
        <v>RB7</v>
      </c>
      <c r="AB44" s="174">
        <f ca="1">Z44*LeagueInfo!$H$5</f>
        <v>1.6131361343733674</v>
      </c>
      <c r="AC44" s="174">
        <f t="shared" ca="1" si="18"/>
        <v>0.22414192278072143</v>
      </c>
    </row>
    <row r="45" spans="1:29" x14ac:dyDescent="0.35">
      <c r="A45">
        <f t="shared" si="10"/>
        <v>43</v>
      </c>
      <c r="B45" t="str">
        <f>RB_Raw!A45</f>
        <v>Rico Dowdle</v>
      </c>
      <c r="C45" t="s">
        <v>25</v>
      </c>
      <c r="D45">
        <f>_xlfn.IFNA(INDEX(BYEs!E:E,MATCH(B45,BYEs!D:D,0)),"N/A")</f>
        <v>26</v>
      </c>
      <c r="E45">
        <f>INDEX(BYEs!$B$2:$B$34,MATCH(F45,BYEs!$A$2:$A$34,0))</f>
        <v>7</v>
      </c>
      <c r="F45" t="str">
        <f>RB_Raw!B45</f>
        <v>DAL</v>
      </c>
      <c r="G45" s="202">
        <v>0</v>
      </c>
      <c r="H45" s="203">
        <v>0</v>
      </c>
      <c r="I45" s="202">
        <f>RB_Raw!C45</f>
        <v>140</v>
      </c>
      <c r="J45" s="200">
        <f>RB_Raw!D45</f>
        <v>544.5</v>
      </c>
      <c r="K45" s="203">
        <f>RB_Raw!E45</f>
        <v>3.6</v>
      </c>
      <c r="L45" s="202">
        <f>RB_Raw!F45</f>
        <v>23.6</v>
      </c>
      <c r="M45" s="200">
        <f>RB_Raw!G45</f>
        <v>181.1</v>
      </c>
      <c r="N45" s="203">
        <f>RB_Raw!H45</f>
        <v>1.2</v>
      </c>
      <c r="O45" s="200">
        <f>RB_Raw!I45</f>
        <v>0.4</v>
      </c>
      <c r="P45" s="205">
        <f t="shared" si="11"/>
        <v>112.36000000000001</v>
      </c>
      <c r="Q45" t="str">
        <f t="shared" ca="1" si="12"/>
        <v>Bench</v>
      </c>
      <c r="R45">
        <f t="shared" ca="1" si="13"/>
        <v>0</v>
      </c>
      <c r="S45">
        <f t="shared" ca="1" si="14"/>
        <v>8.6800000000000068</v>
      </c>
      <c r="T45" s="84">
        <f t="shared" ca="1" si="15"/>
        <v>1.4320225271227081</v>
      </c>
      <c r="U45" s="84">
        <f ca="1">T45*Auction!$A$2</f>
        <v>1.4320225271227081</v>
      </c>
      <c r="V45" s="5" t="str">
        <f>IF(OR(INDEX(Auction!$H$13:$H$650,MATCH(B45,Auction!$A$13:$A$650,0))&gt;0,IFERROR(INDEX(CheatSheet!$M$5:$M$64,MATCH(B45,CheatSheet!$J$5:$J$64,0)),"")&lt;&gt;""),"Yes","No")</f>
        <v>No</v>
      </c>
      <c r="W45" s="175"/>
      <c r="Y45" s="77">
        <f t="shared" ca="1" si="16"/>
        <v>1</v>
      </c>
      <c r="Z45" s="174">
        <f t="shared" ca="1" si="17"/>
        <v>4.3400000000000034</v>
      </c>
      <c r="AA45" t="str">
        <f t="shared" ca="1" si="9"/>
        <v>RB7</v>
      </c>
      <c r="AB45" s="174">
        <f ca="1">Z45*LeagueInfo!$H$5</f>
        <v>1.4016037684044913</v>
      </c>
      <c r="AC45" s="174">
        <f t="shared" ca="1" si="18"/>
        <v>0.21023493690758752</v>
      </c>
    </row>
    <row r="46" spans="1:29" x14ac:dyDescent="0.35">
      <c r="A46">
        <f t="shared" si="10"/>
        <v>44</v>
      </c>
      <c r="B46" t="str">
        <f>RB_Raw!A44</f>
        <v>Blake Corum</v>
      </c>
      <c r="C46" t="s">
        <v>25</v>
      </c>
      <c r="D46">
        <f>_xlfn.IFNA(INDEX(BYEs!E:E,MATCH(B46,BYEs!D:D,0)),"N/A")</f>
        <v>23</v>
      </c>
      <c r="E46">
        <f>INDEX(BYEs!$B$2:$B$34,MATCH(F46,BYEs!$A$2:$A$34,0))</f>
        <v>6</v>
      </c>
      <c r="F46" t="str">
        <f>RB_Raw!B44</f>
        <v>LAR</v>
      </c>
      <c r="G46" s="202">
        <v>0</v>
      </c>
      <c r="H46" s="203">
        <v>0</v>
      </c>
      <c r="I46" s="202">
        <f>RB_Raw!C44</f>
        <v>138.30000000000001</v>
      </c>
      <c r="J46" s="200">
        <f>RB_Raw!D44</f>
        <v>575.4</v>
      </c>
      <c r="K46" s="203">
        <f>RB_Raw!E44</f>
        <v>4.4000000000000004</v>
      </c>
      <c r="L46" s="202">
        <f>RB_Raw!F44</f>
        <v>19.7</v>
      </c>
      <c r="M46" s="200">
        <f>RB_Raw!G44</f>
        <v>153.19999999999999</v>
      </c>
      <c r="N46" s="203">
        <f>RB_Raw!H44</f>
        <v>0.8</v>
      </c>
      <c r="O46" s="200">
        <f>RB_Raw!I44</f>
        <v>1.5</v>
      </c>
      <c r="P46" s="205">
        <f t="shared" si="11"/>
        <v>110.90999999999998</v>
      </c>
      <c r="Q46" t="str">
        <f t="shared" ca="1" si="12"/>
        <v>Bench</v>
      </c>
      <c r="R46">
        <f t="shared" ca="1" si="13"/>
        <v>0</v>
      </c>
      <c r="S46">
        <f t="shared" ca="1" si="14"/>
        <v>7.2299999999999756</v>
      </c>
      <c r="T46" s="84">
        <f t="shared" ca="1" si="15"/>
        <v>1.1928021740895318</v>
      </c>
      <c r="U46" s="84">
        <f ca="1">T46*Auction!$A$2</f>
        <v>1.1928021740895318</v>
      </c>
      <c r="V46" s="5" t="str">
        <f>IF(OR(INDEX(Auction!$H$13:$H$650,MATCH(B46,Auction!$A$13:$A$650,0))&gt;0,IFERROR(INDEX(CheatSheet!$M$5:$M$64,MATCH(B46,CheatSheet!$J$5:$J$64,0)),"")&lt;&gt;""),"Yes","No")</f>
        <v>No</v>
      </c>
      <c r="W46" s="175"/>
      <c r="Y46" s="77">
        <f t="shared" ca="1" si="16"/>
        <v>1</v>
      </c>
      <c r="Z46" s="174">
        <f t="shared" ca="1" si="17"/>
        <v>3.6149999999999878</v>
      </c>
      <c r="AA46" t="str">
        <f t="shared" ca="1" si="9"/>
        <v>RB7</v>
      </c>
      <c r="AB46" s="174">
        <f ca="1">Z46*LeagueInfo!$H$5</f>
        <v>1.1674648900419851</v>
      </c>
      <c r="AC46" s="174">
        <f t="shared" ca="1" si="18"/>
        <v>0.19484170826938518</v>
      </c>
    </row>
    <row r="47" spans="1:29" x14ac:dyDescent="0.35">
      <c r="A47">
        <f t="shared" si="10"/>
        <v>45</v>
      </c>
      <c r="B47" t="str">
        <f>RB_Raw!A46</f>
        <v>Tyler Allgeier</v>
      </c>
      <c r="C47" t="s">
        <v>25</v>
      </c>
      <c r="D47">
        <f>_xlfn.IFNA(INDEX(BYEs!E:E,MATCH(B47,BYEs!D:D,0)),"N/A")</f>
        <v>24</v>
      </c>
      <c r="E47">
        <f>INDEX(BYEs!$B$2:$B$34,MATCH(F47,BYEs!$A$2:$A$34,0))</f>
        <v>12</v>
      </c>
      <c r="F47" t="str">
        <f>RB_Raw!B46</f>
        <v>ATL</v>
      </c>
      <c r="G47" s="202">
        <v>0</v>
      </c>
      <c r="H47" s="203">
        <v>0</v>
      </c>
      <c r="I47" s="202">
        <f>RB_Raw!C46</f>
        <v>134.4</v>
      </c>
      <c r="J47" s="200">
        <f>RB_Raw!D46</f>
        <v>549.5</v>
      </c>
      <c r="K47" s="203">
        <f>RB_Raw!E46</f>
        <v>3.8</v>
      </c>
      <c r="L47" s="202">
        <f>RB_Raw!F46</f>
        <v>21.1</v>
      </c>
      <c r="M47" s="200">
        <f>RB_Raw!G46</f>
        <v>167.6</v>
      </c>
      <c r="N47" s="203">
        <f>RB_Raw!H46</f>
        <v>1.2</v>
      </c>
      <c r="O47" s="200">
        <f>RB_Raw!I46</f>
        <v>0.8</v>
      </c>
      <c r="P47" s="205">
        <f t="shared" si="11"/>
        <v>110.66000000000001</v>
      </c>
      <c r="Q47" t="str">
        <f t="shared" ca="1" si="12"/>
        <v>Bench</v>
      </c>
      <c r="R47">
        <f t="shared" ca="1" si="13"/>
        <v>0</v>
      </c>
      <c r="S47">
        <f t="shared" ca="1" si="14"/>
        <v>6.980000000000004</v>
      </c>
      <c r="T47" s="84">
        <f t="shared" ca="1" si="15"/>
        <v>1.1515572856355414</v>
      </c>
      <c r="U47" s="84">
        <f ca="1">T47*Auction!$A$2</f>
        <v>1.1515572856355414</v>
      </c>
      <c r="V47" s="5" t="str">
        <f>IF(OR(INDEX(Auction!$H$13:$H$650,MATCH(B47,Auction!$A$13:$A$650,0))&gt;0,IFERROR(INDEX(CheatSheet!$M$5:$M$64,MATCH(B47,CheatSheet!$J$5:$J$64,0)),"")&lt;&gt;""),"Yes","No")</f>
        <v>No</v>
      </c>
      <c r="W47" s="175"/>
      <c r="Y47" s="77">
        <f t="shared" ca="1" si="16"/>
        <v>1</v>
      </c>
      <c r="Z47" s="174">
        <f t="shared" ca="1" si="17"/>
        <v>3.490000000000002</v>
      </c>
      <c r="AA47" t="str">
        <f t="shared" ca="1" si="9"/>
        <v>RB7</v>
      </c>
      <c r="AB47" s="174">
        <f ca="1">Z47*LeagueInfo!$H$5</f>
        <v>1.1270961179105239</v>
      </c>
      <c r="AC47" s="174">
        <f t="shared" ca="1" si="18"/>
        <v>0.19218770333176446</v>
      </c>
    </row>
    <row r="48" spans="1:29" x14ac:dyDescent="0.35">
      <c r="A48">
        <f t="shared" si="10"/>
        <v>46</v>
      </c>
      <c r="B48" t="str">
        <f>RB_Raw!A50</f>
        <v>Antonio Gibson</v>
      </c>
      <c r="C48" t="s">
        <v>25</v>
      </c>
      <c r="D48">
        <f>_xlfn.IFNA(INDEX(BYEs!E:E,MATCH(B48,BYEs!D:D,0)),"N/A")</f>
        <v>26</v>
      </c>
      <c r="E48">
        <f>INDEX(BYEs!$B$2:$B$34,MATCH(F48,BYEs!$A$2:$A$34,0))</f>
        <v>14</v>
      </c>
      <c r="F48" t="str">
        <f>RB_Raw!B50</f>
        <v>NE</v>
      </c>
      <c r="G48" s="202">
        <v>0</v>
      </c>
      <c r="H48" s="203">
        <v>0</v>
      </c>
      <c r="I48" s="202">
        <f>RB_Raw!C50</f>
        <v>116.3</v>
      </c>
      <c r="J48" s="200">
        <f>RB_Raw!D50</f>
        <v>444</v>
      </c>
      <c r="K48" s="203">
        <f>RB_Raw!E50</f>
        <v>2.2999999999999998</v>
      </c>
      <c r="L48" s="202">
        <f>RB_Raw!F50</f>
        <v>37.9</v>
      </c>
      <c r="M48" s="200">
        <f>RB_Raw!G50</f>
        <v>285.39999999999998</v>
      </c>
      <c r="N48" s="203">
        <f>RB_Raw!H50</f>
        <v>1.2</v>
      </c>
      <c r="O48" s="200">
        <f>RB_Raw!I50</f>
        <v>1.4</v>
      </c>
      <c r="P48" s="205">
        <f t="shared" si="11"/>
        <v>110.09</v>
      </c>
      <c r="Q48" t="str">
        <f t="shared" ca="1" si="12"/>
        <v>Bench</v>
      </c>
      <c r="R48">
        <f t="shared" ca="1" si="13"/>
        <v>0</v>
      </c>
      <c r="S48">
        <f t="shared" ca="1" si="14"/>
        <v>6.4099999999999966</v>
      </c>
      <c r="T48" s="84">
        <f t="shared" ca="1" si="15"/>
        <v>1.0575189399604317</v>
      </c>
      <c r="U48" s="84">
        <f ca="1">T48*Auction!$A$2</f>
        <v>1.0575189399604317</v>
      </c>
      <c r="V48" s="5" t="str">
        <f>IF(OR(INDEX(Auction!$H$13:$H$650,MATCH(B48,Auction!$A$13:$A$650,0))&gt;0,IFERROR(INDEX(CheatSheet!$M$5:$M$64,MATCH(B48,CheatSheet!$J$5:$J$64,0)),"")&lt;&gt;""),"Yes","No")</f>
        <v>No</v>
      </c>
      <c r="W48" s="175"/>
      <c r="Y48" s="77">
        <f t="shared" ca="1" si="16"/>
        <v>1</v>
      </c>
      <c r="Z48" s="174">
        <f t="shared" ca="1" si="17"/>
        <v>3.2049999999999983</v>
      </c>
      <c r="AA48" t="str">
        <f t="shared" ca="1" si="9"/>
        <v>RB7</v>
      </c>
      <c r="AB48" s="174">
        <f ca="1">Z48*LeagueInfo!$H$5</f>
        <v>1.0350553174507808</v>
      </c>
      <c r="AC48" s="174">
        <f t="shared" ca="1" si="18"/>
        <v>0.18613657207398843</v>
      </c>
    </row>
    <row r="49" spans="1:29" x14ac:dyDescent="0.35">
      <c r="A49">
        <f t="shared" si="10"/>
        <v>47</v>
      </c>
      <c r="B49" t="str">
        <f>RB_Raw!A49</f>
        <v>Jaleel McLaughlin</v>
      </c>
      <c r="C49" t="s">
        <v>25</v>
      </c>
      <c r="D49">
        <f>_xlfn.IFNA(INDEX(BYEs!E:E,MATCH(B49,BYEs!D:D,0)),"N/A")</f>
        <v>23</v>
      </c>
      <c r="E49">
        <f>INDEX(BYEs!$B$2:$B$34,MATCH(F49,BYEs!$A$2:$A$34,0))</f>
        <v>14</v>
      </c>
      <c r="F49" t="str">
        <f>RB_Raw!B49</f>
        <v>DEN</v>
      </c>
      <c r="G49" s="202">
        <v>0</v>
      </c>
      <c r="H49" s="203">
        <v>0</v>
      </c>
      <c r="I49" s="202">
        <f>RB_Raw!C49</f>
        <v>102.7</v>
      </c>
      <c r="J49" s="200">
        <f>RB_Raw!D49</f>
        <v>498.5</v>
      </c>
      <c r="K49" s="203">
        <f>RB_Raw!E49</f>
        <v>2.7</v>
      </c>
      <c r="L49" s="202">
        <f>RB_Raw!F49</f>
        <v>32.799999999999997</v>
      </c>
      <c r="M49" s="200">
        <f>RB_Raw!G49</f>
        <v>215.1</v>
      </c>
      <c r="N49" s="203">
        <f>RB_Raw!H49</f>
        <v>1.2</v>
      </c>
      <c r="O49" s="200">
        <f>RB_Raw!I49</f>
        <v>0.8</v>
      </c>
      <c r="P49" s="205">
        <f t="shared" si="11"/>
        <v>109.56000000000003</v>
      </c>
      <c r="Q49" t="str">
        <f t="shared" ca="1" si="12"/>
        <v>Bench</v>
      </c>
      <c r="R49">
        <f t="shared" ca="1" si="13"/>
        <v>0</v>
      </c>
      <c r="S49">
        <f t="shared" ca="1" si="14"/>
        <v>5.8800000000000239</v>
      </c>
      <c r="T49" s="84">
        <f t="shared" ca="1" si="15"/>
        <v>0.97007977643796672</v>
      </c>
      <c r="U49" s="84">
        <f ca="1">T49*Auction!$A$2</f>
        <v>0.97007977643796672</v>
      </c>
      <c r="V49" s="5" t="str">
        <f>IF(OR(INDEX(Auction!$H$13:$H$650,MATCH(B49,Auction!$A$13:$A$650,0))&gt;0,IFERROR(INDEX(CheatSheet!$M$5:$M$64,MATCH(B49,CheatSheet!$J$5:$J$64,0)),"")&lt;&gt;""),"Yes","No")</f>
        <v>No</v>
      </c>
      <c r="W49" s="175"/>
      <c r="Y49" s="77">
        <f t="shared" ca="1" si="16"/>
        <v>1</v>
      </c>
      <c r="Z49" s="174">
        <f t="shared" ca="1" si="17"/>
        <v>2.9400000000000119</v>
      </c>
      <c r="AA49" t="str">
        <f t="shared" ca="1" si="9"/>
        <v>RB7</v>
      </c>
      <c r="AB49" s="174">
        <f ca="1">Z49*LeagueInfo!$H$5</f>
        <v>0.9494735205320779</v>
      </c>
      <c r="AC49" s="174">
        <f t="shared" ca="1" si="18"/>
        <v>0.18051008160623214</v>
      </c>
    </row>
    <row r="50" spans="1:29" x14ac:dyDescent="0.35">
      <c r="A50">
        <f t="shared" si="10"/>
        <v>48</v>
      </c>
      <c r="B50" t="str">
        <f>RB_Raw!A47</f>
        <v>Trey Benson</v>
      </c>
      <c r="C50" t="s">
        <v>25</v>
      </c>
      <c r="D50">
        <f>_xlfn.IFNA(INDEX(BYEs!E:E,MATCH(B50,BYEs!D:D,0)),"N/A")</f>
        <v>22</v>
      </c>
      <c r="E50">
        <f>INDEX(BYEs!$B$2:$B$34,MATCH(F50,BYEs!$A$2:$A$34,0))</f>
        <v>11</v>
      </c>
      <c r="F50" t="str">
        <f>RB_Raw!B47</f>
        <v>ARI</v>
      </c>
      <c r="G50" s="202">
        <v>0</v>
      </c>
      <c r="H50" s="203">
        <v>0</v>
      </c>
      <c r="I50" s="202">
        <f>RB_Raw!C47</f>
        <v>134.30000000000001</v>
      </c>
      <c r="J50" s="200">
        <f>RB_Raw!D47</f>
        <v>579.1</v>
      </c>
      <c r="K50" s="203">
        <f>RB_Raw!E47</f>
        <v>3.9</v>
      </c>
      <c r="L50" s="202">
        <f>RB_Raw!F47</f>
        <v>19.100000000000001</v>
      </c>
      <c r="M50" s="200">
        <f>RB_Raw!G47</f>
        <v>139.5</v>
      </c>
      <c r="N50" s="203">
        <f>RB_Raw!H47</f>
        <v>0.9</v>
      </c>
      <c r="O50" s="200">
        <f>RB_Raw!I47</f>
        <v>1.5</v>
      </c>
      <c r="P50" s="205">
        <f t="shared" si="11"/>
        <v>107.21000000000001</v>
      </c>
      <c r="Q50" t="str">
        <f t="shared" ca="1" si="12"/>
        <v>Bench</v>
      </c>
      <c r="R50">
        <f t="shared" ca="1" si="13"/>
        <v>0</v>
      </c>
      <c r="S50">
        <f t="shared" ca="1" si="14"/>
        <v>3.5300000000000011</v>
      </c>
      <c r="T50" s="84">
        <f t="shared" ca="1" si="15"/>
        <v>0.5823778249704098</v>
      </c>
      <c r="U50" s="84">
        <f ca="1">T50*Auction!$A$2</f>
        <v>0.5823778249704098</v>
      </c>
      <c r="V50" s="5" t="str">
        <f>IF(OR(INDEX(Auction!$H$13:$H$650,MATCH(B50,Auction!$A$13:$A$650,0))&gt;0,IFERROR(INDEX(CheatSheet!$M$5:$M$64,MATCH(B50,CheatSheet!$J$5:$J$64,0)),"")&lt;&gt;""),"Yes","No")</f>
        <v>No</v>
      </c>
      <c r="W50" s="175"/>
      <c r="Y50" s="77">
        <f t="shared" ca="1" si="16"/>
        <v>1</v>
      </c>
      <c r="Z50" s="174">
        <f t="shared" ca="1" si="17"/>
        <v>1.7650000000000006</v>
      </c>
      <c r="AA50" t="str">
        <f t="shared" ca="1" si="9"/>
        <v>RB7</v>
      </c>
      <c r="AB50" s="174">
        <f ca="1">Z50*LeagueInfo!$H$5</f>
        <v>0.57000706249629629</v>
      </c>
      <c r="AC50" s="174">
        <f t="shared" ca="1" si="18"/>
        <v>0.15556243519259419</v>
      </c>
    </row>
    <row r="51" spans="1:29" x14ac:dyDescent="0.35">
      <c r="A51">
        <f t="shared" si="10"/>
        <v>49</v>
      </c>
      <c r="B51" t="str">
        <f>RB_Raw!A51</f>
        <v>Zach Charbonnet</v>
      </c>
      <c r="C51" t="s">
        <v>25</v>
      </c>
      <c r="D51">
        <f>_xlfn.IFNA(INDEX(BYEs!E:E,MATCH(B51,BYEs!D:D,0)),"N/A")</f>
        <v>23</v>
      </c>
      <c r="E51">
        <f>INDEX(BYEs!$B$2:$B$34,MATCH(F51,BYEs!$A$2:$A$34,0))</f>
        <v>10</v>
      </c>
      <c r="F51" t="str">
        <f>RB_Raw!B51</f>
        <v>SEA</v>
      </c>
      <c r="G51" s="202">
        <v>0</v>
      </c>
      <c r="H51" s="203">
        <v>0</v>
      </c>
      <c r="I51" s="202">
        <f>RB_Raw!C51</f>
        <v>117.4</v>
      </c>
      <c r="J51" s="200">
        <f>RB_Raw!D51</f>
        <v>485.7</v>
      </c>
      <c r="K51" s="203">
        <f>RB_Raw!E51</f>
        <v>2.9</v>
      </c>
      <c r="L51" s="202">
        <f>RB_Raw!F51</f>
        <v>31.8</v>
      </c>
      <c r="M51" s="200">
        <f>RB_Raw!G51</f>
        <v>213.9</v>
      </c>
      <c r="N51" s="203">
        <f>RB_Raw!H51</f>
        <v>0.8</v>
      </c>
      <c r="O51" s="200">
        <f>RB_Raw!I51</f>
        <v>0.8</v>
      </c>
      <c r="P51" s="205">
        <f t="shared" si="11"/>
        <v>106.46000000000001</v>
      </c>
      <c r="Q51" t="str">
        <f t="shared" ca="1" si="12"/>
        <v>Bench</v>
      </c>
      <c r="R51">
        <f t="shared" ca="1" si="13"/>
        <v>0</v>
      </c>
      <c r="S51">
        <f t="shared" ca="1" si="14"/>
        <v>2.7800000000000011</v>
      </c>
      <c r="T51" s="84">
        <f t="shared" ca="1" si="15"/>
        <v>0.45864315960842478</v>
      </c>
      <c r="U51" s="84">
        <f ca="1">T51*Auction!$A$2</f>
        <v>0.45864315960842478</v>
      </c>
      <c r="V51" s="5" t="str">
        <f>IF(OR(INDEX(Auction!$H$13:$H$650,MATCH(B51,Auction!$A$13:$A$650,0))&gt;0,IFERROR(INDEX(CheatSheet!$M$5:$M$64,MATCH(B51,CheatSheet!$J$5:$J$64,0)),"")&lt;&gt;""),"Yes","No")</f>
        <v>No</v>
      </c>
      <c r="W51" s="175"/>
      <c r="Y51" s="77">
        <f t="shared" ca="1" si="16"/>
        <v>1</v>
      </c>
      <c r="Z51" s="174">
        <f t="shared" ca="1" si="17"/>
        <v>1.3900000000000006</v>
      </c>
      <c r="AA51" t="str">
        <f t="shared" ca="1" si="9"/>
        <v>RB7</v>
      </c>
      <c r="AB51" s="174">
        <f ca="1">Z51*LeagueInfo!$H$5</f>
        <v>0.44890074610189912</v>
      </c>
      <c r="AC51" s="174">
        <f t="shared" ca="1" si="18"/>
        <v>0.14760042037973112</v>
      </c>
    </row>
    <row r="52" spans="1:29" x14ac:dyDescent="0.35">
      <c r="A52">
        <f t="shared" si="10"/>
        <v>50</v>
      </c>
      <c r="B52" t="str">
        <f>RB_Raw!A48</f>
        <v>Khalil Herbert</v>
      </c>
      <c r="C52" t="s">
        <v>25</v>
      </c>
      <c r="D52">
        <f>_xlfn.IFNA(INDEX(BYEs!E:E,MATCH(B52,BYEs!D:D,0)),"N/A")</f>
        <v>26</v>
      </c>
      <c r="E52">
        <f>INDEX(BYEs!$B$2:$B$34,MATCH(F52,BYEs!$A$2:$A$34,0))</f>
        <v>7</v>
      </c>
      <c r="F52" t="str">
        <f>RB_Raw!B48</f>
        <v>CHI</v>
      </c>
      <c r="G52" s="202">
        <v>0</v>
      </c>
      <c r="H52" s="203">
        <v>0</v>
      </c>
      <c r="I52" s="202">
        <f>RB_Raw!C48</f>
        <v>148.1</v>
      </c>
      <c r="J52" s="200">
        <f>RB_Raw!D48</f>
        <v>596.9</v>
      </c>
      <c r="K52" s="203">
        <f>RB_Raw!E48</f>
        <v>3.4</v>
      </c>
      <c r="L52" s="202">
        <f>RB_Raw!F48</f>
        <v>16.600000000000001</v>
      </c>
      <c r="M52" s="200">
        <f>RB_Raw!G48</f>
        <v>114.9</v>
      </c>
      <c r="N52" s="203">
        <f>RB_Raw!H48</f>
        <v>0.9</v>
      </c>
      <c r="O52" s="200">
        <f>RB_Raw!I48</f>
        <v>0.8</v>
      </c>
      <c r="P52" s="205">
        <f t="shared" si="11"/>
        <v>103.68</v>
      </c>
      <c r="Q52" t="str">
        <f t="shared" ca="1" si="12"/>
        <v>Undrafted</v>
      </c>
      <c r="R52">
        <f t="shared" ca="1" si="13"/>
        <v>0</v>
      </c>
      <c r="S52">
        <f t="shared" ca="1" si="14"/>
        <v>0</v>
      </c>
      <c r="T52" s="84">
        <f t="shared" ca="1" si="15"/>
        <v>0</v>
      </c>
      <c r="U52" s="84">
        <f ca="1">T52*Auction!$A$2</f>
        <v>0</v>
      </c>
      <c r="V52" s="5" t="str">
        <f>IF(OR(INDEX(Auction!$H$13:$H$650,MATCH(B52,Auction!$A$13:$A$650,0))&gt;0,IFERROR(INDEX(CheatSheet!$M$5:$M$64,MATCH(B52,CheatSheet!$J$5:$J$64,0)),"")&lt;&gt;""),"Yes","No")</f>
        <v>No</v>
      </c>
      <c r="W52" s="175"/>
      <c r="Y52" s="77">
        <f t="shared" ca="1" si="16"/>
        <v>1</v>
      </c>
      <c r="Z52" s="174">
        <f t="shared" ca="1" si="17"/>
        <v>0</v>
      </c>
      <c r="AA52" t="str">
        <f t="shared" ca="1" si="9"/>
        <v>RB7</v>
      </c>
      <c r="AB52" s="174">
        <f ca="1">Z52*LeagueInfo!$H$5</f>
        <v>0</v>
      </c>
      <c r="AC52" s="174">
        <f t="shared" ca="1" si="18"/>
        <v>0.11808788547338522</v>
      </c>
    </row>
    <row r="53" spans="1:29" x14ac:dyDescent="0.35">
      <c r="A53">
        <f t="shared" si="10"/>
        <v>51</v>
      </c>
      <c r="B53" t="str">
        <f>RB_Raw!A52</f>
        <v>Bucky Irving</v>
      </c>
      <c r="C53" t="s">
        <v>25</v>
      </c>
      <c r="D53">
        <f>_xlfn.IFNA(INDEX(BYEs!E:E,MATCH(B53,BYEs!D:D,0)),"N/A")</f>
        <v>21</v>
      </c>
      <c r="E53">
        <f>INDEX(BYEs!$B$2:$B$34,MATCH(F53,BYEs!$A$2:$A$34,0))</f>
        <v>11</v>
      </c>
      <c r="F53" t="str">
        <f>RB_Raw!B52</f>
        <v>TB</v>
      </c>
      <c r="G53" s="202">
        <v>0</v>
      </c>
      <c r="H53" s="203">
        <v>0</v>
      </c>
      <c r="I53" s="202">
        <f>RB_Raw!C52</f>
        <v>116.4</v>
      </c>
      <c r="J53" s="200">
        <f>RB_Raw!D52</f>
        <v>437.3</v>
      </c>
      <c r="K53" s="203">
        <f>RB_Raw!E52</f>
        <v>2.8</v>
      </c>
      <c r="L53" s="202">
        <f>RB_Raw!F52</f>
        <v>21</v>
      </c>
      <c r="M53" s="200">
        <f>RB_Raw!G52</f>
        <v>164.6</v>
      </c>
      <c r="N53" s="203">
        <f>RB_Raw!H52</f>
        <v>1</v>
      </c>
      <c r="O53" s="200">
        <f>RB_Raw!I52</f>
        <v>1.5</v>
      </c>
      <c r="P53" s="205">
        <f t="shared" si="11"/>
        <v>90.490000000000009</v>
      </c>
      <c r="Q53" t="str">
        <f t="shared" ca="1" si="12"/>
        <v>Undrafted</v>
      </c>
      <c r="R53">
        <f t="shared" ca="1" si="13"/>
        <v>0</v>
      </c>
      <c r="S53">
        <f t="shared" ca="1" si="14"/>
        <v>-13.189999999999998</v>
      </c>
      <c r="T53" s="84">
        <f t="shared" ca="1" si="15"/>
        <v>-2.1760803148327765</v>
      </c>
      <c r="U53" s="84">
        <f ca="1">T53*Auction!$A$2</f>
        <v>-2.1760803148327765</v>
      </c>
      <c r="V53" s="5" t="str">
        <f>IF(OR(INDEX(Auction!$H$13:$H$650,MATCH(B53,Auction!$A$13:$A$650,0))&gt;0,IFERROR(INDEX(CheatSheet!$M$5:$M$64,MATCH(B53,CheatSheet!$J$5:$J$64,0)),"")&lt;&gt;""),"Yes","No")</f>
        <v>No</v>
      </c>
      <c r="W53" s="175"/>
      <c r="Y53" s="77">
        <f t="shared" ca="1" si="16"/>
        <v>1</v>
      </c>
      <c r="Z53" s="174">
        <f t="shared" ca="1" si="17"/>
        <v>-6.5949999999999989</v>
      </c>
      <c r="AA53" t="str">
        <f t="shared" ca="1" si="9"/>
        <v>RB8</v>
      </c>
      <c r="AB53" s="174">
        <f ca="1">Z53*LeagueInfo!$H$5</f>
        <v>-2.1298564176561317</v>
      </c>
      <c r="AC53" s="174">
        <f t="shared" ca="1" si="18"/>
        <v>-2.1937415035500361E-2</v>
      </c>
    </row>
    <row r="54" spans="1:29" x14ac:dyDescent="0.35">
      <c r="A54">
        <f t="shared" si="10"/>
        <v>52</v>
      </c>
      <c r="B54" t="str">
        <f>RB_Raw!A54</f>
        <v>MarShawn Lloyd</v>
      </c>
      <c r="C54" t="s">
        <v>25</v>
      </c>
      <c r="D54">
        <f>_xlfn.IFNA(INDEX(BYEs!E:E,MATCH(B54,BYEs!D:D,0)),"N/A")</f>
        <v>23</v>
      </c>
      <c r="E54">
        <f>INDEX(BYEs!$B$2:$B$34,MATCH(F54,BYEs!$A$2:$A$34,0))</f>
        <v>10</v>
      </c>
      <c r="F54" t="str">
        <f>RB_Raw!B54</f>
        <v>GB</v>
      </c>
      <c r="G54" s="202">
        <v>0</v>
      </c>
      <c r="H54" s="203">
        <v>0</v>
      </c>
      <c r="I54" s="202">
        <f>RB_Raw!C54</f>
        <v>97.2</v>
      </c>
      <c r="J54" s="200">
        <f>RB_Raw!D54</f>
        <v>405.8</v>
      </c>
      <c r="K54" s="203">
        <f>RB_Raw!E54</f>
        <v>3.1</v>
      </c>
      <c r="L54" s="202">
        <f>RB_Raw!F54</f>
        <v>16.8</v>
      </c>
      <c r="M54" s="200">
        <f>RB_Raw!G54</f>
        <v>131.1</v>
      </c>
      <c r="N54" s="203">
        <f>RB_Raw!H54</f>
        <v>0.9</v>
      </c>
      <c r="O54" s="200">
        <f>RB_Raw!I54</f>
        <v>1.1000000000000001</v>
      </c>
      <c r="P54" s="205">
        <f t="shared" si="11"/>
        <v>83.890000000000015</v>
      </c>
      <c r="Q54" t="str">
        <f t="shared" ca="1" si="12"/>
        <v>Undrafted</v>
      </c>
      <c r="R54">
        <f t="shared" ca="1" si="13"/>
        <v>0</v>
      </c>
      <c r="S54">
        <f t="shared" ca="1" si="14"/>
        <v>-19.789999999999992</v>
      </c>
      <c r="T54" s="84">
        <f t="shared" ca="1" si="15"/>
        <v>-3.264945370018244</v>
      </c>
      <c r="U54" s="84">
        <f ca="1">T54*Auction!$A$2</f>
        <v>-3.264945370018244</v>
      </c>
      <c r="V54" s="5" t="str">
        <f>IF(OR(INDEX(Auction!$H$13:$H$650,MATCH(B54,Auction!$A$13:$A$650,0))&gt;0,IFERROR(INDEX(CheatSheet!$M$5:$M$64,MATCH(B54,CheatSheet!$J$5:$J$64,0)),"")&lt;&gt;""),"Yes","No")</f>
        <v>No</v>
      </c>
      <c r="W54" s="175"/>
      <c r="Y54" s="77">
        <f t="shared" ca="1" si="16"/>
        <v>1</v>
      </c>
      <c r="Z54" s="174">
        <f t="shared" ca="1" si="17"/>
        <v>-9.894999999999996</v>
      </c>
      <c r="AA54" t="str">
        <f t="shared" ca="1" si="9"/>
        <v>RB8</v>
      </c>
      <c r="AB54" s="174">
        <f ca="1">Z54*LeagueInfo!$H$5</f>
        <v>-3.1955920019268258</v>
      </c>
      <c r="AC54" s="174">
        <f t="shared" ca="1" si="18"/>
        <v>-9.2003145388695529E-2</v>
      </c>
    </row>
    <row r="55" spans="1:29" x14ac:dyDescent="0.35">
      <c r="A55">
        <f t="shared" si="10"/>
        <v>53</v>
      </c>
      <c r="B55" t="str">
        <f>RB_Raw!A53</f>
        <v>Jordan Mason</v>
      </c>
      <c r="C55" t="s">
        <v>25</v>
      </c>
      <c r="D55">
        <f>_xlfn.IFNA(INDEX(BYEs!E:E,MATCH(B55,BYEs!D:D,0)),"N/A")</f>
        <v>25</v>
      </c>
      <c r="E55">
        <f>INDEX(BYEs!$B$2:$B$34,MATCH(F55,BYEs!$A$2:$A$34,0))</f>
        <v>9</v>
      </c>
      <c r="F55" t="str">
        <f>RB_Raw!B53</f>
        <v>SF</v>
      </c>
      <c r="G55" s="202">
        <v>0</v>
      </c>
      <c r="H55" s="203">
        <v>0</v>
      </c>
      <c r="I55" s="202">
        <f>RB_Raw!C53</f>
        <v>100.3</v>
      </c>
      <c r="J55" s="200">
        <f>RB_Raw!D53</f>
        <v>441.8</v>
      </c>
      <c r="K55" s="203">
        <f>RB_Raw!E53</f>
        <v>3.8</v>
      </c>
      <c r="L55" s="202">
        <f>RB_Raw!F53</f>
        <v>10</v>
      </c>
      <c r="M55" s="200">
        <f>RB_Raw!G53</f>
        <v>73.5</v>
      </c>
      <c r="N55" s="203">
        <f>RB_Raw!H53</f>
        <v>0.6</v>
      </c>
      <c r="O55" s="200">
        <f>RB_Raw!I53</f>
        <v>0.1</v>
      </c>
      <c r="P55" s="205">
        <f t="shared" si="11"/>
        <v>82.72999999999999</v>
      </c>
      <c r="Q55" t="str">
        <f t="shared" ca="1" si="12"/>
        <v>Undrafted</v>
      </c>
      <c r="R55">
        <f t="shared" ca="1" si="13"/>
        <v>0</v>
      </c>
      <c r="S55">
        <f t="shared" ca="1" si="14"/>
        <v>-20.950000000000017</v>
      </c>
      <c r="T55" s="84">
        <f t="shared" ca="1" si="15"/>
        <v>-3.4563216524447853</v>
      </c>
      <c r="U55" s="84">
        <f ca="1">T55*Auction!$A$2</f>
        <v>-3.4563216524447853</v>
      </c>
      <c r="V55" s="5" t="str">
        <f>IF(OR(INDEX(Auction!$H$13:$H$650,MATCH(B55,Auction!$A$13:$A$650,0))&gt;0,IFERROR(INDEX(CheatSheet!$M$5:$M$64,MATCH(B55,CheatSheet!$J$5:$J$64,0)),"")&lt;&gt;""),"Yes","No")</f>
        <v>No</v>
      </c>
      <c r="W55" s="175"/>
      <c r="Y55" s="77">
        <f t="shared" ca="1" si="16"/>
        <v>1</v>
      </c>
      <c r="Z55" s="174">
        <f t="shared" ca="1" si="17"/>
        <v>-10.475000000000009</v>
      </c>
      <c r="AA55" t="str">
        <f t="shared" ca="1" si="9"/>
        <v>RB8</v>
      </c>
      <c r="AB55" s="174">
        <f ca="1">Z55*LeagueInfo!$H$5</f>
        <v>-3.382903104616831</v>
      </c>
      <c r="AC55" s="174">
        <f t="shared" ca="1" si="18"/>
        <v>-0.10431772829925738</v>
      </c>
    </row>
    <row r="56" spans="1:29" x14ac:dyDescent="0.35">
      <c r="A56">
        <f t="shared" si="10"/>
        <v>54</v>
      </c>
      <c r="B56" t="str">
        <f>RB_Raw!A57</f>
        <v>Ray Davis</v>
      </c>
      <c r="C56" t="s">
        <v>25</v>
      </c>
      <c r="D56">
        <f>_xlfn.IFNA(INDEX(BYEs!E:E,MATCH(B56,BYEs!D:D,0)),"N/A")</f>
        <v>24</v>
      </c>
      <c r="E56">
        <f>INDEX(BYEs!$B$2:$B$34,MATCH(F56,BYEs!$A$2:$A$34,0))</f>
        <v>12</v>
      </c>
      <c r="F56" t="str">
        <f>RB_Raw!B57</f>
        <v>BUF</v>
      </c>
      <c r="G56" s="202">
        <v>0</v>
      </c>
      <c r="H56" s="203">
        <v>0</v>
      </c>
      <c r="I56" s="202">
        <f>RB_Raw!C57</f>
        <v>86.4</v>
      </c>
      <c r="J56" s="200">
        <f>RB_Raw!D57</f>
        <v>373.8</v>
      </c>
      <c r="K56" s="203">
        <f>RB_Raw!E57</f>
        <v>2.9</v>
      </c>
      <c r="L56" s="202">
        <f>RB_Raw!F57</f>
        <v>17.2</v>
      </c>
      <c r="M56" s="200">
        <f>RB_Raw!G57</f>
        <v>143.19999999999999</v>
      </c>
      <c r="N56" s="203">
        <f>RB_Raw!H57</f>
        <v>0.8</v>
      </c>
      <c r="O56" s="200">
        <f>RB_Raw!I57</f>
        <v>1.2</v>
      </c>
      <c r="P56" s="205">
        <f t="shared" si="11"/>
        <v>80.099999999999994</v>
      </c>
      <c r="Q56" t="str">
        <f t="shared" ca="1" si="12"/>
        <v>Undrafted</v>
      </c>
      <c r="R56">
        <f t="shared" ca="1" si="13"/>
        <v>0</v>
      </c>
      <c r="S56">
        <f t="shared" ca="1" si="14"/>
        <v>-23.580000000000013</v>
      </c>
      <c r="T56" s="84">
        <f t="shared" ca="1" si="15"/>
        <v>-3.8902178789808119</v>
      </c>
      <c r="U56" s="84">
        <f ca="1">T56*Auction!$A$2</f>
        <v>-3.8902178789808119</v>
      </c>
      <c r="V56" s="5" t="str">
        <f>IF(OR(INDEX(Auction!$H$13:$H$650,MATCH(B56,Auction!$A$13:$A$650,0))&gt;0,IFERROR(INDEX(CheatSheet!$M$5:$M$64,MATCH(B56,CheatSheet!$J$5:$J$64,0)),"")&lt;&gt;""),"Yes","No")</f>
        <v>No</v>
      </c>
      <c r="W56" s="175"/>
      <c r="Y56" s="77">
        <f t="shared" ca="1" si="16"/>
        <v>1</v>
      </c>
      <c r="Z56" s="174">
        <f t="shared" ca="1" si="17"/>
        <v>-11.790000000000006</v>
      </c>
      <c r="AA56" t="str">
        <f t="shared" ca="1" si="9"/>
        <v>RB8</v>
      </c>
      <c r="AB56" s="174">
        <f ca="1">Z56*LeagueInfo!$H$5</f>
        <v>-3.8075825874398497</v>
      </c>
      <c r="AC56" s="174">
        <f t="shared" ca="1" si="18"/>
        <v>-0.13223786024303058</v>
      </c>
    </row>
    <row r="57" spans="1:29" x14ac:dyDescent="0.35">
      <c r="A57">
        <f t="shared" si="10"/>
        <v>55</v>
      </c>
      <c r="B57" t="str">
        <f>RB_Raw!A55</f>
        <v>Alexander Mattison</v>
      </c>
      <c r="C57" t="s">
        <v>25</v>
      </c>
      <c r="D57">
        <f>_xlfn.IFNA(INDEX(BYEs!E:E,MATCH(B57,BYEs!D:D,0)),"N/A")</f>
        <v>26</v>
      </c>
      <c r="E57">
        <f>INDEX(BYEs!$B$2:$B$34,MATCH(F57,BYEs!$A$2:$A$34,0))</f>
        <v>10</v>
      </c>
      <c r="F57" t="str">
        <f>RB_Raw!B55</f>
        <v>LV</v>
      </c>
      <c r="G57" s="202">
        <v>0</v>
      </c>
      <c r="H57" s="203">
        <v>0</v>
      </c>
      <c r="I57" s="202">
        <f>RB_Raw!C55</f>
        <v>113.3</v>
      </c>
      <c r="J57" s="200">
        <f>RB_Raw!D55</f>
        <v>423.8</v>
      </c>
      <c r="K57" s="203">
        <f>RB_Raw!E55</f>
        <v>2.6</v>
      </c>
      <c r="L57" s="202">
        <f>RB_Raw!F55</f>
        <v>14.5</v>
      </c>
      <c r="M57" s="200">
        <f>RB_Raw!G55</f>
        <v>97.9</v>
      </c>
      <c r="N57" s="203">
        <f>RB_Raw!H55</f>
        <v>1</v>
      </c>
      <c r="O57" s="200">
        <f>RB_Raw!I55</f>
        <v>0.9</v>
      </c>
      <c r="P57" s="205">
        <f t="shared" si="11"/>
        <v>79.220000000000013</v>
      </c>
      <c r="Q57" t="str">
        <f t="shared" ca="1" si="12"/>
        <v>Undrafted</v>
      </c>
      <c r="R57">
        <f t="shared" ca="1" si="13"/>
        <v>0</v>
      </c>
      <c r="S57">
        <f t="shared" ca="1" si="14"/>
        <v>-24.459999999999994</v>
      </c>
      <c r="T57" s="84">
        <f t="shared" ca="1" si="15"/>
        <v>-4.0353998863388716</v>
      </c>
      <c r="U57" s="84">
        <f ca="1">T57*Auction!$A$2</f>
        <v>-4.0353998863388716</v>
      </c>
      <c r="V57" s="5" t="str">
        <f>IF(OR(INDEX(Auction!$H$13:$H$650,MATCH(B57,Auction!$A$13:$A$650,0))&gt;0,IFERROR(INDEX(CheatSheet!$M$5:$M$64,MATCH(B57,CheatSheet!$J$5:$J$64,0)),"")&lt;&gt;""),"Yes","No")</f>
        <v>No</v>
      </c>
      <c r="W57" s="175"/>
      <c r="Y57" s="77">
        <f t="shared" ca="1" si="16"/>
        <v>1</v>
      </c>
      <c r="Z57" s="174">
        <f t="shared" ca="1" si="17"/>
        <v>-12.229999999999997</v>
      </c>
      <c r="AA57" t="str">
        <f t="shared" ca="1" si="9"/>
        <v>RB8</v>
      </c>
      <c r="AB57" s="174">
        <f ca="1">Z57*LeagueInfo!$H$5</f>
        <v>-3.9496806653426062</v>
      </c>
      <c r="AC57" s="174">
        <f t="shared" ca="1" si="18"/>
        <v>-0.1415799576234564</v>
      </c>
    </row>
    <row r="58" spans="1:29" x14ac:dyDescent="0.35">
      <c r="A58">
        <f t="shared" si="10"/>
        <v>56</v>
      </c>
      <c r="B58" t="str">
        <f>RB_Raw!A58</f>
        <v>Jamaal Williams</v>
      </c>
      <c r="C58" t="s">
        <v>25</v>
      </c>
      <c r="D58">
        <f>_xlfn.IFNA(INDEX(BYEs!E:E,MATCH(B58,BYEs!D:D,0)),"N/A")</f>
        <v>29</v>
      </c>
      <c r="E58">
        <f>INDEX(BYEs!$B$2:$B$34,MATCH(F58,BYEs!$A$2:$A$34,0))</f>
        <v>12</v>
      </c>
      <c r="F58" t="str">
        <f>RB_Raw!B58</f>
        <v>NO</v>
      </c>
      <c r="G58" s="202">
        <v>0</v>
      </c>
      <c r="H58" s="203">
        <v>0</v>
      </c>
      <c r="I58" s="202">
        <f>RB_Raw!C58</f>
        <v>113.3</v>
      </c>
      <c r="J58" s="200">
        <f>RB_Raw!D58</f>
        <v>416.1</v>
      </c>
      <c r="K58" s="203">
        <f>RB_Raw!E58</f>
        <v>2.9</v>
      </c>
      <c r="L58" s="202">
        <f>RB_Raw!F58</f>
        <v>17.899999999999999</v>
      </c>
      <c r="M58" s="200">
        <f>RB_Raw!G58</f>
        <v>102.7</v>
      </c>
      <c r="N58" s="203">
        <f>RB_Raw!H58</f>
        <v>0.3</v>
      </c>
      <c r="O58" s="200">
        <f>RB_Raw!I58</f>
        <v>0.5</v>
      </c>
      <c r="P58" s="205">
        <f t="shared" si="11"/>
        <v>79.03</v>
      </c>
      <c r="Q58" t="str">
        <f t="shared" ca="1" si="12"/>
        <v>Undrafted</v>
      </c>
      <c r="R58">
        <f t="shared" ca="1" si="13"/>
        <v>0</v>
      </c>
      <c r="S58">
        <f t="shared" ca="1" si="14"/>
        <v>-24.650000000000006</v>
      </c>
      <c r="T58" s="84">
        <f t="shared" ca="1" si="15"/>
        <v>-4.0667460015639092</v>
      </c>
      <c r="U58" s="84">
        <f ca="1">T58*Auction!$A$2</f>
        <v>-4.0667460015639092</v>
      </c>
      <c r="V58" s="5" t="str">
        <f>IF(OR(INDEX(Auction!$H$13:$H$650,MATCH(B58,Auction!$A$13:$A$650,0))&gt;0,IFERROR(INDEX(CheatSheet!$M$5:$M$64,MATCH(B58,CheatSheet!$J$5:$J$64,0)),"")&lt;&gt;""),"Yes","No")</f>
        <v>No</v>
      </c>
      <c r="W58" s="175"/>
      <c r="Y58" s="77">
        <f t="shared" ca="1" si="16"/>
        <v>1</v>
      </c>
      <c r="Z58" s="174">
        <f t="shared" ca="1" si="17"/>
        <v>-12.325000000000003</v>
      </c>
      <c r="AA58" t="str">
        <f t="shared" ca="1" si="9"/>
        <v>RB8</v>
      </c>
      <c r="AB58" s="174">
        <f ca="1">Z58*LeagueInfo!$H$5</f>
        <v>-3.980360932162522</v>
      </c>
      <c r="AC58" s="174">
        <f t="shared" ca="1" si="18"/>
        <v>-0.14359700137604853</v>
      </c>
    </row>
    <row r="59" spans="1:29" x14ac:dyDescent="0.35">
      <c r="A59">
        <f t="shared" si="10"/>
        <v>57</v>
      </c>
      <c r="B59" t="str">
        <f>RB_Raw!A56</f>
        <v>Braelon Allen</v>
      </c>
      <c r="C59" t="s">
        <v>25</v>
      </c>
      <c r="D59">
        <f>_xlfn.IFNA(INDEX(BYEs!E:E,MATCH(B59,BYEs!D:D,0)),"N/A")</f>
        <v>20</v>
      </c>
      <c r="E59">
        <f>INDEX(BYEs!$B$2:$B$34,MATCH(F59,BYEs!$A$2:$A$34,0))</f>
        <v>12</v>
      </c>
      <c r="F59" t="str">
        <f>RB_Raw!B56</f>
        <v>NYJ</v>
      </c>
      <c r="G59" s="202">
        <v>0</v>
      </c>
      <c r="H59" s="203">
        <v>0</v>
      </c>
      <c r="I59" s="202">
        <f>RB_Raw!C56</f>
        <v>103.9</v>
      </c>
      <c r="J59" s="200">
        <f>RB_Raw!D56</f>
        <v>409.5</v>
      </c>
      <c r="K59" s="203">
        <f>RB_Raw!E56</f>
        <v>3</v>
      </c>
      <c r="L59" s="202">
        <f>RB_Raw!F56</f>
        <v>12.6</v>
      </c>
      <c r="M59" s="200">
        <f>RB_Raw!G56</f>
        <v>96.6</v>
      </c>
      <c r="N59" s="203">
        <f>RB_Raw!H56</f>
        <v>0.8</v>
      </c>
      <c r="O59" s="200">
        <f>RB_Raw!I56</f>
        <v>0.8</v>
      </c>
      <c r="P59" s="205">
        <f t="shared" si="11"/>
        <v>78.11</v>
      </c>
      <c r="Q59" t="str">
        <f t="shared" ca="1" si="12"/>
        <v>Undrafted</v>
      </c>
      <c r="R59">
        <f t="shared" ca="1" si="13"/>
        <v>0</v>
      </c>
      <c r="S59">
        <f t="shared" ca="1" si="14"/>
        <v>-25.570000000000007</v>
      </c>
      <c r="T59" s="84">
        <f t="shared" ca="1" si="15"/>
        <v>-4.2185271910746112</v>
      </c>
      <c r="U59" s="84">
        <f ca="1">T59*Auction!$A$2</f>
        <v>-4.2185271910746112</v>
      </c>
      <c r="V59" s="5" t="str">
        <f>IF(OR(INDEX(Auction!$H$13:$H$650,MATCH(B59,Auction!$A$13:$A$650,0))&gt;0,IFERROR(INDEX(CheatSheet!$M$5:$M$64,MATCH(B59,CheatSheet!$J$5:$J$64,0)),"")&lt;&gt;""),"Yes","No")</f>
        <v>No</v>
      </c>
      <c r="W59" s="175"/>
      <c r="Y59" s="77">
        <f t="shared" ca="1" si="16"/>
        <v>1</v>
      </c>
      <c r="Z59" s="174">
        <f t="shared" ca="1" si="17"/>
        <v>-12.785000000000004</v>
      </c>
      <c r="AA59" t="str">
        <f t="shared" ca="1" si="9"/>
        <v>RB8</v>
      </c>
      <c r="AB59" s="174">
        <f ca="1">Z59*LeagueInfo!$H$5</f>
        <v>-4.1289180136063166</v>
      </c>
      <c r="AC59" s="174">
        <f t="shared" ca="1" si="18"/>
        <v>-0.15336373954649393</v>
      </c>
    </row>
    <row r="60" spans="1:29" x14ac:dyDescent="0.35">
      <c r="A60">
        <f t="shared" si="10"/>
        <v>58</v>
      </c>
      <c r="B60" t="str">
        <f>RB_Raw!A59</f>
        <v>Tyrone Tracy Jr.</v>
      </c>
      <c r="C60" t="s">
        <v>25</v>
      </c>
      <c r="D60">
        <f>_xlfn.IFNA(INDEX(BYEs!E:E,MATCH(B60,BYEs!D:D,0)),"N/A")</f>
        <v>24</v>
      </c>
      <c r="E60">
        <f>INDEX(BYEs!$B$2:$B$34,MATCH(F60,BYEs!$A$2:$A$34,0))</f>
        <v>11</v>
      </c>
      <c r="F60" t="str">
        <f>RB_Raw!B59</f>
        <v>NYG</v>
      </c>
      <c r="G60" s="202">
        <v>0</v>
      </c>
      <c r="H60" s="203">
        <v>0</v>
      </c>
      <c r="I60" s="202">
        <f>RB_Raw!C59</f>
        <v>102.4</v>
      </c>
      <c r="J60" s="200">
        <f>RB_Raw!D59</f>
        <v>396.3</v>
      </c>
      <c r="K60" s="203">
        <f>RB_Raw!E59</f>
        <v>2.5</v>
      </c>
      <c r="L60" s="202">
        <f>RB_Raw!F59</f>
        <v>16.3</v>
      </c>
      <c r="M60" s="200">
        <f>RB_Raw!G59</f>
        <v>119.5</v>
      </c>
      <c r="N60" s="203">
        <f>RB_Raw!H59</f>
        <v>0.8</v>
      </c>
      <c r="O60" s="200">
        <f>RB_Raw!I59</f>
        <v>1.1000000000000001</v>
      </c>
      <c r="P60" s="205">
        <f t="shared" si="11"/>
        <v>77.33</v>
      </c>
      <c r="Q60" t="str">
        <f t="shared" ca="1" si="12"/>
        <v>Undrafted</v>
      </c>
      <c r="R60">
        <f t="shared" ca="1" si="13"/>
        <v>0</v>
      </c>
      <c r="S60">
        <f t="shared" ca="1" si="14"/>
        <v>-26.350000000000009</v>
      </c>
      <c r="T60" s="84">
        <f t="shared" ca="1" si="15"/>
        <v>-4.3472112430510759</v>
      </c>
      <c r="U60" s="84">
        <f ca="1">T60*Auction!$A$2</f>
        <v>-4.3472112430510759</v>
      </c>
      <c r="V60" s="5" t="str">
        <f>IF(OR(INDEX(Auction!$H$13:$H$650,MATCH(B60,Auction!$A$13:$A$650,0))&gt;0,IFERROR(INDEX(CheatSheet!$M$5:$M$64,MATCH(B60,CheatSheet!$J$5:$J$64,0)),"")&lt;&gt;""),"Yes","No")</f>
        <v>No</v>
      </c>
      <c r="W60" s="175"/>
      <c r="Y60" s="77">
        <f t="shared" ca="1" si="16"/>
        <v>1</v>
      </c>
      <c r="Z60" s="174">
        <f t="shared" ca="1" si="17"/>
        <v>-13.175000000000004</v>
      </c>
      <c r="AA60" t="str">
        <f t="shared" ca="1" si="9"/>
        <v>RB8</v>
      </c>
      <c r="AB60" s="174">
        <f ca="1">Z60*LeagueInfo!$H$5</f>
        <v>-4.2548685826564894</v>
      </c>
      <c r="AC60" s="174">
        <f t="shared" ca="1" si="18"/>
        <v>-0.16164423495187158</v>
      </c>
    </row>
    <row r="61" spans="1:29" x14ac:dyDescent="0.35">
      <c r="A61">
        <f t="shared" si="10"/>
        <v>59</v>
      </c>
      <c r="B61" t="str">
        <f>RB_Raw!A60</f>
        <v>Clyde Edwards-Helaire</v>
      </c>
      <c r="C61" t="s">
        <v>25</v>
      </c>
      <c r="D61">
        <f>_xlfn.IFNA(INDEX(BYEs!E:E,MATCH(B61,BYEs!D:D,0)),"N/A")</f>
        <v>25</v>
      </c>
      <c r="E61">
        <f>INDEX(BYEs!$B$2:$B$34,MATCH(F61,BYEs!$A$2:$A$34,0))</f>
        <v>6</v>
      </c>
      <c r="F61" t="str">
        <f>RB_Raw!B60</f>
        <v>KC</v>
      </c>
      <c r="G61" s="202">
        <v>0</v>
      </c>
      <c r="H61" s="203">
        <v>0</v>
      </c>
      <c r="I61" s="202">
        <f>RB_Raw!C60</f>
        <v>67.7</v>
      </c>
      <c r="J61" s="200">
        <f>RB_Raw!D60</f>
        <v>267.2</v>
      </c>
      <c r="K61" s="203">
        <f>RB_Raw!E60</f>
        <v>1.9</v>
      </c>
      <c r="L61" s="202">
        <f>RB_Raw!F60</f>
        <v>16.399999999999999</v>
      </c>
      <c r="M61" s="200">
        <f>RB_Raw!G60</f>
        <v>137.6</v>
      </c>
      <c r="N61" s="203">
        <f>RB_Raw!H60</f>
        <v>1.2</v>
      </c>
      <c r="O61" s="200">
        <f>RB_Raw!I60</f>
        <v>0.5</v>
      </c>
      <c r="P61" s="205">
        <f t="shared" si="11"/>
        <v>66.279999999999987</v>
      </c>
      <c r="Q61" t="str">
        <f t="shared" ca="1" si="12"/>
        <v>Undrafted</v>
      </c>
      <c r="R61">
        <f t="shared" ca="1" si="13"/>
        <v>0</v>
      </c>
      <c r="S61">
        <f t="shared" ca="1" si="14"/>
        <v>-37.40000000000002</v>
      </c>
      <c r="T61" s="84">
        <f t="shared" ca="1" si="15"/>
        <v>-6.1702353127176579</v>
      </c>
      <c r="U61" s="84">
        <f ca="1">T61*Auction!$A$2</f>
        <v>-6.1702353127176579</v>
      </c>
      <c r="V61" s="5" t="str">
        <f>IF(OR(INDEX(Auction!$H$13:$H$650,MATCH(B61,Auction!$A$13:$A$650,0))&gt;0,IFERROR(INDEX(CheatSheet!$M$5:$M$64,MATCH(B61,CheatSheet!$J$5:$J$64,0)),"")&lt;&gt;""),"Yes","No")</f>
        <v>No</v>
      </c>
      <c r="W61" s="175"/>
      <c r="Y61" s="77">
        <f t="shared" ca="1" si="16"/>
        <v>1</v>
      </c>
      <c r="Z61" s="174">
        <f t="shared" ca="1" si="17"/>
        <v>-18.70000000000001</v>
      </c>
      <c r="AA61" t="str">
        <f t="shared" ca="1" si="9"/>
        <v>RB8</v>
      </c>
      <c r="AB61" s="174">
        <f ca="1">Z61*LeagueInfo!$H$5</f>
        <v>-6.0391683108672769</v>
      </c>
      <c r="AC61" s="174">
        <f t="shared" ca="1" si="18"/>
        <v>-0.27895125319472125</v>
      </c>
    </row>
    <row r="62" spans="1:29" x14ac:dyDescent="0.35">
      <c r="A62">
        <f t="shared" si="10"/>
        <v>60</v>
      </c>
      <c r="B62" t="str">
        <f>RB_Raw!A62</f>
        <v>Miles Sanders</v>
      </c>
      <c r="C62" t="s">
        <v>25</v>
      </c>
      <c r="D62">
        <f>_xlfn.IFNA(INDEX(BYEs!E:E,MATCH(B62,BYEs!D:D,0)),"N/A")</f>
        <v>27</v>
      </c>
      <c r="E62">
        <f>INDEX(BYEs!$B$2:$B$34,MATCH(F62,BYEs!$A$2:$A$34,0))</f>
        <v>11</v>
      </c>
      <c r="F62" t="str">
        <f>RB_Raw!B62</f>
        <v>CAR</v>
      </c>
      <c r="G62" s="202">
        <v>0</v>
      </c>
      <c r="H62" s="203">
        <v>0</v>
      </c>
      <c r="I62" s="202">
        <f>RB_Raw!C62</f>
        <v>97.2</v>
      </c>
      <c r="J62" s="200">
        <f>RB_Raw!D62</f>
        <v>349.7</v>
      </c>
      <c r="K62" s="203">
        <f>RB_Raw!E62</f>
        <v>2</v>
      </c>
      <c r="L62" s="202">
        <f>RB_Raw!F62</f>
        <v>16.2</v>
      </c>
      <c r="M62" s="200">
        <f>RB_Raw!G62</f>
        <v>100</v>
      </c>
      <c r="N62" s="203">
        <f>RB_Raw!H62</f>
        <v>0.1</v>
      </c>
      <c r="O62" s="200">
        <f>RB_Raw!I62</f>
        <v>1.2</v>
      </c>
      <c r="P62" s="205">
        <f t="shared" si="11"/>
        <v>63.269999999999989</v>
      </c>
      <c r="Q62" t="str">
        <f t="shared" ca="1" si="12"/>
        <v>Undrafted</v>
      </c>
      <c r="R62">
        <f t="shared" ca="1" si="13"/>
        <v>0</v>
      </c>
      <c r="S62">
        <f t="shared" ca="1" si="14"/>
        <v>-40.410000000000018</v>
      </c>
      <c r="T62" s="84">
        <f t="shared" ca="1" si="15"/>
        <v>-6.6668237697037576</v>
      </c>
      <c r="U62" s="84">
        <f ca="1">T62*Auction!$A$2</f>
        <v>-6.6668237697037576</v>
      </c>
      <c r="V62" s="5" t="str">
        <f>IF(OR(INDEX(Auction!$H$13:$H$650,MATCH(B62,Auction!$A$13:$A$650,0))&gt;0,IFERROR(INDEX(CheatSheet!$M$5:$M$64,MATCH(B62,CheatSheet!$J$5:$J$64,0)),"")&lt;&gt;""),"Yes","No")</f>
        <v>No</v>
      </c>
      <c r="W62" s="175"/>
      <c r="Y62" s="77">
        <f t="shared" ca="1" si="16"/>
        <v>1</v>
      </c>
      <c r="Z62" s="174">
        <f t="shared" ca="1" si="17"/>
        <v>-20.205000000000009</v>
      </c>
      <c r="AA62" t="str">
        <f t="shared" ca="1" si="9"/>
        <v>RB8</v>
      </c>
      <c r="AB62" s="174">
        <f ca="1">Z62*LeagueInfo!$H$5</f>
        <v>-6.525208327330124</v>
      </c>
      <c r="AC62" s="174">
        <f t="shared" ca="1" si="18"/>
        <v>-0.31090547264367846</v>
      </c>
    </row>
    <row r="63" spans="1:29" x14ac:dyDescent="0.35">
      <c r="A63">
        <f t="shared" si="10"/>
        <v>61</v>
      </c>
      <c r="B63" t="str">
        <f>RB_Raw!A61</f>
        <v>Tank Bigsby</v>
      </c>
      <c r="C63" t="s">
        <v>25</v>
      </c>
      <c r="D63">
        <f>_xlfn.IFNA(INDEX(BYEs!E:E,MATCH(B63,BYEs!D:D,0)),"N/A")</f>
        <v>22</v>
      </c>
      <c r="E63">
        <f>INDEX(BYEs!$B$2:$B$34,MATCH(F63,BYEs!$A$2:$A$34,0))</f>
        <v>12</v>
      </c>
      <c r="F63" t="str">
        <f>RB_Raw!B61</f>
        <v>JAC</v>
      </c>
      <c r="G63" s="202">
        <v>0</v>
      </c>
      <c r="H63" s="203">
        <v>0</v>
      </c>
      <c r="I63" s="202">
        <f>RB_Raw!C61</f>
        <v>101.5</v>
      </c>
      <c r="J63" s="200">
        <f>RB_Raw!D61</f>
        <v>331.9</v>
      </c>
      <c r="K63" s="203">
        <f>RB_Raw!E61</f>
        <v>3.4</v>
      </c>
      <c r="L63" s="202">
        <f>RB_Raw!F61</f>
        <v>8.6999999999999993</v>
      </c>
      <c r="M63" s="200">
        <f>RB_Raw!G61</f>
        <v>60</v>
      </c>
      <c r="N63" s="203">
        <f>RB_Raw!H61</f>
        <v>0.3</v>
      </c>
      <c r="O63" s="200">
        <f>RB_Raw!I61</f>
        <v>2.2000000000000002</v>
      </c>
      <c r="P63" s="205">
        <f t="shared" si="11"/>
        <v>61.339999999999996</v>
      </c>
      <c r="Q63" t="str">
        <f t="shared" ca="1" si="12"/>
        <v>Undrafted</v>
      </c>
      <c r="R63">
        <f t="shared" ca="1" si="13"/>
        <v>0</v>
      </c>
      <c r="S63">
        <f t="shared" ca="1" si="14"/>
        <v>-42.340000000000011</v>
      </c>
      <c r="T63" s="84">
        <f t="shared" ca="1" si="15"/>
        <v>-6.9852343085685975</v>
      </c>
      <c r="U63" s="84">
        <f ca="1">T63*Auction!$A$2</f>
        <v>-6.9852343085685975</v>
      </c>
      <c r="V63" s="5" t="str">
        <f>IF(OR(INDEX(Auction!$H$13:$H$650,MATCH(B63,Auction!$A$13:$A$650,0))&gt;0,IFERROR(INDEX(CheatSheet!$M$5:$M$64,MATCH(B63,CheatSheet!$J$5:$J$64,0)),"")&lt;&gt;""),"Yes","No")</f>
        <v>No</v>
      </c>
      <c r="W63" s="175"/>
      <c r="Y63" s="77">
        <f t="shared" ca="1" si="16"/>
        <v>1</v>
      </c>
      <c r="Z63" s="174">
        <f t="shared" ca="1" si="17"/>
        <v>-21.170000000000005</v>
      </c>
      <c r="AA63" t="str">
        <f t="shared" ca="1" si="9"/>
        <v>RB8</v>
      </c>
      <c r="AB63" s="174">
        <f ca="1">Z63*LeagueInfo!$H$5</f>
        <v>-6.8368552481850378</v>
      </c>
      <c r="AC63" s="174">
        <f t="shared" ca="1" si="18"/>
        <v>-0.33139439076211274</v>
      </c>
    </row>
    <row r="64" spans="1:29" x14ac:dyDescent="0.35">
      <c r="A64">
        <f t="shared" si="10"/>
        <v>62</v>
      </c>
      <c r="B64" t="str">
        <f>RB_Raw!A64</f>
        <v>Roschon Johnson</v>
      </c>
      <c r="C64" t="s">
        <v>25</v>
      </c>
      <c r="D64">
        <f>_xlfn.IFNA(INDEX(BYEs!E:E,MATCH(B64,BYEs!D:D,0)),"N/A")</f>
        <v>23</v>
      </c>
      <c r="E64">
        <f>INDEX(BYEs!$B$2:$B$34,MATCH(F64,BYEs!$A$2:$A$34,0))</f>
        <v>7</v>
      </c>
      <c r="F64" t="str">
        <f>RB_Raw!B64</f>
        <v>CHI</v>
      </c>
      <c r="G64" s="202">
        <v>0</v>
      </c>
      <c r="H64" s="203">
        <v>0</v>
      </c>
      <c r="I64" s="202">
        <f>RB_Raw!C64</f>
        <v>66.900000000000006</v>
      </c>
      <c r="J64" s="200">
        <f>RB_Raw!D64</f>
        <v>262.89999999999998</v>
      </c>
      <c r="K64" s="203">
        <f>RB_Raw!E64</f>
        <v>2</v>
      </c>
      <c r="L64" s="202">
        <f>RB_Raw!F64</f>
        <v>17.899999999999999</v>
      </c>
      <c r="M64" s="200">
        <f>RB_Raw!G64</f>
        <v>118.5</v>
      </c>
      <c r="N64" s="203">
        <f>RB_Raw!H64</f>
        <v>0.4</v>
      </c>
      <c r="O64" s="200">
        <f>RB_Raw!I64</f>
        <v>0.8</v>
      </c>
      <c r="P64" s="205">
        <f t="shared" si="11"/>
        <v>59.889999999999993</v>
      </c>
      <c r="Q64" t="str">
        <f t="shared" ca="1" si="12"/>
        <v>Undrafted</v>
      </c>
      <c r="R64">
        <f t="shared" ca="1" si="13"/>
        <v>0</v>
      </c>
      <c r="S64">
        <f t="shared" ca="1" si="14"/>
        <v>-43.790000000000013</v>
      </c>
      <c r="T64" s="84">
        <f t="shared" ca="1" si="15"/>
        <v>-7.2244546616017695</v>
      </c>
      <c r="U64" s="84">
        <f ca="1">T64*Auction!$A$2</f>
        <v>-7.2244546616017695</v>
      </c>
      <c r="V64" s="5" t="str">
        <f>IF(OR(INDEX(Auction!$H$13:$H$650,MATCH(B64,Auction!$A$13:$A$650,0))&gt;0,IFERROR(INDEX(CheatSheet!$M$5:$M$64,MATCH(B64,CheatSheet!$J$5:$J$64,0)),"")&lt;&gt;""),"Yes","No")</f>
        <v>No</v>
      </c>
      <c r="W64" s="175"/>
      <c r="Y64" s="77">
        <f t="shared" ca="1" si="16"/>
        <v>1</v>
      </c>
      <c r="Z64" s="174">
        <f t="shared" ca="1" si="17"/>
        <v>-21.895000000000007</v>
      </c>
      <c r="AA64" t="str">
        <f t="shared" ca="1" si="9"/>
        <v>RB8</v>
      </c>
      <c r="AB64" s="174">
        <f ca="1">Z64*LeagueInfo!$H$5</f>
        <v>-7.0709941265475393</v>
      </c>
      <c r="AC64" s="174">
        <f t="shared" ca="1" si="18"/>
        <v>-0.34678761940031472</v>
      </c>
    </row>
    <row r="65" spans="1:29" x14ac:dyDescent="0.35">
      <c r="A65">
        <f t="shared" si="10"/>
        <v>63</v>
      </c>
      <c r="B65" t="str">
        <f>RB_Raw!A68</f>
        <v>Samaje Perine</v>
      </c>
      <c r="C65" t="s">
        <v>25</v>
      </c>
      <c r="D65">
        <f>_xlfn.IFNA(INDEX(BYEs!E:E,MATCH(B65,BYEs!D:D,0)),"N/A")</f>
        <v>28</v>
      </c>
      <c r="E65">
        <f>INDEX(BYEs!$B$2:$B$34,MATCH(F65,BYEs!$A$2:$A$34,0))</f>
        <v>6</v>
      </c>
      <c r="F65" t="str">
        <f>RB_Raw!B68</f>
        <v>KC</v>
      </c>
      <c r="G65" s="202">
        <v>0</v>
      </c>
      <c r="H65" s="203">
        <v>0</v>
      </c>
      <c r="I65" s="202">
        <f>RB_Raw!C68</f>
        <v>46.2</v>
      </c>
      <c r="J65" s="200">
        <f>RB_Raw!D68</f>
        <v>205.5</v>
      </c>
      <c r="K65" s="203">
        <f>RB_Raw!E68</f>
        <v>1.4</v>
      </c>
      <c r="L65" s="202">
        <f>RB_Raw!F68</f>
        <v>21.1</v>
      </c>
      <c r="M65" s="200">
        <f>RB_Raw!G68</f>
        <v>167</v>
      </c>
      <c r="N65" s="203">
        <f>RB_Raw!H68</f>
        <v>0.8</v>
      </c>
      <c r="O65" s="200">
        <f>RB_Raw!I68</f>
        <v>0.7</v>
      </c>
      <c r="P65" s="205">
        <f t="shared" si="11"/>
        <v>59.6</v>
      </c>
      <c r="Q65" t="str">
        <f t="shared" ca="1" si="12"/>
        <v>Undrafted</v>
      </c>
      <c r="R65">
        <f t="shared" ca="1" si="13"/>
        <v>0</v>
      </c>
      <c r="S65">
        <f t="shared" ca="1" si="14"/>
        <v>-44.080000000000005</v>
      </c>
      <c r="T65" s="84">
        <f t="shared" ca="1" si="15"/>
        <v>-7.2722987322084016</v>
      </c>
      <c r="U65" s="84">
        <f ca="1">T65*Auction!$A$2</f>
        <v>-7.2722987322084016</v>
      </c>
      <c r="V65" s="5" t="str">
        <f>IF(OR(INDEX(Auction!$H$13:$H$650,MATCH(B65,Auction!$A$13:$A$650,0))&gt;0,IFERROR(INDEX(CheatSheet!$M$5:$M$64,MATCH(B65,CheatSheet!$J$5:$J$64,0)),"")&lt;&gt;""),"Yes","No")</f>
        <v>No</v>
      </c>
      <c r="W65" s="175"/>
      <c r="Y65" s="77">
        <f t="shared" ca="1" si="16"/>
        <v>1</v>
      </c>
      <c r="Z65" s="174">
        <f t="shared" ca="1" si="17"/>
        <v>-22.040000000000003</v>
      </c>
      <c r="AA65" t="str">
        <f t="shared" ca="1" si="9"/>
        <v>RB8</v>
      </c>
      <c r="AB65" s="174">
        <f ca="1">Z65*LeagueInfo!$H$5</f>
        <v>-7.1178219022200384</v>
      </c>
      <c r="AC65" s="174">
        <f t="shared" ca="1" si="18"/>
        <v>-0.34986626512795505</v>
      </c>
    </row>
    <row r="66" spans="1:29" x14ac:dyDescent="0.35">
      <c r="A66">
        <f t="shared" si="10"/>
        <v>64</v>
      </c>
      <c r="B66" t="str">
        <f>RB_Raw!A63</f>
        <v>Jaylen Wright</v>
      </c>
      <c r="C66" t="s">
        <v>25</v>
      </c>
      <c r="D66">
        <f>_xlfn.IFNA(INDEX(BYEs!E:E,MATCH(B66,BYEs!D:D,0)),"N/A")</f>
        <v>21</v>
      </c>
      <c r="E66">
        <f>INDEX(BYEs!$B$2:$B$34,MATCH(F66,BYEs!$A$2:$A$34,0))</f>
        <v>6</v>
      </c>
      <c r="F66" t="str">
        <f>RB_Raw!B63</f>
        <v>MIA</v>
      </c>
      <c r="G66" s="202">
        <v>0</v>
      </c>
      <c r="H66" s="203">
        <v>0</v>
      </c>
      <c r="I66" s="202">
        <f>RB_Raw!C63</f>
        <v>57.8</v>
      </c>
      <c r="J66" s="200">
        <f>RB_Raw!D63</f>
        <v>267</v>
      </c>
      <c r="K66" s="203">
        <f>RB_Raw!E63</f>
        <v>2.2000000000000002</v>
      </c>
      <c r="L66" s="202">
        <f>RB_Raw!F63</f>
        <v>12.6</v>
      </c>
      <c r="M66" s="200">
        <f>RB_Raw!G63</f>
        <v>103.4</v>
      </c>
      <c r="N66" s="203">
        <f>RB_Raw!H63</f>
        <v>0.7</v>
      </c>
      <c r="O66" s="200">
        <f>RB_Raw!I63</f>
        <v>0.8</v>
      </c>
      <c r="P66" s="205">
        <f t="shared" si="11"/>
        <v>59.140000000000008</v>
      </c>
      <c r="Q66" t="str">
        <f t="shared" ca="1" si="12"/>
        <v>Undrafted</v>
      </c>
      <c r="R66">
        <f t="shared" ca="1" si="13"/>
        <v>0</v>
      </c>
      <c r="S66">
        <f t="shared" ca="1" si="14"/>
        <v>-44.54</v>
      </c>
      <c r="T66" s="84">
        <f t="shared" ca="1" si="15"/>
        <v>-7.3481893269637517</v>
      </c>
      <c r="U66" s="84">
        <f ca="1">T66*Auction!$A$2</f>
        <v>-7.3481893269637517</v>
      </c>
      <c r="V66" s="5" t="str">
        <f>IF(OR(INDEX(Auction!$H$13:$H$650,MATCH(B66,Auction!$A$13:$A$650,0))&gt;0,IFERROR(INDEX(CheatSheet!$M$5:$M$64,MATCH(B66,CheatSheet!$J$5:$J$64,0)),"")&lt;&gt;""),"Yes","No")</f>
        <v>No</v>
      </c>
      <c r="W66" s="175"/>
      <c r="Y66" s="77">
        <f t="shared" ca="1" si="16"/>
        <v>1</v>
      </c>
      <c r="Z66" s="174">
        <f t="shared" ca="1" si="17"/>
        <v>-22.27</v>
      </c>
      <c r="AA66" t="str">
        <f t="shared" ca="1" si="9"/>
        <v>RB8</v>
      </c>
      <c r="AB66" s="174">
        <f ca="1">Z66*LeagueInfo!$H$5</f>
        <v>-7.1921004429419346</v>
      </c>
      <c r="AC66" s="174">
        <f t="shared" ca="1" si="18"/>
        <v>-0.35474963421317768</v>
      </c>
    </row>
    <row r="67" spans="1:29" x14ac:dyDescent="0.35">
      <c r="A67">
        <f t="shared" ref="A67:A98" si="19">RANK(P67,P:P)</f>
        <v>65</v>
      </c>
      <c r="B67" t="str">
        <f>RB_Raw!A66</f>
        <v>Kenneth Gainwell</v>
      </c>
      <c r="C67" t="s">
        <v>25</v>
      </c>
      <c r="D67">
        <f>_xlfn.IFNA(INDEX(BYEs!E:E,MATCH(B67,BYEs!D:D,0)),"N/A")</f>
        <v>25</v>
      </c>
      <c r="E67">
        <f>INDEX(BYEs!$B$2:$B$34,MATCH(F67,BYEs!$A$2:$A$34,0))</f>
        <v>5</v>
      </c>
      <c r="F67" t="str">
        <f>RB_Raw!B66</f>
        <v>PHI</v>
      </c>
      <c r="G67" s="202">
        <v>0</v>
      </c>
      <c r="H67" s="203">
        <v>0</v>
      </c>
      <c r="I67" s="202">
        <f>RB_Raw!C66</f>
        <v>66.8</v>
      </c>
      <c r="J67" s="200">
        <f>RB_Raw!D66</f>
        <v>260.60000000000002</v>
      </c>
      <c r="K67" s="203">
        <f>RB_Raw!E66</f>
        <v>1.9</v>
      </c>
      <c r="L67" s="202">
        <f>RB_Raw!F66</f>
        <v>17.2</v>
      </c>
      <c r="M67" s="200">
        <f>RB_Raw!G66</f>
        <v>120.3</v>
      </c>
      <c r="N67" s="203">
        <f>RB_Raw!H66</f>
        <v>0.4</v>
      </c>
      <c r="O67" s="200">
        <f>RB_Raw!I66</f>
        <v>1.2</v>
      </c>
      <c r="P67" s="205">
        <f t="shared" ref="P67:P98" si="20">(J67*RBRushingYd)+(K67*RBRushingTD)+(L67*RBReceptions)+(M67*RBRecYd)+(N67*RBRecTD)+(O67*RBFuml)+(I67*RBRushAtt)</f>
        <v>58.09</v>
      </c>
      <c r="Q67" t="str">
        <f t="shared" ref="Q67:Q98" ca="1" si="21">IF(A67&lt;=RBStarters,"Starter",IF(A67&gt;RBStarters+RBBench,"Undrafted","Bench"))</f>
        <v>Undrafted</v>
      </c>
      <c r="R67">
        <f t="shared" ref="R67:R98" ca="1" si="22">IFERROR(MAX(P67-LARGE(RBSheetCount,RBStarters),0),0)</f>
        <v>0</v>
      </c>
      <c r="S67">
        <f t="shared" ref="S67:S98" ca="1" si="23">IFERROR(IF(AllowNegative="Yes",P67-LARGE(RBSheetCount,RBCount),MAX(P67-LARGE(RBSheetCount,RBCount),0)),0)</f>
        <v>-45.59</v>
      </c>
      <c r="T67" s="84">
        <f t="shared" ref="T67:T98" ca="1" si="24">(S67-R67)*BenchPF+R67*StarterPF</f>
        <v>-7.5214178584705316</v>
      </c>
      <c r="U67" s="84">
        <f ca="1">T67*Auction!$A$2</f>
        <v>-7.5214178584705316</v>
      </c>
      <c r="V67" s="5" t="str">
        <f>IF(OR(INDEX(Auction!$H$13:$H$650,MATCH(B67,Auction!$A$13:$A$650,0))&gt;0,IFERROR(INDEX(CheatSheet!$M$5:$M$64,MATCH(B67,CheatSheet!$J$5:$J$64,0)),"")&lt;&gt;""),"Yes","No")</f>
        <v>No</v>
      </c>
      <c r="W67" s="175"/>
      <c r="Y67" s="77">
        <f t="shared" ref="Y67:Y98" ca="1" si="25">SUMIFS(Z:Z,Z:Z,"&gt;0",V:V,"No")/SUMIF(Z:Z,"&gt;0")</f>
        <v>1</v>
      </c>
      <c r="Z67" s="174">
        <f t="shared" ref="Z67:Z98" ca="1" si="26">AVERAGE(R67:S67)</f>
        <v>-22.795000000000002</v>
      </c>
      <c r="AA67" t="str">
        <f t="shared" ca="1" si="9"/>
        <v>RB8</v>
      </c>
      <c r="AB67" s="174">
        <f ca="1">Z67*LeagueInfo!$H$5</f>
        <v>-7.3616492858940914</v>
      </c>
      <c r="AC67" s="174">
        <f t="shared" ref="AC67:AC98" ca="1" si="27">(Z67-AVERAGE(Z:Z))/_xlfn.STDEV.P(Z:Z)</f>
        <v>-0.36589645495118611</v>
      </c>
    </row>
    <row r="68" spans="1:29" x14ac:dyDescent="0.35">
      <c r="A68">
        <f t="shared" si="19"/>
        <v>66</v>
      </c>
      <c r="B68" t="str">
        <f>RB_Raw!A65</f>
        <v>Dameon Pierce</v>
      </c>
      <c r="C68" t="s">
        <v>25</v>
      </c>
      <c r="D68">
        <f>_xlfn.IFNA(INDEX(BYEs!E:E,MATCH(B68,BYEs!D:D,0)),"N/A")</f>
        <v>24</v>
      </c>
      <c r="E68">
        <f>INDEX(BYEs!$B$2:$B$34,MATCH(F68,BYEs!$A$2:$A$34,0))</f>
        <v>14</v>
      </c>
      <c r="F68" t="str">
        <f>RB_Raw!B65</f>
        <v>HOU</v>
      </c>
      <c r="G68" s="202">
        <v>0</v>
      </c>
      <c r="H68" s="203">
        <v>0</v>
      </c>
      <c r="I68" s="202">
        <f>RB_Raw!C65</f>
        <v>72.8</v>
      </c>
      <c r="J68" s="200">
        <f>RB_Raw!D65</f>
        <v>306.2</v>
      </c>
      <c r="K68" s="203">
        <f>RB_Raw!E65</f>
        <v>2.2000000000000002</v>
      </c>
      <c r="L68" s="202">
        <f>RB_Raw!F65</f>
        <v>10.5</v>
      </c>
      <c r="M68" s="200">
        <f>RB_Raw!G65</f>
        <v>76.7</v>
      </c>
      <c r="N68" s="203">
        <f>RB_Raw!H65</f>
        <v>0.2</v>
      </c>
      <c r="O68" s="200">
        <f>RB_Raw!I65</f>
        <v>0.5</v>
      </c>
      <c r="P68" s="205">
        <f t="shared" si="20"/>
        <v>56.940000000000005</v>
      </c>
      <c r="Q68" t="str">
        <f t="shared" ca="1" si="21"/>
        <v>Undrafted</v>
      </c>
      <c r="R68">
        <f t="shared" ca="1" si="22"/>
        <v>0</v>
      </c>
      <c r="S68">
        <f t="shared" ca="1" si="23"/>
        <v>-46.74</v>
      </c>
      <c r="T68" s="84">
        <f t="shared" ca="1" si="24"/>
        <v>-7.7111443453589086</v>
      </c>
      <c r="U68" s="84">
        <f ca="1">T68*Auction!$A$2</f>
        <v>-7.7111443453589086</v>
      </c>
      <c r="V68" s="5" t="str">
        <f>IF(OR(INDEX(Auction!$H$13:$H$650,MATCH(B68,Auction!$A$13:$A$650,0))&gt;0,IFERROR(INDEX(CheatSheet!$M$5:$M$64,MATCH(B68,CheatSheet!$J$5:$J$64,0)),"")&lt;&gt;""),"Yes","No")</f>
        <v>No</v>
      </c>
      <c r="W68" s="175"/>
      <c r="Y68" s="77">
        <f t="shared" ca="1" si="25"/>
        <v>1</v>
      </c>
      <c r="Z68" s="174">
        <f t="shared" ca="1" si="26"/>
        <v>-23.37</v>
      </c>
      <c r="AA68" t="str">
        <f t="shared" ref="AA68:AA131" ca="1" si="28">IF(AC68&gt;3,"RB1",IF(AC68&gt;2.5,"RB2",IF(AC68&gt;2,"RB3",IF(AC68&gt;1.5,"RB4",IF(AC68&gt;1,"RB5",IF(AC68&gt;0.5,"RB6",IF(AC68&gt;0,"RB7","RB8")))))))</f>
        <v>RB8</v>
      </c>
      <c r="AB68" s="174">
        <f ca="1">Z68*LeagueInfo!$H$5</f>
        <v>-7.5473456376988333</v>
      </c>
      <c r="AC68" s="174">
        <f t="shared" ca="1" si="27"/>
        <v>-0.37810487766424278</v>
      </c>
    </row>
    <row r="69" spans="1:29" x14ac:dyDescent="0.35">
      <c r="A69">
        <f t="shared" si="19"/>
        <v>67</v>
      </c>
      <c r="B69" t="str">
        <f>RB_Raw!A69</f>
        <v>Audric Estime</v>
      </c>
      <c r="C69" t="s">
        <v>25</v>
      </c>
      <c r="D69">
        <f>_xlfn.IFNA(INDEX(BYEs!E:E,MATCH(B69,BYEs!D:D,0)),"N/A")</f>
        <v>20</v>
      </c>
      <c r="E69">
        <f>INDEX(BYEs!$B$2:$B$34,MATCH(F69,BYEs!$A$2:$A$34,0))</f>
        <v>14</v>
      </c>
      <c r="F69" t="str">
        <f>RB_Raw!B69</f>
        <v>DEN</v>
      </c>
      <c r="G69" s="202">
        <v>0</v>
      </c>
      <c r="H69" s="203">
        <v>0</v>
      </c>
      <c r="I69" s="202">
        <f>RB_Raw!C69</f>
        <v>68.2</v>
      </c>
      <c r="J69" s="200">
        <f>RB_Raw!D69</f>
        <v>275.60000000000002</v>
      </c>
      <c r="K69" s="203">
        <f>RB_Raw!E69</f>
        <v>1.9</v>
      </c>
      <c r="L69" s="202">
        <f>RB_Raw!F69</f>
        <v>12.9</v>
      </c>
      <c r="M69" s="200">
        <f>RB_Raw!G69</f>
        <v>96.9</v>
      </c>
      <c r="N69" s="203">
        <f>RB_Raw!H69</f>
        <v>0.5</v>
      </c>
      <c r="O69" s="200">
        <f>RB_Raw!I69</f>
        <v>1.4</v>
      </c>
      <c r="P69" s="205">
        <f t="shared" si="20"/>
        <v>55.300000000000011</v>
      </c>
      <c r="Q69" t="str">
        <f t="shared" ca="1" si="21"/>
        <v>Undrafted</v>
      </c>
      <c r="R69">
        <f t="shared" ca="1" si="22"/>
        <v>0</v>
      </c>
      <c r="S69">
        <f t="shared" ca="1" si="23"/>
        <v>-48.379999999999995</v>
      </c>
      <c r="T69" s="84">
        <f t="shared" ca="1" si="24"/>
        <v>-7.9817108136171147</v>
      </c>
      <c r="U69" s="84">
        <f ca="1">T69*Auction!$A$2</f>
        <v>-7.9817108136171147</v>
      </c>
      <c r="V69" s="5" t="str">
        <f>IF(OR(INDEX(Auction!$H$13:$H$650,MATCH(B69,Auction!$A$13:$A$650,0))&gt;0,IFERROR(INDEX(CheatSheet!$M$5:$M$64,MATCH(B69,CheatSheet!$J$5:$J$64,0)),"")&lt;&gt;""),"Yes","No")</f>
        <v>No</v>
      </c>
      <c r="W69" s="175"/>
      <c r="Y69" s="77">
        <f t="shared" ca="1" si="25"/>
        <v>1</v>
      </c>
      <c r="Z69" s="174">
        <f t="shared" ca="1" si="26"/>
        <v>-24.189999999999998</v>
      </c>
      <c r="AA69" t="str">
        <f t="shared" ca="1" si="28"/>
        <v>RB8</v>
      </c>
      <c r="AB69" s="174">
        <f ca="1">Z69*LeagueInfo!$H$5</f>
        <v>-7.8121647828812479</v>
      </c>
      <c r="AC69" s="174">
        <f t="shared" ca="1" si="27"/>
        <v>-0.39551515005503673</v>
      </c>
    </row>
    <row r="70" spans="1:29" x14ac:dyDescent="0.35">
      <c r="A70">
        <f t="shared" si="19"/>
        <v>68</v>
      </c>
      <c r="B70" t="str">
        <f>RB_Raw!A67</f>
        <v>D'Onta Foreman</v>
      </c>
      <c r="C70" t="s">
        <v>25</v>
      </c>
      <c r="D70">
        <f>_xlfn.IFNA(INDEX(BYEs!E:E,MATCH(B70,BYEs!D:D,0)),"N/A")</f>
        <v>28</v>
      </c>
      <c r="E70">
        <f>INDEX(BYEs!$B$2:$B$34,MATCH(F70,BYEs!$A$2:$A$34,0))</f>
        <v>10</v>
      </c>
      <c r="F70" t="str">
        <f>RB_Raw!B67</f>
        <v>CLE</v>
      </c>
      <c r="G70" s="202">
        <v>0</v>
      </c>
      <c r="H70" s="203">
        <v>0</v>
      </c>
      <c r="I70" s="202">
        <f>RB_Raw!C67</f>
        <v>64.3</v>
      </c>
      <c r="J70" s="200">
        <f>RB_Raw!D67</f>
        <v>280.39999999999998</v>
      </c>
      <c r="K70" s="203">
        <f>RB_Raw!E67</f>
        <v>2</v>
      </c>
      <c r="L70" s="202">
        <f>RB_Raw!F67</f>
        <v>10.6</v>
      </c>
      <c r="M70" s="200">
        <f>RB_Raw!G67</f>
        <v>78</v>
      </c>
      <c r="N70" s="203">
        <f>RB_Raw!H67</f>
        <v>0.3</v>
      </c>
      <c r="O70" s="200">
        <f>RB_Raw!I67</f>
        <v>0.2</v>
      </c>
      <c r="P70" s="205">
        <f t="shared" si="20"/>
        <v>54.54</v>
      </c>
      <c r="Q70" t="str">
        <f t="shared" ca="1" si="21"/>
        <v>Undrafted</v>
      </c>
      <c r="R70">
        <f t="shared" ca="1" si="22"/>
        <v>0</v>
      </c>
      <c r="S70">
        <f t="shared" ca="1" si="23"/>
        <v>-49.140000000000008</v>
      </c>
      <c r="T70" s="84">
        <f t="shared" ca="1" si="24"/>
        <v>-8.1070952745172615</v>
      </c>
      <c r="U70" s="84">
        <f ca="1">T70*Auction!$A$2</f>
        <v>-8.1070952745172615</v>
      </c>
      <c r="V70" s="5" t="str">
        <f>IF(OR(INDEX(Auction!$H$13:$H$650,MATCH(B70,Auction!$A$13:$A$650,0))&gt;0,IFERROR(INDEX(CheatSheet!$M$5:$M$64,MATCH(B70,CheatSheet!$J$5:$J$64,0)),"")&lt;&gt;""),"Yes","No")</f>
        <v>No</v>
      </c>
      <c r="W70" s="175"/>
      <c r="Y70" s="77">
        <f t="shared" ca="1" si="25"/>
        <v>1</v>
      </c>
      <c r="Z70" s="174">
        <f t="shared" ca="1" si="26"/>
        <v>-24.570000000000004</v>
      </c>
      <c r="AA70" t="str">
        <f t="shared" ca="1" si="28"/>
        <v>RB8</v>
      </c>
      <c r="AB70" s="174">
        <f ca="1">Z70*LeagueInfo!$H$5</f>
        <v>-7.9348858501609056</v>
      </c>
      <c r="AC70" s="174">
        <f t="shared" ca="1" si="27"/>
        <v>-0.40358332506540473</v>
      </c>
    </row>
    <row r="71" spans="1:29" x14ac:dyDescent="0.35">
      <c r="A71">
        <f t="shared" si="19"/>
        <v>69</v>
      </c>
      <c r="B71" t="str">
        <f>RB_Raw!A70</f>
        <v>Kendre Miller</v>
      </c>
      <c r="C71" t="s">
        <v>25</v>
      </c>
      <c r="D71">
        <f>_xlfn.IFNA(INDEX(BYEs!E:E,MATCH(B71,BYEs!D:D,0)),"N/A")</f>
        <v>22</v>
      </c>
      <c r="E71">
        <f>INDEX(BYEs!$B$2:$B$34,MATCH(F71,BYEs!$A$2:$A$34,0))</f>
        <v>12</v>
      </c>
      <c r="F71" t="str">
        <f>RB_Raw!B70</f>
        <v>NO</v>
      </c>
      <c r="G71" s="202">
        <v>0</v>
      </c>
      <c r="H71" s="203">
        <v>0</v>
      </c>
      <c r="I71" s="202">
        <f>RB_Raw!C70</f>
        <v>54.2</v>
      </c>
      <c r="J71" s="200">
        <f>RB_Raw!D70</f>
        <v>232.5</v>
      </c>
      <c r="K71" s="203">
        <f>RB_Raw!E70</f>
        <v>1.7</v>
      </c>
      <c r="L71" s="202">
        <f>RB_Raw!F70</f>
        <v>12.8</v>
      </c>
      <c r="M71" s="200">
        <f>RB_Raw!G70</f>
        <v>107.2</v>
      </c>
      <c r="N71" s="203">
        <f>RB_Raw!H70</f>
        <v>0.5</v>
      </c>
      <c r="O71" s="200">
        <f>RB_Raw!I70</f>
        <v>0.7</v>
      </c>
      <c r="P71" s="205">
        <f t="shared" si="20"/>
        <v>52.17</v>
      </c>
      <c r="Q71" t="str">
        <f t="shared" ca="1" si="21"/>
        <v>Undrafted</v>
      </c>
      <c r="R71">
        <f t="shared" ca="1" si="22"/>
        <v>0</v>
      </c>
      <c r="S71">
        <f t="shared" ca="1" si="23"/>
        <v>-51.510000000000005</v>
      </c>
      <c r="T71" s="84">
        <f t="shared" ca="1" si="24"/>
        <v>-8.4980968170611337</v>
      </c>
      <c r="U71" s="84">
        <f ca="1">T71*Auction!$A$2</f>
        <v>-8.4980968170611337</v>
      </c>
      <c r="V71" s="5" t="str">
        <f>IF(OR(INDEX(Auction!$H$13:$H$650,MATCH(B71,Auction!$A$13:$A$650,0))&gt;0,IFERROR(INDEX(CheatSheet!$M$5:$M$64,MATCH(B71,CheatSheet!$J$5:$J$64,0)),"")&lt;&gt;""),"Yes","No")</f>
        <v>No</v>
      </c>
      <c r="W71" s="175"/>
      <c r="Y71" s="77">
        <f t="shared" ca="1" si="25"/>
        <v>1</v>
      </c>
      <c r="Z71" s="174">
        <f t="shared" ca="1" si="26"/>
        <v>-25.755000000000003</v>
      </c>
      <c r="AA71" t="str">
        <f t="shared" ca="1" si="28"/>
        <v>RB8</v>
      </c>
      <c r="AB71" s="174">
        <f ca="1">Z71*LeagueInfo!$H$5</f>
        <v>-8.3175818099671996</v>
      </c>
      <c r="AC71" s="174">
        <f t="shared" ca="1" si="27"/>
        <v>-0.42874329187405219</v>
      </c>
    </row>
    <row r="72" spans="1:29" x14ac:dyDescent="0.35">
      <c r="A72">
        <f t="shared" si="19"/>
        <v>70</v>
      </c>
      <c r="B72" t="str">
        <f>RB_Raw!A71</f>
        <v>Justice Hill</v>
      </c>
      <c r="C72" t="s">
        <v>25</v>
      </c>
      <c r="D72">
        <f>_xlfn.IFNA(INDEX(BYEs!E:E,MATCH(B72,BYEs!D:D,0)),"N/A")</f>
        <v>26</v>
      </c>
      <c r="E72">
        <f>INDEX(BYEs!$B$2:$B$34,MATCH(F72,BYEs!$A$2:$A$34,0))</f>
        <v>14</v>
      </c>
      <c r="F72" t="str">
        <f>RB_Raw!B71</f>
        <v>BAL</v>
      </c>
      <c r="G72" s="202">
        <v>0</v>
      </c>
      <c r="H72" s="203">
        <v>0</v>
      </c>
      <c r="I72" s="202">
        <f>RB_Raw!C71</f>
        <v>57.8</v>
      </c>
      <c r="J72" s="200">
        <f>RB_Raw!D71</f>
        <v>231.1</v>
      </c>
      <c r="K72" s="203">
        <f>RB_Raw!E71</f>
        <v>1.6</v>
      </c>
      <c r="L72" s="202">
        <f>RB_Raw!F71</f>
        <v>13.8</v>
      </c>
      <c r="M72" s="200">
        <f>RB_Raw!G71</f>
        <v>102.4</v>
      </c>
      <c r="N72" s="203">
        <f>RB_Raw!H71</f>
        <v>0.5</v>
      </c>
      <c r="O72" s="200">
        <f>RB_Raw!I71</f>
        <v>0.8</v>
      </c>
      <c r="P72" s="205">
        <f t="shared" si="20"/>
        <v>51.25</v>
      </c>
      <c r="Q72" t="str">
        <f t="shared" ca="1" si="21"/>
        <v>Undrafted</v>
      </c>
      <c r="R72">
        <f t="shared" ca="1" si="22"/>
        <v>0</v>
      </c>
      <c r="S72">
        <f t="shared" ca="1" si="23"/>
        <v>-52.430000000000007</v>
      </c>
      <c r="T72" s="84">
        <f t="shared" ca="1" si="24"/>
        <v>-8.6498780065718357</v>
      </c>
      <c r="U72" s="84">
        <f ca="1">T72*Auction!$A$2</f>
        <v>-8.6498780065718357</v>
      </c>
      <c r="V72" s="5" t="str">
        <f>IF(OR(INDEX(Auction!$H$13:$H$650,MATCH(B72,Auction!$A$13:$A$650,0))&gt;0,IFERROR(INDEX(CheatSheet!$M$5:$M$64,MATCH(B72,CheatSheet!$J$5:$J$64,0)),"")&lt;&gt;""),"Yes","No")</f>
        <v>No</v>
      </c>
      <c r="W72" s="175"/>
      <c r="Y72" s="77">
        <f t="shared" ca="1" si="25"/>
        <v>1</v>
      </c>
      <c r="Z72" s="174">
        <f t="shared" ca="1" si="26"/>
        <v>-26.215000000000003</v>
      </c>
      <c r="AA72" t="str">
        <f t="shared" ca="1" si="28"/>
        <v>RB8</v>
      </c>
      <c r="AB72" s="174">
        <f ca="1">Z72*LeagueInfo!$H$5</f>
        <v>-8.4661388914109938</v>
      </c>
      <c r="AC72" s="174">
        <f t="shared" ca="1" si="27"/>
        <v>-0.43851003004449757</v>
      </c>
    </row>
    <row r="73" spans="1:29" x14ac:dyDescent="0.35">
      <c r="A73">
        <f t="shared" si="19"/>
        <v>71</v>
      </c>
      <c r="B73" t="str">
        <f>RB_Raw!A72</f>
        <v>Emanuel Wilson</v>
      </c>
      <c r="C73" t="s">
        <v>25</v>
      </c>
      <c r="D73" t="str">
        <f>_xlfn.IFNA(INDEX(BYEs!E:E,MATCH(B73,BYEs!D:D,0)),"N/A")</f>
        <v>N/A</v>
      </c>
      <c r="E73">
        <f>INDEX(BYEs!$B$2:$B$34,MATCH(F73,BYEs!$A$2:$A$34,0))</f>
        <v>10</v>
      </c>
      <c r="F73" t="str">
        <f>RB_Raw!B72</f>
        <v>GB</v>
      </c>
      <c r="G73" s="202">
        <v>0</v>
      </c>
      <c r="H73" s="203">
        <v>0</v>
      </c>
      <c r="I73" s="202">
        <f>RB_Raw!C72</f>
        <v>51.1</v>
      </c>
      <c r="J73" s="200">
        <f>RB_Raw!D72</f>
        <v>222.5</v>
      </c>
      <c r="K73" s="203">
        <f>RB_Raw!E72</f>
        <v>1.5</v>
      </c>
      <c r="L73" s="202">
        <f>RB_Raw!F72</f>
        <v>11.1</v>
      </c>
      <c r="M73" s="200">
        <f>RB_Raw!G72</f>
        <v>80.3</v>
      </c>
      <c r="N73" s="203">
        <f>RB_Raw!H72</f>
        <v>0.6</v>
      </c>
      <c r="O73" s="200">
        <f>RB_Raw!I72</f>
        <v>0.1</v>
      </c>
      <c r="P73" s="205">
        <f t="shared" si="20"/>
        <v>48.23</v>
      </c>
      <c r="Q73" t="str">
        <f t="shared" ca="1" si="21"/>
        <v>Undrafted</v>
      </c>
      <c r="R73">
        <f t="shared" ca="1" si="22"/>
        <v>0</v>
      </c>
      <c r="S73">
        <f t="shared" ca="1" si="23"/>
        <v>-55.45000000000001</v>
      </c>
      <c r="T73" s="84">
        <f t="shared" ca="1" si="24"/>
        <v>-9.1481162590960956</v>
      </c>
      <c r="U73" s="84">
        <f ca="1">T73*Auction!$A$2</f>
        <v>-9.1481162590960956</v>
      </c>
      <c r="V73" s="5" t="str">
        <f>IF(OR(INDEX(Auction!$H$13:$H$650,MATCH(B73,Auction!$A$13:$A$650,0))&gt;0,IFERROR(INDEX(CheatSheet!$M$5:$M$64,MATCH(B73,CheatSheet!$J$5:$J$64,0)),"")&lt;&gt;""),"Yes","No")</f>
        <v>No</v>
      </c>
      <c r="W73" s="175"/>
      <c r="Y73" s="77">
        <f t="shared" ca="1" si="25"/>
        <v>1</v>
      </c>
      <c r="Z73" s="174">
        <f t="shared" ca="1" si="26"/>
        <v>-27.725000000000005</v>
      </c>
      <c r="AA73" t="str">
        <f t="shared" ca="1" si="28"/>
        <v>RB8</v>
      </c>
      <c r="AB73" s="174">
        <f ca="1">Z73*LeagueInfo!$H$5</f>
        <v>-8.9537936587591016</v>
      </c>
      <c r="AC73" s="174">
        <f t="shared" ca="1" si="27"/>
        <v>-0.47057040969095959</v>
      </c>
    </row>
    <row r="74" spans="1:29" x14ac:dyDescent="0.35">
      <c r="A74">
        <f t="shared" si="19"/>
        <v>72</v>
      </c>
      <c r="B74" t="str">
        <f>RB_Raw!A74</f>
        <v>Kimani Vidal</v>
      </c>
      <c r="C74" t="s">
        <v>25</v>
      </c>
      <c r="D74">
        <f>_xlfn.IFNA(INDEX(BYEs!E:E,MATCH(B74,BYEs!D:D,0)),"N/A")</f>
        <v>22</v>
      </c>
      <c r="E74">
        <f>INDEX(BYEs!$B$2:$B$34,MATCH(F74,BYEs!$A$2:$A$34,0))</f>
        <v>5</v>
      </c>
      <c r="F74" t="str">
        <f>RB_Raw!B74</f>
        <v>LAC</v>
      </c>
      <c r="G74" s="202">
        <v>0</v>
      </c>
      <c r="H74" s="203">
        <v>0</v>
      </c>
      <c r="I74" s="202">
        <f>RB_Raw!C74</f>
        <v>47</v>
      </c>
      <c r="J74" s="200">
        <f>RB_Raw!D74</f>
        <v>231.8</v>
      </c>
      <c r="K74" s="203">
        <f>RB_Raw!E74</f>
        <v>1.6</v>
      </c>
      <c r="L74" s="202">
        <f>RB_Raw!F74</f>
        <v>10.8</v>
      </c>
      <c r="M74" s="200">
        <f>RB_Raw!G74</f>
        <v>76.5</v>
      </c>
      <c r="N74" s="203">
        <f>RB_Raw!H74</f>
        <v>0.3</v>
      </c>
      <c r="O74" s="200">
        <f>RB_Raw!I74</f>
        <v>0.1</v>
      </c>
      <c r="P74" s="205">
        <f t="shared" si="20"/>
        <v>47.429999999999993</v>
      </c>
      <c r="Q74" t="str">
        <f t="shared" ca="1" si="21"/>
        <v>Undrafted</v>
      </c>
      <c r="R74">
        <f t="shared" ca="1" si="22"/>
        <v>0</v>
      </c>
      <c r="S74">
        <f t="shared" ca="1" si="23"/>
        <v>-56.250000000000014</v>
      </c>
      <c r="T74" s="84">
        <f t="shared" ca="1" si="24"/>
        <v>-9.2800999021488817</v>
      </c>
      <c r="U74" s="84">
        <f ca="1">T74*Auction!$A$2</f>
        <v>-9.2800999021488817</v>
      </c>
      <c r="V74" s="5" t="str">
        <f>IF(OR(INDEX(Auction!$H$13:$H$650,MATCH(B74,Auction!$A$13:$A$650,0))&gt;0,IFERROR(INDEX(CheatSheet!$M$5:$M$64,MATCH(B74,CheatSheet!$J$5:$J$64,0)),"")&lt;&gt;""),"Yes","No")</f>
        <v>No</v>
      </c>
      <c r="W74" s="175"/>
      <c r="Y74" s="77">
        <f t="shared" ca="1" si="25"/>
        <v>1</v>
      </c>
      <c r="Z74" s="174">
        <f t="shared" ca="1" si="26"/>
        <v>-28.125000000000007</v>
      </c>
      <c r="AA74" t="str">
        <f t="shared" ca="1" si="28"/>
        <v>RB8</v>
      </c>
      <c r="AB74" s="174">
        <f ca="1">Z74*LeagueInfo!$H$5</f>
        <v>-9.0829737295797912</v>
      </c>
      <c r="AC74" s="174">
        <f t="shared" ca="1" si="27"/>
        <v>-0.479063225491347</v>
      </c>
    </row>
    <row r="75" spans="1:29" x14ac:dyDescent="0.35">
      <c r="A75">
        <f t="shared" si="19"/>
        <v>73</v>
      </c>
      <c r="B75" t="str">
        <f>RB_Raw!A73</f>
        <v>Keaton Mitchell</v>
      </c>
      <c r="C75" t="s">
        <v>25</v>
      </c>
      <c r="D75">
        <f>_xlfn.IFNA(INDEX(BYEs!E:E,MATCH(B75,BYEs!D:D,0)),"N/A")</f>
        <v>22</v>
      </c>
      <c r="E75">
        <f>INDEX(BYEs!$B$2:$B$34,MATCH(F75,BYEs!$A$2:$A$34,0))</f>
        <v>14</v>
      </c>
      <c r="F75" t="str">
        <f>RB_Raw!B73</f>
        <v>BAL</v>
      </c>
      <c r="G75" s="202">
        <v>0</v>
      </c>
      <c r="H75" s="203">
        <v>0</v>
      </c>
      <c r="I75" s="202">
        <f>RB_Raw!C73</f>
        <v>52.5</v>
      </c>
      <c r="J75" s="200">
        <f>RB_Raw!D73</f>
        <v>255</v>
      </c>
      <c r="K75" s="203">
        <f>RB_Raw!E73</f>
        <v>1.6</v>
      </c>
      <c r="L75" s="202">
        <f>RB_Raw!F73</f>
        <v>8.6</v>
      </c>
      <c r="M75" s="200">
        <f>RB_Raw!G73</f>
        <v>69.400000000000006</v>
      </c>
      <c r="N75" s="203">
        <f>RB_Raw!H73</f>
        <v>0.2</v>
      </c>
      <c r="O75" s="200">
        <f>RB_Raw!I73</f>
        <v>0.7</v>
      </c>
      <c r="P75" s="205">
        <f t="shared" si="20"/>
        <v>46.140000000000008</v>
      </c>
      <c r="Q75" t="str">
        <f t="shared" ca="1" si="21"/>
        <v>Undrafted</v>
      </c>
      <c r="R75">
        <f t="shared" ca="1" si="22"/>
        <v>0</v>
      </c>
      <c r="S75">
        <f t="shared" ca="1" si="23"/>
        <v>-57.54</v>
      </c>
      <c r="T75" s="84">
        <f t="shared" ca="1" si="24"/>
        <v>-9.4929235265714933</v>
      </c>
      <c r="U75" s="84">
        <f ca="1">T75*Auction!$A$2</f>
        <v>-9.4929235265714933</v>
      </c>
      <c r="V75" s="5" t="str">
        <f>IF(OR(INDEX(Auction!$H$13:$H$650,MATCH(B75,Auction!$A$13:$A$650,0))&gt;0,IFERROR(INDEX(CheatSheet!$M$5:$M$64,MATCH(B75,CheatSheet!$J$5:$J$64,0)),"")&lt;&gt;""),"Yes","No")</f>
        <v>No</v>
      </c>
      <c r="W75" s="175"/>
      <c r="Y75" s="77">
        <f t="shared" ca="1" si="25"/>
        <v>1</v>
      </c>
      <c r="Z75" s="174">
        <f t="shared" ca="1" si="26"/>
        <v>-28.77</v>
      </c>
      <c r="AA75" t="str">
        <f t="shared" ca="1" si="28"/>
        <v>RB8</v>
      </c>
      <c r="AB75" s="174">
        <f ca="1">Z75*LeagueInfo!$H$5</f>
        <v>-9.2912765937781518</v>
      </c>
      <c r="AC75" s="174">
        <f t="shared" ca="1" si="27"/>
        <v>-0.49275789096947131</v>
      </c>
    </row>
    <row r="76" spans="1:29" x14ac:dyDescent="0.35">
      <c r="A76">
        <f t="shared" si="19"/>
        <v>74</v>
      </c>
      <c r="B76" t="str">
        <f>RB_Raw!A76</f>
        <v>Dalvin Cook</v>
      </c>
      <c r="C76" t="s">
        <v>25</v>
      </c>
      <c r="D76">
        <f>_xlfn.IFNA(INDEX(BYEs!E:E,MATCH(B76,BYEs!D:D,0)),"N/A")</f>
        <v>28</v>
      </c>
      <c r="E76">
        <f>INDEX(BYEs!$B$2:$B$34,MATCH(F76,BYEs!$A$2:$A$34,0))</f>
        <v>7</v>
      </c>
      <c r="F76" t="str">
        <f>RB_Raw!B76</f>
        <v>DAL</v>
      </c>
      <c r="G76" s="202">
        <v>0</v>
      </c>
      <c r="H76" s="203">
        <v>0</v>
      </c>
      <c r="I76" s="202">
        <f>RB_Raw!C76</f>
        <v>49.3</v>
      </c>
      <c r="J76" s="200">
        <f>RB_Raw!D76</f>
        <v>229.5</v>
      </c>
      <c r="K76" s="203">
        <f>RB_Raw!E76</f>
        <v>1.6</v>
      </c>
      <c r="L76" s="202">
        <f>RB_Raw!F76</f>
        <v>8.5</v>
      </c>
      <c r="M76" s="200">
        <f>RB_Raw!G76</f>
        <v>60.8</v>
      </c>
      <c r="N76" s="203">
        <f>RB_Raw!H76</f>
        <v>0.3</v>
      </c>
      <c r="O76" s="200">
        <f>RB_Raw!I76</f>
        <v>0</v>
      </c>
      <c r="P76" s="205">
        <f t="shared" si="20"/>
        <v>44.68</v>
      </c>
      <c r="Q76" t="str">
        <f t="shared" ca="1" si="21"/>
        <v>Undrafted</v>
      </c>
      <c r="R76">
        <f t="shared" ca="1" si="22"/>
        <v>0</v>
      </c>
      <c r="S76">
        <f t="shared" ca="1" si="23"/>
        <v>-59.000000000000007</v>
      </c>
      <c r="T76" s="84">
        <f t="shared" ca="1" si="24"/>
        <v>-9.7337936751428256</v>
      </c>
      <c r="U76" s="84">
        <f ca="1">T76*Auction!$A$2</f>
        <v>-9.7337936751428256</v>
      </c>
      <c r="V76" s="5" t="str">
        <f>IF(OR(INDEX(Auction!$H$13:$H$650,MATCH(B76,Auction!$A$13:$A$650,0))&gt;0,IFERROR(INDEX(CheatSheet!$M$5:$M$64,MATCH(B76,CheatSheet!$J$5:$J$64,0)),"")&lt;&gt;""),"Yes","No")</f>
        <v>No</v>
      </c>
      <c r="W76" s="175"/>
      <c r="Y76" s="77">
        <f t="shared" ca="1" si="25"/>
        <v>1</v>
      </c>
      <c r="Z76" s="174">
        <f t="shared" ca="1" si="26"/>
        <v>-29.500000000000004</v>
      </c>
      <c r="AA76" t="str">
        <f t="shared" ca="1" si="28"/>
        <v>RB8</v>
      </c>
      <c r="AB76" s="174">
        <f ca="1">Z76*LeagueInfo!$H$5</f>
        <v>-9.5270302230259141</v>
      </c>
      <c r="AC76" s="174">
        <f t="shared" ca="1" si="27"/>
        <v>-0.50825727980517821</v>
      </c>
    </row>
    <row r="77" spans="1:29" x14ac:dyDescent="0.35">
      <c r="A77">
        <f t="shared" si="19"/>
        <v>75</v>
      </c>
      <c r="B77" t="str">
        <f>RB_Raw!A79</f>
        <v>Ty Johnson</v>
      </c>
      <c r="C77" t="s">
        <v>25</v>
      </c>
      <c r="D77" t="str">
        <f>_xlfn.IFNA(INDEX(BYEs!E:E,MATCH(B77,BYEs!D:D,0)),"N/A")</f>
        <v>N/A</v>
      </c>
      <c r="E77">
        <f>INDEX(BYEs!$B$2:$B$34,MATCH(F77,BYEs!$A$2:$A$34,0))</f>
        <v>12</v>
      </c>
      <c r="F77" t="str">
        <f>RB_Raw!B79</f>
        <v>BUF</v>
      </c>
      <c r="G77" s="202">
        <v>0</v>
      </c>
      <c r="H77" s="203">
        <v>0</v>
      </c>
      <c r="I77" s="202">
        <f>RB_Raw!C79</f>
        <v>39.700000000000003</v>
      </c>
      <c r="J77" s="200">
        <f>RB_Raw!D79</f>
        <v>165.4</v>
      </c>
      <c r="K77" s="203">
        <f>RB_Raw!E79</f>
        <v>1.1000000000000001</v>
      </c>
      <c r="L77" s="202">
        <f>RB_Raw!F79</f>
        <v>13.1</v>
      </c>
      <c r="M77" s="200">
        <f>RB_Raw!G79</f>
        <v>111.2</v>
      </c>
      <c r="N77" s="203">
        <f>RB_Raw!H79</f>
        <v>0.7</v>
      </c>
      <c r="O77" s="200">
        <f>RB_Raw!I79</f>
        <v>0.2</v>
      </c>
      <c r="P77" s="205">
        <f t="shared" si="20"/>
        <v>44.610000000000007</v>
      </c>
      <c r="Q77" t="str">
        <f t="shared" ca="1" si="21"/>
        <v>Undrafted</v>
      </c>
      <c r="R77">
        <f t="shared" ca="1" si="22"/>
        <v>0</v>
      </c>
      <c r="S77">
        <f t="shared" ca="1" si="23"/>
        <v>-59.07</v>
      </c>
      <c r="T77" s="84">
        <f t="shared" ca="1" si="24"/>
        <v>-9.745342243909942</v>
      </c>
      <c r="U77" s="84">
        <f ca="1">T77*Auction!$A$2</f>
        <v>-9.745342243909942</v>
      </c>
      <c r="V77" s="5" t="str">
        <f>IF(OR(INDEX(Auction!$H$13:$H$650,MATCH(B77,Auction!$A$13:$A$650,0))&gt;0,IFERROR(INDEX(CheatSheet!$M$5:$M$64,MATCH(B77,CheatSheet!$J$5:$J$64,0)),"")&lt;&gt;""),"Yes","No")</f>
        <v>No</v>
      </c>
      <c r="W77" s="175"/>
      <c r="Y77" s="77">
        <f t="shared" ca="1" si="25"/>
        <v>1</v>
      </c>
      <c r="Z77" s="174">
        <f t="shared" ca="1" si="26"/>
        <v>-29.535</v>
      </c>
      <c r="AA77" t="str">
        <f t="shared" ca="1" si="28"/>
        <v>RB8</v>
      </c>
      <c r="AB77" s="174">
        <f ca="1">Z77*LeagueInfo!$H$5</f>
        <v>-9.5383334792227235</v>
      </c>
      <c r="AC77" s="174">
        <f t="shared" ca="1" si="27"/>
        <v>-0.50900040118771206</v>
      </c>
    </row>
    <row r="78" spans="1:29" x14ac:dyDescent="0.35">
      <c r="A78">
        <f t="shared" si="19"/>
        <v>76</v>
      </c>
      <c r="B78" t="str">
        <f>RB_Raw!A77</f>
        <v>Trey Sermon</v>
      </c>
      <c r="C78" t="s">
        <v>25</v>
      </c>
      <c r="D78">
        <f>_xlfn.IFNA(INDEX(BYEs!E:E,MATCH(B78,BYEs!D:D,0)),"N/A")</f>
        <v>25</v>
      </c>
      <c r="E78">
        <f>INDEX(BYEs!$B$2:$B$34,MATCH(F78,BYEs!$A$2:$A$34,0))</f>
        <v>14</v>
      </c>
      <c r="F78" t="str">
        <f>RB_Raw!B77</f>
        <v>IND</v>
      </c>
      <c r="G78" s="202">
        <v>0</v>
      </c>
      <c r="H78" s="203">
        <v>0</v>
      </c>
      <c r="I78" s="202">
        <f>RB_Raw!C77</f>
        <v>52.9</v>
      </c>
      <c r="J78" s="200">
        <f>RB_Raw!D77</f>
        <v>254.8</v>
      </c>
      <c r="K78" s="203">
        <f>RB_Raw!E77</f>
        <v>1.4</v>
      </c>
      <c r="L78" s="202">
        <f>RB_Raw!F77</f>
        <v>7.9</v>
      </c>
      <c r="M78" s="200">
        <f>RB_Raw!G77</f>
        <v>54.4</v>
      </c>
      <c r="N78" s="203">
        <f>RB_Raw!H77</f>
        <v>0.2</v>
      </c>
      <c r="O78" s="200">
        <f>RB_Raw!I77</f>
        <v>0.1</v>
      </c>
      <c r="P78" s="205">
        <f t="shared" si="20"/>
        <v>44.27</v>
      </c>
      <c r="Q78" t="str">
        <f t="shared" ca="1" si="21"/>
        <v>Undrafted</v>
      </c>
      <c r="R78">
        <f t="shared" ca="1" si="22"/>
        <v>0</v>
      </c>
      <c r="S78">
        <f t="shared" ca="1" si="23"/>
        <v>-59.410000000000004</v>
      </c>
      <c r="T78" s="84">
        <f t="shared" ca="1" si="24"/>
        <v>-9.8014352922073762</v>
      </c>
      <c r="U78" s="84">
        <f ca="1">T78*Auction!$A$2</f>
        <v>-9.8014352922073762</v>
      </c>
      <c r="V78" s="5" t="str">
        <f>IF(OR(INDEX(Auction!$H$13:$H$650,MATCH(B78,Auction!$A$13:$A$650,0))&gt;0,IFERROR(INDEX(CheatSheet!$M$5:$M$64,MATCH(B78,CheatSheet!$J$5:$J$64,0)),"")&lt;&gt;""),"Yes","No")</f>
        <v>No</v>
      </c>
      <c r="W78" s="175"/>
      <c r="Y78" s="77">
        <f t="shared" ca="1" si="25"/>
        <v>1</v>
      </c>
      <c r="Z78" s="174">
        <f t="shared" ca="1" si="26"/>
        <v>-29.705000000000002</v>
      </c>
      <c r="AA78" t="str">
        <f t="shared" ca="1" si="28"/>
        <v>RB8</v>
      </c>
      <c r="AB78" s="174">
        <f ca="1">Z78*LeagueInfo!$H$5</f>
        <v>-9.5932350093215177</v>
      </c>
      <c r="AC78" s="174">
        <f t="shared" ca="1" si="27"/>
        <v>-0.51260984790287667</v>
      </c>
    </row>
    <row r="79" spans="1:29" x14ac:dyDescent="0.35">
      <c r="A79">
        <f t="shared" si="19"/>
        <v>77</v>
      </c>
      <c r="B79" t="str">
        <f>RB_Raw!A75</f>
        <v>Chris Rodriguez Jr.</v>
      </c>
      <c r="C79" t="s">
        <v>25</v>
      </c>
      <c r="D79">
        <f>_xlfn.IFNA(INDEX(BYEs!E:E,MATCH(B79,BYEs!D:D,0)),"N/A")</f>
        <v>23</v>
      </c>
      <c r="E79">
        <f>INDEX(BYEs!$B$2:$B$34,MATCH(F79,BYEs!$A$2:$A$34,0))</f>
        <v>14</v>
      </c>
      <c r="F79" t="str">
        <f>RB_Raw!B75</f>
        <v>WAS</v>
      </c>
      <c r="G79" s="202">
        <v>0</v>
      </c>
      <c r="H79" s="203">
        <v>0</v>
      </c>
      <c r="I79" s="202">
        <f>RB_Raw!C75</f>
        <v>0</v>
      </c>
      <c r="J79" s="200">
        <f>RB_Raw!D75</f>
        <v>235</v>
      </c>
      <c r="K79" s="203">
        <f>RB_Raw!E75</f>
        <v>2</v>
      </c>
      <c r="L79" s="202">
        <f>RB_Raw!F75</f>
        <v>7</v>
      </c>
      <c r="M79" s="200">
        <f>RB_Raw!G75</f>
        <v>51</v>
      </c>
      <c r="N79" s="203">
        <f>RB_Raw!H75</f>
        <v>0</v>
      </c>
      <c r="O79" s="200">
        <f>RB_Raw!I75</f>
        <v>0</v>
      </c>
      <c r="P79" s="205">
        <f t="shared" si="20"/>
        <v>44.1</v>
      </c>
      <c r="Q79" t="str">
        <f t="shared" ca="1" si="21"/>
        <v>Undrafted</v>
      </c>
      <c r="R79">
        <f t="shared" ca="1" si="22"/>
        <v>0</v>
      </c>
      <c r="S79">
        <f t="shared" ca="1" si="23"/>
        <v>-59.580000000000005</v>
      </c>
      <c r="T79" s="84">
        <f t="shared" ca="1" si="24"/>
        <v>-9.8294818163560933</v>
      </c>
      <c r="U79" s="84">
        <f ca="1">T79*Auction!$A$2</f>
        <v>-9.8294818163560933</v>
      </c>
      <c r="V79" s="5" t="str">
        <f>IF(OR(INDEX(Auction!$H$13:$H$650,MATCH(B79,Auction!$A$13:$A$650,0))&gt;0,IFERROR(INDEX(CheatSheet!$M$5:$M$64,MATCH(B79,CheatSheet!$J$5:$J$64,0)),"")&lt;&gt;""),"Yes","No")</f>
        <v>No</v>
      </c>
      <c r="W79" s="175"/>
      <c r="Y79" s="77">
        <f t="shared" ca="1" si="25"/>
        <v>1</v>
      </c>
      <c r="Z79" s="174">
        <f t="shared" ca="1" si="26"/>
        <v>-29.790000000000003</v>
      </c>
      <c r="AA79" t="str">
        <f t="shared" ca="1" si="28"/>
        <v>RB8</v>
      </c>
      <c r="AB79" s="174">
        <f ca="1">Z79*LeagueInfo!$H$5</f>
        <v>-9.620685774370914</v>
      </c>
      <c r="AC79" s="174">
        <f t="shared" ca="1" si="27"/>
        <v>-0.51441457126045897</v>
      </c>
    </row>
    <row r="80" spans="1:29" x14ac:dyDescent="0.35">
      <c r="A80">
        <f t="shared" si="19"/>
        <v>78</v>
      </c>
      <c r="B80" t="str">
        <f>RB_Raw!A78</f>
        <v>Eric Gray</v>
      </c>
      <c r="C80" t="s">
        <v>25</v>
      </c>
      <c r="D80">
        <f>_xlfn.IFNA(INDEX(BYEs!E:E,MATCH(B80,BYEs!D:D,0)),"N/A")</f>
        <v>24</v>
      </c>
      <c r="E80">
        <f>INDEX(BYEs!$B$2:$B$34,MATCH(F80,BYEs!$A$2:$A$34,0))</f>
        <v>11</v>
      </c>
      <c r="F80" t="str">
        <f>RB_Raw!B78</f>
        <v>NYG</v>
      </c>
      <c r="G80" s="202">
        <v>0</v>
      </c>
      <c r="H80" s="203">
        <v>0</v>
      </c>
      <c r="I80" s="202">
        <f>RB_Raw!C78</f>
        <v>41.4</v>
      </c>
      <c r="J80" s="200">
        <f>RB_Raw!D78</f>
        <v>211.9</v>
      </c>
      <c r="K80" s="203">
        <f>RB_Raw!E78</f>
        <v>1.5</v>
      </c>
      <c r="L80" s="202">
        <f>RB_Raw!F78</f>
        <v>10.8</v>
      </c>
      <c r="M80" s="200">
        <f>RB_Raw!G78</f>
        <v>73.400000000000006</v>
      </c>
      <c r="N80" s="203">
        <f>RB_Raw!H78</f>
        <v>0.2</v>
      </c>
      <c r="O80" s="200">
        <f>RB_Raw!I78</f>
        <v>0.1</v>
      </c>
      <c r="P80" s="205">
        <f t="shared" si="20"/>
        <v>43.930000000000007</v>
      </c>
      <c r="Q80" t="str">
        <f t="shared" ca="1" si="21"/>
        <v>Undrafted</v>
      </c>
      <c r="R80">
        <f t="shared" ca="1" si="22"/>
        <v>0</v>
      </c>
      <c r="S80">
        <f t="shared" ca="1" si="23"/>
        <v>-59.75</v>
      </c>
      <c r="T80" s="84">
        <f t="shared" ca="1" si="24"/>
        <v>-9.8575283405048086</v>
      </c>
      <c r="U80" s="84">
        <f ca="1">T80*Auction!$A$2</f>
        <v>-9.8575283405048086</v>
      </c>
      <c r="V80" s="5" t="str">
        <f>IF(OR(INDEX(Auction!$H$13:$H$650,MATCH(B80,Auction!$A$13:$A$650,0))&gt;0,IFERROR(INDEX(CheatSheet!$M$5:$M$64,MATCH(B80,CheatSheet!$J$5:$J$64,0)),"")&lt;&gt;""),"Yes","No")</f>
        <v>No</v>
      </c>
      <c r="W80" s="175"/>
      <c r="Y80" s="77">
        <f t="shared" ca="1" si="25"/>
        <v>1</v>
      </c>
      <c r="Z80" s="174">
        <f t="shared" ca="1" si="26"/>
        <v>-29.875</v>
      </c>
      <c r="AA80" t="str">
        <f t="shared" ca="1" si="28"/>
        <v>RB8</v>
      </c>
      <c r="AB80" s="174">
        <f ca="1">Z80*LeagueInfo!$H$5</f>
        <v>-9.6481365394203102</v>
      </c>
      <c r="AC80" s="174">
        <f t="shared" ca="1" si="27"/>
        <v>-0.51621929461804128</v>
      </c>
    </row>
    <row r="81" spans="1:29" x14ac:dyDescent="0.35">
      <c r="A81">
        <f t="shared" si="19"/>
        <v>79</v>
      </c>
      <c r="B81" t="str">
        <f>RB_Raw!A80</f>
        <v>Isaac Guerendo</v>
      </c>
      <c r="C81" t="s">
        <v>25</v>
      </c>
      <c r="D81">
        <f>_xlfn.IFNA(INDEX(BYEs!E:E,MATCH(B81,BYEs!D:D,0)),"N/A")</f>
        <v>24</v>
      </c>
      <c r="E81">
        <f>INDEX(BYEs!$B$2:$B$34,MATCH(F81,BYEs!$A$2:$A$34,0))</f>
        <v>9</v>
      </c>
      <c r="F81" t="str">
        <f>RB_Raw!B80</f>
        <v>SF</v>
      </c>
      <c r="G81" s="202">
        <v>0</v>
      </c>
      <c r="H81" s="203">
        <v>0</v>
      </c>
      <c r="I81" s="202">
        <f>RB_Raw!C80</f>
        <v>39.200000000000003</v>
      </c>
      <c r="J81" s="200">
        <f>RB_Raw!D80</f>
        <v>214.9</v>
      </c>
      <c r="K81" s="203">
        <f>RB_Raw!E80</f>
        <v>1.5</v>
      </c>
      <c r="L81" s="202">
        <f>RB_Raw!F80</f>
        <v>6.5</v>
      </c>
      <c r="M81" s="200">
        <f>RB_Raw!G80</f>
        <v>52.9</v>
      </c>
      <c r="N81" s="203">
        <f>RB_Raw!H80</f>
        <v>0.1</v>
      </c>
      <c r="O81" s="200">
        <f>RB_Raw!I80</f>
        <v>0.1</v>
      </c>
      <c r="P81" s="205">
        <f t="shared" si="20"/>
        <v>39.43</v>
      </c>
      <c r="Q81" t="str">
        <f t="shared" ca="1" si="21"/>
        <v>Undrafted</v>
      </c>
      <c r="R81">
        <f t="shared" ca="1" si="22"/>
        <v>0</v>
      </c>
      <c r="S81">
        <f t="shared" ca="1" si="23"/>
        <v>-64.25</v>
      </c>
      <c r="T81" s="84">
        <f t="shared" ca="1" si="24"/>
        <v>-10.59993633267672</v>
      </c>
      <c r="U81" s="84">
        <f ca="1">T81*Auction!$A$2</f>
        <v>-10.59993633267672</v>
      </c>
      <c r="V81" s="5" t="str">
        <f>IF(OR(INDEX(Auction!$H$13:$H$650,MATCH(B81,Auction!$A$13:$A$650,0))&gt;0,IFERROR(INDEX(CheatSheet!$M$5:$M$64,MATCH(B81,CheatSheet!$J$5:$J$64,0)),"")&lt;&gt;""),"Yes","No")</f>
        <v>No</v>
      </c>
      <c r="W81" s="175"/>
      <c r="Y81" s="77">
        <f t="shared" ca="1" si="25"/>
        <v>1</v>
      </c>
      <c r="Z81" s="174">
        <f t="shared" ca="1" si="26"/>
        <v>-32.125</v>
      </c>
      <c r="AA81" t="str">
        <f t="shared" ca="1" si="28"/>
        <v>RB8</v>
      </c>
      <c r="AB81" s="174">
        <f ca="1">Z81*LeagueInfo!$H$5</f>
        <v>-10.374774437786693</v>
      </c>
      <c r="AC81" s="174">
        <f t="shared" ca="1" si="27"/>
        <v>-0.56399138349521982</v>
      </c>
    </row>
    <row r="82" spans="1:29" x14ac:dyDescent="0.35">
      <c r="A82">
        <f t="shared" si="19"/>
        <v>80</v>
      </c>
      <c r="B82" t="str">
        <f>RB_Raw!A82</f>
        <v>Emari Demercado</v>
      </c>
      <c r="C82" t="s">
        <v>25</v>
      </c>
      <c r="D82">
        <f>_xlfn.IFNA(INDEX(BYEs!E:E,MATCH(B82,BYEs!D:D,0)),"N/A")</f>
        <v>25</v>
      </c>
      <c r="E82">
        <f>INDEX(BYEs!$B$2:$B$34,MATCH(F82,BYEs!$A$2:$A$34,0))</f>
        <v>11</v>
      </c>
      <c r="F82" t="str">
        <f>RB_Raw!B82</f>
        <v>ARI</v>
      </c>
      <c r="G82" s="202">
        <v>0</v>
      </c>
      <c r="H82" s="203">
        <v>0</v>
      </c>
      <c r="I82" s="202">
        <f>RB_Raw!C82</f>
        <v>34.299999999999997</v>
      </c>
      <c r="J82" s="200">
        <f>RB_Raw!D82</f>
        <v>149.19999999999999</v>
      </c>
      <c r="K82" s="203">
        <f>RB_Raw!E82</f>
        <v>1.1000000000000001</v>
      </c>
      <c r="L82" s="202">
        <f>RB_Raw!F82</f>
        <v>13.4</v>
      </c>
      <c r="M82" s="200">
        <f>RB_Raw!G82</f>
        <v>88.5</v>
      </c>
      <c r="N82" s="203">
        <f>RB_Raw!H82</f>
        <v>0.4</v>
      </c>
      <c r="O82" s="200">
        <f>RB_Raw!I82</f>
        <v>0.4</v>
      </c>
      <c r="P82" s="205">
        <f t="shared" si="20"/>
        <v>38.67</v>
      </c>
      <c r="Q82" t="str">
        <f t="shared" ca="1" si="21"/>
        <v>Undrafted</v>
      </c>
      <c r="R82">
        <f t="shared" ca="1" si="22"/>
        <v>0</v>
      </c>
      <c r="S82">
        <f t="shared" ca="1" si="23"/>
        <v>-65.010000000000005</v>
      </c>
      <c r="T82" s="84">
        <f t="shared" ca="1" si="24"/>
        <v>-10.725320793576865</v>
      </c>
      <c r="U82" s="84">
        <f ca="1">T82*Auction!$A$2</f>
        <v>-10.725320793576865</v>
      </c>
      <c r="V82" s="5" t="str">
        <f>IF(OR(INDEX(Auction!$H$13:$H$650,MATCH(B82,Auction!$A$13:$A$650,0))&gt;0,IFERROR(INDEX(CheatSheet!$M$5:$M$64,MATCH(B82,CheatSheet!$J$5:$J$64,0)),"")&lt;&gt;""),"Yes","No")</f>
        <v>No</v>
      </c>
      <c r="W82" s="175"/>
      <c r="Y82" s="77">
        <f t="shared" ca="1" si="25"/>
        <v>1</v>
      </c>
      <c r="Z82" s="174">
        <f t="shared" ca="1" si="26"/>
        <v>-32.505000000000003</v>
      </c>
      <c r="AA82" t="str">
        <f t="shared" ca="1" si="28"/>
        <v>RB8</v>
      </c>
      <c r="AB82" s="174">
        <f ca="1">Z82*LeagueInfo!$H$5</f>
        <v>-10.49749550506635</v>
      </c>
      <c r="AC82" s="174">
        <f t="shared" ca="1" si="27"/>
        <v>-0.57205955850558787</v>
      </c>
    </row>
    <row r="83" spans="1:29" x14ac:dyDescent="0.35">
      <c r="A83">
        <f t="shared" si="19"/>
        <v>81</v>
      </c>
      <c r="B83" t="str">
        <f>RB_Raw!A81</f>
        <v>Will Shipley</v>
      </c>
      <c r="C83" t="s">
        <v>25</v>
      </c>
      <c r="D83">
        <f>_xlfn.IFNA(INDEX(BYEs!E:E,MATCH(B83,BYEs!D:D,0)),"N/A")</f>
        <v>21</v>
      </c>
      <c r="E83">
        <f>INDEX(BYEs!$B$2:$B$34,MATCH(F83,BYEs!$A$2:$A$34,0))</f>
        <v>5</v>
      </c>
      <c r="F83" t="str">
        <f>RB_Raw!B81</f>
        <v>PHI</v>
      </c>
      <c r="G83" s="202">
        <v>0</v>
      </c>
      <c r="H83" s="203">
        <v>0</v>
      </c>
      <c r="I83" s="202">
        <f>RB_Raw!C81</f>
        <v>33.9</v>
      </c>
      <c r="J83" s="200">
        <f>RB_Raw!D81</f>
        <v>183.7</v>
      </c>
      <c r="K83" s="203">
        <f>RB_Raw!E81</f>
        <v>1.5</v>
      </c>
      <c r="L83" s="202">
        <f>RB_Raw!F81</f>
        <v>6.5</v>
      </c>
      <c r="M83" s="200">
        <f>RB_Raw!G81</f>
        <v>48.7</v>
      </c>
      <c r="N83" s="203">
        <f>RB_Raw!H81</f>
        <v>0.4</v>
      </c>
      <c r="O83" s="200">
        <f>RB_Raw!I81</f>
        <v>0.1</v>
      </c>
      <c r="P83" s="205">
        <f t="shared" si="20"/>
        <v>37.69</v>
      </c>
      <c r="Q83" t="str">
        <f t="shared" ca="1" si="21"/>
        <v>Undrafted</v>
      </c>
      <c r="R83">
        <f t="shared" ca="1" si="22"/>
        <v>0</v>
      </c>
      <c r="S83">
        <f t="shared" ca="1" si="23"/>
        <v>-65.990000000000009</v>
      </c>
      <c r="T83" s="84">
        <f t="shared" ca="1" si="24"/>
        <v>-10.887000756316526</v>
      </c>
      <c r="U83" s="84">
        <f ca="1">T83*Auction!$A$2</f>
        <v>-10.887000756316526</v>
      </c>
      <c r="V83" s="5" t="str">
        <f>IF(OR(INDEX(Auction!$H$13:$H$650,MATCH(B83,Auction!$A$13:$A$650,0))&gt;0,IFERROR(INDEX(CheatSheet!$M$5:$M$64,MATCH(B83,CheatSheet!$J$5:$J$64,0)),"")&lt;&gt;""),"Yes","No")</f>
        <v>No</v>
      </c>
      <c r="W83" s="175"/>
      <c r="Y83" s="77">
        <f t="shared" ca="1" si="25"/>
        <v>1</v>
      </c>
      <c r="Z83" s="174">
        <f t="shared" ca="1" si="26"/>
        <v>-32.995000000000005</v>
      </c>
      <c r="AA83" t="str">
        <f t="shared" ca="1" si="28"/>
        <v>RB8</v>
      </c>
      <c r="AB83" s="174">
        <f ca="1">Z83*LeagueInfo!$H$5</f>
        <v>-10.655741091821696</v>
      </c>
      <c r="AC83" s="174">
        <f t="shared" ca="1" si="27"/>
        <v>-0.58246325786106234</v>
      </c>
    </row>
    <row r="84" spans="1:29" x14ac:dyDescent="0.35">
      <c r="A84">
        <f t="shared" si="19"/>
        <v>82</v>
      </c>
      <c r="B84" t="str">
        <f>RB_Raw!A83</f>
        <v>Cordarrelle Patterson</v>
      </c>
      <c r="C84" t="s">
        <v>25</v>
      </c>
      <c r="D84">
        <f>_xlfn.IFNA(INDEX(BYEs!E:E,MATCH(B84,BYEs!D:D,0)),"N/A")</f>
        <v>33</v>
      </c>
      <c r="E84">
        <f>INDEX(BYEs!$B$2:$B$34,MATCH(F84,BYEs!$A$2:$A$34,0))</f>
        <v>9</v>
      </c>
      <c r="F84" t="str">
        <f>RB_Raw!B83</f>
        <v>PIT</v>
      </c>
      <c r="G84" s="202">
        <v>0</v>
      </c>
      <c r="H84" s="203">
        <v>0</v>
      </c>
      <c r="I84" s="202">
        <f>RB_Raw!C83</f>
        <v>36</v>
      </c>
      <c r="J84" s="200">
        <f>RB_Raw!D83</f>
        <v>152</v>
      </c>
      <c r="K84" s="203">
        <f>RB_Raw!E83</f>
        <v>1.1000000000000001</v>
      </c>
      <c r="L84" s="202">
        <f>RB_Raw!F83</f>
        <v>10.199999999999999</v>
      </c>
      <c r="M84" s="200">
        <f>RB_Raw!G83</f>
        <v>77.3</v>
      </c>
      <c r="N84" s="203">
        <f>RB_Raw!H83</f>
        <v>0.3</v>
      </c>
      <c r="O84" s="200">
        <f>RB_Raw!I83</f>
        <v>0.1</v>
      </c>
      <c r="P84" s="205">
        <f t="shared" si="20"/>
        <v>36.22999999999999</v>
      </c>
      <c r="Q84" t="str">
        <f t="shared" ca="1" si="21"/>
        <v>Undrafted</v>
      </c>
      <c r="R84">
        <f t="shared" ca="1" si="22"/>
        <v>0</v>
      </c>
      <c r="S84">
        <f t="shared" ca="1" si="23"/>
        <v>-67.450000000000017</v>
      </c>
      <c r="T84" s="84">
        <f t="shared" ca="1" si="24"/>
        <v>-11.127870904887859</v>
      </c>
      <c r="U84" s="84">
        <f ca="1">T84*Auction!$A$2</f>
        <v>-11.127870904887859</v>
      </c>
      <c r="V84" s="5" t="str">
        <f>IF(OR(INDEX(Auction!$H$13:$H$650,MATCH(B84,Auction!$A$13:$A$650,0))&gt;0,IFERROR(INDEX(CheatSheet!$M$5:$M$64,MATCH(B84,CheatSheet!$J$5:$J$64,0)),"")&lt;&gt;""),"Yes","No")</f>
        <v>No</v>
      </c>
      <c r="W84" s="175"/>
      <c r="Y84" s="77">
        <f t="shared" ca="1" si="25"/>
        <v>1</v>
      </c>
      <c r="Z84" s="174">
        <f t="shared" ca="1" si="26"/>
        <v>-33.725000000000009</v>
      </c>
      <c r="AA84" t="str">
        <f t="shared" ca="1" si="28"/>
        <v>RB8</v>
      </c>
      <c r="AB84" s="174">
        <f ca="1">Z84*LeagueInfo!$H$5</f>
        <v>-10.891494721069456</v>
      </c>
      <c r="AC84" s="174">
        <f t="shared" ca="1" si="27"/>
        <v>-0.59796264669676924</v>
      </c>
    </row>
    <row r="85" spans="1:29" x14ac:dyDescent="0.35">
      <c r="A85">
        <f t="shared" si="19"/>
        <v>83</v>
      </c>
      <c r="B85" t="str">
        <f>RB_Raw!A85</f>
        <v>Evan Hull</v>
      </c>
      <c r="C85" t="s">
        <v>25</v>
      </c>
      <c r="D85">
        <f>_xlfn.IFNA(INDEX(BYEs!E:E,MATCH(B85,BYEs!D:D,0)),"N/A")</f>
        <v>23</v>
      </c>
      <c r="E85">
        <f>INDEX(BYEs!$B$2:$B$34,MATCH(F85,BYEs!$A$2:$A$34,0))</f>
        <v>14</v>
      </c>
      <c r="F85" t="str">
        <f>RB_Raw!B85</f>
        <v>IND</v>
      </c>
      <c r="G85" s="202">
        <v>0</v>
      </c>
      <c r="H85" s="203">
        <v>0</v>
      </c>
      <c r="I85" s="202">
        <f>RB_Raw!C85</f>
        <v>0</v>
      </c>
      <c r="J85" s="200">
        <f>RB_Raw!D85</f>
        <v>134</v>
      </c>
      <c r="K85" s="203">
        <f>RB_Raw!E85</f>
        <v>1</v>
      </c>
      <c r="L85" s="202">
        <f>RB_Raw!F85</f>
        <v>8</v>
      </c>
      <c r="M85" s="200">
        <f>RB_Raw!G85</f>
        <v>59</v>
      </c>
      <c r="N85" s="203">
        <f>RB_Raw!H85</f>
        <v>1</v>
      </c>
      <c r="O85" s="200">
        <f>RB_Raw!I85</f>
        <v>0</v>
      </c>
      <c r="P85" s="205">
        <f t="shared" si="20"/>
        <v>35.299999999999997</v>
      </c>
      <c r="Q85" t="str">
        <f t="shared" ca="1" si="21"/>
        <v>Undrafted</v>
      </c>
      <c r="R85">
        <f t="shared" ca="1" si="22"/>
        <v>0</v>
      </c>
      <c r="S85">
        <f t="shared" ca="1" si="23"/>
        <v>-68.38000000000001</v>
      </c>
      <c r="T85" s="84">
        <f t="shared" ca="1" si="24"/>
        <v>-11.281301889936719</v>
      </c>
      <c r="U85" s="84">
        <f ca="1">T85*Auction!$A$2</f>
        <v>-11.281301889936719</v>
      </c>
      <c r="V85" s="5" t="str">
        <f>IF(OR(INDEX(Auction!$H$13:$H$650,MATCH(B85,Auction!$A$13:$A$650,0))&gt;0,IFERROR(INDEX(CheatSheet!$M$5:$M$64,MATCH(B85,CheatSheet!$J$5:$J$64,0)),"")&lt;&gt;""),"Yes","No")</f>
        <v>No</v>
      </c>
      <c r="W85" s="175"/>
      <c r="Y85" s="77">
        <f t="shared" ca="1" si="25"/>
        <v>1</v>
      </c>
      <c r="Z85" s="174">
        <f t="shared" ca="1" si="26"/>
        <v>-34.190000000000005</v>
      </c>
      <c r="AA85" t="str">
        <f t="shared" ca="1" si="28"/>
        <v>RB8</v>
      </c>
      <c r="AB85" s="174">
        <f ca="1">Z85*LeagueInfo!$H$5</f>
        <v>-11.041666553398509</v>
      </c>
      <c r="AC85" s="174">
        <f t="shared" ca="1" si="27"/>
        <v>-0.60783554506471937</v>
      </c>
    </row>
    <row r="86" spans="1:29" x14ac:dyDescent="0.35">
      <c r="A86">
        <f t="shared" si="19"/>
        <v>84</v>
      </c>
      <c r="B86" t="str">
        <f>RB_Raw!A84</f>
        <v>Pierre Strong Jr.</v>
      </c>
      <c r="C86" t="s">
        <v>25</v>
      </c>
      <c r="D86">
        <f>_xlfn.IFNA(INDEX(BYEs!E:E,MATCH(B86,BYEs!D:D,0)),"N/A")</f>
        <v>25</v>
      </c>
      <c r="E86">
        <f>INDEX(BYEs!$B$2:$B$34,MATCH(F86,BYEs!$A$2:$A$34,0))</f>
        <v>10</v>
      </c>
      <c r="F86" t="str">
        <f>RB_Raw!B84</f>
        <v>CLE</v>
      </c>
      <c r="G86" s="202">
        <v>0</v>
      </c>
      <c r="H86" s="203">
        <v>0</v>
      </c>
      <c r="I86" s="202">
        <f>RB_Raw!C84</f>
        <v>51.1</v>
      </c>
      <c r="J86" s="200">
        <f>RB_Raw!D84</f>
        <v>223.1</v>
      </c>
      <c r="K86" s="203">
        <f>RB_Raw!E84</f>
        <v>1.2</v>
      </c>
      <c r="L86" s="202">
        <f>RB_Raw!F84</f>
        <v>5.3</v>
      </c>
      <c r="M86" s="200">
        <f>RB_Raw!G84</f>
        <v>40.799999999999997</v>
      </c>
      <c r="N86" s="203">
        <f>RB_Raw!H84</f>
        <v>0.1</v>
      </c>
      <c r="O86" s="200">
        <f>RB_Raw!I84</f>
        <v>1.4</v>
      </c>
      <c r="P86" s="205">
        <f t="shared" si="20"/>
        <v>34.040000000000006</v>
      </c>
      <c r="Q86" t="str">
        <f t="shared" ca="1" si="21"/>
        <v>Undrafted</v>
      </c>
      <c r="R86">
        <f t="shared" ca="1" si="22"/>
        <v>0</v>
      </c>
      <c r="S86">
        <f t="shared" ca="1" si="23"/>
        <v>-69.64</v>
      </c>
      <c r="T86" s="84">
        <f t="shared" ca="1" si="24"/>
        <v>-11.489176127744852</v>
      </c>
      <c r="U86" s="84">
        <f ca="1">T86*Auction!$A$2</f>
        <v>-11.489176127744852</v>
      </c>
      <c r="V86" s="5" t="str">
        <f>IF(OR(INDEX(Auction!$H$13:$H$650,MATCH(B86,Auction!$A$13:$A$650,0))&gt;0,IFERROR(INDEX(CheatSheet!$M$5:$M$64,MATCH(B86,CheatSheet!$J$5:$J$64,0)),"")&lt;&gt;""),"Yes","No")</f>
        <v>No</v>
      </c>
      <c r="W86" s="175"/>
      <c r="Y86" s="77">
        <f t="shared" ca="1" si="25"/>
        <v>1</v>
      </c>
      <c r="Z86" s="174">
        <f t="shared" ca="1" si="26"/>
        <v>-34.82</v>
      </c>
      <c r="AA86" t="str">
        <f t="shared" ca="1" si="28"/>
        <v>RB8</v>
      </c>
      <c r="AB86" s="174">
        <f ca="1">Z86*LeagueInfo!$H$5</f>
        <v>-11.245125164941093</v>
      </c>
      <c r="AC86" s="174">
        <f t="shared" ca="1" si="27"/>
        <v>-0.62121172995032936</v>
      </c>
    </row>
    <row r="87" spans="1:29" x14ac:dyDescent="0.35">
      <c r="A87">
        <f t="shared" si="19"/>
        <v>85</v>
      </c>
      <c r="B87" t="str">
        <f>RB_Raw!A86</f>
        <v>Deuce Vaughn</v>
      </c>
      <c r="C87" t="s">
        <v>25</v>
      </c>
      <c r="D87">
        <f>_xlfn.IFNA(INDEX(BYEs!E:E,MATCH(B87,BYEs!D:D,0)),"N/A")</f>
        <v>22</v>
      </c>
      <c r="E87">
        <f>INDEX(BYEs!$B$2:$B$34,MATCH(F87,BYEs!$A$2:$A$34,0))</f>
        <v>7</v>
      </c>
      <c r="F87" t="str">
        <f>RB_Raw!B86</f>
        <v>DAL</v>
      </c>
      <c r="G87" s="202">
        <v>0</v>
      </c>
      <c r="H87" s="203">
        <v>0</v>
      </c>
      <c r="I87" s="202">
        <f>RB_Raw!C86</f>
        <v>40</v>
      </c>
      <c r="J87" s="200">
        <f>RB_Raw!D86</f>
        <v>147.69999999999999</v>
      </c>
      <c r="K87" s="203">
        <f>RB_Raw!E86</f>
        <v>1.2</v>
      </c>
      <c r="L87" s="202">
        <f>RB_Raw!F86</f>
        <v>9.1</v>
      </c>
      <c r="M87" s="200">
        <f>RB_Raw!G86</f>
        <v>68.5</v>
      </c>
      <c r="N87" s="203">
        <f>RB_Raw!H86</f>
        <v>0.2</v>
      </c>
      <c r="O87" s="200">
        <f>RB_Raw!I86</f>
        <v>0.4</v>
      </c>
      <c r="P87" s="205">
        <f t="shared" si="20"/>
        <v>33.770000000000003</v>
      </c>
      <c r="Q87" t="str">
        <f t="shared" ca="1" si="21"/>
        <v>Undrafted</v>
      </c>
      <c r="R87">
        <f t="shared" ca="1" si="22"/>
        <v>0</v>
      </c>
      <c r="S87">
        <f t="shared" ca="1" si="23"/>
        <v>-69.91</v>
      </c>
      <c r="T87" s="84">
        <f t="shared" ca="1" si="24"/>
        <v>-11.533720607275166</v>
      </c>
      <c r="U87" s="84">
        <f ca="1">T87*Auction!$A$2</f>
        <v>-11.533720607275166</v>
      </c>
      <c r="V87" s="5" t="str">
        <f>IF(OR(INDEX(Auction!$H$13:$H$650,MATCH(B87,Auction!$A$13:$A$650,0))&gt;0,IFERROR(INDEX(CheatSheet!$M$5:$M$64,MATCH(B87,CheatSheet!$J$5:$J$64,0)),"")&lt;&gt;""),"Yes","No")</f>
        <v>No</v>
      </c>
      <c r="W87" s="175"/>
      <c r="Y87" s="77">
        <f t="shared" ca="1" si="25"/>
        <v>1</v>
      </c>
      <c r="Z87" s="174">
        <f t="shared" ca="1" si="26"/>
        <v>-34.954999999999998</v>
      </c>
      <c r="AA87" t="str">
        <f t="shared" ca="1" si="28"/>
        <v>RB8</v>
      </c>
      <c r="AB87" s="174">
        <f ca="1">Z87*LeagueInfo!$H$5</f>
        <v>-11.288723438843077</v>
      </c>
      <c r="AC87" s="174">
        <f t="shared" ca="1" si="27"/>
        <v>-0.62407805528296001</v>
      </c>
    </row>
    <row r="88" spans="1:29" x14ac:dyDescent="0.35">
      <c r="A88">
        <f t="shared" si="19"/>
        <v>86</v>
      </c>
      <c r="B88" t="str">
        <f>RB_Raw!A88</f>
        <v>Dylan Laube</v>
      </c>
      <c r="C88" t="s">
        <v>25</v>
      </c>
      <c r="D88">
        <f>_xlfn.IFNA(INDEX(BYEs!E:E,MATCH(B88,BYEs!D:D,0)),"N/A")</f>
        <v>24</v>
      </c>
      <c r="E88">
        <f>INDEX(BYEs!$B$2:$B$34,MATCH(F88,BYEs!$A$2:$A$34,0))</f>
        <v>10</v>
      </c>
      <c r="F88" t="str">
        <f>RB_Raw!B88</f>
        <v>LV</v>
      </c>
      <c r="G88" s="202">
        <v>0</v>
      </c>
      <c r="H88" s="203">
        <v>0</v>
      </c>
      <c r="I88" s="202">
        <f>RB_Raw!C88</f>
        <v>26.9</v>
      </c>
      <c r="J88" s="200">
        <f>RB_Raw!D88</f>
        <v>145.19999999999999</v>
      </c>
      <c r="K88" s="203">
        <f>RB_Raw!E88</f>
        <v>1.1000000000000001</v>
      </c>
      <c r="L88" s="202">
        <f>RB_Raw!F88</f>
        <v>7.8</v>
      </c>
      <c r="M88" s="200">
        <f>RB_Raw!G88</f>
        <v>57.3</v>
      </c>
      <c r="N88" s="203">
        <f>RB_Raw!H88</f>
        <v>0.1</v>
      </c>
      <c r="O88" s="200">
        <f>RB_Raw!I88</f>
        <v>0</v>
      </c>
      <c r="P88" s="205">
        <f t="shared" si="20"/>
        <v>31.35</v>
      </c>
      <c r="Q88" t="str">
        <f t="shared" ca="1" si="21"/>
        <v>Undrafted</v>
      </c>
      <c r="R88">
        <f t="shared" ca="1" si="22"/>
        <v>0</v>
      </c>
      <c r="S88">
        <f t="shared" ca="1" si="23"/>
        <v>-72.330000000000013</v>
      </c>
      <c r="T88" s="84">
        <f t="shared" ca="1" si="24"/>
        <v>-11.932971127509839</v>
      </c>
      <c r="U88" s="84">
        <f ca="1">T88*Auction!$A$2</f>
        <v>-11.932971127509839</v>
      </c>
      <c r="V88" s="5" t="str">
        <f>IF(OR(INDEX(Auction!$H$13:$H$650,MATCH(B88,Auction!$A$13:$A$650,0))&gt;0,IFERROR(INDEX(CheatSheet!$M$5:$M$64,MATCH(B88,CheatSheet!$J$5:$J$64,0)),"")&lt;&gt;""),"Yes","No")</f>
        <v>No</v>
      </c>
      <c r="W88" s="175"/>
      <c r="Y88" s="77">
        <f t="shared" ca="1" si="25"/>
        <v>1</v>
      </c>
      <c r="Z88" s="174">
        <f t="shared" ca="1" si="26"/>
        <v>-36.165000000000006</v>
      </c>
      <c r="AA88" t="str">
        <f t="shared" ca="1" si="28"/>
        <v>RB8</v>
      </c>
      <c r="AB88" s="174">
        <f ca="1">Z88*LeagueInfo!$H$5</f>
        <v>-11.679493153075667</v>
      </c>
      <c r="AC88" s="174">
        <f t="shared" ca="1" si="27"/>
        <v>-0.64976882307913175</v>
      </c>
    </row>
    <row r="89" spans="1:29" x14ac:dyDescent="0.35">
      <c r="A89">
        <f t="shared" si="19"/>
        <v>87</v>
      </c>
      <c r="B89" t="str">
        <f>RB_Raw!A87</f>
        <v>Isaiah Davis</v>
      </c>
      <c r="C89" t="s">
        <v>25</v>
      </c>
      <c r="D89">
        <f>_xlfn.IFNA(INDEX(BYEs!E:E,MATCH(B89,BYEs!D:D,0)),"N/A")</f>
        <v>22</v>
      </c>
      <c r="E89">
        <f>INDEX(BYEs!$B$2:$B$34,MATCH(F89,BYEs!$A$2:$A$34,0))</f>
        <v>12</v>
      </c>
      <c r="F89" t="str">
        <f>RB_Raw!B87</f>
        <v>NYJ</v>
      </c>
      <c r="G89" s="202">
        <v>0</v>
      </c>
      <c r="H89" s="203">
        <v>0</v>
      </c>
      <c r="I89" s="202">
        <f>RB_Raw!C87</f>
        <v>45.7</v>
      </c>
      <c r="J89" s="200">
        <f>RB_Raw!D87</f>
        <v>163.80000000000001</v>
      </c>
      <c r="K89" s="203">
        <f>RB_Raw!E87</f>
        <v>1.3</v>
      </c>
      <c r="L89" s="202">
        <f>RB_Raw!F87</f>
        <v>5.3</v>
      </c>
      <c r="M89" s="200">
        <f>RB_Raw!G87</f>
        <v>39.1</v>
      </c>
      <c r="N89" s="203">
        <f>RB_Raw!H87</f>
        <v>0.1</v>
      </c>
      <c r="O89" s="200">
        <f>RB_Raw!I87</f>
        <v>0.1</v>
      </c>
      <c r="P89" s="205">
        <f t="shared" si="20"/>
        <v>31.140000000000004</v>
      </c>
      <c r="Q89" t="str">
        <f t="shared" ca="1" si="21"/>
        <v>Undrafted</v>
      </c>
      <c r="R89">
        <f t="shared" ca="1" si="22"/>
        <v>0</v>
      </c>
      <c r="S89">
        <f t="shared" ca="1" si="23"/>
        <v>-72.540000000000006</v>
      </c>
      <c r="T89" s="84">
        <f t="shared" ca="1" si="24"/>
        <v>-11.967616833811194</v>
      </c>
      <c r="U89" s="84">
        <f ca="1">T89*Auction!$A$2</f>
        <v>-11.967616833811194</v>
      </c>
      <c r="V89" s="5" t="str">
        <f>IF(OR(INDEX(Auction!$H$13:$H$650,MATCH(B89,Auction!$A$13:$A$650,0))&gt;0,IFERROR(INDEX(CheatSheet!$M$5:$M$64,MATCH(B89,CheatSheet!$J$5:$J$64,0)),"")&lt;&gt;""),"Yes","No")</f>
        <v>No</v>
      </c>
      <c r="W89" s="175"/>
      <c r="Y89" s="77">
        <f t="shared" ca="1" si="25"/>
        <v>1</v>
      </c>
      <c r="Z89" s="174">
        <f t="shared" ca="1" si="26"/>
        <v>-36.270000000000003</v>
      </c>
      <c r="AA89" t="str">
        <f t="shared" ca="1" si="28"/>
        <v>RB8</v>
      </c>
      <c r="AB89" s="174">
        <f ca="1">Z89*LeagueInfo!$H$5</f>
        <v>-11.713402921666098</v>
      </c>
      <c r="AC89" s="174">
        <f t="shared" ca="1" si="27"/>
        <v>-0.65199818722673331</v>
      </c>
    </row>
    <row r="90" spans="1:29" x14ac:dyDescent="0.35">
      <c r="A90">
        <f t="shared" si="19"/>
        <v>88</v>
      </c>
      <c r="B90" t="str">
        <f>RB_Raw!A94</f>
        <v>Kyle Juszczyk</v>
      </c>
      <c r="C90" t="s">
        <v>25</v>
      </c>
      <c r="D90" t="str">
        <f>_xlfn.IFNA(INDEX(BYEs!E:E,MATCH(B90,BYEs!D:D,0)),"N/A")</f>
        <v>N/A</v>
      </c>
      <c r="E90">
        <f>INDEX(BYEs!$B$2:$B$34,MATCH(F90,BYEs!$A$2:$A$34,0))</f>
        <v>9</v>
      </c>
      <c r="F90" t="str">
        <f>RB_Raw!B94</f>
        <v>SF</v>
      </c>
      <c r="G90" s="202">
        <v>0</v>
      </c>
      <c r="H90" s="203">
        <v>0</v>
      </c>
      <c r="I90" s="202">
        <f>RB_Raw!C94</f>
        <v>5.6</v>
      </c>
      <c r="J90" s="200">
        <f>RB_Raw!D94</f>
        <v>20.2</v>
      </c>
      <c r="K90" s="203">
        <f>RB_Raw!E94</f>
        <v>0.1</v>
      </c>
      <c r="L90" s="202">
        <f>RB_Raw!F94</f>
        <v>14.9</v>
      </c>
      <c r="M90" s="200">
        <f>RB_Raw!G94</f>
        <v>142.6</v>
      </c>
      <c r="N90" s="203">
        <f>RB_Raw!H94</f>
        <v>1.1000000000000001</v>
      </c>
      <c r="O90" s="200">
        <f>RB_Raw!I94</f>
        <v>0</v>
      </c>
      <c r="P90" s="205">
        <f t="shared" si="20"/>
        <v>30.93</v>
      </c>
      <c r="Q90" t="str">
        <f t="shared" ca="1" si="21"/>
        <v>Undrafted</v>
      </c>
      <c r="R90">
        <f t="shared" ca="1" si="22"/>
        <v>0</v>
      </c>
      <c r="S90">
        <f t="shared" ca="1" si="23"/>
        <v>-72.75</v>
      </c>
      <c r="T90" s="84">
        <f t="shared" ca="1" si="24"/>
        <v>-12.00226254011255</v>
      </c>
      <c r="U90" s="84">
        <f ca="1">T90*Auction!$A$2</f>
        <v>-12.00226254011255</v>
      </c>
      <c r="V90" s="5" t="str">
        <f>IF(OR(INDEX(Auction!$H$13:$H$650,MATCH(B90,Auction!$A$13:$A$650,0))&gt;0,IFERROR(INDEX(CheatSheet!$M$5:$M$64,MATCH(B90,CheatSheet!$J$5:$J$64,0)),"")&lt;&gt;""),"Yes","No")</f>
        <v>No</v>
      </c>
      <c r="W90" s="175"/>
      <c r="Y90" s="77">
        <f t="shared" ca="1" si="25"/>
        <v>1</v>
      </c>
      <c r="Z90" s="174">
        <f t="shared" ca="1" si="26"/>
        <v>-36.375</v>
      </c>
      <c r="AA90" t="str">
        <f t="shared" ca="1" si="28"/>
        <v>RB8</v>
      </c>
      <c r="AB90" s="174">
        <f ca="1">Z90*LeagueInfo!$H$5</f>
        <v>-11.747312690256528</v>
      </c>
      <c r="AC90" s="174">
        <f t="shared" ca="1" si="27"/>
        <v>-0.65422755137433497</v>
      </c>
    </row>
    <row r="91" spans="1:29" x14ac:dyDescent="0.35">
      <c r="A91">
        <f t="shared" si="19"/>
        <v>89</v>
      </c>
      <c r="B91" t="str">
        <f>RB_Raw!A90</f>
        <v>Tyler Goodson</v>
      </c>
      <c r="C91" t="s">
        <v>25</v>
      </c>
      <c r="D91">
        <f>_xlfn.IFNA(INDEX(BYEs!E:E,MATCH(B91,BYEs!D:D,0)),"N/A")</f>
        <v>23</v>
      </c>
      <c r="E91">
        <f>INDEX(BYEs!$B$2:$B$34,MATCH(F91,BYEs!$A$2:$A$34,0))</f>
        <v>14</v>
      </c>
      <c r="F91" t="str">
        <f>RB_Raw!B90</f>
        <v>IND</v>
      </c>
      <c r="G91" s="202">
        <v>0</v>
      </c>
      <c r="H91" s="203">
        <v>0</v>
      </c>
      <c r="I91" s="202">
        <f>RB_Raw!C90</f>
        <v>25.2</v>
      </c>
      <c r="J91" s="200">
        <f>RB_Raw!D90</f>
        <v>131.1</v>
      </c>
      <c r="K91" s="203">
        <f>RB_Raw!E90</f>
        <v>0.9</v>
      </c>
      <c r="L91" s="202">
        <f>RB_Raw!F90</f>
        <v>7.5</v>
      </c>
      <c r="M91" s="200">
        <f>RB_Raw!G90</f>
        <v>54.3</v>
      </c>
      <c r="N91" s="203">
        <f>RB_Raw!H90</f>
        <v>0.4</v>
      </c>
      <c r="O91" s="200">
        <f>RB_Raw!I90</f>
        <v>0.1</v>
      </c>
      <c r="P91" s="205">
        <f t="shared" si="20"/>
        <v>29.889999999999997</v>
      </c>
      <c r="Q91" t="str">
        <f t="shared" ca="1" si="21"/>
        <v>Undrafted</v>
      </c>
      <c r="R91">
        <f t="shared" ca="1" si="22"/>
        <v>0</v>
      </c>
      <c r="S91">
        <f t="shared" ca="1" si="23"/>
        <v>-73.790000000000006</v>
      </c>
      <c r="T91" s="84">
        <f t="shared" ca="1" si="24"/>
        <v>-12.17384127608117</v>
      </c>
      <c r="U91" s="84">
        <f ca="1">T91*Auction!$A$2</f>
        <v>-12.17384127608117</v>
      </c>
      <c r="V91" s="5" t="str">
        <f>IF(OR(INDEX(Auction!$H$13:$H$650,MATCH(B91,Auction!$A$13:$A$650,0))&gt;0,IFERROR(INDEX(CheatSheet!$M$5:$M$64,MATCH(B91,CheatSheet!$J$5:$J$64,0)),"")&lt;&gt;""),"Yes","No")</f>
        <v>No</v>
      </c>
      <c r="W91" s="175"/>
      <c r="Y91" s="77">
        <f t="shared" ca="1" si="25"/>
        <v>1</v>
      </c>
      <c r="Z91" s="174">
        <f t="shared" ca="1" si="26"/>
        <v>-36.895000000000003</v>
      </c>
      <c r="AA91" t="str">
        <f t="shared" ca="1" si="28"/>
        <v>RB8</v>
      </c>
      <c r="AB91" s="174">
        <f ca="1">Z91*LeagueInfo!$H$5</f>
        <v>-11.915246782323427</v>
      </c>
      <c r="AC91" s="174">
        <f t="shared" ca="1" si="27"/>
        <v>-0.66526821191483854</v>
      </c>
    </row>
    <row r="92" spans="1:29" x14ac:dyDescent="0.35">
      <c r="A92">
        <f t="shared" si="19"/>
        <v>90</v>
      </c>
      <c r="B92" t="str">
        <f>RB_Raw!A89</f>
        <v>Cam Akers</v>
      </c>
      <c r="C92" t="s">
        <v>25</v>
      </c>
      <c r="D92">
        <f>_xlfn.IFNA(INDEX(BYEs!E:E,MATCH(B92,BYEs!D:D,0)),"N/A")</f>
        <v>25</v>
      </c>
      <c r="E92">
        <f>INDEX(BYEs!$B$2:$B$34,MATCH(F92,BYEs!$A$2:$A$34,0))</f>
        <v>14</v>
      </c>
      <c r="F92" t="str">
        <f>RB_Raw!B89</f>
        <v>HOU</v>
      </c>
      <c r="G92" s="202">
        <v>0</v>
      </c>
      <c r="H92" s="203">
        <v>0</v>
      </c>
      <c r="I92" s="202">
        <f>RB_Raw!C89</f>
        <v>41.3</v>
      </c>
      <c r="J92" s="200">
        <f>RB_Raw!D89</f>
        <v>158.5</v>
      </c>
      <c r="K92" s="203">
        <f>RB_Raw!E89</f>
        <v>1.1000000000000001</v>
      </c>
      <c r="L92" s="202">
        <f>RB_Raw!F89</f>
        <v>4.7</v>
      </c>
      <c r="M92" s="200">
        <f>RB_Raw!G89</f>
        <v>35.6</v>
      </c>
      <c r="N92" s="203">
        <f>RB_Raw!H89</f>
        <v>0.2</v>
      </c>
      <c r="O92" s="200">
        <f>RB_Raw!I89</f>
        <v>0.1</v>
      </c>
      <c r="P92" s="205">
        <f t="shared" si="20"/>
        <v>29.360000000000007</v>
      </c>
      <c r="Q92" t="str">
        <f t="shared" ca="1" si="21"/>
        <v>Undrafted</v>
      </c>
      <c r="R92">
        <f t="shared" ca="1" si="22"/>
        <v>0</v>
      </c>
      <c r="S92">
        <f t="shared" ca="1" si="23"/>
        <v>-74.319999999999993</v>
      </c>
      <c r="T92" s="84">
        <f t="shared" ca="1" si="24"/>
        <v>-12.261280439603636</v>
      </c>
      <c r="U92" s="84">
        <f ca="1">T92*Auction!$A$2</f>
        <v>-12.261280439603636</v>
      </c>
      <c r="V92" s="5" t="str">
        <f>IF(OR(INDEX(Auction!$H$13:$H$650,MATCH(B92,Auction!$A$13:$A$650,0))&gt;0,IFERROR(INDEX(CheatSheet!$M$5:$M$64,MATCH(B92,CheatSheet!$J$5:$J$64,0)),"")&lt;&gt;""),"Yes","No")</f>
        <v>No</v>
      </c>
      <c r="W92" s="175"/>
      <c r="Y92" s="77">
        <f t="shared" ca="1" si="25"/>
        <v>1</v>
      </c>
      <c r="Z92" s="174">
        <f t="shared" ca="1" si="26"/>
        <v>-37.159999999999997</v>
      </c>
      <c r="AA92" t="str">
        <f t="shared" ca="1" si="28"/>
        <v>RB8</v>
      </c>
      <c r="AB92" s="174">
        <f ca="1">Z92*LeagueInfo!$H$5</f>
        <v>-12.000828579242132</v>
      </c>
      <c r="AC92" s="174">
        <f t="shared" ca="1" si="27"/>
        <v>-0.67089470238259497</v>
      </c>
    </row>
    <row r="93" spans="1:29" x14ac:dyDescent="0.35">
      <c r="A93">
        <f t="shared" si="19"/>
        <v>91</v>
      </c>
      <c r="B93" t="str">
        <f>RB_Raw!A93</f>
        <v>Michael Carter</v>
      </c>
      <c r="C93" t="s">
        <v>25</v>
      </c>
      <c r="D93">
        <f>_xlfn.IFNA(INDEX(BYEs!E:E,MATCH(B93,BYEs!D:D,0)),"N/A")</f>
        <v>25</v>
      </c>
      <c r="E93">
        <f>INDEX(BYEs!$B$2:$B$34,MATCH(F93,BYEs!$A$2:$A$34,0))</f>
        <v>11</v>
      </c>
      <c r="F93" t="str">
        <f>RB_Raw!B93</f>
        <v>ARI</v>
      </c>
      <c r="G93" s="202">
        <v>0</v>
      </c>
      <c r="H93" s="203">
        <v>0</v>
      </c>
      <c r="I93" s="202">
        <f>RB_Raw!C93</f>
        <v>0</v>
      </c>
      <c r="J93" s="200">
        <f>RB_Raw!D93</f>
        <v>111</v>
      </c>
      <c r="K93" s="203">
        <f>RB_Raw!E93</f>
        <v>1</v>
      </c>
      <c r="L93" s="202">
        <f>RB_Raw!F93</f>
        <v>10</v>
      </c>
      <c r="M93" s="200">
        <f>RB_Raw!G93</f>
        <v>69</v>
      </c>
      <c r="N93" s="203">
        <f>RB_Raw!H93</f>
        <v>0</v>
      </c>
      <c r="O93" s="200">
        <f>RB_Raw!I93</f>
        <v>0</v>
      </c>
      <c r="P93" s="205">
        <f t="shared" si="20"/>
        <v>29</v>
      </c>
      <c r="Q93" t="str">
        <f t="shared" ca="1" si="21"/>
        <v>Undrafted</v>
      </c>
      <c r="R93">
        <f t="shared" ca="1" si="22"/>
        <v>0</v>
      </c>
      <c r="S93">
        <f t="shared" ca="1" si="23"/>
        <v>-74.680000000000007</v>
      </c>
      <c r="T93" s="84">
        <f t="shared" ca="1" si="24"/>
        <v>-12.320673078977393</v>
      </c>
      <c r="U93" s="84">
        <f ca="1">T93*Auction!$A$2</f>
        <v>-12.320673078977393</v>
      </c>
      <c r="V93" s="5" t="str">
        <f>IF(OR(INDEX(Auction!$H$13:$H$650,MATCH(B93,Auction!$A$13:$A$650,0))&gt;0,IFERROR(INDEX(CheatSheet!$M$5:$M$64,MATCH(B93,CheatSheet!$J$5:$J$64,0)),"")&lt;&gt;""),"Yes","No")</f>
        <v>No</v>
      </c>
      <c r="W93" s="175"/>
      <c r="Y93" s="77">
        <f t="shared" ca="1" si="25"/>
        <v>1</v>
      </c>
      <c r="Z93" s="174">
        <f t="shared" ca="1" si="26"/>
        <v>-37.340000000000003</v>
      </c>
      <c r="AA93" t="str">
        <f t="shared" ca="1" si="28"/>
        <v>RB8</v>
      </c>
      <c r="AB93" s="174">
        <f ca="1">Z93*LeagueInfo!$H$5</f>
        <v>-12.058959611111444</v>
      </c>
      <c r="AC93" s="174">
        <f t="shared" ca="1" si="27"/>
        <v>-0.67471646949276942</v>
      </c>
    </row>
    <row r="94" spans="1:29" x14ac:dyDescent="0.35">
      <c r="A94">
        <f t="shared" si="19"/>
        <v>92</v>
      </c>
      <c r="B94" t="str">
        <f>RB_Raw!A96</f>
        <v>Chase Edmonds</v>
      </c>
      <c r="C94" t="s">
        <v>25</v>
      </c>
      <c r="D94">
        <f>_xlfn.IFNA(INDEX(BYEs!E:E,MATCH(B94,BYEs!D:D,0)),"N/A")</f>
        <v>28</v>
      </c>
      <c r="E94">
        <f>INDEX(BYEs!$B$2:$B$34,MATCH(F94,BYEs!$A$2:$A$34,0))</f>
        <v>11</v>
      </c>
      <c r="F94" t="str">
        <f>RB_Raw!B96</f>
        <v>TB</v>
      </c>
      <c r="G94" s="202">
        <v>0</v>
      </c>
      <c r="H94" s="203">
        <v>0</v>
      </c>
      <c r="I94" s="202">
        <f>RB_Raw!C96</f>
        <v>0</v>
      </c>
      <c r="J94" s="200">
        <f>RB_Raw!D96</f>
        <v>88</v>
      </c>
      <c r="K94" s="203">
        <f>RB_Raw!E96</f>
        <v>1</v>
      </c>
      <c r="L94" s="202">
        <f>RB_Raw!F96</f>
        <v>11</v>
      </c>
      <c r="M94" s="200">
        <f>RB_Raw!G96</f>
        <v>83</v>
      </c>
      <c r="N94" s="203">
        <f>RB_Raw!H96</f>
        <v>0</v>
      </c>
      <c r="O94" s="200">
        <f>RB_Raw!I96</f>
        <v>0</v>
      </c>
      <c r="P94" s="205">
        <f t="shared" si="20"/>
        <v>28.6</v>
      </c>
      <c r="Q94" t="str">
        <f t="shared" ca="1" si="21"/>
        <v>Undrafted</v>
      </c>
      <c r="R94">
        <f t="shared" ca="1" si="22"/>
        <v>0</v>
      </c>
      <c r="S94">
        <f t="shared" ca="1" si="23"/>
        <v>-75.080000000000013</v>
      </c>
      <c r="T94" s="84">
        <f t="shared" ca="1" si="24"/>
        <v>-12.386664900503785</v>
      </c>
      <c r="U94" s="84">
        <f ca="1">T94*Auction!$A$2</f>
        <v>-12.386664900503785</v>
      </c>
      <c r="V94" s="5" t="str">
        <f>IF(OR(INDEX(Auction!$H$13:$H$650,MATCH(B94,Auction!$A$13:$A$650,0))&gt;0,IFERROR(INDEX(CheatSheet!$M$5:$M$64,MATCH(B94,CheatSheet!$J$5:$J$64,0)),"")&lt;&gt;""),"Yes","No")</f>
        <v>No</v>
      </c>
      <c r="W94" s="175"/>
      <c r="Y94" s="77">
        <f t="shared" ca="1" si="25"/>
        <v>1</v>
      </c>
      <c r="Z94" s="174">
        <f t="shared" ca="1" si="26"/>
        <v>-37.540000000000006</v>
      </c>
      <c r="AA94" t="str">
        <f t="shared" ca="1" si="28"/>
        <v>RB8</v>
      </c>
      <c r="AB94" s="174">
        <f ca="1">Z94*LeagueInfo!$H$5</f>
        <v>-12.123549646521791</v>
      </c>
      <c r="AC94" s="174">
        <f t="shared" ca="1" si="27"/>
        <v>-0.67896287739296313</v>
      </c>
    </row>
    <row r="95" spans="1:29" x14ac:dyDescent="0.35">
      <c r="A95">
        <f t="shared" si="19"/>
        <v>93</v>
      </c>
      <c r="B95" t="str">
        <f>RB_Raw!A91</f>
        <v>Jase McClellan</v>
      </c>
      <c r="C95" t="s">
        <v>25</v>
      </c>
      <c r="D95">
        <f>_xlfn.IFNA(INDEX(BYEs!E:E,MATCH(B95,BYEs!D:D,0)),"N/A")</f>
        <v>22</v>
      </c>
      <c r="E95">
        <f>INDEX(BYEs!$B$2:$B$34,MATCH(F95,BYEs!$A$2:$A$34,0))</f>
        <v>12</v>
      </c>
      <c r="F95" t="str">
        <f>RB_Raw!B91</f>
        <v>ATL</v>
      </c>
      <c r="G95" s="202">
        <v>0</v>
      </c>
      <c r="H95" s="203">
        <v>0</v>
      </c>
      <c r="I95" s="202">
        <f>RB_Raw!C91</f>
        <v>31.2</v>
      </c>
      <c r="J95" s="200">
        <f>RB_Raw!D91</f>
        <v>129.19999999999999</v>
      </c>
      <c r="K95" s="203">
        <f>RB_Raw!E91</f>
        <v>1</v>
      </c>
      <c r="L95" s="202">
        <f>RB_Raw!F91</f>
        <v>5.4</v>
      </c>
      <c r="M95" s="200">
        <f>RB_Raw!G91</f>
        <v>43.7</v>
      </c>
      <c r="N95" s="203">
        <f>RB_Raw!H91</f>
        <v>0.4</v>
      </c>
      <c r="O95" s="200">
        <f>RB_Raw!I91</f>
        <v>0</v>
      </c>
      <c r="P95" s="205">
        <f t="shared" si="20"/>
        <v>28.39</v>
      </c>
      <c r="Q95" t="str">
        <f t="shared" ca="1" si="21"/>
        <v>Undrafted</v>
      </c>
      <c r="R95">
        <f t="shared" ca="1" si="22"/>
        <v>0</v>
      </c>
      <c r="S95">
        <f t="shared" ca="1" si="23"/>
        <v>-75.290000000000006</v>
      </c>
      <c r="T95" s="84">
        <f t="shared" ca="1" si="24"/>
        <v>-12.42131060680514</v>
      </c>
      <c r="U95" s="84">
        <f ca="1">T95*Auction!$A$2</f>
        <v>-12.42131060680514</v>
      </c>
      <c r="V95" s="5" t="str">
        <f>IF(OR(INDEX(Auction!$H$13:$H$650,MATCH(B95,Auction!$A$13:$A$650,0))&gt;0,IFERROR(INDEX(CheatSheet!$M$5:$M$64,MATCH(B95,CheatSheet!$J$5:$J$64,0)),"")&lt;&gt;""),"Yes","No")</f>
        <v>No</v>
      </c>
      <c r="W95" s="175"/>
      <c r="Y95" s="77">
        <f t="shared" ca="1" si="25"/>
        <v>1</v>
      </c>
      <c r="Z95" s="174">
        <f t="shared" ca="1" si="26"/>
        <v>-37.645000000000003</v>
      </c>
      <c r="AA95" t="str">
        <f t="shared" ca="1" si="28"/>
        <v>RB8</v>
      </c>
      <c r="AB95" s="174">
        <f ca="1">Z95*LeagueInfo!$H$5</f>
        <v>-12.157459415112221</v>
      </c>
      <c r="AC95" s="174">
        <f t="shared" ca="1" si="27"/>
        <v>-0.68119224154056468</v>
      </c>
    </row>
    <row r="96" spans="1:29" x14ac:dyDescent="0.35">
      <c r="A96">
        <f t="shared" si="19"/>
        <v>94</v>
      </c>
      <c r="B96" t="str">
        <f>RB_Raw!A92</f>
        <v>Rasheen Ali</v>
      </c>
      <c r="C96" t="s">
        <v>25</v>
      </c>
      <c r="D96">
        <f>_xlfn.IFNA(INDEX(BYEs!E:E,MATCH(B96,BYEs!D:D,0)),"N/A")</f>
        <v>23</v>
      </c>
      <c r="E96">
        <f>INDEX(BYEs!$B$2:$B$34,MATCH(F96,BYEs!$A$2:$A$34,0))</f>
        <v>14</v>
      </c>
      <c r="F96" t="str">
        <f>RB_Raw!B92</f>
        <v>BAL</v>
      </c>
      <c r="G96" s="202">
        <v>0</v>
      </c>
      <c r="H96" s="203">
        <v>0</v>
      </c>
      <c r="I96" s="202">
        <f>RB_Raw!C92</f>
        <v>26.4</v>
      </c>
      <c r="J96" s="200">
        <f>RB_Raw!D92</f>
        <v>149.1</v>
      </c>
      <c r="K96" s="203">
        <f>RB_Raw!E92</f>
        <v>1.2</v>
      </c>
      <c r="L96" s="202">
        <f>RB_Raw!F92</f>
        <v>3.9</v>
      </c>
      <c r="M96" s="200">
        <f>RB_Raw!G92</f>
        <v>31</v>
      </c>
      <c r="N96" s="203">
        <f>RB_Raw!H92</f>
        <v>0.1</v>
      </c>
      <c r="O96" s="200">
        <f>RB_Raw!I92</f>
        <v>0</v>
      </c>
      <c r="P96" s="205">
        <f t="shared" si="20"/>
        <v>27.76</v>
      </c>
      <c r="Q96" t="str">
        <f t="shared" ca="1" si="21"/>
        <v>Undrafted</v>
      </c>
      <c r="R96">
        <f t="shared" ca="1" si="22"/>
        <v>0</v>
      </c>
      <c r="S96">
        <f t="shared" ca="1" si="23"/>
        <v>-75.92</v>
      </c>
      <c r="T96" s="84">
        <f t="shared" ca="1" si="24"/>
        <v>-12.525247725709207</v>
      </c>
      <c r="U96" s="84">
        <f ca="1">T96*Auction!$A$2</f>
        <v>-12.525247725709207</v>
      </c>
      <c r="V96" s="5" t="str">
        <f>IF(OR(INDEX(Auction!$H$13:$H$650,MATCH(B96,Auction!$A$13:$A$650,0))&gt;0,IFERROR(INDEX(CheatSheet!$M$5:$M$64,MATCH(B96,CheatSheet!$J$5:$J$64,0)),"")&lt;&gt;""),"Yes","No")</f>
        <v>No</v>
      </c>
      <c r="W96" s="175"/>
      <c r="Y96" s="77">
        <f t="shared" ca="1" si="25"/>
        <v>1</v>
      </c>
      <c r="Z96" s="174">
        <f t="shared" ca="1" si="26"/>
        <v>-37.96</v>
      </c>
      <c r="AA96" t="str">
        <f t="shared" ca="1" si="28"/>
        <v>RB8</v>
      </c>
      <c r="AB96" s="174">
        <f ca="1">Z96*LeagueInfo!$H$5</f>
        <v>-12.259188720883513</v>
      </c>
      <c r="AC96" s="174">
        <f t="shared" ca="1" si="27"/>
        <v>-0.68788033398336967</v>
      </c>
    </row>
    <row r="97" spans="1:29" x14ac:dyDescent="0.35">
      <c r="A97">
        <f t="shared" si="19"/>
        <v>95</v>
      </c>
      <c r="B97" t="str">
        <f>RB_Raw!A95</f>
        <v>Kevin Harris</v>
      </c>
      <c r="C97" t="s">
        <v>25</v>
      </c>
      <c r="D97">
        <f>_xlfn.IFNA(INDEX(BYEs!E:E,MATCH(B97,BYEs!D:D,0)),"N/A")</f>
        <v>23</v>
      </c>
      <c r="E97">
        <f>INDEX(BYEs!$B$2:$B$34,MATCH(F97,BYEs!$A$2:$A$34,0))</f>
        <v>14</v>
      </c>
      <c r="F97" t="str">
        <f>RB_Raw!B95</f>
        <v>NE</v>
      </c>
      <c r="G97" s="202">
        <v>0</v>
      </c>
      <c r="H97" s="203">
        <v>0</v>
      </c>
      <c r="I97" s="202">
        <f>RB_Raw!C95</f>
        <v>4.5</v>
      </c>
      <c r="J97" s="200">
        <f>RB_Raw!D95</f>
        <v>134.1</v>
      </c>
      <c r="K97" s="203">
        <f>RB_Raw!E95</f>
        <v>1.1000000000000001</v>
      </c>
      <c r="L97" s="202">
        <f>RB_Raw!F95</f>
        <v>5</v>
      </c>
      <c r="M97" s="200">
        <f>RB_Raw!G95</f>
        <v>36.6</v>
      </c>
      <c r="N97" s="203">
        <f>RB_Raw!H95</f>
        <v>0</v>
      </c>
      <c r="O97" s="200">
        <f>RB_Raw!I95</f>
        <v>0</v>
      </c>
      <c r="P97" s="205">
        <f t="shared" si="20"/>
        <v>26.17</v>
      </c>
      <c r="Q97" t="str">
        <f t="shared" ca="1" si="21"/>
        <v>Undrafted</v>
      </c>
      <c r="R97">
        <f t="shared" ca="1" si="22"/>
        <v>0</v>
      </c>
      <c r="S97">
        <f t="shared" ca="1" si="23"/>
        <v>-77.510000000000005</v>
      </c>
      <c r="T97" s="84">
        <f t="shared" ca="1" si="24"/>
        <v>-12.787565216276615</v>
      </c>
      <c r="U97" s="84">
        <f ca="1">T97*Auction!$A$2</f>
        <v>-12.787565216276615</v>
      </c>
      <c r="V97" s="5" t="str">
        <f>IF(OR(INDEX(Auction!$H$13:$H$650,MATCH(B97,Auction!$A$13:$A$650,0))&gt;0,IFERROR(INDEX(CheatSheet!$M$5:$M$64,MATCH(B97,CheatSheet!$J$5:$J$64,0)),"")&lt;&gt;""),"Yes","No")</f>
        <v>No</v>
      </c>
      <c r="W97" s="175"/>
      <c r="Y97" s="77">
        <f t="shared" ca="1" si="25"/>
        <v>1</v>
      </c>
      <c r="Z97" s="174">
        <f t="shared" ca="1" si="26"/>
        <v>-38.755000000000003</v>
      </c>
      <c r="AA97" t="str">
        <f t="shared" ca="1" si="28"/>
        <v>RB8</v>
      </c>
      <c r="AB97" s="174">
        <f ca="1">Z97*LeagueInfo!$H$5</f>
        <v>-12.515934111639636</v>
      </c>
      <c r="AC97" s="174">
        <f t="shared" ca="1" si="27"/>
        <v>-0.7047598053866394</v>
      </c>
    </row>
    <row r="98" spans="1:29" x14ac:dyDescent="0.35">
      <c r="A98">
        <f t="shared" si="19"/>
        <v>96</v>
      </c>
      <c r="B98" t="str">
        <f>RB_Raw!A99</f>
        <v>Ameer Abdullah</v>
      </c>
      <c r="C98" t="s">
        <v>25</v>
      </c>
      <c r="D98" t="str">
        <f>_xlfn.IFNA(INDEX(BYEs!E:E,MATCH(B98,BYEs!D:D,0)),"N/A")</f>
        <v>N/A</v>
      </c>
      <c r="E98">
        <f>INDEX(BYEs!$B$2:$B$34,MATCH(F98,BYEs!$A$2:$A$34,0))</f>
        <v>10</v>
      </c>
      <c r="F98" t="str">
        <f>RB_Raw!B99</f>
        <v>LV</v>
      </c>
      <c r="G98" s="202">
        <v>0</v>
      </c>
      <c r="H98" s="203">
        <v>0</v>
      </c>
      <c r="I98" s="202">
        <f>RB_Raw!C99</f>
        <v>26.7</v>
      </c>
      <c r="J98" s="200">
        <f>RB_Raw!D99</f>
        <v>102.3</v>
      </c>
      <c r="K98" s="203">
        <f>RB_Raw!E99</f>
        <v>0.2</v>
      </c>
      <c r="L98" s="202">
        <f>RB_Raw!F99</f>
        <v>10.7</v>
      </c>
      <c r="M98" s="200">
        <f>RB_Raw!G99</f>
        <v>78.400000000000006</v>
      </c>
      <c r="N98" s="203">
        <f>RB_Raw!H99</f>
        <v>0.1</v>
      </c>
      <c r="O98" s="200">
        <f>RB_Raw!I99</f>
        <v>0</v>
      </c>
      <c r="P98" s="205">
        <f t="shared" si="20"/>
        <v>25.220000000000002</v>
      </c>
      <c r="Q98" t="str">
        <f t="shared" ca="1" si="21"/>
        <v>Undrafted</v>
      </c>
      <c r="R98">
        <f t="shared" ca="1" si="22"/>
        <v>0</v>
      </c>
      <c r="S98">
        <f t="shared" ca="1" si="23"/>
        <v>-78.460000000000008</v>
      </c>
      <c r="T98" s="84">
        <f t="shared" ca="1" si="24"/>
        <v>-12.944295792401798</v>
      </c>
      <c r="U98" s="84">
        <f ca="1">T98*Auction!$A$2</f>
        <v>-12.944295792401798</v>
      </c>
      <c r="V98" s="5" t="str">
        <f>IF(OR(INDEX(Auction!$H$13:$H$650,MATCH(B98,Auction!$A$13:$A$650,0))&gt;0,IFERROR(INDEX(CheatSheet!$M$5:$M$64,MATCH(B98,CheatSheet!$J$5:$J$64,0)),"")&lt;&gt;""),"Yes","No")</f>
        <v>No</v>
      </c>
      <c r="W98" s="175"/>
      <c r="Y98" s="77">
        <f t="shared" ca="1" si="25"/>
        <v>1</v>
      </c>
      <c r="Z98" s="174">
        <f t="shared" ca="1" si="26"/>
        <v>-39.230000000000004</v>
      </c>
      <c r="AA98" t="str">
        <f t="shared" ca="1" si="28"/>
        <v>RB8</v>
      </c>
      <c r="AB98" s="174">
        <f ca="1">Z98*LeagueInfo!$H$5</f>
        <v>-12.669335445739206</v>
      </c>
      <c r="AC98" s="174">
        <f t="shared" ca="1" si="27"/>
        <v>-0.71484502414959938</v>
      </c>
    </row>
    <row r="99" spans="1:29" x14ac:dyDescent="0.35">
      <c r="A99">
        <f t="shared" ref="A99:A130" si="29">RANK(P99,P:P)</f>
        <v>97</v>
      </c>
      <c r="B99" t="str">
        <f>RB_Raw!A97</f>
        <v>Jawhar Jordan</v>
      </c>
      <c r="C99" t="s">
        <v>25</v>
      </c>
      <c r="D99">
        <f>_xlfn.IFNA(INDEX(BYEs!E:E,MATCH(B99,BYEs!D:D,0)),"N/A")</f>
        <v>24</v>
      </c>
      <c r="E99">
        <f>INDEX(BYEs!$B$2:$B$34,MATCH(F99,BYEs!$A$2:$A$34,0))</f>
        <v>14</v>
      </c>
      <c r="F99" t="str">
        <f>RB_Raw!B97</f>
        <v>HOU</v>
      </c>
      <c r="G99" s="202">
        <v>0</v>
      </c>
      <c r="H99" s="203">
        <v>0</v>
      </c>
      <c r="I99" s="202">
        <f>RB_Raw!C97</f>
        <v>0</v>
      </c>
      <c r="J99" s="200">
        <f>RB_Raw!D97</f>
        <v>134</v>
      </c>
      <c r="K99" s="203">
        <f>RB_Raw!E97</f>
        <v>1</v>
      </c>
      <c r="L99" s="202">
        <f>RB_Raw!F97</f>
        <v>4</v>
      </c>
      <c r="M99" s="200">
        <f>RB_Raw!G97</f>
        <v>30</v>
      </c>
      <c r="N99" s="203">
        <f>RB_Raw!H97</f>
        <v>0</v>
      </c>
      <c r="O99" s="200">
        <f>RB_Raw!I97</f>
        <v>0</v>
      </c>
      <c r="P99" s="205">
        <f t="shared" ref="P99:P130" si="30">(J99*RBRushingYd)+(K99*RBRushingTD)+(L99*RBReceptions)+(M99*RBRecYd)+(N99*RBRecTD)+(O99*RBFuml)+(I99*RBRushAtt)</f>
        <v>24.4</v>
      </c>
      <c r="Q99" t="str">
        <f t="shared" ref="Q99:Q130" ca="1" si="31">IF(A99&lt;=RBStarters,"Starter",IF(A99&gt;RBStarters+RBBench,"Undrafted","Bench"))</f>
        <v>Undrafted</v>
      </c>
      <c r="R99">
        <f t="shared" ref="R99:R130" ca="1" si="32">IFERROR(MAX(P99-LARGE(RBSheetCount,RBStarters),0),0)</f>
        <v>0</v>
      </c>
      <c r="S99">
        <f t="shared" ref="S99:S130" ca="1" si="33">IFERROR(IF(AllowNegative="Yes",P99-LARGE(RBSheetCount,RBCount),MAX(P99-LARGE(RBSheetCount,RBCount),0)),0)</f>
        <v>-79.28</v>
      </c>
      <c r="T99" s="84">
        <f t="shared" ref="T99:T130" ca="1" si="34">(S99-R99)*BenchPF+R99*StarterPF</f>
        <v>-13.079579026530899</v>
      </c>
      <c r="U99" s="84">
        <f ca="1">T99*Auction!$A$2</f>
        <v>-13.079579026530899</v>
      </c>
      <c r="V99" s="5" t="str">
        <f>IF(OR(INDEX(Auction!$H$13:$H$650,MATCH(B99,Auction!$A$13:$A$650,0))&gt;0,IFERROR(INDEX(CheatSheet!$M$5:$M$64,MATCH(B99,CheatSheet!$J$5:$J$64,0)),"")&lt;&gt;""),"Yes","No")</f>
        <v>No</v>
      </c>
      <c r="W99" s="175"/>
      <c r="Y99" s="77">
        <f t="shared" ref="Y99:Y130" ca="1" si="35">SUMIFS(Z:Z,Z:Z,"&gt;0",V:V,"No")/SUMIF(Z:Z,"&gt;0")</f>
        <v>1</v>
      </c>
      <c r="Z99" s="174">
        <f t="shared" ref="Z99:Z132" ca="1" si="36">AVERAGE(R99:S99)</f>
        <v>-39.64</v>
      </c>
      <c r="AA99" t="str">
        <f t="shared" ca="1" si="28"/>
        <v>RB8</v>
      </c>
      <c r="AB99" s="174">
        <f ca="1">Z99*LeagueInfo!$H$5</f>
        <v>-12.801745018330413</v>
      </c>
      <c r="AC99" s="174">
        <f t="shared" ref="AC99:AC130" ca="1" si="37">(Z99-AVERAGE(Z:Z))/_xlfn.STDEV.P(Z:Z)</f>
        <v>-0.72355016034499631</v>
      </c>
    </row>
    <row r="100" spans="1:29" x14ac:dyDescent="0.35">
      <c r="A100">
        <f t="shared" si="29"/>
        <v>98</v>
      </c>
      <c r="B100" t="str">
        <f>RB_Raw!A98</f>
        <v>Ronnie Rivers</v>
      </c>
      <c r="C100" t="s">
        <v>25</v>
      </c>
      <c r="D100">
        <f>_xlfn.IFNA(INDEX(BYEs!E:E,MATCH(B100,BYEs!D:D,0)),"N/A")</f>
        <v>25</v>
      </c>
      <c r="E100">
        <f>INDEX(BYEs!$B$2:$B$34,MATCH(F100,BYEs!$A$2:$A$34,0))</f>
        <v>6</v>
      </c>
      <c r="F100" t="str">
        <f>RB_Raw!B98</f>
        <v>LAR</v>
      </c>
      <c r="G100" s="202">
        <v>0</v>
      </c>
      <c r="H100" s="203">
        <v>0</v>
      </c>
      <c r="I100" s="202">
        <f>RB_Raw!C98</f>
        <v>29.7</v>
      </c>
      <c r="J100" s="200">
        <f>RB_Raw!D98</f>
        <v>116.8</v>
      </c>
      <c r="K100" s="203">
        <f>RB_Raw!E98</f>
        <v>0.8</v>
      </c>
      <c r="L100" s="202">
        <f>RB_Raw!F98</f>
        <v>4.5999999999999996</v>
      </c>
      <c r="M100" s="200">
        <f>RB_Raw!G98</f>
        <v>33.299999999999997</v>
      </c>
      <c r="N100" s="203">
        <f>RB_Raw!H98</f>
        <v>0.1</v>
      </c>
      <c r="O100" s="200">
        <f>RB_Raw!I98</f>
        <v>0</v>
      </c>
      <c r="P100" s="205">
        <f t="shared" si="30"/>
        <v>22.71</v>
      </c>
      <c r="Q100" t="str">
        <f t="shared" ca="1" si="31"/>
        <v>Undrafted</v>
      </c>
      <c r="R100">
        <f t="shared" ca="1" si="32"/>
        <v>0</v>
      </c>
      <c r="S100">
        <f t="shared" ca="1" si="33"/>
        <v>-80.97</v>
      </c>
      <c r="T100" s="84">
        <f t="shared" ca="1" si="34"/>
        <v>-13.358394472479905</v>
      </c>
      <c r="U100" s="84">
        <f ca="1">T100*Auction!$A$2</f>
        <v>-13.358394472479905</v>
      </c>
      <c r="V100" s="5" t="str">
        <f>IF(OR(INDEX(Auction!$H$13:$H$650,MATCH(B100,Auction!$A$13:$A$650,0))&gt;0,IFERROR(INDEX(CheatSheet!$M$5:$M$64,MATCH(B100,CheatSheet!$J$5:$J$64,0)),"")&lt;&gt;""),"Yes","No")</f>
        <v>No</v>
      </c>
      <c r="W100" s="175"/>
      <c r="Y100" s="77">
        <f t="shared" ca="1" si="35"/>
        <v>1</v>
      </c>
      <c r="Z100" s="174">
        <f t="shared" ca="1" si="36"/>
        <v>-40.484999999999999</v>
      </c>
      <c r="AA100" t="str">
        <f t="shared" ca="1" si="28"/>
        <v>RB8</v>
      </c>
      <c r="AB100" s="174">
        <f ca="1">Z100*LeagueInfo!$H$5</f>
        <v>-13.074637917939121</v>
      </c>
      <c r="AC100" s="174">
        <f t="shared" ca="1" si="37"/>
        <v>-0.74149123372331438</v>
      </c>
    </row>
    <row r="101" spans="1:29" x14ac:dyDescent="0.35">
      <c r="A101">
        <f t="shared" si="29"/>
        <v>99</v>
      </c>
      <c r="B101" t="str">
        <f>RB_Raw!A100</f>
        <v>Carson Steele</v>
      </c>
      <c r="C101" t="s">
        <v>25</v>
      </c>
      <c r="D101" t="str">
        <f>_xlfn.IFNA(INDEX(BYEs!E:E,MATCH(B101,BYEs!D:D,0)),"N/A")</f>
        <v>N/A</v>
      </c>
      <c r="E101">
        <f>INDEX(BYEs!$B$2:$B$34,MATCH(F101,BYEs!$A$2:$A$34,0))</f>
        <v>6</v>
      </c>
      <c r="F101" t="str">
        <f>RB_Raw!B100</f>
        <v>KC</v>
      </c>
      <c r="G101" s="202">
        <v>0</v>
      </c>
      <c r="H101" s="203">
        <v>0</v>
      </c>
      <c r="I101" s="202">
        <f>RB_Raw!C100</f>
        <v>14.8</v>
      </c>
      <c r="J101" s="200">
        <f>RB_Raw!D100</f>
        <v>101.3</v>
      </c>
      <c r="K101" s="203">
        <f>RB_Raw!E100</f>
        <v>0.9</v>
      </c>
      <c r="L101" s="202">
        <f>RB_Raw!F100</f>
        <v>5.0999999999999996</v>
      </c>
      <c r="M101" s="200">
        <f>RB_Raw!G100</f>
        <v>39.1</v>
      </c>
      <c r="N101" s="203">
        <f>RB_Raw!H100</f>
        <v>0.1</v>
      </c>
      <c r="O101" s="200">
        <f>RB_Raw!I100</f>
        <v>0</v>
      </c>
      <c r="P101" s="205">
        <f t="shared" si="30"/>
        <v>22.590000000000003</v>
      </c>
      <c r="Q101" t="str">
        <f t="shared" ca="1" si="31"/>
        <v>Undrafted</v>
      </c>
      <c r="R101">
        <f t="shared" ca="1" si="32"/>
        <v>0</v>
      </c>
      <c r="S101">
        <f t="shared" ca="1" si="33"/>
        <v>-81.09</v>
      </c>
      <c r="T101" s="84">
        <f t="shared" ca="1" si="34"/>
        <v>-13.378192018937824</v>
      </c>
      <c r="U101" s="84">
        <f ca="1">T101*Auction!$A$2</f>
        <v>-13.378192018937824</v>
      </c>
      <c r="V101" s="5" t="str">
        <f>IF(OR(INDEX(Auction!$H$13:$H$650,MATCH(B101,Auction!$A$13:$A$650,0))&gt;0,IFERROR(INDEX(CheatSheet!$M$5:$M$64,MATCH(B101,CheatSheet!$J$5:$J$64,0)),"")&lt;&gt;""),"Yes","No")</f>
        <v>No</v>
      </c>
      <c r="W101" s="175"/>
      <c r="Y101" s="77">
        <f t="shared" ca="1" si="35"/>
        <v>1</v>
      </c>
      <c r="Z101" s="174">
        <f t="shared" ca="1" si="36"/>
        <v>-40.545000000000002</v>
      </c>
      <c r="AA101" t="str">
        <f t="shared" ca="1" si="28"/>
        <v>RB8</v>
      </c>
      <c r="AB101" s="174">
        <f ca="1">Z101*LeagueInfo!$H$5</f>
        <v>-13.094014928562226</v>
      </c>
      <c r="AC101" s="174">
        <f t="shared" ca="1" si="37"/>
        <v>-0.74276515609337257</v>
      </c>
    </row>
    <row r="102" spans="1:29" x14ac:dyDescent="0.35">
      <c r="A102">
        <f t="shared" si="29"/>
        <v>100</v>
      </c>
      <c r="B102" t="str">
        <f>RB_Raw!A104</f>
        <v>Jeremy McNichols</v>
      </c>
      <c r="C102" t="s">
        <v>25</v>
      </c>
      <c r="D102" t="str">
        <f>_xlfn.IFNA(INDEX(BYEs!E:E,MATCH(B102,BYEs!D:D,0)),"N/A")</f>
        <v>N/A</v>
      </c>
      <c r="E102">
        <f>INDEX(BYEs!$B$2:$B$34,MATCH(F102,BYEs!$A$2:$A$34,0))</f>
        <v>14</v>
      </c>
      <c r="F102" t="str">
        <f>RB_Raw!B104</f>
        <v>WAS</v>
      </c>
      <c r="G102" s="202">
        <v>0</v>
      </c>
      <c r="H102" s="203">
        <v>0</v>
      </c>
      <c r="I102" s="202">
        <f>RB_Raw!C104</f>
        <v>18.399999999999999</v>
      </c>
      <c r="J102" s="200">
        <f>RB_Raw!D104</f>
        <v>69.5</v>
      </c>
      <c r="K102" s="203">
        <f>RB_Raw!E104</f>
        <v>0.2</v>
      </c>
      <c r="L102" s="202">
        <f>RB_Raw!F104</f>
        <v>9.1999999999999993</v>
      </c>
      <c r="M102" s="200">
        <f>RB_Raw!G104</f>
        <v>69.5</v>
      </c>
      <c r="N102" s="203">
        <f>RB_Raw!H104</f>
        <v>0.4</v>
      </c>
      <c r="O102" s="200">
        <f>RB_Raw!I104</f>
        <v>0</v>
      </c>
      <c r="P102" s="205">
        <f t="shared" si="30"/>
        <v>22.1</v>
      </c>
      <c r="Q102" t="str">
        <f t="shared" ca="1" si="31"/>
        <v>Undrafted</v>
      </c>
      <c r="R102">
        <f t="shared" ca="1" si="32"/>
        <v>0</v>
      </c>
      <c r="S102">
        <f t="shared" ca="1" si="33"/>
        <v>-81.580000000000013</v>
      </c>
      <c r="T102" s="84">
        <f t="shared" ca="1" si="34"/>
        <v>-13.459032000307655</v>
      </c>
      <c r="U102" s="84">
        <f ca="1">T102*Auction!$A$2</f>
        <v>-13.459032000307655</v>
      </c>
      <c r="V102" s="5" t="str">
        <f>IF(OR(INDEX(Auction!$H$13:$H$650,MATCH(B102,Auction!$A$13:$A$650,0))&gt;0,IFERROR(INDEX(CheatSheet!$M$5:$M$64,MATCH(B102,CheatSheet!$J$5:$J$64,0)),"")&lt;&gt;""),"Yes","No")</f>
        <v>No</v>
      </c>
      <c r="W102" s="175"/>
      <c r="Y102" s="77">
        <f t="shared" ca="1" si="35"/>
        <v>1</v>
      </c>
      <c r="Z102" s="174">
        <f t="shared" ca="1" si="36"/>
        <v>-40.790000000000006</v>
      </c>
      <c r="AA102" t="str">
        <f t="shared" ca="1" si="28"/>
        <v>RB8</v>
      </c>
      <c r="AB102" s="174">
        <f ca="1">Z102*LeagueInfo!$H$5</f>
        <v>-13.173137721939899</v>
      </c>
      <c r="AC102" s="174">
        <f t="shared" ca="1" si="37"/>
        <v>-0.74796700577110986</v>
      </c>
    </row>
    <row r="103" spans="1:29" x14ac:dyDescent="0.35">
      <c r="A103">
        <f t="shared" si="29"/>
        <v>101</v>
      </c>
      <c r="B103" t="str">
        <f>RB_Raw!A102</f>
        <v>D'Ernest Johnson</v>
      </c>
      <c r="C103" t="s">
        <v>25</v>
      </c>
      <c r="D103">
        <f>_xlfn.IFNA(INDEX(BYEs!E:E,MATCH(B103,BYEs!D:D,0)),"N/A")</f>
        <v>28</v>
      </c>
      <c r="E103">
        <f>INDEX(BYEs!$B$2:$B$34,MATCH(F103,BYEs!$A$2:$A$34,0))</f>
        <v>12</v>
      </c>
      <c r="F103" t="str">
        <f>RB_Raw!B102</f>
        <v>JAC</v>
      </c>
      <c r="G103" s="202">
        <v>0</v>
      </c>
      <c r="H103" s="203">
        <v>0</v>
      </c>
      <c r="I103" s="202">
        <f>RB_Raw!C102</f>
        <v>31.8</v>
      </c>
      <c r="J103" s="200">
        <f>RB_Raw!D102</f>
        <v>113.9</v>
      </c>
      <c r="K103" s="203">
        <f>RB_Raw!E102</f>
        <v>0.5</v>
      </c>
      <c r="L103" s="202">
        <f>RB_Raw!F102</f>
        <v>5.5</v>
      </c>
      <c r="M103" s="200">
        <f>RB_Raw!G102</f>
        <v>39.200000000000003</v>
      </c>
      <c r="N103" s="203">
        <f>RB_Raw!H102</f>
        <v>0.1</v>
      </c>
      <c r="O103" s="200">
        <f>RB_Raw!I102</f>
        <v>0.1</v>
      </c>
      <c r="P103" s="205">
        <f t="shared" si="30"/>
        <v>21.460000000000004</v>
      </c>
      <c r="Q103" t="str">
        <f t="shared" ca="1" si="31"/>
        <v>Undrafted</v>
      </c>
      <c r="R103">
        <f t="shared" ca="1" si="32"/>
        <v>0</v>
      </c>
      <c r="S103">
        <f t="shared" ca="1" si="33"/>
        <v>-82.22</v>
      </c>
      <c r="T103" s="84">
        <f t="shared" ca="1" si="34"/>
        <v>-13.564618914749881</v>
      </c>
      <c r="U103" s="84">
        <f ca="1">T103*Auction!$A$2</f>
        <v>-13.564618914749881</v>
      </c>
      <c r="V103" s="5" t="str">
        <f>IF(OR(INDEX(Auction!$H$13:$H$650,MATCH(B103,Auction!$A$13:$A$650,0))&gt;0,IFERROR(INDEX(CheatSheet!$M$5:$M$64,MATCH(B103,CheatSheet!$J$5:$J$64,0)),"")&lt;&gt;""),"Yes","No")</f>
        <v>No</v>
      </c>
      <c r="W103" s="175"/>
      <c r="Y103" s="77">
        <f t="shared" ca="1" si="35"/>
        <v>1</v>
      </c>
      <c r="Z103" s="174">
        <f t="shared" ca="1" si="36"/>
        <v>-41.11</v>
      </c>
      <c r="AA103" t="str">
        <f t="shared" ca="1" si="28"/>
        <v>RB8</v>
      </c>
      <c r="AB103" s="174">
        <f ca="1">Z103*LeagueInfo!$H$5</f>
        <v>-13.27648177859645</v>
      </c>
      <c r="AC103" s="174">
        <f t="shared" ca="1" si="37"/>
        <v>-0.75476125841141961</v>
      </c>
    </row>
    <row r="104" spans="1:29" x14ac:dyDescent="0.35">
      <c r="A104">
        <f t="shared" si="29"/>
        <v>102</v>
      </c>
      <c r="B104" t="str">
        <f>RB_Raw!A101</f>
        <v>Isaiah Spiller</v>
      </c>
      <c r="C104" t="s">
        <v>25</v>
      </c>
      <c r="D104">
        <f>_xlfn.IFNA(INDEX(BYEs!E:E,MATCH(B104,BYEs!D:D,0)),"N/A")</f>
        <v>22</v>
      </c>
      <c r="E104">
        <f>INDEX(BYEs!$B$2:$B$34,MATCH(F104,BYEs!$A$2:$A$34,0))</f>
        <v>5</v>
      </c>
      <c r="F104" t="str">
        <f>RB_Raw!B101</f>
        <v>LAC</v>
      </c>
      <c r="G104" s="202">
        <v>0</v>
      </c>
      <c r="H104" s="203">
        <v>0</v>
      </c>
      <c r="I104" s="202">
        <f>RB_Raw!C101</f>
        <v>0</v>
      </c>
      <c r="J104" s="200">
        <f>RB_Raw!D101</f>
        <v>106</v>
      </c>
      <c r="K104" s="203">
        <f>RB_Raw!E101</f>
        <v>1</v>
      </c>
      <c r="L104" s="202">
        <f>RB_Raw!F101</f>
        <v>4</v>
      </c>
      <c r="M104" s="200">
        <f>RB_Raw!G101</f>
        <v>27</v>
      </c>
      <c r="N104" s="203">
        <f>RB_Raw!H101</f>
        <v>0</v>
      </c>
      <c r="O104" s="200">
        <f>RB_Raw!I101</f>
        <v>0</v>
      </c>
      <c r="P104" s="205">
        <f t="shared" si="30"/>
        <v>21.3</v>
      </c>
      <c r="Q104" t="str">
        <f t="shared" ca="1" si="31"/>
        <v>Undrafted</v>
      </c>
      <c r="R104">
        <f t="shared" ca="1" si="32"/>
        <v>0</v>
      </c>
      <c r="S104">
        <f t="shared" ca="1" si="33"/>
        <v>-82.38000000000001</v>
      </c>
      <c r="T104" s="84">
        <f t="shared" ca="1" si="34"/>
        <v>-13.591015643360439</v>
      </c>
      <c r="U104" s="84">
        <f ca="1">T104*Auction!$A$2</f>
        <v>-13.591015643360439</v>
      </c>
      <c r="V104" s="5" t="str">
        <f>IF(OR(INDEX(Auction!$H$13:$H$650,MATCH(B104,Auction!$A$13:$A$650,0))&gt;0,IFERROR(INDEX(CheatSheet!$M$5:$M$64,MATCH(B104,CheatSheet!$J$5:$J$64,0)),"")&lt;&gt;""),"Yes","No")</f>
        <v>No</v>
      </c>
      <c r="W104" s="175"/>
      <c r="Y104" s="77">
        <f t="shared" ca="1" si="35"/>
        <v>1</v>
      </c>
      <c r="Z104" s="174">
        <f t="shared" ca="1" si="36"/>
        <v>-41.190000000000005</v>
      </c>
      <c r="AA104" t="str">
        <f t="shared" ca="1" si="28"/>
        <v>RB8</v>
      </c>
      <c r="AB104" s="174">
        <f ca="1">Z104*LeagueInfo!$H$5</f>
        <v>-13.30231779276059</v>
      </c>
      <c r="AC104" s="174">
        <f t="shared" ca="1" si="37"/>
        <v>-0.75645982157149716</v>
      </c>
    </row>
    <row r="105" spans="1:29" x14ac:dyDescent="0.35">
      <c r="A105">
        <f t="shared" si="29"/>
        <v>103</v>
      </c>
      <c r="B105" t="str">
        <f>RB_Raw!A103</f>
        <v>Craig Reynolds</v>
      </c>
      <c r="C105" t="s">
        <v>25</v>
      </c>
      <c r="D105">
        <f>_xlfn.IFNA(INDEX(BYEs!E:E,MATCH(B105,BYEs!D:D,0)),"N/A")</f>
        <v>28</v>
      </c>
      <c r="E105">
        <f>INDEX(BYEs!$B$2:$B$34,MATCH(F105,BYEs!$A$2:$A$34,0))</f>
        <v>5</v>
      </c>
      <c r="F105" t="str">
        <f>RB_Raw!B103</f>
        <v>DET</v>
      </c>
      <c r="G105" s="202">
        <v>0</v>
      </c>
      <c r="H105" s="203">
        <v>0</v>
      </c>
      <c r="I105" s="202">
        <f>RB_Raw!C103</f>
        <v>21.6</v>
      </c>
      <c r="J105" s="200">
        <f>RB_Raw!D103</f>
        <v>102.3</v>
      </c>
      <c r="K105" s="203">
        <f>RB_Raw!E103</f>
        <v>0.8</v>
      </c>
      <c r="L105" s="202">
        <f>RB_Raw!F103</f>
        <v>4.0999999999999996</v>
      </c>
      <c r="M105" s="200">
        <f>RB_Raw!G103</f>
        <v>33.299999999999997</v>
      </c>
      <c r="N105" s="203">
        <f>RB_Raw!H103</f>
        <v>0.1</v>
      </c>
      <c r="O105" s="200">
        <f>RB_Raw!I103</f>
        <v>0.1</v>
      </c>
      <c r="P105" s="205">
        <f t="shared" si="30"/>
        <v>20.810000000000006</v>
      </c>
      <c r="Q105" t="str">
        <f t="shared" ca="1" si="31"/>
        <v>Undrafted</v>
      </c>
      <c r="R105">
        <f t="shared" ca="1" si="32"/>
        <v>0</v>
      </c>
      <c r="S105">
        <f t="shared" ca="1" si="33"/>
        <v>-82.87</v>
      </c>
      <c r="T105" s="84">
        <f t="shared" ca="1" si="34"/>
        <v>-13.671855624730268</v>
      </c>
      <c r="U105" s="84">
        <f ca="1">T105*Auction!$A$2</f>
        <v>-13.671855624730268</v>
      </c>
      <c r="V105" s="5" t="str">
        <f>IF(OR(INDEX(Auction!$H$13:$H$650,MATCH(B105,Auction!$A$13:$A$650,0))&gt;0,IFERROR(INDEX(CheatSheet!$M$5:$M$64,MATCH(B105,CheatSheet!$J$5:$J$64,0)),"")&lt;&gt;""),"Yes","No")</f>
        <v>No</v>
      </c>
      <c r="W105" s="175"/>
      <c r="Y105" s="77">
        <f t="shared" ca="1" si="35"/>
        <v>1</v>
      </c>
      <c r="Z105" s="174">
        <f t="shared" ca="1" si="36"/>
        <v>-41.435000000000002</v>
      </c>
      <c r="AA105" t="str">
        <f t="shared" ca="1" si="28"/>
        <v>RB8</v>
      </c>
      <c r="AB105" s="174">
        <f ca="1">Z105*LeagueInfo!$H$5</f>
        <v>-13.381440586138261</v>
      </c>
      <c r="AC105" s="174">
        <f t="shared" ca="1" si="37"/>
        <v>-0.76166167124923434</v>
      </c>
    </row>
    <row r="106" spans="1:29" x14ac:dyDescent="0.35">
      <c r="A106">
        <f t="shared" si="29"/>
        <v>104</v>
      </c>
      <c r="B106" t="str">
        <f>RB_Raw!A108</f>
        <v>JaMycal Hasty</v>
      </c>
      <c r="C106" t="s">
        <v>25</v>
      </c>
      <c r="D106" t="str">
        <f>_xlfn.IFNA(INDEX(BYEs!E:E,MATCH(B106,BYEs!D:D,0)),"N/A")</f>
        <v>N/A</v>
      </c>
      <c r="E106">
        <f>INDEX(BYEs!$B$2:$B$34,MATCH(F106,BYEs!$A$2:$A$34,0))</f>
        <v>14</v>
      </c>
      <c r="F106" t="str">
        <f>RB_Raw!B108</f>
        <v>NE</v>
      </c>
      <c r="G106" s="202">
        <v>0</v>
      </c>
      <c r="H106" s="203">
        <v>0</v>
      </c>
      <c r="I106" s="202">
        <f>RB_Raw!C108</f>
        <v>21.8</v>
      </c>
      <c r="J106" s="200">
        <f>RB_Raw!D108</f>
        <v>73.8</v>
      </c>
      <c r="K106" s="203">
        <f>RB_Raw!E108</f>
        <v>0.5</v>
      </c>
      <c r="L106" s="202">
        <f>RB_Raw!F108</f>
        <v>6.9</v>
      </c>
      <c r="M106" s="200">
        <f>RB_Raw!G108</f>
        <v>44.4</v>
      </c>
      <c r="N106" s="203">
        <f>RB_Raw!H108</f>
        <v>0.1</v>
      </c>
      <c r="O106" s="200">
        <f>RB_Raw!I108</f>
        <v>0.1</v>
      </c>
      <c r="P106" s="205">
        <f t="shared" si="30"/>
        <v>18.670000000000002</v>
      </c>
      <c r="Q106" t="str">
        <f t="shared" ca="1" si="31"/>
        <v>Undrafted</v>
      </c>
      <c r="R106">
        <f t="shared" ca="1" si="32"/>
        <v>0</v>
      </c>
      <c r="S106">
        <f t="shared" ca="1" si="33"/>
        <v>-85.01</v>
      </c>
      <c r="T106" s="84">
        <f t="shared" ca="1" si="34"/>
        <v>-14.024911869896465</v>
      </c>
      <c r="U106" s="84">
        <f ca="1">T106*Auction!$A$2</f>
        <v>-14.024911869896465</v>
      </c>
      <c r="V106" s="5" t="str">
        <f>IF(OR(INDEX(Auction!$H$13:$H$650,MATCH(B106,Auction!$A$13:$A$650,0))&gt;0,IFERROR(INDEX(CheatSheet!$M$5:$M$64,MATCH(B106,CheatSheet!$J$5:$J$64,0)),"")&lt;&gt;""),"Yes","No")</f>
        <v>No</v>
      </c>
      <c r="W106" s="175"/>
      <c r="Y106" s="77">
        <f t="shared" ca="1" si="35"/>
        <v>1</v>
      </c>
      <c r="Z106" s="174">
        <f t="shared" ca="1" si="36"/>
        <v>-42.505000000000003</v>
      </c>
      <c r="AA106" t="str">
        <f t="shared" ca="1" si="28"/>
        <v>RB8</v>
      </c>
      <c r="AB106" s="174">
        <f ca="1">Z106*LeagueInfo!$H$5</f>
        <v>-13.726997275583608</v>
      </c>
      <c r="AC106" s="174">
        <f t="shared" ca="1" si="37"/>
        <v>-0.78437995351527035</v>
      </c>
    </row>
    <row r="107" spans="1:29" x14ac:dyDescent="0.35">
      <c r="A107">
        <f t="shared" si="29"/>
        <v>105</v>
      </c>
      <c r="B107" t="str">
        <f>RB_Raw!A105</f>
        <v>Kenny McIntosh</v>
      </c>
      <c r="C107" t="s">
        <v>25</v>
      </c>
      <c r="D107">
        <f>_xlfn.IFNA(INDEX(BYEs!E:E,MATCH(B107,BYEs!D:D,0)),"N/A")</f>
        <v>24</v>
      </c>
      <c r="E107">
        <f>INDEX(BYEs!$B$2:$B$34,MATCH(F107,BYEs!$A$2:$A$34,0))</f>
        <v>10</v>
      </c>
      <c r="F107" t="str">
        <f>RB_Raw!B105</f>
        <v>SEA</v>
      </c>
      <c r="G107" s="202">
        <v>0</v>
      </c>
      <c r="H107" s="203">
        <v>0</v>
      </c>
      <c r="I107" s="202">
        <f>RB_Raw!C105</f>
        <v>26.8</v>
      </c>
      <c r="J107" s="200">
        <f>RB_Raw!D105</f>
        <v>88.9</v>
      </c>
      <c r="K107" s="203">
        <f>RB_Raw!E105</f>
        <v>0.6</v>
      </c>
      <c r="L107" s="202">
        <f>RB_Raw!F105</f>
        <v>4.4000000000000004</v>
      </c>
      <c r="M107" s="200">
        <f>RB_Raw!G105</f>
        <v>32.299999999999997</v>
      </c>
      <c r="N107" s="203">
        <f>RB_Raw!H105</f>
        <v>0.1</v>
      </c>
      <c r="O107" s="200">
        <f>RB_Raw!I105</f>
        <v>0.1</v>
      </c>
      <c r="P107" s="205">
        <f t="shared" si="30"/>
        <v>18.320000000000004</v>
      </c>
      <c r="Q107" t="str">
        <f t="shared" ca="1" si="31"/>
        <v>Undrafted</v>
      </c>
      <c r="R107">
        <f t="shared" ca="1" si="32"/>
        <v>0</v>
      </c>
      <c r="S107">
        <f t="shared" ca="1" si="33"/>
        <v>-85.36</v>
      </c>
      <c r="T107" s="84">
        <f t="shared" ca="1" si="34"/>
        <v>-14.082654713732058</v>
      </c>
      <c r="U107" s="84">
        <f ca="1">T107*Auction!$A$2</f>
        <v>-14.082654713732058</v>
      </c>
      <c r="V107" s="5" t="str">
        <f>IF(OR(INDEX(Auction!$H$13:$H$650,MATCH(B107,Auction!$A$13:$A$650,0))&gt;0,IFERROR(INDEX(CheatSheet!$M$5:$M$64,MATCH(B107,CheatSheet!$J$5:$J$64,0)),"")&lt;&gt;""),"Yes","No")</f>
        <v>No</v>
      </c>
      <c r="W107" s="175"/>
      <c r="Y107" s="77">
        <f t="shared" ca="1" si="35"/>
        <v>1</v>
      </c>
      <c r="Z107" s="174">
        <f t="shared" ca="1" si="36"/>
        <v>-42.68</v>
      </c>
      <c r="AA107" t="str">
        <f t="shared" ca="1" si="28"/>
        <v>RB8</v>
      </c>
      <c r="AB107" s="174">
        <f ca="1">Z107*LeagueInfo!$H$5</f>
        <v>-13.783513556567659</v>
      </c>
      <c r="AC107" s="174">
        <f t="shared" ca="1" si="37"/>
        <v>-0.78809556042793971</v>
      </c>
    </row>
    <row r="108" spans="1:29" x14ac:dyDescent="0.35">
      <c r="A108">
        <f t="shared" si="29"/>
        <v>106</v>
      </c>
      <c r="B108" t="str">
        <f>RB_Raw!A107</f>
        <v>Blake Watson</v>
      </c>
      <c r="C108" t="s">
        <v>25</v>
      </c>
      <c r="D108">
        <f>_xlfn.IFNA(INDEX(BYEs!E:E,MATCH(B108,BYEs!D:D,0)),"N/A")</f>
        <v>24</v>
      </c>
      <c r="E108">
        <f>INDEX(BYEs!$B$2:$B$34,MATCH(F108,BYEs!$A$2:$A$34,0))</f>
        <v>14</v>
      </c>
      <c r="F108" t="str">
        <f>RB_Raw!B107</f>
        <v>DEN</v>
      </c>
      <c r="G108" s="202">
        <v>0</v>
      </c>
      <c r="H108" s="203">
        <v>0</v>
      </c>
      <c r="I108" s="202">
        <f>RB_Raw!C107</f>
        <v>14.6</v>
      </c>
      <c r="J108" s="200">
        <f>RB_Raw!D107</f>
        <v>84.1</v>
      </c>
      <c r="K108" s="203">
        <f>RB_Raw!E107</f>
        <v>0.7</v>
      </c>
      <c r="L108" s="202">
        <f>RB_Raw!F107</f>
        <v>4</v>
      </c>
      <c r="M108" s="200">
        <f>RB_Raw!G107</f>
        <v>28.6</v>
      </c>
      <c r="N108" s="203">
        <f>RB_Raw!H107</f>
        <v>0.1</v>
      </c>
      <c r="O108" s="200">
        <f>RB_Raw!I107</f>
        <v>0</v>
      </c>
      <c r="P108" s="205">
        <f t="shared" si="30"/>
        <v>18.07</v>
      </c>
      <c r="Q108" t="str">
        <f t="shared" ca="1" si="31"/>
        <v>Undrafted</v>
      </c>
      <c r="R108">
        <f t="shared" ca="1" si="32"/>
        <v>0</v>
      </c>
      <c r="S108">
        <f t="shared" ca="1" si="33"/>
        <v>-85.610000000000014</v>
      </c>
      <c r="T108" s="84">
        <f t="shared" ca="1" si="34"/>
        <v>-14.123899602186055</v>
      </c>
      <c r="U108" s="84">
        <f ca="1">T108*Auction!$A$2</f>
        <v>-14.123899602186055</v>
      </c>
      <c r="V108" s="5" t="str">
        <f>IF(OR(INDEX(Auction!$H$13:$H$650,MATCH(B108,Auction!$A$13:$A$650,0))&gt;0,IFERROR(INDEX(CheatSheet!$M$5:$M$64,MATCH(B108,CheatSheet!$J$5:$J$64,0)),"")&lt;&gt;""),"Yes","No")</f>
        <v>No</v>
      </c>
      <c r="W108" s="175"/>
      <c r="Y108" s="77">
        <f t="shared" ca="1" si="35"/>
        <v>1</v>
      </c>
      <c r="Z108" s="174">
        <f t="shared" ca="1" si="36"/>
        <v>-42.805000000000007</v>
      </c>
      <c r="AA108" t="str">
        <f t="shared" ca="1" si="28"/>
        <v>RB8</v>
      </c>
      <c r="AB108" s="174">
        <f ca="1">Z108*LeagueInfo!$H$5</f>
        <v>-13.823882328699128</v>
      </c>
      <c r="AC108" s="174">
        <f t="shared" ca="1" si="37"/>
        <v>-0.79074956536556096</v>
      </c>
    </row>
    <row r="109" spans="1:29" x14ac:dyDescent="0.35">
      <c r="A109">
        <f t="shared" si="29"/>
        <v>107</v>
      </c>
      <c r="B109" t="str">
        <f>RB_Raw!A106</f>
        <v>Julius Chestnut</v>
      </c>
      <c r="C109" t="s">
        <v>25</v>
      </c>
      <c r="D109" t="str">
        <f>_xlfn.IFNA(INDEX(BYEs!E:E,MATCH(B109,BYEs!D:D,0)),"N/A")</f>
        <v>N/A</v>
      </c>
      <c r="E109">
        <f>INDEX(BYEs!$B$2:$B$34,MATCH(F109,BYEs!$A$2:$A$34,0))</f>
        <v>5</v>
      </c>
      <c r="F109" t="str">
        <f>RB_Raw!B106</f>
        <v>TEN</v>
      </c>
      <c r="G109" s="202">
        <v>0</v>
      </c>
      <c r="H109" s="203">
        <v>0</v>
      </c>
      <c r="I109" s="202">
        <f>RB_Raw!C106</f>
        <v>20.7</v>
      </c>
      <c r="J109" s="200">
        <f>RB_Raw!D106</f>
        <v>81</v>
      </c>
      <c r="K109" s="203">
        <f>RB_Raw!E106</f>
        <v>0.6</v>
      </c>
      <c r="L109" s="202">
        <f>RB_Raw!F106</f>
        <v>4.5</v>
      </c>
      <c r="M109" s="200">
        <f>RB_Raw!G106</f>
        <v>34.799999999999997</v>
      </c>
      <c r="N109" s="203">
        <f>RB_Raw!H106</f>
        <v>0.1</v>
      </c>
      <c r="O109" s="200">
        <f>RB_Raw!I106</f>
        <v>0.1</v>
      </c>
      <c r="P109" s="205">
        <f t="shared" si="30"/>
        <v>17.830000000000002</v>
      </c>
      <c r="Q109" t="str">
        <f t="shared" ca="1" si="31"/>
        <v>Undrafted</v>
      </c>
      <c r="R109">
        <f t="shared" ca="1" si="32"/>
        <v>0</v>
      </c>
      <c r="S109">
        <f t="shared" ca="1" si="33"/>
        <v>-85.850000000000009</v>
      </c>
      <c r="T109" s="84">
        <f t="shared" ca="1" si="34"/>
        <v>-14.163494695101889</v>
      </c>
      <c r="U109" s="84">
        <f ca="1">T109*Auction!$A$2</f>
        <v>-14.163494695101889</v>
      </c>
      <c r="V109" s="5" t="str">
        <f>IF(OR(INDEX(Auction!$H$13:$H$650,MATCH(B109,Auction!$A$13:$A$650,0))&gt;0,IFERROR(INDEX(CheatSheet!$M$5:$M$64,MATCH(B109,CheatSheet!$J$5:$J$64,0)),"")&lt;&gt;""),"Yes","No")</f>
        <v>No</v>
      </c>
      <c r="W109" s="175"/>
      <c r="Y109" s="77">
        <f t="shared" ca="1" si="35"/>
        <v>1</v>
      </c>
      <c r="Z109" s="174">
        <f t="shared" ca="1" si="36"/>
        <v>-42.925000000000004</v>
      </c>
      <c r="AA109" t="str">
        <f t="shared" ca="1" si="28"/>
        <v>RB8</v>
      </c>
      <c r="AB109" s="174">
        <f ca="1">Z109*LeagueInfo!$H$5</f>
        <v>-13.862636349945333</v>
      </c>
      <c r="AC109" s="174">
        <f t="shared" ca="1" si="37"/>
        <v>-0.79329741010567711</v>
      </c>
    </row>
    <row r="110" spans="1:29" x14ac:dyDescent="0.35">
      <c r="A110">
        <f t="shared" si="29"/>
        <v>108</v>
      </c>
      <c r="B110" t="str">
        <f>RB_Raw!A112</f>
        <v>Dare Ogunbowale</v>
      </c>
      <c r="C110" t="s">
        <v>25</v>
      </c>
      <c r="D110" t="str">
        <f>_xlfn.IFNA(INDEX(BYEs!E:E,MATCH(B110,BYEs!D:D,0)),"N/A")</f>
        <v>N/A</v>
      </c>
      <c r="E110">
        <f>INDEX(BYEs!$B$2:$B$34,MATCH(F110,BYEs!$A$2:$A$34,0))</f>
        <v>14</v>
      </c>
      <c r="F110" t="str">
        <f>RB_Raw!B112</f>
        <v>HOU</v>
      </c>
      <c r="G110" s="202">
        <v>0</v>
      </c>
      <c r="H110" s="203">
        <v>0</v>
      </c>
      <c r="I110" s="202">
        <f>RB_Raw!C112</f>
        <v>16.7</v>
      </c>
      <c r="J110" s="200">
        <f>RB_Raw!D112</f>
        <v>56.9</v>
      </c>
      <c r="K110" s="203">
        <f>RB_Raw!E112</f>
        <v>0.4</v>
      </c>
      <c r="L110" s="202">
        <f>RB_Raw!F112</f>
        <v>7.3</v>
      </c>
      <c r="M110" s="200">
        <f>RB_Raw!G112</f>
        <v>54.7</v>
      </c>
      <c r="N110" s="203">
        <f>RB_Raw!H112</f>
        <v>0.1</v>
      </c>
      <c r="O110" s="200">
        <f>RB_Raw!I112</f>
        <v>0</v>
      </c>
      <c r="P110" s="205">
        <f t="shared" si="30"/>
        <v>17.810000000000002</v>
      </c>
      <c r="Q110" t="str">
        <f t="shared" ca="1" si="31"/>
        <v>Undrafted</v>
      </c>
      <c r="R110">
        <f t="shared" ca="1" si="32"/>
        <v>0</v>
      </c>
      <c r="S110">
        <f t="shared" ca="1" si="33"/>
        <v>-85.87</v>
      </c>
      <c r="T110" s="84">
        <f t="shared" ca="1" si="34"/>
        <v>-14.166794286178209</v>
      </c>
      <c r="U110" s="84">
        <f ca="1">T110*Auction!$A$2</f>
        <v>-14.166794286178209</v>
      </c>
      <c r="V110" s="5" t="str">
        <f>IF(OR(INDEX(Auction!$H$13:$H$650,MATCH(B110,Auction!$A$13:$A$650,0))&gt;0,IFERROR(INDEX(CheatSheet!$M$5:$M$64,MATCH(B110,CheatSheet!$J$5:$J$64,0)),"")&lt;&gt;""),"Yes","No")</f>
        <v>No</v>
      </c>
      <c r="W110" s="175"/>
      <c r="Y110" s="77">
        <f t="shared" ca="1" si="35"/>
        <v>1</v>
      </c>
      <c r="Z110" s="174">
        <f t="shared" ca="1" si="36"/>
        <v>-42.935000000000002</v>
      </c>
      <c r="AA110" t="str">
        <f t="shared" ca="1" si="28"/>
        <v>RB8</v>
      </c>
      <c r="AB110" s="174">
        <f ca="1">Z110*LeagueInfo!$H$5</f>
        <v>-13.865865851715849</v>
      </c>
      <c r="AC110" s="174">
        <f t="shared" ca="1" si="37"/>
        <v>-0.79350973050068674</v>
      </c>
    </row>
    <row r="111" spans="1:29" x14ac:dyDescent="0.35">
      <c r="A111">
        <f t="shared" si="29"/>
        <v>109</v>
      </c>
      <c r="B111" t="str">
        <f>RB_Raw!A109</f>
        <v>Hunter Luepke</v>
      </c>
      <c r="C111" t="s">
        <v>25</v>
      </c>
      <c r="D111" t="str">
        <f>_xlfn.IFNA(INDEX(BYEs!E:E,MATCH(B111,BYEs!D:D,0)),"N/A")</f>
        <v>N/A</v>
      </c>
      <c r="E111">
        <f>INDEX(BYEs!$B$2:$B$34,MATCH(F111,BYEs!$A$2:$A$34,0))</f>
        <v>7</v>
      </c>
      <c r="F111" t="str">
        <f>RB_Raw!B109</f>
        <v>DAL</v>
      </c>
      <c r="G111" s="202">
        <v>0</v>
      </c>
      <c r="H111" s="203">
        <v>0</v>
      </c>
      <c r="I111" s="202">
        <f>RB_Raw!C109</f>
        <v>7.4</v>
      </c>
      <c r="J111" s="200">
        <f>RB_Raw!D109</f>
        <v>26.2</v>
      </c>
      <c r="K111" s="203">
        <f>RB_Raw!E109</f>
        <v>1.4</v>
      </c>
      <c r="L111" s="202">
        <f>RB_Raw!F109</f>
        <v>4</v>
      </c>
      <c r="M111" s="200">
        <f>RB_Raw!G109</f>
        <v>27.1</v>
      </c>
      <c r="N111" s="203">
        <f>RB_Raw!H109</f>
        <v>0.2</v>
      </c>
      <c r="O111" s="200">
        <f>RB_Raw!I109</f>
        <v>0</v>
      </c>
      <c r="P111" s="205">
        <f t="shared" si="30"/>
        <v>16.93</v>
      </c>
      <c r="Q111" t="str">
        <f t="shared" ca="1" si="31"/>
        <v>Undrafted</v>
      </c>
      <c r="R111">
        <f t="shared" ca="1" si="32"/>
        <v>0</v>
      </c>
      <c r="S111">
        <f t="shared" ca="1" si="33"/>
        <v>-86.75</v>
      </c>
      <c r="T111" s="84">
        <f t="shared" ca="1" si="34"/>
        <v>-14.31197629353627</v>
      </c>
      <c r="U111" s="84">
        <f ca="1">T111*Auction!$A$2</f>
        <v>-14.31197629353627</v>
      </c>
      <c r="V111" s="5" t="str">
        <f>IF(OR(INDEX(Auction!$H$13:$H$650,MATCH(B111,Auction!$A$13:$A$650,0))&gt;0,IFERROR(INDEX(CheatSheet!$M$5:$M$64,MATCH(B111,CheatSheet!$J$5:$J$64,0)),"")&lt;&gt;""),"Yes","No")</f>
        <v>No</v>
      </c>
      <c r="W111" s="175"/>
      <c r="Y111" s="77">
        <f t="shared" ca="1" si="35"/>
        <v>1</v>
      </c>
      <c r="Z111" s="174">
        <f t="shared" ca="1" si="36"/>
        <v>-43.375</v>
      </c>
      <c r="AA111" t="str">
        <f t="shared" ca="1" si="28"/>
        <v>RB8</v>
      </c>
      <c r="AB111" s="174">
        <f ca="1">Z111*LeagueInfo!$H$5</f>
        <v>-14.007963929618608</v>
      </c>
      <c r="AC111" s="174">
        <f t="shared" ca="1" si="37"/>
        <v>-0.80285182788111265</v>
      </c>
    </row>
    <row r="112" spans="1:29" x14ac:dyDescent="0.35">
      <c r="A112">
        <f t="shared" si="29"/>
        <v>110</v>
      </c>
      <c r="B112" t="str">
        <f>RB_Raw!A110</f>
        <v>Jeff Wilson Jr.</v>
      </c>
      <c r="C112" t="s">
        <v>25</v>
      </c>
      <c r="D112">
        <f>_xlfn.IFNA(INDEX(BYEs!E:E,MATCH(B112,BYEs!D:D,0)),"N/A")</f>
        <v>28</v>
      </c>
      <c r="E112">
        <f>INDEX(BYEs!$B$2:$B$34,MATCH(F112,BYEs!$A$2:$A$34,0))</f>
        <v>6</v>
      </c>
      <c r="F112" t="str">
        <f>RB_Raw!B110</f>
        <v>MIA</v>
      </c>
      <c r="G112" s="202">
        <v>0</v>
      </c>
      <c r="H112" s="203">
        <v>0</v>
      </c>
      <c r="I112" s="202">
        <f>RB_Raw!C110</f>
        <v>15</v>
      </c>
      <c r="J112" s="200">
        <f>RB_Raw!D110</f>
        <v>80.3</v>
      </c>
      <c r="K112" s="203">
        <f>RB_Raw!E110</f>
        <v>0.6</v>
      </c>
      <c r="L112" s="202">
        <f>RB_Raw!F110</f>
        <v>3.2</v>
      </c>
      <c r="M112" s="200">
        <f>RB_Raw!G110</f>
        <v>23.6</v>
      </c>
      <c r="N112" s="203">
        <f>RB_Raw!H110</f>
        <v>0.1</v>
      </c>
      <c r="O112" s="200">
        <f>RB_Raw!I110</f>
        <v>0</v>
      </c>
      <c r="P112" s="205">
        <f t="shared" si="30"/>
        <v>16.190000000000001</v>
      </c>
      <c r="Q112" t="str">
        <f t="shared" ca="1" si="31"/>
        <v>Undrafted</v>
      </c>
      <c r="R112">
        <f t="shared" ca="1" si="32"/>
        <v>0</v>
      </c>
      <c r="S112">
        <f t="shared" ca="1" si="33"/>
        <v>-87.490000000000009</v>
      </c>
      <c r="T112" s="84">
        <f t="shared" ca="1" si="34"/>
        <v>-14.434061163360097</v>
      </c>
      <c r="U112" s="84">
        <f ca="1">T112*Auction!$A$2</f>
        <v>-14.434061163360097</v>
      </c>
      <c r="V112" s="5" t="str">
        <f>IF(OR(INDEX(Auction!$H$13:$H$650,MATCH(B112,Auction!$A$13:$A$650,0))&gt;0,IFERROR(INDEX(CheatSheet!$M$5:$M$64,MATCH(B112,CheatSheet!$J$5:$J$64,0)),"")&lt;&gt;""),"Yes","No")</f>
        <v>No</v>
      </c>
      <c r="W112" s="175"/>
      <c r="Y112" s="77">
        <f t="shared" ca="1" si="35"/>
        <v>1</v>
      </c>
      <c r="Z112" s="174">
        <f t="shared" ca="1" si="36"/>
        <v>-43.745000000000005</v>
      </c>
      <c r="AA112" t="str">
        <f t="shared" ca="1" si="28"/>
        <v>RB8</v>
      </c>
      <c r="AB112" s="174">
        <f ca="1">Z112*LeagueInfo!$H$5</f>
        <v>-14.127455495127748</v>
      </c>
      <c r="AC112" s="174">
        <f t="shared" ca="1" si="37"/>
        <v>-0.81070768249647107</v>
      </c>
    </row>
    <row r="113" spans="1:29" x14ac:dyDescent="0.35">
      <c r="A113">
        <f t="shared" si="29"/>
        <v>111</v>
      </c>
      <c r="B113" t="str">
        <f>RB_Raw!A111</f>
        <v>Sean Tucker</v>
      </c>
      <c r="C113" t="s">
        <v>25</v>
      </c>
      <c r="D113">
        <f>_xlfn.IFNA(INDEX(BYEs!E:E,MATCH(B113,BYEs!D:D,0)),"N/A")</f>
        <v>22</v>
      </c>
      <c r="E113">
        <f>INDEX(BYEs!$B$2:$B$34,MATCH(F113,BYEs!$A$2:$A$34,0))</f>
        <v>11</v>
      </c>
      <c r="F113" t="str">
        <f>RB_Raw!B111</f>
        <v>TB</v>
      </c>
      <c r="G113" s="202">
        <v>0</v>
      </c>
      <c r="H113" s="203">
        <v>0</v>
      </c>
      <c r="I113" s="202">
        <f>RB_Raw!C111</f>
        <v>25.5</v>
      </c>
      <c r="J113" s="200">
        <f>RB_Raw!D111</f>
        <v>80.900000000000006</v>
      </c>
      <c r="K113" s="203">
        <f>RB_Raw!E111</f>
        <v>0.6</v>
      </c>
      <c r="L113" s="202">
        <f>RB_Raw!F111</f>
        <v>2.8</v>
      </c>
      <c r="M113" s="200">
        <f>RB_Raw!G111</f>
        <v>21.4</v>
      </c>
      <c r="N113" s="203">
        <f>RB_Raw!H111</f>
        <v>0.1</v>
      </c>
      <c r="O113" s="200">
        <f>RB_Raw!I111</f>
        <v>0.1</v>
      </c>
      <c r="P113" s="205">
        <f t="shared" si="30"/>
        <v>15.630000000000003</v>
      </c>
      <c r="Q113" t="str">
        <f t="shared" ca="1" si="31"/>
        <v>Undrafted</v>
      </c>
      <c r="R113">
        <f t="shared" ca="1" si="32"/>
        <v>0</v>
      </c>
      <c r="S113">
        <f t="shared" ca="1" si="33"/>
        <v>-88.050000000000011</v>
      </c>
      <c r="T113" s="84">
        <f t="shared" ca="1" si="34"/>
        <v>-14.526449713497046</v>
      </c>
      <c r="U113" s="84">
        <f ca="1">T113*Auction!$A$2</f>
        <v>-14.526449713497046</v>
      </c>
      <c r="V113" s="5" t="str">
        <f>IF(OR(INDEX(Auction!$H$13:$H$650,MATCH(B113,Auction!$A$13:$A$650,0))&gt;0,IFERROR(INDEX(CheatSheet!$M$5:$M$64,MATCH(B113,CheatSheet!$J$5:$J$64,0)),"")&lt;&gt;""),"Yes","No")</f>
        <v>No</v>
      </c>
      <c r="W113" s="175"/>
      <c r="Y113" s="77">
        <f t="shared" ca="1" si="35"/>
        <v>1</v>
      </c>
      <c r="Z113" s="174">
        <f t="shared" ca="1" si="36"/>
        <v>-44.025000000000006</v>
      </c>
      <c r="AA113" t="str">
        <f t="shared" ca="1" si="28"/>
        <v>RB8</v>
      </c>
      <c r="AB113" s="174">
        <f ca="1">Z113*LeagueInfo!$H$5</f>
        <v>-14.217881544702232</v>
      </c>
      <c r="AC113" s="174">
        <f t="shared" ca="1" si="37"/>
        <v>-0.81665265355674221</v>
      </c>
    </row>
    <row r="114" spans="1:29" x14ac:dyDescent="0.35">
      <c r="A114">
        <f t="shared" si="29"/>
        <v>112</v>
      </c>
      <c r="B114" t="str">
        <f>RB_Raw!A116</f>
        <v>Chris Evans</v>
      </c>
      <c r="C114" t="s">
        <v>25</v>
      </c>
      <c r="D114">
        <f>_xlfn.IFNA(INDEX(BYEs!E:E,MATCH(B114,BYEs!D:D,0)),"N/A")</f>
        <v>26</v>
      </c>
      <c r="E114">
        <f>INDEX(BYEs!$B$2:$B$34,MATCH(F114,BYEs!$A$2:$A$34,0))</f>
        <v>12</v>
      </c>
      <c r="F114" t="str">
        <f>RB_Raw!B116</f>
        <v>CIN</v>
      </c>
      <c r="G114" s="202">
        <v>0</v>
      </c>
      <c r="H114" s="203">
        <v>0</v>
      </c>
      <c r="I114" s="202">
        <f>RB_Raw!C116</f>
        <v>0</v>
      </c>
      <c r="J114" s="200">
        <f>RB_Raw!D116</f>
        <v>38</v>
      </c>
      <c r="K114" s="203">
        <f>RB_Raw!E116</f>
        <v>0</v>
      </c>
      <c r="L114" s="202">
        <f>RB_Raw!F116</f>
        <v>9</v>
      </c>
      <c r="M114" s="200">
        <f>RB_Raw!G116</f>
        <v>65</v>
      </c>
      <c r="N114" s="203">
        <f>RB_Raw!H116</f>
        <v>0</v>
      </c>
      <c r="O114" s="200">
        <f>RB_Raw!I116</f>
        <v>0</v>
      </c>
      <c r="P114" s="205">
        <f t="shared" si="30"/>
        <v>14.8</v>
      </c>
      <c r="Q114" t="str">
        <f t="shared" ca="1" si="31"/>
        <v>Undrafted</v>
      </c>
      <c r="R114">
        <f t="shared" ca="1" si="32"/>
        <v>0</v>
      </c>
      <c r="S114">
        <f t="shared" ca="1" si="33"/>
        <v>-88.88000000000001</v>
      </c>
      <c r="T114" s="84">
        <f t="shared" ca="1" si="34"/>
        <v>-14.663382743164309</v>
      </c>
      <c r="U114" s="84">
        <f ca="1">T114*Auction!$A$2</f>
        <v>-14.663382743164309</v>
      </c>
      <c r="V114" s="5" t="str">
        <f>IF(OR(INDEX(Auction!$H$13:$H$650,MATCH(B114,Auction!$A$13:$A$650,0))&gt;0,IFERROR(INDEX(CheatSheet!$M$5:$M$64,MATCH(B114,CheatSheet!$J$5:$J$64,0)),"")&lt;&gt;""),"Yes","No")</f>
        <v>No</v>
      </c>
      <c r="W114" s="175"/>
      <c r="Y114" s="77">
        <f t="shared" ca="1" si="35"/>
        <v>1</v>
      </c>
      <c r="Z114" s="174">
        <f t="shared" ca="1" si="36"/>
        <v>-44.440000000000005</v>
      </c>
      <c r="AA114" t="str">
        <f t="shared" ca="1" si="28"/>
        <v>RB8</v>
      </c>
      <c r="AB114" s="174">
        <f ca="1">Z114*LeagueInfo!$H$5</f>
        <v>-14.351905868178699</v>
      </c>
      <c r="AC114" s="174">
        <f t="shared" ca="1" si="37"/>
        <v>-0.825463949949644</v>
      </c>
    </row>
    <row r="115" spans="1:29" x14ac:dyDescent="0.35">
      <c r="A115">
        <f t="shared" si="29"/>
        <v>113</v>
      </c>
      <c r="B115" t="str">
        <f>RB_Raw!A113</f>
        <v>Jordan Mims</v>
      </c>
      <c r="C115" t="s">
        <v>25</v>
      </c>
      <c r="D115" t="str">
        <f>_xlfn.IFNA(INDEX(BYEs!E:E,MATCH(B115,BYEs!D:D,0)),"N/A")</f>
        <v>N/A</v>
      </c>
      <c r="E115">
        <f>INDEX(BYEs!$B$2:$B$34,MATCH(F115,BYEs!$A$2:$A$34,0))</f>
        <v>12</v>
      </c>
      <c r="F115" t="str">
        <f>RB_Raw!B113</f>
        <v>NO</v>
      </c>
      <c r="G115" s="202">
        <v>0</v>
      </c>
      <c r="H115" s="203">
        <v>0</v>
      </c>
      <c r="I115" s="202">
        <f>RB_Raw!C113</f>
        <v>14.6</v>
      </c>
      <c r="J115" s="200">
        <f>RB_Raw!D113</f>
        <v>58.5</v>
      </c>
      <c r="K115" s="203">
        <f>RB_Raw!E113</f>
        <v>0.6</v>
      </c>
      <c r="L115" s="202">
        <f>RB_Raw!F113</f>
        <v>3.5</v>
      </c>
      <c r="M115" s="200">
        <f>RB_Raw!G113</f>
        <v>25.3</v>
      </c>
      <c r="N115" s="203">
        <f>RB_Raw!H113</f>
        <v>0.1</v>
      </c>
      <c r="O115" s="200">
        <f>RB_Raw!I113</f>
        <v>0</v>
      </c>
      <c r="P115" s="205">
        <f t="shared" si="30"/>
        <v>14.33</v>
      </c>
      <c r="Q115" t="str">
        <f t="shared" ca="1" si="31"/>
        <v>Undrafted</v>
      </c>
      <c r="R115">
        <f t="shared" ca="1" si="32"/>
        <v>0</v>
      </c>
      <c r="S115">
        <f t="shared" ca="1" si="33"/>
        <v>-89.350000000000009</v>
      </c>
      <c r="T115" s="84">
        <f t="shared" ca="1" si="34"/>
        <v>-14.740923133457819</v>
      </c>
      <c r="U115" s="84">
        <f ca="1">T115*Auction!$A$2</f>
        <v>-14.740923133457819</v>
      </c>
      <c r="V115" s="5" t="str">
        <f>IF(OR(INDEX(Auction!$H$13:$H$650,MATCH(B115,Auction!$A$13:$A$650,0))&gt;0,IFERROR(INDEX(CheatSheet!$M$5:$M$64,MATCH(B115,CheatSheet!$J$5:$J$64,0)),"")&lt;&gt;""),"Yes","No")</f>
        <v>No</v>
      </c>
      <c r="W115" s="175"/>
      <c r="Y115" s="77">
        <f t="shared" ca="1" si="35"/>
        <v>1</v>
      </c>
      <c r="Z115" s="174">
        <f t="shared" ca="1" si="36"/>
        <v>-44.675000000000004</v>
      </c>
      <c r="AA115" t="str">
        <f t="shared" ca="1" si="28"/>
        <v>RB8</v>
      </c>
      <c r="AB115" s="174">
        <f ca="1">Z115*LeagueInfo!$H$5</f>
        <v>-14.427799159785854</v>
      </c>
      <c r="AC115" s="174">
        <f t="shared" ca="1" si="37"/>
        <v>-0.83045347923237156</v>
      </c>
    </row>
    <row r="116" spans="1:29" x14ac:dyDescent="0.35">
      <c r="A116">
        <f t="shared" si="29"/>
        <v>114</v>
      </c>
      <c r="B116" t="str">
        <f>RB_Raw!A115</f>
        <v>Carlos Washington Jr.</v>
      </c>
      <c r="C116" t="s">
        <v>25</v>
      </c>
      <c r="D116" t="str">
        <f>_xlfn.IFNA(INDEX(BYEs!E:E,MATCH(B116,BYEs!D:D,0)),"N/A")</f>
        <v>N/A</v>
      </c>
      <c r="E116">
        <f>INDEX(BYEs!$B$2:$B$34,MATCH(F116,BYEs!$A$2:$A$34,0))</f>
        <v>12</v>
      </c>
      <c r="F116" t="str">
        <f>RB_Raw!B115</f>
        <v>ATL</v>
      </c>
      <c r="G116" s="202">
        <v>0</v>
      </c>
      <c r="H116" s="203">
        <v>0</v>
      </c>
      <c r="I116" s="202">
        <f>RB_Raw!C115</f>
        <v>0</v>
      </c>
      <c r="J116" s="200">
        <f>RB_Raw!D115</f>
        <v>37</v>
      </c>
      <c r="K116" s="203">
        <f>RB_Raw!E115</f>
        <v>1</v>
      </c>
      <c r="L116" s="202">
        <f>RB_Raw!F115</f>
        <v>4</v>
      </c>
      <c r="M116" s="200">
        <f>RB_Raw!G115</f>
        <v>22</v>
      </c>
      <c r="N116" s="203">
        <f>RB_Raw!H115</f>
        <v>0</v>
      </c>
      <c r="O116" s="200">
        <f>RB_Raw!I115</f>
        <v>0</v>
      </c>
      <c r="P116" s="205">
        <f t="shared" si="30"/>
        <v>13.899999999999999</v>
      </c>
      <c r="Q116" t="str">
        <f t="shared" ca="1" si="31"/>
        <v>Undrafted</v>
      </c>
      <c r="R116">
        <f t="shared" ca="1" si="32"/>
        <v>0</v>
      </c>
      <c r="S116">
        <f t="shared" ca="1" si="33"/>
        <v>-89.78</v>
      </c>
      <c r="T116" s="84">
        <f t="shared" ca="1" si="34"/>
        <v>-14.811864341598691</v>
      </c>
      <c r="U116" s="84">
        <f ca="1">T116*Auction!$A$2</f>
        <v>-14.811864341598691</v>
      </c>
      <c r="V116" s="5" t="str">
        <f>IF(OR(INDEX(Auction!$H$13:$H$650,MATCH(B116,Auction!$A$13:$A$650,0))&gt;0,IFERROR(INDEX(CheatSheet!$M$5:$M$64,MATCH(B116,CheatSheet!$J$5:$J$64,0)),"")&lt;&gt;""),"Yes","No")</f>
        <v>No</v>
      </c>
      <c r="W116" s="175"/>
      <c r="Y116" s="77">
        <f t="shared" ca="1" si="35"/>
        <v>1</v>
      </c>
      <c r="Z116" s="174">
        <f t="shared" ca="1" si="36"/>
        <v>-44.89</v>
      </c>
      <c r="AA116" t="str">
        <f t="shared" ca="1" si="28"/>
        <v>RB8</v>
      </c>
      <c r="AB116" s="174">
        <f ca="1">Z116*LeagueInfo!$H$5</f>
        <v>-14.497233447851974</v>
      </c>
      <c r="AC116" s="174">
        <f t="shared" ca="1" si="37"/>
        <v>-0.83501836772507965</v>
      </c>
    </row>
    <row r="117" spans="1:29" x14ac:dyDescent="0.35">
      <c r="A117">
        <f t="shared" si="29"/>
        <v>115</v>
      </c>
      <c r="B117" t="str">
        <f>RB_Raw!A114</f>
        <v>Cody Schrader</v>
      </c>
      <c r="C117" t="s">
        <v>25</v>
      </c>
      <c r="D117">
        <f>_xlfn.IFNA(INDEX(BYEs!E:E,MATCH(B117,BYEs!D:D,0)),"N/A")</f>
        <v>24</v>
      </c>
      <c r="E117">
        <f>INDEX(BYEs!$B$2:$B$34,MATCH(F117,BYEs!$A$2:$A$34,0))</f>
        <v>6</v>
      </c>
      <c r="F117" t="str">
        <f>RB_Raw!B114</f>
        <v>LAR</v>
      </c>
      <c r="G117" s="202">
        <v>0</v>
      </c>
      <c r="H117" s="203">
        <v>0</v>
      </c>
      <c r="I117" s="202">
        <f>RB_Raw!C114</f>
        <v>31</v>
      </c>
      <c r="J117" s="200">
        <f>RB_Raw!D114</f>
        <v>77</v>
      </c>
      <c r="K117" s="203">
        <f>RB_Raw!E114</f>
        <v>0.5</v>
      </c>
      <c r="L117" s="202">
        <f>RB_Raw!F114</f>
        <v>2</v>
      </c>
      <c r="M117" s="200">
        <f>RB_Raw!G114</f>
        <v>14</v>
      </c>
      <c r="N117" s="203">
        <f>RB_Raw!H114</f>
        <v>0</v>
      </c>
      <c r="O117" s="200">
        <f>RB_Raw!I114</f>
        <v>0</v>
      </c>
      <c r="P117" s="205">
        <f t="shared" si="30"/>
        <v>13.1</v>
      </c>
      <c r="Q117" t="str">
        <f t="shared" ca="1" si="31"/>
        <v>Undrafted</v>
      </c>
      <c r="R117">
        <f t="shared" ca="1" si="32"/>
        <v>0</v>
      </c>
      <c r="S117">
        <f t="shared" ca="1" si="33"/>
        <v>-90.580000000000013</v>
      </c>
      <c r="T117" s="84">
        <f t="shared" ca="1" si="34"/>
        <v>-14.943847984651477</v>
      </c>
      <c r="U117" s="84">
        <f ca="1">T117*Auction!$A$2</f>
        <v>-14.943847984651477</v>
      </c>
      <c r="V117" s="5" t="str">
        <f>IF(OR(INDEX(Auction!$H$13:$H$650,MATCH(B117,Auction!$A$13:$A$650,0))&gt;0,IFERROR(INDEX(CheatSheet!$M$5:$M$64,MATCH(B117,CheatSheet!$J$5:$J$64,0)),"")&lt;&gt;""),"Yes","No")</f>
        <v>No</v>
      </c>
      <c r="W117" s="175"/>
      <c r="Y117" s="77">
        <f t="shared" ca="1" si="35"/>
        <v>1</v>
      </c>
      <c r="Z117" s="174">
        <f t="shared" ca="1" si="36"/>
        <v>-45.290000000000006</v>
      </c>
      <c r="AA117" t="str">
        <f t="shared" ca="1" si="28"/>
        <v>RB8</v>
      </c>
      <c r="AB117" s="174">
        <f ca="1">Z117*LeagueInfo!$H$5</f>
        <v>-14.626413518672665</v>
      </c>
      <c r="AC117" s="174">
        <f t="shared" ca="1" si="37"/>
        <v>-0.84351118352546706</v>
      </c>
    </row>
    <row r="118" spans="1:29" x14ac:dyDescent="0.35">
      <c r="A118">
        <f t="shared" si="29"/>
        <v>116</v>
      </c>
      <c r="B118" t="str">
        <f>RB_Raw!A121</f>
        <v>Alec Ingold</v>
      </c>
      <c r="C118" t="s">
        <v>25</v>
      </c>
      <c r="D118" t="str">
        <f>_xlfn.IFNA(INDEX(BYEs!E:E,MATCH(B118,BYEs!D:D,0)),"N/A")</f>
        <v>N/A</v>
      </c>
      <c r="E118">
        <f>INDEX(BYEs!$B$2:$B$34,MATCH(F118,BYEs!$A$2:$A$34,0))</f>
        <v>6</v>
      </c>
      <c r="F118" t="str">
        <f>RB_Raw!B121</f>
        <v>MIA</v>
      </c>
      <c r="G118" s="202">
        <v>0</v>
      </c>
      <c r="H118" s="203">
        <v>0</v>
      </c>
      <c r="I118" s="202">
        <f>RB_Raw!C121</f>
        <v>1.1000000000000001</v>
      </c>
      <c r="J118" s="200">
        <f>RB_Raw!D121</f>
        <v>4.4000000000000004</v>
      </c>
      <c r="K118" s="203">
        <f>RB_Raw!E121</f>
        <v>0</v>
      </c>
      <c r="L118" s="202">
        <f>RB_Raw!F121</f>
        <v>7.6</v>
      </c>
      <c r="M118" s="200">
        <f>RB_Raw!G121</f>
        <v>55.5</v>
      </c>
      <c r="N118" s="203">
        <f>RB_Raw!H121</f>
        <v>0.3</v>
      </c>
      <c r="O118" s="200">
        <f>RB_Raw!I121</f>
        <v>0.1</v>
      </c>
      <c r="P118" s="205">
        <f t="shared" si="30"/>
        <v>11.39</v>
      </c>
      <c r="Q118" t="str">
        <f t="shared" ca="1" si="31"/>
        <v>Undrafted</v>
      </c>
      <c r="R118">
        <f t="shared" ca="1" si="32"/>
        <v>0</v>
      </c>
      <c r="S118">
        <f t="shared" ca="1" si="33"/>
        <v>-92.29</v>
      </c>
      <c r="T118" s="84">
        <f t="shared" ca="1" si="34"/>
        <v>-15.225963021676801</v>
      </c>
      <c r="U118" s="84">
        <f ca="1">T118*Auction!$A$2</f>
        <v>-15.225963021676801</v>
      </c>
      <c r="V118" s="5" t="str">
        <f>IF(OR(INDEX(Auction!$H$13:$H$650,MATCH(B118,Auction!$A$13:$A$650,0))&gt;0,IFERROR(INDEX(CheatSheet!$M$5:$M$64,MATCH(B118,CheatSheet!$J$5:$J$64,0)),"")&lt;&gt;""),"Yes","No")</f>
        <v>No</v>
      </c>
      <c r="W118" s="175"/>
      <c r="Y118" s="77">
        <f t="shared" ca="1" si="35"/>
        <v>1</v>
      </c>
      <c r="Z118" s="174">
        <f t="shared" ca="1" si="36"/>
        <v>-46.145000000000003</v>
      </c>
      <c r="AA118" t="str">
        <f t="shared" ca="1" si="28"/>
        <v>RB8</v>
      </c>
      <c r="AB118" s="174">
        <f ca="1">Z118*LeagueInfo!$H$5</f>
        <v>-14.902535920051891</v>
      </c>
      <c r="AC118" s="174">
        <f t="shared" ca="1" si="37"/>
        <v>-0.86166457729879486</v>
      </c>
    </row>
    <row r="119" spans="1:29" x14ac:dyDescent="0.35">
      <c r="A119">
        <f t="shared" si="29"/>
        <v>117</v>
      </c>
      <c r="B119" t="str">
        <f>RB_Raw!A117</f>
        <v>Israel Abanikanda</v>
      </c>
      <c r="C119" t="s">
        <v>25</v>
      </c>
      <c r="D119">
        <f>_xlfn.IFNA(INDEX(BYEs!E:E,MATCH(B119,BYEs!D:D,0)),"N/A")</f>
        <v>21</v>
      </c>
      <c r="E119">
        <f>INDEX(BYEs!$B$2:$B$34,MATCH(F119,BYEs!$A$2:$A$34,0))</f>
        <v>12</v>
      </c>
      <c r="F119" t="str">
        <f>RB_Raw!B117</f>
        <v>NYJ</v>
      </c>
      <c r="G119" s="202">
        <v>0</v>
      </c>
      <c r="H119" s="203">
        <v>0</v>
      </c>
      <c r="I119" s="202">
        <f>RB_Raw!C117</f>
        <v>14.9</v>
      </c>
      <c r="J119" s="200">
        <f>RB_Raw!D117</f>
        <v>57.5</v>
      </c>
      <c r="K119" s="203">
        <f>RB_Raw!E117</f>
        <v>0.3</v>
      </c>
      <c r="L119" s="202">
        <f>RB_Raw!F117</f>
        <v>2.7</v>
      </c>
      <c r="M119" s="200">
        <f>RB_Raw!G117</f>
        <v>19</v>
      </c>
      <c r="N119" s="203">
        <f>RB_Raw!H117</f>
        <v>0.1</v>
      </c>
      <c r="O119" s="200">
        <f>RB_Raw!I117</f>
        <v>0.1</v>
      </c>
      <c r="P119" s="205">
        <f t="shared" si="30"/>
        <v>11.200000000000001</v>
      </c>
      <c r="Q119" t="str">
        <f t="shared" ca="1" si="31"/>
        <v>Undrafted</v>
      </c>
      <c r="R119">
        <f t="shared" ca="1" si="32"/>
        <v>0</v>
      </c>
      <c r="S119">
        <f t="shared" ca="1" si="33"/>
        <v>-92.48</v>
      </c>
      <c r="T119" s="84">
        <f t="shared" ca="1" si="34"/>
        <v>-15.257309136901837</v>
      </c>
      <c r="U119" s="84">
        <f ca="1">T119*Auction!$A$2</f>
        <v>-15.257309136901837</v>
      </c>
      <c r="V119" s="5" t="str">
        <f>IF(OR(INDEX(Auction!$H$13:$H$650,MATCH(B119,Auction!$A$13:$A$650,0))&gt;0,IFERROR(INDEX(CheatSheet!$M$5:$M$64,MATCH(B119,CheatSheet!$J$5:$J$64,0)),"")&lt;&gt;""),"Yes","No")</f>
        <v>No</v>
      </c>
      <c r="W119" s="175"/>
      <c r="Y119" s="77">
        <f t="shared" ca="1" si="35"/>
        <v>1</v>
      </c>
      <c r="Z119" s="174">
        <f t="shared" ca="1" si="36"/>
        <v>-46.24</v>
      </c>
      <c r="AA119" t="str">
        <f t="shared" ca="1" si="28"/>
        <v>RB8</v>
      </c>
      <c r="AB119" s="174">
        <f ca="1">Z119*LeagueInfo!$H$5</f>
        <v>-14.933216186871803</v>
      </c>
      <c r="AC119" s="174">
        <f t="shared" ca="1" si="37"/>
        <v>-0.86368162105138679</v>
      </c>
    </row>
    <row r="120" spans="1:29" x14ac:dyDescent="0.35">
      <c r="A120">
        <f t="shared" si="29"/>
        <v>118</v>
      </c>
      <c r="B120" t="str">
        <f>RB_Raw!A119</f>
        <v>Raheem Blackshear</v>
      </c>
      <c r="C120" t="s">
        <v>25</v>
      </c>
      <c r="D120" t="str">
        <f>_xlfn.IFNA(INDEX(BYEs!E:E,MATCH(B120,BYEs!D:D,0)),"N/A")</f>
        <v>N/A</v>
      </c>
      <c r="E120">
        <f>INDEX(BYEs!$B$2:$B$34,MATCH(F120,BYEs!$A$2:$A$34,0))</f>
        <v>11</v>
      </c>
      <c r="F120" t="str">
        <f>RB_Raw!B119</f>
        <v>CAR</v>
      </c>
      <c r="G120" s="202">
        <v>0</v>
      </c>
      <c r="H120" s="203">
        <v>0</v>
      </c>
      <c r="I120" s="202">
        <f>RB_Raw!C119</f>
        <v>7.2</v>
      </c>
      <c r="J120" s="200">
        <f>RB_Raw!D119</f>
        <v>38.6</v>
      </c>
      <c r="K120" s="203">
        <f>RB_Raw!E119</f>
        <v>0.2</v>
      </c>
      <c r="L120" s="202">
        <f>RB_Raw!F119</f>
        <v>4.7</v>
      </c>
      <c r="M120" s="200">
        <f>RB_Raw!G119</f>
        <v>34.6</v>
      </c>
      <c r="N120" s="203">
        <f>RB_Raw!H119</f>
        <v>0</v>
      </c>
      <c r="O120" s="200">
        <f>RB_Raw!I119</f>
        <v>0</v>
      </c>
      <c r="P120" s="205">
        <f t="shared" si="30"/>
        <v>10.870000000000001</v>
      </c>
      <c r="Q120" t="str">
        <f t="shared" ca="1" si="31"/>
        <v>Undrafted</v>
      </c>
      <c r="R120">
        <f t="shared" ca="1" si="32"/>
        <v>0</v>
      </c>
      <c r="S120">
        <f t="shared" ca="1" si="33"/>
        <v>-92.81</v>
      </c>
      <c r="T120" s="84">
        <f t="shared" ca="1" si="34"/>
        <v>-15.311752389661111</v>
      </c>
      <c r="U120" s="84">
        <f ca="1">T120*Auction!$A$2</f>
        <v>-15.311752389661111</v>
      </c>
      <c r="V120" s="5" t="str">
        <f>IF(OR(INDEX(Auction!$H$13:$H$650,MATCH(B120,Auction!$A$13:$A$650,0))&gt;0,IFERROR(INDEX(CheatSheet!$M$5:$M$64,MATCH(B120,CheatSheet!$J$5:$J$64,0)),"")&lt;&gt;""),"Yes","No")</f>
        <v>No</v>
      </c>
      <c r="W120" s="175"/>
      <c r="Y120" s="77">
        <f t="shared" ca="1" si="35"/>
        <v>1</v>
      </c>
      <c r="Z120" s="174">
        <f t="shared" ca="1" si="36"/>
        <v>-46.405000000000001</v>
      </c>
      <c r="AA120" t="str">
        <f t="shared" ca="1" si="28"/>
        <v>RB8</v>
      </c>
      <c r="AB120" s="174">
        <f ca="1">Z120*LeagueInfo!$H$5</f>
        <v>-14.986502966085338</v>
      </c>
      <c r="AC120" s="174">
        <f t="shared" ca="1" si="37"/>
        <v>-0.86718490756904654</v>
      </c>
    </row>
    <row r="121" spans="1:29" x14ac:dyDescent="0.35">
      <c r="A121">
        <f t="shared" si="29"/>
        <v>119</v>
      </c>
      <c r="B121" t="str">
        <f>RB_Raw!A118</f>
        <v>Avery Williams</v>
      </c>
      <c r="C121" t="s">
        <v>25</v>
      </c>
      <c r="D121" t="str">
        <f>_xlfn.IFNA(INDEX(BYEs!E:E,MATCH(B121,BYEs!D:D,0)),"N/A")</f>
        <v>N/A</v>
      </c>
      <c r="E121">
        <f>INDEX(BYEs!$B$2:$B$34,MATCH(F121,BYEs!$A$2:$A$34,0))</f>
        <v>12</v>
      </c>
      <c r="F121" t="str">
        <f>RB_Raw!B118</f>
        <v>ATL</v>
      </c>
      <c r="G121" s="202">
        <v>0</v>
      </c>
      <c r="H121" s="203">
        <v>0</v>
      </c>
      <c r="I121" s="202">
        <f>RB_Raw!C118</f>
        <v>7.6</v>
      </c>
      <c r="J121" s="200">
        <f>RB_Raw!D118</f>
        <v>35</v>
      </c>
      <c r="K121" s="203">
        <f>RB_Raw!E118</f>
        <v>0.4</v>
      </c>
      <c r="L121" s="202">
        <f>RB_Raw!F118</f>
        <v>3.9</v>
      </c>
      <c r="M121" s="200">
        <f>RB_Raw!G118</f>
        <v>23.2</v>
      </c>
      <c r="N121" s="203">
        <f>RB_Raw!H118</f>
        <v>0.1</v>
      </c>
      <c r="O121" s="200">
        <f>RB_Raw!I118</f>
        <v>0</v>
      </c>
      <c r="P121" s="205">
        <f t="shared" si="30"/>
        <v>10.77</v>
      </c>
      <c r="Q121" t="str">
        <f t="shared" ca="1" si="31"/>
        <v>Undrafted</v>
      </c>
      <c r="R121">
        <f t="shared" ca="1" si="32"/>
        <v>0</v>
      </c>
      <c r="S121">
        <f t="shared" ca="1" si="33"/>
        <v>-92.910000000000011</v>
      </c>
      <c r="T121" s="84">
        <f t="shared" ca="1" si="34"/>
        <v>-15.32825034504271</v>
      </c>
      <c r="U121" s="84">
        <f ca="1">T121*Auction!$A$2</f>
        <v>-15.32825034504271</v>
      </c>
      <c r="V121" s="5" t="str">
        <f>IF(OR(INDEX(Auction!$H$13:$H$650,MATCH(B121,Auction!$A$13:$A$650,0))&gt;0,IFERROR(INDEX(CheatSheet!$M$5:$M$64,MATCH(B121,CheatSheet!$J$5:$J$64,0)),"")&lt;&gt;""),"Yes","No")</f>
        <v>No</v>
      </c>
      <c r="W121" s="175"/>
      <c r="Y121" s="77">
        <f t="shared" ca="1" si="35"/>
        <v>1</v>
      </c>
      <c r="Z121" s="174">
        <f t="shared" ca="1" si="36"/>
        <v>-46.455000000000005</v>
      </c>
      <c r="AA121" t="str">
        <f t="shared" ca="1" si="28"/>
        <v>RB8</v>
      </c>
      <c r="AB121" s="174">
        <f ca="1">Z121*LeagueInfo!$H$5</f>
        <v>-15.002650474937926</v>
      </c>
      <c r="AC121" s="174">
        <f t="shared" ca="1" si="37"/>
        <v>-0.86824650954409499</v>
      </c>
    </row>
    <row r="122" spans="1:29" x14ac:dyDescent="0.35">
      <c r="A122">
        <f t="shared" si="29"/>
        <v>120</v>
      </c>
      <c r="B122" t="str">
        <f>RB_Raw!A120</f>
        <v>Malik Davis</v>
      </c>
      <c r="C122" t="s">
        <v>25</v>
      </c>
      <c r="D122">
        <f>_xlfn.IFNA(INDEX(BYEs!E:E,MATCH(B122,BYEs!D:D,0)),"N/A")</f>
        <v>25</v>
      </c>
      <c r="E122">
        <f>INDEX(BYEs!$B$2:$B$34,MATCH(F122,BYEs!$A$2:$A$34,0))</f>
        <v>7</v>
      </c>
      <c r="F122" t="str">
        <f>RB_Raw!B120</f>
        <v>DAL</v>
      </c>
      <c r="G122" s="202">
        <v>0</v>
      </c>
      <c r="H122" s="203">
        <v>0</v>
      </c>
      <c r="I122" s="202">
        <f>RB_Raw!C120</f>
        <v>0</v>
      </c>
      <c r="J122" s="200">
        <f>RB_Raw!D120</f>
        <v>55</v>
      </c>
      <c r="K122" s="203">
        <f>RB_Raw!E120</f>
        <v>0</v>
      </c>
      <c r="L122" s="202">
        <f>RB_Raw!F120</f>
        <v>3</v>
      </c>
      <c r="M122" s="200">
        <f>RB_Raw!G120</f>
        <v>23</v>
      </c>
      <c r="N122" s="203">
        <f>RB_Raw!H120</f>
        <v>0</v>
      </c>
      <c r="O122" s="200">
        <f>RB_Raw!I120</f>
        <v>0</v>
      </c>
      <c r="P122" s="205">
        <f t="shared" si="30"/>
        <v>9.3000000000000007</v>
      </c>
      <c r="Q122" t="str">
        <f t="shared" ca="1" si="31"/>
        <v>Undrafted</v>
      </c>
      <c r="R122">
        <f t="shared" ca="1" si="32"/>
        <v>0</v>
      </c>
      <c r="S122">
        <f t="shared" ca="1" si="33"/>
        <v>-94.38000000000001</v>
      </c>
      <c r="T122" s="84">
        <f t="shared" ca="1" si="34"/>
        <v>-15.5707702891522</v>
      </c>
      <c r="U122" s="84">
        <f ca="1">T122*Auction!$A$2</f>
        <v>-15.5707702891522</v>
      </c>
      <c r="V122" s="5" t="str">
        <f>IF(OR(INDEX(Auction!$H$13:$H$650,MATCH(B122,Auction!$A$13:$A$650,0))&gt;0,IFERROR(INDEX(CheatSheet!$M$5:$M$64,MATCH(B122,CheatSheet!$J$5:$J$64,0)),"")&lt;&gt;""),"Yes","No")</f>
        <v>No</v>
      </c>
      <c r="W122" s="175"/>
      <c r="Y122" s="77">
        <f t="shared" ca="1" si="35"/>
        <v>1</v>
      </c>
      <c r="Z122" s="174">
        <f t="shared" ca="1" si="36"/>
        <v>-47.190000000000005</v>
      </c>
      <c r="AA122" t="str">
        <f t="shared" ca="1" si="28"/>
        <v>RB8</v>
      </c>
      <c r="AB122" s="174">
        <f ca="1">Z122*LeagueInfo!$H$5</f>
        <v>-15.240018855070945</v>
      </c>
      <c r="AC122" s="174">
        <f t="shared" ca="1" si="37"/>
        <v>-0.88385205857730664</v>
      </c>
    </row>
    <row r="123" spans="1:29" x14ac:dyDescent="0.35">
      <c r="A123">
        <f t="shared" si="29"/>
        <v>121</v>
      </c>
      <c r="B123" t="str">
        <f>RB_Raw!A124</f>
        <v>Trayveon Williams</v>
      </c>
      <c r="C123" t="s">
        <v>25</v>
      </c>
      <c r="D123" t="str">
        <f>_xlfn.IFNA(INDEX(BYEs!E:E,MATCH(B123,BYEs!D:D,0)),"N/A")</f>
        <v>N/A</v>
      </c>
      <c r="E123">
        <f>INDEX(BYEs!$B$2:$B$34,MATCH(F123,BYEs!$A$2:$A$34,0))</f>
        <v>12</v>
      </c>
      <c r="F123" t="str">
        <f>RB_Raw!B124</f>
        <v>CIN</v>
      </c>
      <c r="G123" s="202">
        <v>0</v>
      </c>
      <c r="H123" s="203">
        <v>0</v>
      </c>
      <c r="I123" s="202">
        <f>RB_Raw!C124</f>
        <v>0</v>
      </c>
      <c r="J123" s="200">
        <f>RB_Raw!D124</f>
        <v>41</v>
      </c>
      <c r="K123" s="203">
        <f>RB_Raw!E124</f>
        <v>0</v>
      </c>
      <c r="L123" s="202">
        <f>RB_Raw!F124</f>
        <v>3</v>
      </c>
      <c r="M123" s="200">
        <f>RB_Raw!G124</f>
        <v>20</v>
      </c>
      <c r="N123" s="203">
        <f>RB_Raw!H124</f>
        <v>0</v>
      </c>
      <c r="O123" s="200">
        <f>RB_Raw!I124</f>
        <v>0</v>
      </c>
      <c r="P123" s="205">
        <f t="shared" si="30"/>
        <v>7.6000000000000005</v>
      </c>
      <c r="Q123" t="str">
        <f t="shared" ca="1" si="31"/>
        <v>Undrafted</v>
      </c>
      <c r="R123">
        <f t="shared" ca="1" si="32"/>
        <v>0</v>
      </c>
      <c r="S123">
        <f t="shared" ca="1" si="33"/>
        <v>-96.080000000000013</v>
      </c>
      <c r="T123" s="84">
        <f t="shared" ca="1" si="34"/>
        <v>-15.851235530639366</v>
      </c>
      <c r="U123" s="84">
        <f ca="1">T123*Auction!$A$2</f>
        <v>-15.851235530639366</v>
      </c>
      <c r="V123" s="5" t="str">
        <f>IF(OR(INDEX(Auction!$H$13:$H$650,MATCH(B123,Auction!$A$13:$A$650,0))&gt;0,IFERROR(INDEX(CheatSheet!$M$5:$M$64,MATCH(B123,CheatSheet!$J$5:$J$64,0)),"")&lt;&gt;""),"Yes","No")</f>
        <v>No</v>
      </c>
      <c r="W123" s="175"/>
      <c r="Y123" s="77">
        <f t="shared" ca="1" si="35"/>
        <v>1</v>
      </c>
      <c r="Z123" s="174">
        <f t="shared" ca="1" si="36"/>
        <v>-48.040000000000006</v>
      </c>
      <c r="AA123" t="str">
        <f t="shared" ca="1" si="28"/>
        <v>RB8</v>
      </c>
      <c r="AB123" s="174">
        <f ca="1">Z123*LeagueInfo!$H$5</f>
        <v>-15.514526505564913</v>
      </c>
      <c r="AC123" s="174">
        <f t="shared" ca="1" si="37"/>
        <v>-0.90189929215312969</v>
      </c>
    </row>
    <row r="124" spans="1:29" x14ac:dyDescent="0.35">
      <c r="A124">
        <f t="shared" si="29"/>
        <v>122</v>
      </c>
      <c r="B124" t="str">
        <f>RB_Raw!A125</f>
        <v>Travis Homer</v>
      </c>
      <c r="C124" t="s">
        <v>25</v>
      </c>
      <c r="D124" t="str">
        <f>_xlfn.IFNA(INDEX(BYEs!E:E,MATCH(B124,BYEs!D:D,0)),"N/A")</f>
        <v>N/A</v>
      </c>
      <c r="E124">
        <f>INDEX(BYEs!$B$2:$B$34,MATCH(F124,BYEs!$A$2:$A$34,0))</f>
        <v>7</v>
      </c>
      <c r="F124" t="str">
        <f>RB_Raw!B125</f>
        <v>CHI</v>
      </c>
      <c r="G124" s="202">
        <v>0</v>
      </c>
      <c r="H124" s="203">
        <v>0</v>
      </c>
      <c r="I124" s="202">
        <f>RB_Raw!C125</f>
        <v>2.2999999999999998</v>
      </c>
      <c r="J124" s="200">
        <f>RB_Raw!D125</f>
        <v>32.299999999999997</v>
      </c>
      <c r="K124" s="203">
        <f>RB_Raw!E125</f>
        <v>0</v>
      </c>
      <c r="L124" s="202">
        <f>RB_Raw!F125</f>
        <v>3.1</v>
      </c>
      <c r="M124" s="200">
        <f>RB_Raw!G125</f>
        <v>22.1</v>
      </c>
      <c r="N124" s="203">
        <f>RB_Raw!H125</f>
        <v>0.1</v>
      </c>
      <c r="O124" s="200">
        <f>RB_Raw!I125</f>
        <v>0</v>
      </c>
      <c r="P124" s="205">
        <f t="shared" si="30"/>
        <v>7.59</v>
      </c>
      <c r="Q124" t="str">
        <f t="shared" ca="1" si="31"/>
        <v>Undrafted</v>
      </c>
      <c r="R124">
        <f t="shared" ca="1" si="32"/>
        <v>0</v>
      </c>
      <c r="S124">
        <f t="shared" ca="1" si="33"/>
        <v>-96.09</v>
      </c>
      <c r="T124" s="84">
        <f t="shared" ca="1" si="34"/>
        <v>-15.852885326177525</v>
      </c>
      <c r="U124" s="84">
        <f ca="1">T124*Auction!$A$2</f>
        <v>-15.852885326177525</v>
      </c>
      <c r="V124" s="5" t="str">
        <f>IF(OR(INDEX(Auction!$H$13:$H$650,MATCH(B124,Auction!$A$13:$A$650,0))&gt;0,IFERROR(INDEX(CheatSheet!$M$5:$M$64,MATCH(B124,CheatSheet!$J$5:$J$64,0)),"")&lt;&gt;""),"Yes","No")</f>
        <v>No</v>
      </c>
      <c r="W124" s="175"/>
      <c r="Y124" s="77">
        <f t="shared" ca="1" si="35"/>
        <v>1</v>
      </c>
      <c r="Z124" s="174">
        <f t="shared" ca="1" si="36"/>
        <v>-48.045000000000002</v>
      </c>
      <c r="AA124" t="str">
        <f t="shared" ca="1" si="28"/>
        <v>RB8</v>
      </c>
      <c r="AB124" s="174">
        <f ca="1">Z124*LeagueInfo!$H$5</f>
        <v>-15.516141256450169</v>
      </c>
      <c r="AC124" s="174">
        <f t="shared" ca="1" si="37"/>
        <v>-0.90200545235063445</v>
      </c>
    </row>
    <row r="125" spans="1:29" x14ac:dyDescent="0.35">
      <c r="A125">
        <f t="shared" si="29"/>
        <v>123</v>
      </c>
      <c r="B125" t="str">
        <f>RB_Raw!A122</f>
        <v>Emani Bailey</v>
      </c>
      <c r="C125" t="s">
        <v>25</v>
      </c>
      <c r="D125" t="str">
        <f>_xlfn.IFNA(INDEX(BYEs!E:E,MATCH(B125,BYEs!D:D,0)),"N/A")</f>
        <v>N/A</v>
      </c>
      <c r="E125">
        <f>INDEX(BYEs!$B$2:$B$34,MATCH(F125,BYEs!$A$2:$A$34,0))</f>
        <v>6</v>
      </c>
      <c r="F125" t="str">
        <f>RB_Raw!B122</f>
        <v>KC</v>
      </c>
      <c r="G125" s="202">
        <v>0</v>
      </c>
      <c r="H125" s="203">
        <v>0</v>
      </c>
      <c r="I125" s="202">
        <f>RB_Raw!C122</f>
        <v>0</v>
      </c>
      <c r="J125" s="200">
        <f>RB_Raw!D122</f>
        <v>47</v>
      </c>
      <c r="K125" s="203">
        <f>RB_Raw!E122</f>
        <v>0</v>
      </c>
      <c r="L125" s="202">
        <f>RB_Raw!F122</f>
        <v>2</v>
      </c>
      <c r="M125" s="200">
        <f>RB_Raw!G122</f>
        <v>18</v>
      </c>
      <c r="N125" s="203">
        <f>RB_Raw!H122</f>
        <v>0</v>
      </c>
      <c r="O125" s="200">
        <f>RB_Raw!I122</f>
        <v>0</v>
      </c>
      <c r="P125" s="205">
        <f t="shared" si="30"/>
        <v>7.5</v>
      </c>
      <c r="Q125" t="str">
        <f t="shared" ca="1" si="31"/>
        <v>Undrafted</v>
      </c>
      <c r="R125">
        <f t="shared" ca="1" si="32"/>
        <v>0</v>
      </c>
      <c r="S125">
        <f t="shared" ca="1" si="33"/>
        <v>-96.18</v>
      </c>
      <c r="T125" s="84">
        <f t="shared" ca="1" si="34"/>
        <v>-15.867733486020963</v>
      </c>
      <c r="U125" s="84">
        <f ca="1">T125*Auction!$A$2</f>
        <v>-15.867733486020963</v>
      </c>
      <c r="V125" s="5" t="str">
        <f>IF(OR(INDEX(Auction!$H$13:$H$650,MATCH(B125,Auction!$A$13:$A$650,0))&gt;0,IFERROR(INDEX(CheatSheet!$M$5:$M$64,MATCH(B125,CheatSheet!$J$5:$J$64,0)),"")&lt;&gt;""),"Yes","No")</f>
        <v>No</v>
      </c>
      <c r="W125" s="175"/>
      <c r="Y125" s="77">
        <f t="shared" ca="1" si="35"/>
        <v>1</v>
      </c>
      <c r="Z125" s="174">
        <f t="shared" ca="1" si="36"/>
        <v>-48.09</v>
      </c>
      <c r="AA125" t="str">
        <f t="shared" ca="1" si="28"/>
        <v>RB8</v>
      </c>
      <c r="AB125" s="174">
        <f ca="1">Z125*LeagueInfo!$H$5</f>
        <v>-15.530674014417498</v>
      </c>
      <c r="AC125" s="174">
        <f t="shared" ca="1" si="37"/>
        <v>-0.90296089412817804</v>
      </c>
    </row>
    <row r="126" spans="1:29" x14ac:dyDescent="0.35">
      <c r="A126">
        <f t="shared" si="29"/>
        <v>124</v>
      </c>
      <c r="B126" t="str">
        <f>RB_Raw!A129</f>
        <v>Reggie Gilliam</v>
      </c>
      <c r="C126" t="s">
        <v>25</v>
      </c>
      <c r="D126" t="str">
        <f>_xlfn.IFNA(INDEX(BYEs!E:E,MATCH(B126,BYEs!D:D,0)),"N/A")</f>
        <v>N/A</v>
      </c>
      <c r="E126">
        <f>INDEX(BYEs!$B$2:$B$34,MATCH(F126,BYEs!$A$2:$A$34,0))</f>
        <v>12</v>
      </c>
      <c r="F126" t="str">
        <f>RB_Raw!B129</f>
        <v>BUF</v>
      </c>
      <c r="G126" s="202">
        <v>0</v>
      </c>
      <c r="H126" s="203">
        <v>0</v>
      </c>
      <c r="I126" s="202">
        <f>RB_Raw!C129</f>
        <v>0</v>
      </c>
      <c r="J126" s="200">
        <f>RB_Raw!D129</f>
        <v>0</v>
      </c>
      <c r="K126" s="203">
        <f>RB_Raw!E129</f>
        <v>0</v>
      </c>
      <c r="L126" s="202">
        <f>RB_Raw!F129</f>
        <v>4.4000000000000004</v>
      </c>
      <c r="M126" s="200">
        <f>RB_Raw!G129</f>
        <v>33.200000000000003</v>
      </c>
      <c r="N126" s="203">
        <f>RB_Raw!H129</f>
        <v>0.3</v>
      </c>
      <c r="O126" s="200">
        <f>RB_Raw!I129</f>
        <v>0</v>
      </c>
      <c r="P126" s="205">
        <f t="shared" si="30"/>
        <v>7.32</v>
      </c>
      <c r="Q126" t="str">
        <f t="shared" ca="1" si="31"/>
        <v>Undrafted</v>
      </c>
      <c r="R126">
        <f t="shared" ca="1" si="32"/>
        <v>0</v>
      </c>
      <c r="S126">
        <f t="shared" ca="1" si="33"/>
        <v>-96.360000000000014</v>
      </c>
      <c r="T126" s="84">
        <f t="shared" ca="1" si="34"/>
        <v>-15.897429805707841</v>
      </c>
      <c r="U126" s="84">
        <f ca="1">T126*Auction!$A$2</f>
        <v>-15.897429805707841</v>
      </c>
      <c r="V126" s="5" t="str">
        <f>IF(OR(INDEX(Auction!$H$13:$H$650,MATCH(B126,Auction!$A$13:$A$650,0))&gt;0,IFERROR(INDEX(CheatSheet!$M$5:$M$64,MATCH(B126,CheatSheet!$J$5:$J$64,0)),"")&lt;&gt;""),"Yes","No")</f>
        <v>No</v>
      </c>
      <c r="W126" s="175"/>
      <c r="Y126" s="77">
        <f t="shared" ca="1" si="35"/>
        <v>1</v>
      </c>
      <c r="Z126" s="174">
        <f t="shared" ca="1" si="36"/>
        <v>-48.180000000000007</v>
      </c>
      <c r="AA126" t="str">
        <f t="shared" ca="1" si="28"/>
        <v>RB8</v>
      </c>
      <c r="AB126" s="174">
        <f ca="1">Z126*LeagueInfo!$H$5</f>
        <v>-15.559739530352154</v>
      </c>
      <c r="AC126" s="174">
        <f t="shared" ca="1" si="37"/>
        <v>-0.90487177768326532</v>
      </c>
    </row>
    <row r="127" spans="1:29" x14ac:dyDescent="0.35">
      <c r="A127">
        <f t="shared" si="29"/>
        <v>125</v>
      </c>
      <c r="B127" t="str">
        <f>RB_Raw!A128</f>
        <v>Nyheim Hines</v>
      </c>
      <c r="C127" t="s">
        <v>25</v>
      </c>
      <c r="D127" t="str">
        <f>_xlfn.IFNA(INDEX(BYEs!E:E,MATCH(B127,BYEs!D:D,0)),"N/A")</f>
        <v>N/A</v>
      </c>
      <c r="E127">
        <f>INDEX(BYEs!$B$2:$B$34,MATCH(F127,BYEs!$A$2:$A$34,0))</f>
        <v>10</v>
      </c>
      <c r="F127" t="str">
        <f>RB_Raw!B128</f>
        <v>CLE</v>
      </c>
      <c r="G127" s="202">
        <v>0</v>
      </c>
      <c r="H127" s="203">
        <v>0</v>
      </c>
      <c r="I127" s="202">
        <f>RB_Raw!C128</f>
        <v>1.3</v>
      </c>
      <c r="J127" s="200">
        <f>RB_Raw!D128</f>
        <v>17.100000000000001</v>
      </c>
      <c r="K127" s="203">
        <f>RB_Raw!E128</f>
        <v>0</v>
      </c>
      <c r="L127" s="202">
        <f>RB_Raw!F128</f>
        <v>4.5</v>
      </c>
      <c r="M127" s="200">
        <f>RB_Raw!G128</f>
        <v>32.299999999999997</v>
      </c>
      <c r="N127" s="203">
        <f>RB_Raw!H128</f>
        <v>0</v>
      </c>
      <c r="O127" s="200">
        <f>RB_Raw!I128</f>
        <v>0</v>
      </c>
      <c r="P127" s="205">
        <f t="shared" si="30"/>
        <v>7.1899999999999995</v>
      </c>
      <c r="Q127" t="str">
        <f t="shared" ca="1" si="31"/>
        <v>Undrafted</v>
      </c>
      <c r="R127">
        <f t="shared" ca="1" si="32"/>
        <v>0</v>
      </c>
      <c r="S127">
        <f t="shared" ca="1" si="33"/>
        <v>-96.490000000000009</v>
      </c>
      <c r="T127" s="84">
        <f t="shared" ca="1" si="34"/>
        <v>-15.918877147703919</v>
      </c>
      <c r="U127" s="84">
        <f ca="1">T127*Auction!$A$2</f>
        <v>-15.918877147703919</v>
      </c>
      <c r="V127" s="5" t="str">
        <f>IF(OR(INDEX(Auction!$H$13:$H$650,MATCH(B127,Auction!$A$13:$A$650,0))&gt;0,IFERROR(INDEX(CheatSheet!$M$5:$M$64,MATCH(B127,CheatSheet!$J$5:$J$64,0)),"")&lt;&gt;""),"Yes","No")</f>
        <v>No</v>
      </c>
      <c r="W127" s="175"/>
      <c r="Y127" s="77">
        <f t="shared" ca="1" si="35"/>
        <v>1</v>
      </c>
      <c r="Z127" s="174">
        <f t="shared" ca="1" si="36"/>
        <v>-48.245000000000005</v>
      </c>
      <c r="AA127" t="str">
        <f t="shared" ca="1" si="28"/>
        <v>RB8</v>
      </c>
      <c r="AB127" s="174">
        <f ca="1">Z127*LeagueInfo!$H$5</f>
        <v>-15.580731291860515</v>
      </c>
      <c r="AC127" s="174">
        <f t="shared" ca="1" si="37"/>
        <v>-0.90625186025082816</v>
      </c>
    </row>
    <row r="128" spans="1:29" x14ac:dyDescent="0.35">
      <c r="A128">
        <f t="shared" si="29"/>
        <v>126</v>
      </c>
      <c r="B128" t="str">
        <f>RB_Raw!A127</f>
        <v>DeeJay Dallas</v>
      </c>
      <c r="C128" t="s">
        <v>25</v>
      </c>
      <c r="D128" t="str">
        <f>_xlfn.IFNA(INDEX(BYEs!E:E,MATCH(B128,BYEs!D:D,0)),"N/A")</f>
        <v>N/A</v>
      </c>
      <c r="E128">
        <f>INDEX(BYEs!$B$2:$B$34,MATCH(F128,BYEs!$A$2:$A$34,0))</f>
        <v>11</v>
      </c>
      <c r="F128" t="str">
        <f>RB_Raw!B127</f>
        <v>ARI</v>
      </c>
      <c r="G128" s="202">
        <v>0</v>
      </c>
      <c r="H128" s="203">
        <v>0</v>
      </c>
      <c r="I128" s="202">
        <f>RB_Raw!C127</f>
        <v>2.5</v>
      </c>
      <c r="J128" s="200">
        <f>RB_Raw!D127</f>
        <v>28</v>
      </c>
      <c r="K128" s="203">
        <f>RB_Raw!E127</f>
        <v>0</v>
      </c>
      <c r="L128" s="202">
        <f>RB_Raw!F127</f>
        <v>3.5</v>
      </c>
      <c r="M128" s="200">
        <f>RB_Raw!G127</f>
        <v>24</v>
      </c>
      <c r="N128" s="203">
        <f>RB_Raw!H127</f>
        <v>0</v>
      </c>
      <c r="O128" s="200">
        <f>RB_Raw!I127</f>
        <v>0</v>
      </c>
      <c r="P128" s="205">
        <f t="shared" si="30"/>
        <v>6.9500000000000011</v>
      </c>
      <c r="Q128" t="str">
        <f t="shared" ca="1" si="31"/>
        <v>Undrafted</v>
      </c>
      <c r="R128">
        <f t="shared" ca="1" si="32"/>
        <v>0</v>
      </c>
      <c r="S128">
        <f t="shared" ca="1" si="33"/>
        <v>-96.73</v>
      </c>
      <c r="T128" s="84">
        <f t="shared" ca="1" si="34"/>
        <v>-15.958472240619752</v>
      </c>
      <c r="U128" s="84">
        <f ca="1">T128*Auction!$A$2</f>
        <v>-15.958472240619752</v>
      </c>
      <c r="V128" s="5" t="str">
        <f>IF(OR(INDEX(Auction!$H$13:$H$650,MATCH(B128,Auction!$A$13:$A$650,0))&gt;0,IFERROR(INDEX(CheatSheet!$M$5:$M$64,MATCH(B128,CheatSheet!$J$5:$J$64,0)),"")&lt;&gt;""),"Yes","No")</f>
        <v>No</v>
      </c>
      <c r="W128" s="175"/>
      <c r="Y128" s="77">
        <f t="shared" ca="1" si="35"/>
        <v>1</v>
      </c>
      <c r="Z128" s="174">
        <f t="shared" ca="1" si="36"/>
        <v>-48.365000000000002</v>
      </c>
      <c r="AA128" t="str">
        <f t="shared" ca="1" si="28"/>
        <v>RB8</v>
      </c>
      <c r="AB128" s="174">
        <f ca="1">Z128*LeagueInfo!$H$5</f>
        <v>-15.619485313106722</v>
      </c>
      <c r="AC128" s="174">
        <f t="shared" ca="1" si="37"/>
        <v>-0.90879970499094431</v>
      </c>
    </row>
    <row r="129" spans="1:29" x14ac:dyDescent="0.35">
      <c r="A129">
        <f t="shared" si="29"/>
        <v>127</v>
      </c>
      <c r="B129" t="str">
        <f>RB_Raw!A126</f>
        <v>Patrick Taylor Jr.</v>
      </c>
      <c r="C129" t="s">
        <v>25</v>
      </c>
      <c r="D129" t="str">
        <f>_xlfn.IFNA(INDEX(BYEs!E:E,MATCH(B129,BYEs!D:D,0)),"N/A")</f>
        <v>N/A</v>
      </c>
      <c r="E129">
        <f>INDEX(BYEs!$B$2:$B$34,MATCH(F129,BYEs!$A$2:$A$34,0))</f>
        <v>9</v>
      </c>
      <c r="F129" t="str">
        <f>RB_Raw!B126</f>
        <v>SF</v>
      </c>
      <c r="G129" s="202">
        <v>0</v>
      </c>
      <c r="H129" s="203">
        <v>0</v>
      </c>
      <c r="I129" s="202">
        <f>RB_Raw!C126</f>
        <v>7.9</v>
      </c>
      <c r="J129" s="200">
        <f>RB_Raw!D126</f>
        <v>28</v>
      </c>
      <c r="K129" s="203">
        <f>RB_Raw!E126</f>
        <v>0.2</v>
      </c>
      <c r="L129" s="202">
        <f>RB_Raw!F126</f>
        <v>1.9</v>
      </c>
      <c r="M129" s="200">
        <f>RB_Raw!G126</f>
        <v>13.5</v>
      </c>
      <c r="N129" s="203">
        <f>RB_Raw!H126</f>
        <v>0.1</v>
      </c>
      <c r="O129" s="200">
        <f>RB_Raw!I126</f>
        <v>0</v>
      </c>
      <c r="P129" s="205">
        <f t="shared" si="30"/>
        <v>6.9</v>
      </c>
      <c r="Q129" t="str">
        <f t="shared" ca="1" si="31"/>
        <v>Undrafted</v>
      </c>
      <c r="R129">
        <f t="shared" ca="1" si="32"/>
        <v>0</v>
      </c>
      <c r="S129">
        <f t="shared" ca="1" si="33"/>
        <v>-96.78</v>
      </c>
      <c r="T129" s="84">
        <f t="shared" ca="1" si="34"/>
        <v>-15.96672121831055</v>
      </c>
      <c r="U129" s="84">
        <f ca="1">T129*Auction!$A$2</f>
        <v>-15.96672121831055</v>
      </c>
      <c r="V129" s="5" t="str">
        <f>IF(OR(INDEX(Auction!$H$13:$H$650,MATCH(B129,Auction!$A$13:$A$650,0))&gt;0,IFERROR(INDEX(CheatSheet!$M$5:$M$64,MATCH(B129,CheatSheet!$J$5:$J$64,0)),"")&lt;&gt;""),"Yes","No")</f>
        <v>No</v>
      </c>
      <c r="W129" s="175"/>
      <c r="Y129" s="77">
        <f t="shared" ca="1" si="35"/>
        <v>1</v>
      </c>
      <c r="Z129" s="174">
        <f t="shared" ca="1" si="36"/>
        <v>-48.39</v>
      </c>
      <c r="AA129" t="str">
        <f t="shared" ca="1" si="28"/>
        <v>RB8</v>
      </c>
      <c r="AB129" s="174">
        <f ca="1">Z129*LeagueInfo!$H$5</f>
        <v>-15.627559067533014</v>
      </c>
      <c r="AC129" s="174">
        <f t="shared" ca="1" si="37"/>
        <v>-0.90933050597846843</v>
      </c>
    </row>
    <row r="130" spans="1:29" x14ac:dyDescent="0.35">
      <c r="A130">
        <f t="shared" si="29"/>
        <v>128</v>
      </c>
      <c r="B130" t="str">
        <f>RB_Raw!A123</f>
        <v>Sione Vaki</v>
      </c>
      <c r="C130" t="s">
        <v>25</v>
      </c>
      <c r="D130" t="str">
        <f>_xlfn.IFNA(INDEX(BYEs!E:E,MATCH(B130,BYEs!D:D,0)),"N/A")</f>
        <v>N/A</v>
      </c>
      <c r="E130">
        <f>INDEX(BYEs!$B$2:$B$34,MATCH(F130,BYEs!$A$2:$A$34,0))</f>
        <v>5</v>
      </c>
      <c r="F130" t="str">
        <f>RB_Raw!B123</f>
        <v>DET</v>
      </c>
      <c r="G130" s="202">
        <v>0</v>
      </c>
      <c r="H130" s="203">
        <v>0</v>
      </c>
      <c r="I130" s="202">
        <f>RB_Raw!C123</f>
        <v>12.6</v>
      </c>
      <c r="J130" s="200">
        <f>RB_Raw!D123</f>
        <v>39.5</v>
      </c>
      <c r="K130" s="203">
        <f>RB_Raw!E123</f>
        <v>0.2</v>
      </c>
      <c r="L130" s="202">
        <f>RB_Raw!F123</f>
        <v>1.5</v>
      </c>
      <c r="M130" s="200">
        <f>RB_Raw!G123</f>
        <v>9.6999999999999993</v>
      </c>
      <c r="N130" s="203">
        <f>RB_Raw!H123</f>
        <v>0</v>
      </c>
      <c r="O130" s="200">
        <f>RB_Raw!I123</f>
        <v>0</v>
      </c>
      <c r="P130" s="205">
        <f t="shared" si="30"/>
        <v>6.87</v>
      </c>
      <c r="Q130" t="str">
        <f t="shared" ca="1" si="31"/>
        <v>Undrafted</v>
      </c>
      <c r="R130">
        <f t="shared" ca="1" si="32"/>
        <v>0</v>
      </c>
      <c r="S130">
        <f t="shared" ca="1" si="33"/>
        <v>-96.81</v>
      </c>
      <c r="T130" s="84">
        <f t="shared" ca="1" si="34"/>
        <v>-15.971670604925031</v>
      </c>
      <c r="U130" s="84">
        <f ca="1">T130*Auction!$A$2</f>
        <v>-15.971670604925031</v>
      </c>
      <c r="V130" s="5" t="str">
        <f>IF(OR(INDEX(Auction!$H$13:$H$650,MATCH(B130,Auction!$A$13:$A$650,0))&gt;0,IFERROR(INDEX(CheatSheet!$M$5:$M$64,MATCH(B130,CheatSheet!$J$5:$J$64,0)),"")&lt;&gt;""),"Yes","No")</f>
        <v>No</v>
      </c>
      <c r="W130" s="175"/>
      <c r="Y130" s="77">
        <f t="shared" ca="1" si="35"/>
        <v>1</v>
      </c>
      <c r="Z130" s="174">
        <f t="shared" ca="1" si="36"/>
        <v>-48.405000000000001</v>
      </c>
      <c r="AA130" t="str">
        <f t="shared" ca="1" si="28"/>
        <v>RB8</v>
      </c>
      <c r="AB130" s="174">
        <f ca="1">Z130*LeagueInfo!$H$5</f>
        <v>-15.632403320188789</v>
      </c>
      <c r="AC130" s="174">
        <f t="shared" ca="1" si="37"/>
        <v>-0.90964898657098303</v>
      </c>
    </row>
    <row r="131" spans="1:29" x14ac:dyDescent="0.35">
      <c r="A131">
        <f t="shared" ref="A131:A137" si="38">RANK(P131,P:P)</f>
        <v>129</v>
      </c>
      <c r="B131" t="str">
        <f>RB_Raw!A132</f>
        <v>Patrick Ricard</v>
      </c>
      <c r="C131" t="s">
        <v>25</v>
      </c>
      <c r="D131" t="str">
        <f>_xlfn.IFNA(INDEX(BYEs!E:E,MATCH(B131,BYEs!D:D,0)),"N/A")</f>
        <v>N/A</v>
      </c>
      <c r="E131">
        <f>INDEX(BYEs!$B$2:$B$34,MATCH(F131,BYEs!$A$2:$A$34,0))</f>
        <v>14</v>
      </c>
      <c r="F131" t="str">
        <f>RB_Raw!B132</f>
        <v>BAL</v>
      </c>
      <c r="G131" s="202">
        <v>0</v>
      </c>
      <c r="H131" s="203">
        <v>0</v>
      </c>
      <c r="I131" s="202">
        <f>RB_Raw!C132</f>
        <v>2.7</v>
      </c>
      <c r="J131" s="200">
        <f>RB_Raw!D132</f>
        <v>10.9</v>
      </c>
      <c r="K131" s="203">
        <f>RB_Raw!E132</f>
        <v>0</v>
      </c>
      <c r="L131" s="202">
        <f>RB_Raw!F132</f>
        <v>3.7</v>
      </c>
      <c r="M131" s="200">
        <f>RB_Raw!G132</f>
        <v>26.2</v>
      </c>
      <c r="N131" s="203">
        <f>RB_Raw!H132</f>
        <v>0.2</v>
      </c>
      <c r="O131" s="200">
        <f>RB_Raw!I132</f>
        <v>0</v>
      </c>
      <c r="P131" s="205">
        <f t="shared" ref="P131:P162" si="39">(J131*RBRushingYd)+(K131*RBRushingTD)+(L131*RBReceptions)+(M131*RBRecYd)+(N131*RBRecTD)+(O131*RBFuml)+(I131*RBRushAtt)</f>
        <v>6.7600000000000007</v>
      </c>
      <c r="Q131" t="str">
        <f t="shared" ref="Q131:Q137" ca="1" si="40">IF(A131&lt;=RBStarters,"Starter",IF(A131&gt;RBStarters+RBBench,"Undrafted","Bench"))</f>
        <v>Undrafted</v>
      </c>
      <c r="R131">
        <f t="shared" ref="R131:R137" ca="1" si="41">IFERROR(MAX(P131-LARGE(RBSheetCount,RBStarters),0),0)</f>
        <v>0</v>
      </c>
      <c r="S131">
        <f t="shared" ref="S131:S137" ca="1" si="42">IFERROR(IF(AllowNegative="Yes",P131-LARGE(RBSheetCount,RBCount),MAX(P131-LARGE(RBSheetCount,RBCount),0)),0)</f>
        <v>-96.92</v>
      </c>
      <c r="T131" s="84">
        <f t="shared" ref="T131:T162" ca="1" si="43">(S131-R131)*BenchPF+R131*StarterPF</f>
        <v>-15.989818355844788</v>
      </c>
      <c r="U131" s="84">
        <f ca="1">T131*Auction!$A$2</f>
        <v>-15.989818355844788</v>
      </c>
      <c r="V131" s="5" t="str">
        <f>IF(OR(INDEX(Auction!$H$13:$H$650,MATCH(B131,Auction!$A$13:$A$650,0))&gt;0,IFERROR(INDEX(CheatSheet!$M$5:$M$64,MATCH(B131,CheatSheet!$J$5:$J$64,0)),"")&lt;&gt;""),"Yes","No")</f>
        <v>No</v>
      </c>
      <c r="W131" s="175"/>
      <c r="Y131" s="77">
        <f t="shared" ref="Y131:Y137" ca="1" si="44">SUMIFS(Z:Z,Z:Z,"&gt;0",V:V,"No")/SUMIF(Z:Z,"&gt;0")</f>
        <v>1</v>
      </c>
      <c r="Z131" s="174">
        <f t="shared" ca="1" si="36"/>
        <v>-48.46</v>
      </c>
      <c r="AA131" t="str">
        <f t="shared" ca="1" si="28"/>
        <v>RB8</v>
      </c>
      <c r="AB131" s="174">
        <f ca="1">Z131*LeagueInfo!$H$5</f>
        <v>-15.650165579926634</v>
      </c>
      <c r="AC131" s="174">
        <f t="shared" ref="AC131:AC137" ca="1" si="45">(Z131-AVERAGE(Z:Z))/_xlfn.STDEV.P(Z:Z)</f>
        <v>-0.91081674874353624</v>
      </c>
    </row>
    <row r="132" spans="1:29" x14ac:dyDescent="0.35">
      <c r="A132">
        <f t="shared" si="38"/>
        <v>130</v>
      </c>
      <c r="B132" t="str">
        <f>RB_Raw!A131</f>
        <v>Adam Prentice</v>
      </c>
      <c r="C132" t="s">
        <v>25</v>
      </c>
      <c r="D132" t="str">
        <f>_xlfn.IFNA(INDEX(BYEs!E:E,MATCH(B132,BYEs!D:D,0)),"N/A")</f>
        <v>N/A</v>
      </c>
      <c r="E132">
        <f>INDEX(BYEs!$B$2:$B$34,MATCH(F132,BYEs!$A$2:$A$34,0))</f>
        <v>12</v>
      </c>
      <c r="F132" t="str">
        <f>RB_Raw!B131</f>
        <v>NO</v>
      </c>
      <c r="G132" s="202">
        <v>0</v>
      </c>
      <c r="H132" s="203">
        <v>0</v>
      </c>
      <c r="I132" s="202">
        <f>RB_Raw!C131</f>
        <v>3.3</v>
      </c>
      <c r="J132" s="200">
        <f>RB_Raw!D131</f>
        <v>14</v>
      </c>
      <c r="K132" s="203">
        <f>RB_Raw!E131</f>
        <v>0.1</v>
      </c>
      <c r="L132" s="202">
        <f>RB_Raw!F131</f>
        <v>3.3</v>
      </c>
      <c r="M132" s="200">
        <f>RB_Raw!G131</f>
        <v>23.1</v>
      </c>
      <c r="N132" s="203">
        <f>RB_Raw!H131</f>
        <v>0.1</v>
      </c>
      <c r="O132" s="200">
        <f>RB_Raw!I131</f>
        <v>0</v>
      </c>
      <c r="P132" s="205">
        <f t="shared" si="39"/>
        <v>6.5600000000000005</v>
      </c>
      <c r="Q132" t="str">
        <f t="shared" ca="1" si="40"/>
        <v>Undrafted</v>
      </c>
      <c r="R132">
        <f t="shared" ca="1" si="41"/>
        <v>0</v>
      </c>
      <c r="S132">
        <f t="shared" ca="1" si="42"/>
        <v>-97.12</v>
      </c>
      <c r="T132" s="84">
        <f t="shared" ca="1" si="43"/>
        <v>-16.022814266607984</v>
      </c>
      <c r="U132" s="84">
        <f ca="1">T132*Auction!$A$2</f>
        <v>-16.022814266607984</v>
      </c>
      <c r="V132" s="5" t="str">
        <f>IF(OR(INDEX(Auction!$H$13:$H$650,MATCH(B132,Auction!$A$13:$A$650,0))&gt;0,IFERROR(INDEX(CheatSheet!$M$5:$M$64,MATCH(B132,CheatSheet!$J$5:$J$64,0)),"")&lt;&gt;""),"Yes","No")</f>
        <v>No</v>
      </c>
      <c r="W132" s="175"/>
      <c r="Y132" s="77">
        <f t="shared" ca="1" si="44"/>
        <v>1</v>
      </c>
      <c r="Z132" s="174">
        <f t="shared" ca="1" si="36"/>
        <v>-48.56</v>
      </c>
      <c r="AA132" t="str">
        <f t="shared" ref="AA132" ca="1" si="46">IF(AC132&gt;3,"RB1",IF(AC132&gt;2.5,"RB2",IF(AC132&gt;2,"RB3",IF(AC132&gt;1.5,"RB4",IF(AC132&gt;1,"RB5",IF(AC132&gt;0.5,"RB6",IF(AC132&gt;0,"RB7","RB8")))))))</f>
        <v>RB8</v>
      </c>
      <c r="AB132" s="174">
        <f ca="1">Z132*LeagueInfo!$H$5</f>
        <v>-15.682460597631808</v>
      </c>
      <c r="AC132" s="174">
        <f t="shared" ca="1" si="45"/>
        <v>-0.91293995269363315</v>
      </c>
    </row>
    <row r="133" spans="1:29" x14ac:dyDescent="0.35">
      <c r="A133">
        <f t="shared" si="38"/>
        <v>131</v>
      </c>
      <c r="B133" t="str">
        <f>RB_Raw!A133</f>
        <v>Michael Burton</v>
      </c>
      <c r="C133" t="s">
        <v>25</v>
      </c>
      <c r="D133" t="str">
        <f>_xlfn.IFNA(INDEX(BYEs!E:E,MATCH(B133,BYEs!D:D,0)),"N/A")</f>
        <v>N/A</v>
      </c>
      <c r="E133">
        <f>INDEX(BYEs!$B$2:$B$34,MATCH(F133,BYEs!$A$2:$A$34,0))</f>
        <v>14</v>
      </c>
      <c r="F133" t="str">
        <f>RB_Raw!B133</f>
        <v>DEN</v>
      </c>
      <c r="G133" s="202">
        <v>0</v>
      </c>
      <c r="H133" s="203">
        <v>0</v>
      </c>
      <c r="I133" s="202">
        <f>RB_Raw!C133</f>
        <v>2.4</v>
      </c>
      <c r="J133" s="200">
        <f>RB_Raw!D133</f>
        <v>9.4</v>
      </c>
      <c r="K133" s="203">
        <f>RB_Raw!E133</f>
        <v>0</v>
      </c>
      <c r="L133" s="202">
        <f>RB_Raw!F133</f>
        <v>3.7</v>
      </c>
      <c r="M133" s="200">
        <f>RB_Raw!G133</f>
        <v>24.5</v>
      </c>
      <c r="N133" s="203">
        <f>RB_Raw!H133</f>
        <v>0.2</v>
      </c>
      <c r="O133" s="200">
        <f>RB_Raw!I133</f>
        <v>0</v>
      </c>
      <c r="P133" s="205">
        <f t="shared" si="39"/>
        <v>6.44</v>
      </c>
      <c r="Q133" t="str">
        <f t="shared" ca="1" si="40"/>
        <v>Undrafted</v>
      </c>
      <c r="R133">
        <f t="shared" ca="1" si="41"/>
        <v>0</v>
      </c>
      <c r="S133">
        <f t="shared" ca="1" si="42"/>
        <v>-97.240000000000009</v>
      </c>
      <c r="T133" s="84">
        <f t="shared" ca="1" si="43"/>
        <v>-16.042611813065903</v>
      </c>
      <c r="U133" s="84">
        <f ca="1">T133*Auction!$A$2</f>
        <v>-16.042611813065903</v>
      </c>
      <c r="V133" s="5" t="str">
        <f>IF(OR(INDEX(Auction!$H$13:$H$650,MATCH(B133,Auction!$A$13:$A$650,0))&gt;0,IFERROR(INDEX(CheatSheet!$M$5:$M$64,MATCH(B133,CheatSheet!$J$5:$J$64,0)),"")&lt;&gt;""),"Yes","No")</f>
        <v>No</v>
      </c>
      <c r="W133" s="175"/>
      <c r="Y133" s="77">
        <f t="shared" ca="1" si="44"/>
        <v>1</v>
      </c>
      <c r="Z133" s="174">
        <f t="shared" ref="Z133:Z137" ca="1" si="47">AVERAGE(R133:S133)</f>
        <v>-48.620000000000005</v>
      </c>
      <c r="AA133" t="str">
        <f t="shared" ref="AA133:AA137" ca="1" si="48">IF(AC133&gt;3,"RB1",IF(AC133&gt;2.5,"RB2",IF(AC133&gt;2,"RB3",IF(AC133&gt;1.5,"RB4",IF(AC133&gt;1,"RB5",IF(AC133&gt;0.5,"RB6",IF(AC133&gt;0,"RB7","RB8")))))))</f>
        <v>RB8</v>
      </c>
      <c r="AB133" s="174">
        <f ca="1">Z133*LeagueInfo!$H$5</f>
        <v>-15.701837608254912</v>
      </c>
      <c r="AC133" s="174">
        <f t="shared" ca="1" si="45"/>
        <v>-0.91421387506369123</v>
      </c>
    </row>
    <row r="134" spans="1:29" x14ac:dyDescent="0.35">
      <c r="A134">
        <f t="shared" si="38"/>
        <v>132</v>
      </c>
      <c r="B134" t="str">
        <f>RB_Raw!A130</f>
        <v>Keilan Robinson</v>
      </c>
      <c r="C134" t="s">
        <v>25</v>
      </c>
      <c r="D134" t="str">
        <f>_xlfn.IFNA(INDEX(BYEs!E:E,MATCH(B134,BYEs!D:D,0)),"N/A")</f>
        <v>N/A</v>
      </c>
      <c r="E134">
        <f>INDEX(BYEs!$B$2:$B$34,MATCH(F134,BYEs!$A$2:$A$34,0))</f>
        <v>12</v>
      </c>
      <c r="F134" t="str">
        <f>RB_Raw!B130</f>
        <v>JAC</v>
      </c>
      <c r="G134" s="202">
        <v>0</v>
      </c>
      <c r="H134" s="203">
        <v>0</v>
      </c>
      <c r="I134" s="202">
        <f>RB_Raw!C130</f>
        <v>0</v>
      </c>
      <c r="J134" s="200">
        <f>RB_Raw!D130</f>
        <v>33</v>
      </c>
      <c r="K134" s="203">
        <f>RB_Raw!E130</f>
        <v>0</v>
      </c>
      <c r="L134" s="202">
        <f>RB_Raw!F130</f>
        <v>2</v>
      </c>
      <c r="M134" s="200">
        <f>RB_Raw!G130</f>
        <v>15</v>
      </c>
      <c r="N134" s="203">
        <f>RB_Raw!H130</f>
        <v>0</v>
      </c>
      <c r="O134" s="200">
        <f>RB_Raw!I130</f>
        <v>0</v>
      </c>
      <c r="P134" s="205">
        <f t="shared" si="39"/>
        <v>5.8000000000000007</v>
      </c>
      <c r="Q134" t="str">
        <f t="shared" ca="1" si="40"/>
        <v>Undrafted</v>
      </c>
      <c r="R134">
        <f t="shared" ca="1" si="41"/>
        <v>0</v>
      </c>
      <c r="S134">
        <f t="shared" ca="1" si="42"/>
        <v>-97.88000000000001</v>
      </c>
      <c r="T134" s="84">
        <f t="shared" ca="1" si="43"/>
        <v>-16.148198727508131</v>
      </c>
      <c r="U134" s="84">
        <f ca="1">T134*Auction!$A$2</f>
        <v>-16.148198727508131</v>
      </c>
      <c r="V134" s="5" t="str">
        <f>IF(OR(INDEX(Auction!$H$13:$H$650,MATCH(B134,Auction!$A$13:$A$650,0))&gt;0,IFERROR(INDEX(CheatSheet!$M$5:$M$64,MATCH(B134,CheatSheet!$J$5:$J$64,0)),"")&lt;&gt;""),"Yes","No")</f>
        <v>No</v>
      </c>
      <c r="W134" s="175"/>
      <c r="Y134" s="77">
        <f t="shared" ca="1" si="44"/>
        <v>1</v>
      </c>
      <c r="Z134" s="174">
        <f t="shared" ca="1" si="47"/>
        <v>-48.940000000000005</v>
      </c>
      <c r="AA134" t="str">
        <f t="shared" ca="1" si="48"/>
        <v>RB8</v>
      </c>
      <c r="AB134" s="174">
        <f ca="1">Z134*LeagueInfo!$H$5</f>
        <v>-15.805181664911464</v>
      </c>
      <c r="AC134" s="174">
        <f t="shared" ca="1" si="45"/>
        <v>-0.92100812770400109</v>
      </c>
    </row>
    <row r="135" spans="1:29" x14ac:dyDescent="0.35">
      <c r="A135">
        <f t="shared" si="38"/>
        <v>133</v>
      </c>
      <c r="B135" t="str">
        <f>RB_Raw!A134</f>
        <v>Hassan Haskins</v>
      </c>
      <c r="C135" t="s">
        <v>25</v>
      </c>
      <c r="D135" t="str">
        <f>_xlfn.IFNA(INDEX(BYEs!E:E,MATCH(B135,BYEs!D:D,0)),"N/A")</f>
        <v>N/A</v>
      </c>
      <c r="E135">
        <f>INDEX(BYEs!$B$2:$B$34,MATCH(F135,BYEs!$A$2:$A$34,0))</f>
        <v>5</v>
      </c>
      <c r="F135" t="str">
        <f>RB_Raw!B134</f>
        <v>LAC</v>
      </c>
      <c r="G135" s="202">
        <v>0</v>
      </c>
      <c r="H135" s="203">
        <v>0</v>
      </c>
      <c r="I135" s="202">
        <f>RB_Raw!C134</f>
        <v>2.2999999999999998</v>
      </c>
      <c r="J135" s="200">
        <f>RB_Raw!D134</f>
        <v>27.6</v>
      </c>
      <c r="K135" s="203">
        <f>RB_Raw!E134</f>
        <v>0</v>
      </c>
      <c r="L135" s="202">
        <f>RB_Raw!F134</f>
        <v>2.1</v>
      </c>
      <c r="M135" s="200">
        <f>RB_Raw!G134</f>
        <v>12.6</v>
      </c>
      <c r="N135" s="203">
        <f>RB_Raw!H134</f>
        <v>0.1</v>
      </c>
      <c r="O135" s="200">
        <f>RB_Raw!I134</f>
        <v>0</v>
      </c>
      <c r="P135" s="205">
        <f t="shared" si="39"/>
        <v>5.67</v>
      </c>
      <c r="Q135" t="str">
        <f t="shared" ca="1" si="40"/>
        <v>Undrafted</v>
      </c>
      <c r="R135">
        <f t="shared" ca="1" si="41"/>
        <v>0</v>
      </c>
      <c r="S135">
        <f t="shared" ca="1" si="42"/>
        <v>-98.01</v>
      </c>
      <c r="T135" s="84">
        <f t="shared" ca="1" si="43"/>
        <v>-16.169646069504207</v>
      </c>
      <c r="U135" s="84">
        <f ca="1">T135*Auction!$A$2</f>
        <v>-16.169646069504207</v>
      </c>
      <c r="V135" s="5" t="str">
        <f>IF(OR(INDEX(Auction!$H$13:$H$650,MATCH(B135,Auction!$A$13:$A$650,0))&gt;0,IFERROR(INDEX(CheatSheet!$M$5:$M$64,MATCH(B135,CheatSheet!$J$5:$J$64,0)),"")&lt;&gt;""),"Yes","No")</f>
        <v>No</v>
      </c>
      <c r="W135" s="175"/>
      <c r="Y135" s="77">
        <f t="shared" ca="1" si="44"/>
        <v>1</v>
      </c>
      <c r="Z135" s="174">
        <f t="shared" ca="1" si="47"/>
        <v>-49.005000000000003</v>
      </c>
      <c r="AA135" t="str">
        <f t="shared" ca="1" si="48"/>
        <v>RB8</v>
      </c>
      <c r="AB135" s="174">
        <f ca="1">Z135*LeagueInfo!$H$5</f>
        <v>-15.826173426419826</v>
      </c>
      <c r="AC135" s="174">
        <f t="shared" ca="1" si="45"/>
        <v>-0.92238821027156404</v>
      </c>
    </row>
    <row r="136" spans="1:29" x14ac:dyDescent="0.35">
      <c r="A136">
        <f t="shared" si="38"/>
        <v>134</v>
      </c>
      <c r="B136" t="str">
        <f>RB_Raw!A135</f>
        <v>Keaontay Ingram</v>
      </c>
      <c r="C136" t="s">
        <v>25</v>
      </c>
      <c r="D136">
        <f>_xlfn.IFNA(INDEX(BYEs!E:E,MATCH(B136,BYEs!D:D,0)),"N/A")</f>
        <v>24</v>
      </c>
      <c r="E136">
        <f>INDEX(BYEs!$B$2:$B$34,MATCH(F136,BYEs!$A$2:$A$34,0))</f>
        <v>6</v>
      </c>
      <c r="F136" t="str">
        <f>RB_Raw!B135</f>
        <v>KC</v>
      </c>
      <c r="G136" s="202">
        <v>0</v>
      </c>
      <c r="H136" s="203">
        <v>0</v>
      </c>
      <c r="I136" s="202">
        <f>RB_Raw!C135</f>
        <v>0</v>
      </c>
      <c r="J136" s="200">
        <f>RB_Raw!D135</f>
        <v>30</v>
      </c>
      <c r="K136" s="203">
        <f>RB_Raw!E135</f>
        <v>0</v>
      </c>
      <c r="L136" s="202">
        <f>RB_Raw!F135</f>
        <v>2</v>
      </c>
      <c r="M136" s="200">
        <f>RB_Raw!G135</f>
        <v>10</v>
      </c>
      <c r="N136" s="203">
        <f>RB_Raw!H135</f>
        <v>0</v>
      </c>
      <c r="O136" s="200">
        <f>RB_Raw!I135</f>
        <v>0</v>
      </c>
      <c r="P136" s="205">
        <f t="shared" si="39"/>
        <v>5</v>
      </c>
      <c r="Q136" t="str">
        <f t="shared" ca="1" si="40"/>
        <v>Undrafted</v>
      </c>
      <c r="R136">
        <f t="shared" ca="1" si="41"/>
        <v>0</v>
      </c>
      <c r="S136">
        <f t="shared" ca="1" si="42"/>
        <v>-98.68</v>
      </c>
      <c r="T136" s="84">
        <f t="shared" ca="1" si="43"/>
        <v>-16.280182370560915</v>
      </c>
      <c r="U136" s="84">
        <f ca="1">T136*Auction!$A$2</f>
        <v>-16.280182370560915</v>
      </c>
      <c r="V136" s="5" t="str">
        <f>IF(OR(INDEX(Auction!$H$13:$H$650,MATCH(B136,Auction!$A$13:$A$650,0))&gt;0,IFERROR(INDEX(CheatSheet!$M$5:$M$64,MATCH(B136,CheatSheet!$J$5:$J$64,0)),"")&lt;&gt;""),"Yes","No")</f>
        <v>No</v>
      </c>
      <c r="W136" s="175"/>
      <c r="Y136" s="77">
        <f t="shared" ca="1" si="44"/>
        <v>1</v>
      </c>
      <c r="Z136" s="174">
        <f t="shared" ca="1" si="47"/>
        <v>-49.34</v>
      </c>
      <c r="AA136" t="str">
        <f t="shared" ca="1" si="48"/>
        <v>RB8</v>
      </c>
      <c r="AB136" s="174">
        <f ca="1">Z136*LeagueInfo!$H$5</f>
        <v>-15.934361735732155</v>
      </c>
      <c r="AC136" s="174">
        <f t="shared" ca="1" si="45"/>
        <v>-0.92950094350438839</v>
      </c>
    </row>
    <row r="137" spans="1:29" x14ac:dyDescent="0.35">
      <c r="A137">
        <f t="shared" si="38"/>
        <v>135</v>
      </c>
      <c r="B137" t="str">
        <f>RB_Raw!A138</f>
        <v>Tyrion Davis-Price</v>
      </c>
      <c r="C137" t="s">
        <v>25</v>
      </c>
      <c r="D137">
        <f>_xlfn.IFNA(INDEX(BYEs!E:E,MATCH(B137,BYEs!D:D,0)),"N/A")</f>
        <v>23</v>
      </c>
      <c r="E137">
        <f>INDEX(BYEs!$B$2:$B$34,MATCH(F137,BYEs!$A$2:$A$34,0))</f>
        <v>5</v>
      </c>
      <c r="F137" t="str">
        <f>RB_Raw!B138</f>
        <v>PHI</v>
      </c>
      <c r="G137" s="202">
        <v>0</v>
      </c>
      <c r="H137" s="203">
        <v>0</v>
      </c>
      <c r="I137" s="202">
        <f>RB_Raw!C138</f>
        <v>0</v>
      </c>
      <c r="J137" s="200">
        <f>RB_Raw!D138</f>
        <v>17</v>
      </c>
      <c r="K137" s="203">
        <f>RB_Raw!E138</f>
        <v>0</v>
      </c>
      <c r="L137" s="202">
        <f>RB_Raw!F138</f>
        <v>1</v>
      </c>
      <c r="M137" s="200">
        <f>RB_Raw!G138</f>
        <v>3</v>
      </c>
      <c r="N137" s="203">
        <f>RB_Raw!H138</f>
        <v>0</v>
      </c>
      <c r="O137" s="200">
        <f>RB_Raw!I138</f>
        <v>0</v>
      </c>
      <c r="P137" s="205">
        <f t="shared" si="39"/>
        <v>2.5</v>
      </c>
      <c r="Q137" t="str">
        <f t="shared" ca="1" si="40"/>
        <v>Undrafted</v>
      </c>
      <c r="R137">
        <f t="shared" ca="1" si="41"/>
        <v>0</v>
      </c>
      <c r="S137">
        <f t="shared" ca="1" si="42"/>
        <v>-101.18</v>
      </c>
      <c r="T137" s="84">
        <f t="shared" ca="1" si="43"/>
        <v>-16.692631255100864</v>
      </c>
      <c r="U137" s="84">
        <f ca="1">T137*Auction!$A$2</f>
        <v>-16.692631255100864</v>
      </c>
      <c r="V137" s="5" t="str">
        <f>IF(OR(INDEX(Auction!$H$13:$H$650,MATCH(B137,Auction!$A$13:$A$650,0))&gt;0,IFERROR(INDEX(CheatSheet!$M$5:$M$64,MATCH(B137,CheatSheet!$J$5:$J$64,0)),"")&lt;&gt;""),"Yes","No")</f>
        <v>No</v>
      </c>
      <c r="W137" s="175"/>
      <c r="Y137" s="77">
        <f t="shared" ca="1" si="44"/>
        <v>1</v>
      </c>
      <c r="Z137" s="174">
        <f t="shared" ca="1" si="47"/>
        <v>-50.59</v>
      </c>
      <c r="AA137" t="str">
        <f t="shared" ca="1" si="48"/>
        <v>RB8</v>
      </c>
      <c r="AB137" s="174">
        <f ca="1">Z137*LeagueInfo!$H$5</f>
        <v>-16.338049457046811</v>
      </c>
      <c r="AC137" s="174">
        <f t="shared" ca="1" si="45"/>
        <v>-0.95604099288059874</v>
      </c>
    </row>
  </sheetData>
  <autoFilter ref="A2:AB137" xr:uid="{10EF7688-3859-445F-9534-6F44193B6B42}">
    <sortState xmlns:xlrd2="http://schemas.microsoft.com/office/spreadsheetml/2017/richdata2" ref="A3:AB132">
      <sortCondition ref="A2:A131"/>
    </sortState>
  </autoFilter>
  <sortState xmlns:xlrd2="http://schemas.microsoft.com/office/spreadsheetml/2017/richdata2" ref="A3:V140">
    <sortCondition ref="A2:A225"/>
  </sortState>
  <mergeCells count="3">
    <mergeCell ref="G1:H1"/>
    <mergeCell ref="I1:K1"/>
    <mergeCell ref="L1:N1"/>
  </mergeCells>
  <conditionalFormatting sqref="B3:V137">
    <cfRule type="expression" dxfId="83" priority="23">
      <formula>$V3="Yes"</formula>
    </cfRule>
  </conditionalFormatting>
  <conditionalFormatting sqref="P2:T2 A2 G2:H2 C2:E2">
    <cfRule type="expression" dxfId="82" priority="269">
      <formula>#REF!="Yes"</formula>
    </cfRule>
  </conditionalFormatting>
  <conditionalFormatting sqref="D3:D137">
    <cfRule type="colorScale" priority="320">
      <colorScale>
        <cfvo type="min"/>
        <cfvo type="percentile" val="50"/>
        <cfvo type="max"/>
        <color rgb="FF63BE7B"/>
        <color rgb="FFFFEB84"/>
        <color rgb="FFF8696B"/>
      </colorScale>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0000000}">
          <x14:formula1>
            <xm:f>LeagueInfo!$H$97:$H$100</xm:f>
          </x14:formula1>
          <xm:sqref>W3:W137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38"/>
  <sheetViews>
    <sheetView workbookViewId="0">
      <selection activeCell="C19" sqref="C19"/>
    </sheetView>
  </sheetViews>
  <sheetFormatPr defaultColWidth="8.90625" defaultRowHeight="14.5" x14ac:dyDescent="0.35"/>
  <cols>
    <col min="1" max="1" width="20.453125" bestFit="1" customWidth="1"/>
    <col min="2" max="2" width="7.90625" bestFit="1" customWidth="1"/>
    <col min="3" max="3" width="14.81640625" bestFit="1" customWidth="1"/>
    <col min="4" max="4" width="15" bestFit="1" customWidth="1"/>
    <col min="5" max="5" width="14.81640625" bestFit="1" customWidth="1"/>
    <col min="6" max="6" width="16.08984375" bestFit="1" customWidth="1"/>
    <col min="7" max="7" width="16.1796875" bestFit="1" customWidth="1"/>
    <col min="8" max="8" width="16.08984375" bestFit="1" customWidth="1"/>
    <col min="9" max="9" width="9.81640625" bestFit="1" customWidth="1"/>
    <col min="10" max="10" width="12" bestFit="1" customWidth="1"/>
  </cols>
  <sheetData>
    <row r="1" spans="1:10" x14ac:dyDescent="0.35">
      <c r="A1" t="s">
        <v>82</v>
      </c>
      <c r="B1" t="s">
        <v>272</v>
      </c>
      <c r="C1" t="s">
        <v>386</v>
      </c>
      <c r="D1" t="s">
        <v>387</v>
      </c>
      <c r="E1" t="s">
        <v>388</v>
      </c>
      <c r="F1" t="s">
        <v>391</v>
      </c>
      <c r="G1" t="s">
        <v>392</v>
      </c>
      <c r="H1" t="s">
        <v>393</v>
      </c>
      <c r="I1" t="s">
        <v>389</v>
      </c>
      <c r="J1" t="s">
        <v>390</v>
      </c>
    </row>
    <row r="2" spans="1:10" x14ac:dyDescent="0.35">
      <c r="A2" t="s">
        <v>97</v>
      </c>
      <c r="B2" t="s">
        <v>214</v>
      </c>
      <c r="C2">
        <v>272.39999999999998</v>
      </c>
      <c r="D2">
        <v>1288.8</v>
      </c>
      <c r="E2">
        <v>11.6</v>
      </c>
      <c r="F2">
        <v>69.900000000000006</v>
      </c>
      <c r="G2">
        <v>567.9</v>
      </c>
      <c r="H2">
        <v>4.8</v>
      </c>
      <c r="I2">
        <v>1.7</v>
      </c>
      <c r="J2">
        <v>280.7</v>
      </c>
    </row>
    <row r="3" spans="1:10" x14ac:dyDescent="0.35">
      <c r="A3" t="s">
        <v>613</v>
      </c>
      <c r="B3" t="s">
        <v>217</v>
      </c>
      <c r="C3">
        <v>249.2</v>
      </c>
      <c r="D3">
        <v>1129.3</v>
      </c>
      <c r="E3">
        <v>8.1</v>
      </c>
      <c r="F3">
        <v>66.8</v>
      </c>
      <c r="G3">
        <v>530</v>
      </c>
      <c r="H3">
        <v>3.8</v>
      </c>
      <c r="I3">
        <v>1.4</v>
      </c>
      <c r="J3">
        <v>234.8</v>
      </c>
    </row>
    <row r="4" spans="1:10" x14ac:dyDescent="0.35">
      <c r="A4" t="s">
        <v>710</v>
      </c>
      <c r="B4" t="s">
        <v>192</v>
      </c>
      <c r="C4">
        <v>244</v>
      </c>
      <c r="D4">
        <v>1113.0999999999999</v>
      </c>
      <c r="E4">
        <v>7.4</v>
      </c>
      <c r="F4">
        <v>65.5</v>
      </c>
      <c r="G4">
        <v>534.1</v>
      </c>
      <c r="H4">
        <v>4.3</v>
      </c>
      <c r="I4">
        <v>2.2000000000000002</v>
      </c>
      <c r="J4">
        <v>230.4</v>
      </c>
    </row>
    <row r="5" spans="1:10" x14ac:dyDescent="0.35">
      <c r="A5" t="s">
        <v>516</v>
      </c>
      <c r="B5" t="s">
        <v>194</v>
      </c>
      <c r="C5">
        <v>283.89999999999998</v>
      </c>
      <c r="D5">
        <v>1271.5999999999999</v>
      </c>
      <c r="E5">
        <v>10.1</v>
      </c>
      <c r="F5">
        <v>37.200000000000003</v>
      </c>
      <c r="G5">
        <v>278.89999999999998</v>
      </c>
      <c r="H5">
        <v>1.6</v>
      </c>
      <c r="I5">
        <v>1.4</v>
      </c>
      <c r="J5">
        <v>222.4</v>
      </c>
    </row>
    <row r="6" spans="1:10" x14ac:dyDescent="0.35">
      <c r="A6" t="s">
        <v>351</v>
      </c>
      <c r="B6" t="s">
        <v>207</v>
      </c>
      <c r="C6">
        <v>269.10000000000002</v>
      </c>
      <c r="D6">
        <v>1128.5999999999999</v>
      </c>
      <c r="E6">
        <v>9.3000000000000007</v>
      </c>
      <c r="F6">
        <v>48</v>
      </c>
      <c r="G6">
        <v>344.2</v>
      </c>
      <c r="H6">
        <v>3</v>
      </c>
      <c r="I6">
        <v>1.7</v>
      </c>
      <c r="J6">
        <v>217.6</v>
      </c>
    </row>
    <row r="7" spans="1:10" x14ac:dyDescent="0.35">
      <c r="A7" t="s">
        <v>107</v>
      </c>
      <c r="B7" t="s">
        <v>209</v>
      </c>
      <c r="C7">
        <v>269.2</v>
      </c>
      <c r="D7">
        <v>1203.3</v>
      </c>
      <c r="E7">
        <v>11.2</v>
      </c>
      <c r="F7">
        <v>24.9</v>
      </c>
      <c r="G7">
        <v>199.1</v>
      </c>
      <c r="H7">
        <v>0.9</v>
      </c>
      <c r="I7">
        <v>1</v>
      </c>
      <c r="J7">
        <v>210.9</v>
      </c>
    </row>
    <row r="8" spans="1:10" x14ac:dyDescent="0.35">
      <c r="A8" t="s">
        <v>626</v>
      </c>
      <c r="B8" t="s">
        <v>216</v>
      </c>
      <c r="C8">
        <v>245.5</v>
      </c>
      <c r="D8">
        <v>1115.9000000000001</v>
      </c>
      <c r="E8">
        <v>10</v>
      </c>
      <c r="F8">
        <v>34.700000000000003</v>
      </c>
      <c r="G8">
        <v>253.6</v>
      </c>
      <c r="H8">
        <v>2</v>
      </c>
      <c r="I8">
        <v>1.7</v>
      </c>
      <c r="J8">
        <v>205</v>
      </c>
    </row>
    <row r="9" spans="1:10" x14ac:dyDescent="0.35">
      <c r="A9" t="s">
        <v>724</v>
      </c>
      <c r="B9" t="s">
        <v>201</v>
      </c>
      <c r="C9">
        <v>202.5</v>
      </c>
      <c r="D9">
        <v>941.3</v>
      </c>
      <c r="E9">
        <v>8.4</v>
      </c>
      <c r="F9">
        <v>54.6</v>
      </c>
      <c r="G9">
        <v>388.9</v>
      </c>
      <c r="H9">
        <v>2.2000000000000002</v>
      </c>
      <c r="I9">
        <v>1.4</v>
      </c>
      <c r="J9">
        <v>193.8</v>
      </c>
    </row>
    <row r="10" spans="1:10" x14ac:dyDescent="0.35">
      <c r="A10" t="s">
        <v>629</v>
      </c>
      <c r="B10" t="s">
        <v>210</v>
      </c>
      <c r="C10">
        <v>238.6</v>
      </c>
      <c r="D10">
        <v>1065.8</v>
      </c>
      <c r="E10">
        <v>8.5</v>
      </c>
      <c r="F10">
        <v>38.799999999999997</v>
      </c>
      <c r="G10">
        <v>258.39999999999998</v>
      </c>
      <c r="H10">
        <v>1.9</v>
      </c>
      <c r="I10">
        <v>1.4</v>
      </c>
      <c r="J10">
        <v>192.1</v>
      </c>
    </row>
    <row r="11" spans="1:10" x14ac:dyDescent="0.35">
      <c r="A11" t="s">
        <v>421</v>
      </c>
      <c r="B11" t="s">
        <v>189</v>
      </c>
      <c r="C11">
        <v>255.5</v>
      </c>
      <c r="D11">
        <v>1055.9000000000001</v>
      </c>
      <c r="E11">
        <v>8.6</v>
      </c>
      <c r="F11">
        <v>39.700000000000003</v>
      </c>
      <c r="G11">
        <v>301.7</v>
      </c>
      <c r="H11">
        <v>1.1000000000000001</v>
      </c>
      <c r="I11">
        <v>1.1000000000000001</v>
      </c>
      <c r="J11">
        <v>192</v>
      </c>
    </row>
    <row r="12" spans="1:10" x14ac:dyDescent="0.35">
      <c r="A12" t="s">
        <v>614</v>
      </c>
      <c r="B12" t="s">
        <v>205</v>
      </c>
      <c r="C12">
        <v>250</v>
      </c>
      <c r="D12">
        <v>1024.9000000000001</v>
      </c>
      <c r="E12">
        <v>8.1999999999999993</v>
      </c>
      <c r="F12">
        <v>46.1</v>
      </c>
      <c r="G12">
        <v>357.9</v>
      </c>
      <c r="H12">
        <v>1.2</v>
      </c>
      <c r="I12">
        <v>1.3</v>
      </c>
      <c r="J12">
        <v>192</v>
      </c>
    </row>
    <row r="13" spans="1:10" x14ac:dyDescent="0.35">
      <c r="A13" t="s">
        <v>615</v>
      </c>
      <c r="B13" t="s">
        <v>203</v>
      </c>
      <c r="C13">
        <v>231.7</v>
      </c>
      <c r="D13">
        <v>1033.4000000000001</v>
      </c>
      <c r="E13">
        <v>5.0999999999999996</v>
      </c>
      <c r="F13">
        <v>45</v>
      </c>
      <c r="G13">
        <v>382.4</v>
      </c>
      <c r="H13">
        <v>2.8</v>
      </c>
      <c r="I13">
        <v>1.4</v>
      </c>
      <c r="J13">
        <v>186.2</v>
      </c>
    </row>
    <row r="14" spans="1:10" x14ac:dyDescent="0.35">
      <c r="A14" t="s">
        <v>780</v>
      </c>
      <c r="B14" t="s">
        <v>212</v>
      </c>
      <c r="C14">
        <v>175.1</v>
      </c>
      <c r="D14">
        <v>907.3</v>
      </c>
      <c r="E14">
        <v>7.3</v>
      </c>
      <c r="F14">
        <v>45.4</v>
      </c>
      <c r="G14">
        <v>348.4</v>
      </c>
      <c r="H14">
        <v>2.9</v>
      </c>
      <c r="I14">
        <v>0.9</v>
      </c>
      <c r="J14">
        <v>184.5</v>
      </c>
    </row>
    <row r="15" spans="1:10" x14ac:dyDescent="0.35">
      <c r="A15" t="s">
        <v>98</v>
      </c>
      <c r="B15" t="s">
        <v>219</v>
      </c>
      <c r="C15">
        <v>244.8</v>
      </c>
      <c r="D15">
        <v>961.9</v>
      </c>
      <c r="E15">
        <v>7.6</v>
      </c>
      <c r="F15">
        <v>40.1</v>
      </c>
      <c r="G15">
        <v>304.3</v>
      </c>
      <c r="H15">
        <v>2.2000000000000002</v>
      </c>
      <c r="I15">
        <v>0.9</v>
      </c>
      <c r="J15">
        <v>183.3</v>
      </c>
    </row>
    <row r="16" spans="1:10" x14ac:dyDescent="0.35">
      <c r="A16" t="s">
        <v>617</v>
      </c>
      <c r="B16" t="s">
        <v>195</v>
      </c>
      <c r="C16">
        <v>235.6</v>
      </c>
      <c r="D16">
        <v>914.9</v>
      </c>
      <c r="E16">
        <v>6.5</v>
      </c>
      <c r="F16">
        <v>52.5</v>
      </c>
      <c r="G16">
        <v>395.6</v>
      </c>
      <c r="H16">
        <v>2.4</v>
      </c>
      <c r="I16">
        <v>1.7</v>
      </c>
      <c r="J16">
        <v>181.2</v>
      </c>
    </row>
    <row r="17" spans="1:10" x14ac:dyDescent="0.35">
      <c r="A17" t="s">
        <v>779</v>
      </c>
      <c r="B17" t="s">
        <v>193</v>
      </c>
      <c r="C17">
        <v>240.3</v>
      </c>
      <c r="D17">
        <v>1004</v>
      </c>
      <c r="E17">
        <v>9</v>
      </c>
      <c r="F17">
        <v>29.1</v>
      </c>
      <c r="G17">
        <v>224.9</v>
      </c>
      <c r="H17">
        <v>1</v>
      </c>
      <c r="I17">
        <v>0.9</v>
      </c>
      <c r="J17">
        <v>181</v>
      </c>
    </row>
    <row r="18" spans="1:10" x14ac:dyDescent="0.35">
      <c r="A18" t="s">
        <v>229</v>
      </c>
      <c r="B18" t="s">
        <v>191</v>
      </c>
      <c r="C18">
        <v>208.6</v>
      </c>
      <c r="D18">
        <v>814.9</v>
      </c>
      <c r="E18">
        <v>5.3</v>
      </c>
      <c r="F18">
        <v>68.900000000000006</v>
      </c>
      <c r="G18">
        <v>488.5</v>
      </c>
      <c r="H18">
        <v>2.2999999999999998</v>
      </c>
      <c r="I18">
        <v>0.9</v>
      </c>
      <c r="J18">
        <v>174.6</v>
      </c>
    </row>
    <row r="19" spans="1:10" x14ac:dyDescent="0.35">
      <c r="A19" t="s">
        <v>422</v>
      </c>
      <c r="B19" t="s">
        <v>201</v>
      </c>
      <c r="C19">
        <v>205.1</v>
      </c>
      <c r="D19">
        <v>901.7</v>
      </c>
      <c r="E19">
        <v>9.9</v>
      </c>
      <c r="F19">
        <v>22.4</v>
      </c>
      <c r="G19">
        <v>167.6</v>
      </c>
      <c r="H19">
        <v>0.8</v>
      </c>
      <c r="I19">
        <v>0.9</v>
      </c>
      <c r="J19">
        <v>169.4</v>
      </c>
    </row>
    <row r="20" spans="1:10" x14ac:dyDescent="0.35">
      <c r="A20" t="s">
        <v>232</v>
      </c>
      <c r="B20" t="s">
        <v>211</v>
      </c>
      <c r="C20">
        <v>189.3</v>
      </c>
      <c r="D20">
        <v>869.1</v>
      </c>
      <c r="E20">
        <v>5.5</v>
      </c>
      <c r="F20">
        <v>42.8</v>
      </c>
      <c r="G20">
        <v>313.5</v>
      </c>
      <c r="H20">
        <v>1.9</v>
      </c>
      <c r="I20">
        <v>1</v>
      </c>
      <c r="J20">
        <v>160.69999999999999</v>
      </c>
    </row>
    <row r="21" spans="1:10" x14ac:dyDescent="0.35">
      <c r="A21" t="s">
        <v>621</v>
      </c>
      <c r="B21" t="s">
        <v>478</v>
      </c>
      <c r="C21">
        <v>234.8</v>
      </c>
      <c r="D21">
        <v>987</v>
      </c>
      <c r="E21">
        <v>5.7</v>
      </c>
      <c r="F21">
        <v>33</v>
      </c>
      <c r="G21">
        <v>230.1</v>
      </c>
      <c r="H21">
        <v>0.8</v>
      </c>
      <c r="I21">
        <v>1.3</v>
      </c>
      <c r="J21">
        <v>158.30000000000001</v>
      </c>
    </row>
    <row r="22" spans="1:10" x14ac:dyDescent="0.35">
      <c r="A22" t="s">
        <v>540</v>
      </c>
      <c r="B22" t="s">
        <v>202</v>
      </c>
      <c r="C22">
        <v>237.2</v>
      </c>
      <c r="D22">
        <v>948.8</v>
      </c>
      <c r="E22">
        <v>6.6</v>
      </c>
      <c r="F22">
        <v>29</v>
      </c>
      <c r="G22">
        <v>182.8</v>
      </c>
      <c r="H22">
        <v>1.2</v>
      </c>
      <c r="I22">
        <v>1</v>
      </c>
      <c r="J22">
        <v>157.69999999999999</v>
      </c>
    </row>
    <row r="23" spans="1:10" x14ac:dyDescent="0.35">
      <c r="A23" t="s">
        <v>230</v>
      </c>
      <c r="B23" t="s">
        <v>208</v>
      </c>
      <c r="C23">
        <v>201.7</v>
      </c>
      <c r="D23">
        <v>883.7</v>
      </c>
      <c r="E23">
        <v>6.7</v>
      </c>
      <c r="F23">
        <v>32.6</v>
      </c>
      <c r="G23">
        <v>222.3</v>
      </c>
      <c r="H23">
        <v>1.4</v>
      </c>
      <c r="I23">
        <v>0.9</v>
      </c>
      <c r="J23">
        <v>157.4</v>
      </c>
    </row>
    <row r="24" spans="1:10" x14ac:dyDescent="0.35">
      <c r="A24" t="s">
        <v>233</v>
      </c>
      <c r="B24" t="s">
        <v>212</v>
      </c>
      <c r="C24">
        <v>168.7</v>
      </c>
      <c r="D24">
        <v>804.4</v>
      </c>
      <c r="E24">
        <v>8.5</v>
      </c>
      <c r="F24">
        <v>25.4</v>
      </c>
      <c r="G24">
        <v>179.2</v>
      </c>
      <c r="H24">
        <v>1.3</v>
      </c>
      <c r="I24">
        <v>1</v>
      </c>
      <c r="J24">
        <v>155.1</v>
      </c>
    </row>
    <row r="25" spans="1:10" x14ac:dyDescent="0.35">
      <c r="A25" t="s">
        <v>545</v>
      </c>
      <c r="B25" t="s">
        <v>190</v>
      </c>
      <c r="C25">
        <v>213.2</v>
      </c>
      <c r="D25">
        <v>885.4</v>
      </c>
      <c r="E25">
        <v>5.7</v>
      </c>
      <c r="F25">
        <v>41.8</v>
      </c>
      <c r="G25">
        <v>286.8</v>
      </c>
      <c r="H25">
        <v>0.8</v>
      </c>
      <c r="I25">
        <v>1</v>
      </c>
      <c r="J25">
        <v>154.69999999999999</v>
      </c>
    </row>
    <row r="26" spans="1:10" x14ac:dyDescent="0.35">
      <c r="A26" t="s">
        <v>427</v>
      </c>
      <c r="B26" t="s">
        <v>198</v>
      </c>
      <c r="C26">
        <v>197.6</v>
      </c>
      <c r="D26">
        <v>846.7</v>
      </c>
      <c r="E26">
        <v>5.7</v>
      </c>
      <c r="F26">
        <v>34.1</v>
      </c>
      <c r="G26">
        <v>236.7</v>
      </c>
      <c r="H26">
        <v>0.9</v>
      </c>
      <c r="I26">
        <v>0.9</v>
      </c>
      <c r="J26">
        <v>145.69999999999999</v>
      </c>
    </row>
    <row r="27" spans="1:10" x14ac:dyDescent="0.35">
      <c r="A27" t="s">
        <v>517</v>
      </c>
      <c r="B27" t="s">
        <v>213</v>
      </c>
      <c r="C27">
        <v>178.3</v>
      </c>
      <c r="D27">
        <v>810.3</v>
      </c>
      <c r="E27">
        <v>5.2</v>
      </c>
      <c r="F27">
        <v>36.5</v>
      </c>
      <c r="G27">
        <v>251.8</v>
      </c>
      <c r="H27">
        <v>1.6</v>
      </c>
      <c r="I27">
        <v>1</v>
      </c>
      <c r="J27">
        <v>144.9</v>
      </c>
    </row>
    <row r="28" spans="1:10" x14ac:dyDescent="0.35">
      <c r="A28" t="s">
        <v>541</v>
      </c>
      <c r="B28" t="s">
        <v>218</v>
      </c>
      <c r="C28">
        <v>204.3</v>
      </c>
      <c r="D28">
        <v>834.6</v>
      </c>
      <c r="E28">
        <v>4.7</v>
      </c>
      <c r="F28">
        <v>41.2</v>
      </c>
      <c r="G28">
        <v>247</v>
      </c>
      <c r="H28">
        <v>1.5</v>
      </c>
      <c r="I28">
        <v>0.9</v>
      </c>
      <c r="J28">
        <v>143.5</v>
      </c>
    </row>
    <row r="29" spans="1:10" x14ac:dyDescent="0.35">
      <c r="A29" t="s">
        <v>620</v>
      </c>
      <c r="B29" t="s">
        <v>197</v>
      </c>
      <c r="C29">
        <v>185.3</v>
      </c>
      <c r="D29">
        <v>776.2</v>
      </c>
      <c r="E29">
        <v>5.3</v>
      </c>
      <c r="F29">
        <v>28.8</v>
      </c>
      <c r="G29">
        <v>241.1</v>
      </c>
      <c r="H29">
        <v>1.8</v>
      </c>
      <c r="I29">
        <v>1.5</v>
      </c>
      <c r="J29">
        <v>141.4</v>
      </c>
    </row>
    <row r="30" spans="1:10" x14ac:dyDescent="0.35">
      <c r="A30" t="s">
        <v>426</v>
      </c>
      <c r="B30" t="s">
        <v>206</v>
      </c>
      <c r="C30">
        <v>196.3</v>
      </c>
      <c r="D30">
        <v>847.4</v>
      </c>
      <c r="E30">
        <v>5</v>
      </c>
      <c r="F30">
        <v>33</v>
      </c>
      <c r="G30">
        <v>212.9</v>
      </c>
      <c r="H30">
        <v>0.7</v>
      </c>
      <c r="I30">
        <v>1</v>
      </c>
      <c r="J30">
        <v>137.9</v>
      </c>
    </row>
    <row r="31" spans="1:10" x14ac:dyDescent="0.35">
      <c r="A31" t="s">
        <v>520</v>
      </c>
      <c r="B31" t="s">
        <v>204</v>
      </c>
      <c r="C31">
        <v>170.3</v>
      </c>
      <c r="D31">
        <v>738</v>
      </c>
      <c r="E31">
        <v>5.8</v>
      </c>
      <c r="F31">
        <v>29.5</v>
      </c>
      <c r="G31">
        <v>205</v>
      </c>
      <c r="H31">
        <v>1.4</v>
      </c>
      <c r="I31">
        <v>0.5</v>
      </c>
      <c r="J31">
        <v>136.69999999999999</v>
      </c>
    </row>
    <row r="32" spans="1:10" x14ac:dyDescent="0.35">
      <c r="A32" t="s">
        <v>406</v>
      </c>
      <c r="B32" t="s">
        <v>200</v>
      </c>
      <c r="C32">
        <v>183.7</v>
      </c>
      <c r="D32">
        <v>780.3</v>
      </c>
      <c r="E32">
        <v>7</v>
      </c>
      <c r="F32">
        <v>15</v>
      </c>
      <c r="G32">
        <v>131</v>
      </c>
      <c r="H32">
        <v>0.4</v>
      </c>
      <c r="I32">
        <v>1.3</v>
      </c>
      <c r="J32">
        <v>132.69999999999999</v>
      </c>
    </row>
    <row r="33" spans="1:10" x14ac:dyDescent="0.35">
      <c r="A33" t="s">
        <v>688</v>
      </c>
      <c r="B33" t="s">
        <v>202</v>
      </c>
      <c r="C33">
        <v>142.4</v>
      </c>
      <c r="D33">
        <v>685.7</v>
      </c>
      <c r="E33">
        <v>3.9</v>
      </c>
      <c r="F33">
        <v>47.9</v>
      </c>
      <c r="G33">
        <v>327.60000000000002</v>
      </c>
      <c r="H33">
        <v>1.7</v>
      </c>
      <c r="I33">
        <v>1.4</v>
      </c>
      <c r="J33">
        <v>132.19999999999999</v>
      </c>
    </row>
    <row r="34" spans="1:10" x14ac:dyDescent="0.35">
      <c r="A34" t="s">
        <v>717</v>
      </c>
      <c r="B34" t="s">
        <v>204</v>
      </c>
      <c r="C34">
        <v>142.69999999999999</v>
      </c>
      <c r="D34">
        <v>618.6</v>
      </c>
      <c r="E34">
        <v>4</v>
      </c>
      <c r="F34">
        <v>37.299999999999997</v>
      </c>
      <c r="G34">
        <v>304.5</v>
      </c>
      <c r="H34">
        <v>1.9</v>
      </c>
      <c r="I34">
        <v>0.6</v>
      </c>
      <c r="J34">
        <v>126.5</v>
      </c>
    </row>
    <row r="35" spans="1:10" x14ac:dyDescent="0.35">
      <c r="A35" t="s">
        <v>88</v>
      </c>
      <c r="B35" t="s">
        <v>199</v>
      </c>
      <c r="C35">
        <v>170.2</v>
      </c>
      <c r="D35">
        <v>663.2</v>
      </c>
      <c r="E35">
        <v>5.7</v>
      </c>
      <c r="F35">
        <v>29.2</v>
      </c>
      <c r="G35">
        <v>193.8</v>
      </c>
      <c r="H35">
        <v>1.3</v>
      </c>
      <c r="I35">
        <v>1</v>
      </c>
      <c r="J35">
        <v>126.1</v>
      </c>
    </row>
    <row r="36" spans="1:10" x14ac:dyDescent="0.35">
      <c r="A36" t="s">
        <v>775</v>
      </c>
      <c r="B36" t="s">
        <v>198</v>
      </c>
      <c r="C36">
        <v>141.9</v>
      </c>
      <c r="D36">
        <v>621.1</v>
      </c>
      <c r="E36">
        <v>3.6</v>
      </c>
      <c r="F36">
        <v>43.3</v>
      </c>
      <c r="G36">
        <v>336</v>
      </c>
      <c r="H36">
        <v>1.6</v>
      </c>
      <c r="I36">
        <v>0.9</v>
      </c>
      <c r="J36">
        <v>124.7</v>
      </c>
    </row>
    <row r="37" spans="1:10" x14ac:dyDescent="0.35">
      <c r="A37" t="s">
        <v>355</v>
      </c>
      <c r="B37" t="s">
        <v>197</v>
      </c>
      <c r="C37">
        <v>126.6</v>
      </c>
      <c r="D37">
        <v>524.1</v>
      </c>
      <c r="E37">
        <v>4.2</v>
      </c>
      <c r="F37">
        <v>46.3</v>
      </c>
      <c r="G37">
        <v>366.7</v>
      </c>
      <c r="H37">
        <v>2</v>
      </c>
      <c r="I37">
        <v>1.7</v>
      </c>
      <c r="J37">
        <v>122.7</v>
      </c>
    </row>
    <row r="38" spans="1:10" x14ac:dyDescent="0.35">
      <c r="A38" t="s">
        <v>627</v>
      </c>
      <c r="B38" t="s">
        <v>220</v>
      </c>
      <c r="C38">
        <v>162.5</v>
      </c>
      <c r="D38">
        <v>643.5</v>
      </c>
      <c r="E38">
        <v>3.8</v>
      </c>
      <c r="F38">
        <v>34</v>
      </c>
      <c r="G38">
        <v>241.8</v>
      </c>
      <c r="H38">
        <v>1.9</v>
      </c>
      <c r="I38">
        <v>0.8</v>
      </c>
      <c r="J38">
        <v>121</v>
      </c>
    </row>
    <row r="39" spans="1:10" x14ac:dyDescent="0.35">
      <c r="A39" t="s">
        <v>354</v>
      </c>
      <c r="B39" t="s">
        <v>220</v>
      </c>
      <c r="C39">
        <v>150.69999999999999</v>
      </c>
      <c r="D39">
        <v>730.6</v>
      </c>
      <c r="E39">
        <v>5</v>
      </c>
      <c r="F39">
        <v>17.5</v>
      </c>
      <c r="G39">
        <v>138.1</v>
      </c>
      <c r="H39">
        <v>0.6</v>
      </c>
      <c r="I39">
        <v>0.8</v>
      </c>
      <c r="J39">
        <v>119</v>
      </c>
    </row>
    <row r="40" spans="1:10" x14ac:dyDescent="0.35">
      <c r="A40" t="s">
        <v>861</v>
      </c>
      <c r="B40" t="s">
        <v>196</v>
      </c>
      <c r="C40">
        <v>152.1</v>
      </c>
      <c r="D40">
        <v>664.2</v>
      </c>
      <c r="E40">
        <v>4.4000000000000004</v>
      </c>
      <c r="F40">
        <v>23.1</v>
      </c>
      <c r="G40">
        <v>177.9</v>
      </c>
      <c r="H40">
        <v>0.9</v>
      </c>
      <c r="I40">
        <v>1.6</v>
      </c>
      <c r="J40">
        <v>113.1</v>
      </c>
    </row>
    <row r="41" spans="1:10" x14ac:dyDescent="0.35">
      <c r="A41" t="s">
        <v>544</v>
      </c>
      <c r="B41" t="s">
        <v>196</v>
      </c>
      <c r="C41">
        <v>156.30000000000001</v>
      </c>
      <c r="D41">
        <v>622</v>
      </c>
      <c r="E41">
        <v>4</v>
      </c>
      <c r="F41">
        <v>27.7</v>
      </c>
      <c r="G41">
        <v>192.5</v>
      </c>
      <c r="H41">
        <v>0.5</v>
      </c>
      <c r="I41">
        <v>0.9</v>
      </c>
      <c r="J41">
        <v>106.6</v>
      </c>
    </row>
    <row r="42" spans="1:10" x14ac:dyDescent="0.35">
      <c r="A42" t="s">
        <v>519</v>
      </c>
      <c r="B42" t="s">
        <v>200</v>
      </c>
      <c r="C42">
        <v>133.6</v>
      </c>
      <c r="D42">
        <v>571.5</v>
      </c>
      <c r="E42">
        <v>3.9</v>
      </c>
      <c r="F42">
        <v>24.3</v>
      </c>
      <c r="G42">
        <v>182.8</v>
      </c>
      <c r="H42">
        <v>1.5</v>
      </c>
      <c r="I42">
        <v>0.9</v>
      </c>
      <c r="J42">
        <v>105.8</v>
      </c>
    </row>
    <row r="43" spans="1:10" x14ac:dyDescent="0.35">
      <c r="A43" t="s">
        <v>628</v>
      </c>
      <c r="B43" t="s">
        <v>211</v>
      </c>
      <c r="C43">
        <v>146.6</v>
      </c>
      <c r="D43">
        <v>598.6</v>
      </c>
      <c r="E43">
        <v>4.3</v>
      </c>
      <c r="F43">
        <v>21.1</v>
      </c>
      <c r="G43">
        <v>154.6</v>
      </c>
      <c r="H43">
        <v>0.6</v>
      </c>
      <c r="I43">
        <v>0.8</v>
      </c>
      <c r="J43">
        <v>103.6</v>
      </c>
    </row>
    <row r="44" spans="1:10" x14ac:dyDescent="0.35">
      <c r="A44" t="s">
        <v>863</v>
      </c>
      <c r="B44" t="s">
        <v>216</v>
      </c>
      <c r="C44">
        <v>138.30000000000001</v>
      </c>
      <c r="D44">
        <v>575.4</v>
      </c>
      <c r="E44">
        <v>4.4000000000000004</v>
      </c>
      <c r="F44">
        <v>19.7</v>
      </c>
      <c r="G44">
        <v>153.19999999999999</v>
      </c>
      <c r="H44">
        <v>0.8</v>
      </c>
      <c r="I44">
        <v>1.5</v>
      </c>
      <c r="J44">
        <v>100.9</v>
      </c>
    </row>
    <row r="45" spans="1:10" x14ac:dyDescent="0.35">
      <c r="A45" t="s">
        <v>529</v>
      </c>
      <c r="B45" t="s">
        <v>199</v>
      </c>
      <c r="C45">
        <v>140</v>
      </c>
      <c r="D45">
        <v>544.5</v>
      </c>
      <c r="E45">
        <v>3.6</v>
      </c>
      <c r="F45">
        <v>23.6</v>
      </c>
      <c r="G45">
        <v>181.1</v>
      </c>
      <c r="H45">
        <v>1.2</v>
      </c>
      <c r="I45">
        <v>0.4</v>
      </c>
      <c r="J45">
        <v>100.6</v>
      </c>
    </row>
    <row r="46" spans="1:10" x14ac:dyDescent="0.35">
      <c r="A46" t="s">
        <v>619</v>
      </c>
      <c r="B46" t="s">
        <v>192</v>
      </c>
      <c r="C46">
        <v>134.4</v>
      </c>
      <c r="D46">
        <v>549.5</v>
      </c>
      <c r="E46">
        <v>3.8</v>
      </c>
      <c r="F46">
        <v>21.1</v>
      </c>
      <c r="G46">
        <v>167.6</v>
      </c>
      <c r="H46">
        <v>1.2</v>
      </c>
      <c r="I46">
        <v>0.8</v>
      </c>
      <c r="J46">
        <v>100.2</v>
      </c>
    </row>
    <row r="47" spans="1:10" x14ac:dyDescent="0.35">
      <c r="A47" t="s">
        <v>862</v>
      </c>
      <c r="B47" t="s">
        <v>208</v>
      </c>
      <c r="C47">
        <v>134.30000000000001</v>
      </c>
      <c r="D47">
        <v>579.1</v>
      </c>
      <c r="E47">
        <v>3.9</v>
      </c>
      <c r="F47">
        <v>19.100000000000001</v>
      </c>
      <c r="G47">
        <v>139.5</v>
      </c>
      <c r="H47">
        <v>0.9</v>
      </c>
      <c r="I47">
        <v>1.5</v>
      </c>
      <c r="J47">
        <v>97.6</v>
      </c>
    </row>
    <row r="48" spans="1:10" x14ac:dyDescent="0.35">
      <c r="A48" t="s">
        <v>548</v>
      </c>
      <c r="B48" t="s">
        <v>213</v>
      </c>
      <c r="C48">
        <v>148.1</v>
      </c>
      <c r="D48">
        <v>596.9</v>
      </c>
      <c r="E48">
        <v>3.4</v>
      </c>
      <c r="F48">
        <v>16.600000000000001</v>
      </c>
      <c r="G48">
        <v>114.9</v>
      </c>
      <c r="H48">
        <v>0.9</v>
      </c>
      <c r="I48">
        <v>0.8</v>
      </c>
      <c r="J48">
        <v>95</v>
      </c>
    </row>
    <row r="49" spans="1:10" x14ac:dyDescent="0.35">
      <c r="A49" t="s">
        <v>830</v>
      </c>
      <c r="B49" t="s">
        <v>218</v>
      </c>
      <c r="C49">
        <v>102.7</v>
      </c>
      <c r="D49">
        <v>498.5</v>
      </c>
      <c r="E49">
        <v>2.7</v>
      </c>
      <c r="F49">
        <v>32.799999999999997</v>
      </c>
      <c r="G49">
        <v>215.1</v>
      </c>
      <c r="H49">
        <v>1.2</v>
      </c>
      <c r="I49">
        <v>0.8</v>
      </c>
      <c r="J49">
        <v>93.3</v>
      </c>
    </row>
    <row r="50" spans="1:10" x14ac:dyDescent="0.35">
      <c r="A50" t="s">
        <v>499</v>
      </c>
      <c r="B50" t="s">
        <v>190</v>
      </c>
      <c r="C50">
        <v>116.3</v>
      </c>
      <c r="D50">
        <v>444</v>
      </c>
      <c r="E50">
        <v>2.2999999999999998</v>
      </c>
      <c r="F50">
        <v>37.9</v>
      </c>
      <c r="G50">
        <v>285.39999999999998</v>
      </c>
      <c r="H50">
        <v>1.2</v>
      </c>
      <c r="I50">
        <v>1.4</v>
      </c>
      <c r="J50">
        <v>91.4</v>
      </c>
    </row>
    <row r="51" spans="1:10" x14ac:dyDescent="0.35">
      <c r="A51" t="s">
        <v>767</v>
      </c>
      <c r="B51" t="s">
        <v>193</v>
      </c>
      <c r="C51">
        <v>117.4</v>
      </c>
      <c r="D51">
        <v>485.7</v>
      </c>
      <c r="E51">
        <v>2.9</v>
      </c>
      <c r="F51">
        <v>31.8</v>
      </c>
      <c r="G51">
        <v>213.9</v>
      </c>
      <c r="H51">
        <v>0.8</v>
      </c>
      <c r="I51">
        <v>0.8</v>
      </c>
      <c r="J51">
        <v>90.5</v>
      </c>
    </row>
    <row r="52" spans="1:10" x14ac:dyDescent="0.35">
      <c r="A52" t="s">
        <v>869</v>
      </c>
      <c r="B52" t="s">
        <v>195</v>
      </c>
      <c r="C52">
        <v>116.4</v>
      </c>
      <c r="D52">
        <v>437.3</v>
      </c>
      <c r="E52">
        <v>2.8</v>
      </c>
      <c r="F52">
        <v>21</v>
      </c>
      <c r="G52">
        <v>164.6</v>
      </c>
      <c r="H52">
        <v>1</v>
      </c>
      <c r="I52">
        <v>1.5</v>
      </c>
      <c r="J52">
        <v>79.7</v>
      </c>
    </row>
    <row r="53" spans="1:10" x14ac:dyDescent="0.35">
      <c r="A53" t="s">
        <v>701</v>
      </c>
      <c r="B53" t="s">
        <v>214</v>
      </c>
      <c r="C53">
        <v>100.3</v>
      </c>
      <c r="D53">
        <v>441.8</v>
      </c>
      <c r="E53">
        <v>3.8</v>
      </c>
      <c r="F53">
        <v>10</v>
      </c>
      <c r="G53">
        <v>73.5</v>
      </c>
      <c r="H53">
        <v>0.6</v>
      </c>
      <c r="I53">
        <v>0.1</v>
      </c>
      <c r="J53">
        <v>77.599999999999994</v>
      </c>
    </row>
    <row r="54" spans="1:10" x14ac:dyDescent="0.35">
      <c r="A54" t="s">
        <v>864</v>
      </c>
      <c r="B54" t="s">
        <v>189</v>
      </c>
      <c r="C54">
        <v>97.2</v>
      </c>
      <c r="D54">
        <v>405.8</v>
      </c>
      <c r="E54">
        <v>3.1</v>
      </c>
      <c r="F54">
        <v>16.8</v>
      </c>
      <c r="G54">
        <v>131.1</v>
      </c>
      <c r="H54">
        <v>0.9</v>
      </c>
      <c r="I54">
        <v>1.1000000000000001</v>
      </c>
      <c r="J54">
        <v>75.400000000000006</v>
      </c>
    </row>
    <row r="55" spans="1:10" x14ac:dyDescent="0.35">
      <c r="A55" t="s">
        <v>424</v>
      </c>
      <c r="B55" t="s">
        <v>478</v>
      </c>
      <c r="C55">
        <v>113.3</v>
      </c>
      <c r="D55">
        <v>423.8</v>
      </c>
      <c r="E55">
        <v>2.6</v>
      </c>
      <c r="F55">
        <v>14.5</v>
      </c>
      <c r="G55">
        <v>97.9</v>
      </c>
      <c r="H55">
        <v>1</v>
      </c>
      <c r="I55">
        <v>0.9</v>
      </c>
      <c r="J55">
        <v>71.8</v>
      </c>
    </row>
    <row r="56" spans="1:10" x14ac:dyDescent="0.35">
      <c r="A56" t="s">
        <v>867</v>
      </c>
      <c r="B56" t="s">
        <v>217</v>
      </c>
      <c r="C56">
        <v>103.9</v>
      </c>
      <c r="D56">
        <v>409.5</v>
      </c>
      <c r="E56">
        <v>3</v>
      </c>
      <c r="F56">
        <v>12.6</v>
      </c>
      <c r="G56">
        <v>96.6</v>
      </c>
      <c r="H56">
        <v>0.8</v>
      </c>
      <c r="I56">
        <v>0.8</v>
      </c>
      <c r="J56">
        <v>71.7</v>
      </c>
    </row>
    <row r="57" spans="1:10" x14ac:dyDescent="0.35">
      <c r="A57" t="s">
        <v>868</v>
      </c>
      <c r="B57" t="s">
        <v>203</v>
      </c>
      <c r="C57">
        <v>86.4</v>
      </c>
      <c r="D57">
        <v>373.8</v>
      </c>
      <c r="E57">
        <v>2.9</v>
      </c>
      <c r="F57">
        <v>17.2</v>
      </c>
      <c r="G57">
        <v>143.19999999999999</v>
      </c>
      <c r="H57">
        <v>0.8</v>
      </c>
      <c r="I57">
        <v>1.2</v>
      </c>
      <c r="J57">
        <v>71.599999999999994</v>
      </c>
    </row>
    <row r="58" spans="1:10" x14ac:dyDescent="0.35">
      <c r="A58" t="s">
        <v>126</v>
      </c>
      <c r="B58" t="s">
        <v>191</v>
      </c>
      <c r="C58">
        <v>113.3</v>
      </c>
      <c r="D58">
        <v>416.1</v>
      </c>
      <c r="E58">
        <v>2.9</v>
      </c>
      <c r="F58">
        <v>17.899999999999999</v>
      </c>
      <c r="G58">
        <v>102.7</v>
      </c>
      <c r="H58">
        <v>0.3</v>
      </c>
      <c r="I58">
        <v>0.5</v>
      </c>
      <c r="J58">
        <v>70.099999999999994</v>
      </c>
    </row>
    <row r="59" spans="1:10" x14ac:dyDescent="0.35">
      <c r="A59" t="s">
        <v>866</v>
      </c>
      <c r="B59" t="s">
        <v>206</v>
      </c>
      <c r="C59">
        <v>102.4</v>
      </c>
      <c r="D59">
        <v>396.3</v>
      </c>
      <c r="E59">
        <v>2.5</v>
      </c>
      <c r="F59">
        <v>16.3</v>
      </c>
      <c r="G59">
        <v>119.5</v>
      </c>
      <c r="H59">
        <v>0.8</v>
      </c>
      <c r="I59">
        <v>1.1000000000000001</v>
      </c>
      <c r="J59">
        <v>69.2</v>
      </c>
    </row>
    <row r="60" spans="1:10" x14ac:dyDescent="0.35">
      <c r="A60" t="s">
        <v>515</v>
      </c>
      <c r="B60" t="s">
        <v>210</v>
      </c>
      <c r="C60">
        <v>67.7</v>
      </c>
      <c r="D60">
        <v>267.2</v>
      </c>
      <c r="E60">
        <v>1.9</v>
      </c>
      <c r="F60">
        <v>16.399999999999999</v>
      </c>
      <c r="G60">
        <v>137.6</v>
      </c>
      <c r="H60">
        <v>1.2</v>
      </c>
      <c r="I60">
        <v>0.5</v>
      </c>
      <c r="J60">
        <v>57.8</v>
      </c>
    </row>
    <row r="61" spans="1:10" x14ac:dyDescent="0.35">
      <c r="A61" t="s">
        <v>739</v>
      </c>
      <c r="B61" t="s">
        <v>205</v>
      </c>
      <c r="C61">
        <v>101.5</v>
      </c>
      <c r="D61">
        <v>331.9</v>
      </c>
      <c r="E61">
        <v>3.4</v>
      </c>
      <c r="F61">
        <v>8.6999999999999993</v>
      </c>
      <c r="G61">
        <v>60</v>
      </c>
      <c r="H61">
        <v>0.3</v>
      </c>
      <c r="I61">
        <v>2.2000000000000002</v>
      </c>
      <c r="J61">
        <v>56.5</v>
      </c>
    </row>
    <row r="62" spans="1:10" x14ac:dyDescent="0.35">
      <c r="A62" t="s">
        <v>423</v>
      </c>
      <c r="B62" t="s">
        <v>196</v>
      </c>
      <c r="C62">
        <v>97.2</v>
      </c>
      <c r="D62">
        <v>349.7</v>
      </c>
      <c r="E62">
        <v>2</v>
      </c>
      <c r="F62">
        <v>16.2</v>
      </c>
      <c r="G62">
        <v>100</v>
      </c>
      <c r="H62">
        <v>0.1</v>
      </c>
      <c r="I62">
        <v>1.2</v>
      </c>
      <c r="J62">
        <v>55.3</v>
      </c>
    </row>
    <row r="63" spans="1:10" x14ac:dyDescent="0.35">
      <c r="A63" t="s">
        <v>865</v>
      </c>
      <c r="B63" t="s">
        <v>212</v>
      </c>
      <c r="C63">
        <v>57.8</v>
      </c>
      <c r="D63">
        <v>267</v>
      </c>
      <c r="E63">
        <v>2.2000000000000002</v>
      </c>
      <c r="F63">
        <v>12.6</v>
      </c>
      <c r="G63">
        <v>103.4</v>
      </c>
      <c r="H63">
        <v>0.7</v>
      </c>
      <c r="I63">
        <v>0.8</v>
      </c>
      <c r="J63">
        <v>53.3</v>
      </c>
    </row>
    <row r="64" spans="1:10" x14ac:dyDescent="0.35">
      <c r="A64" t="s">
        <v>716</v>
      </c>
      <c r="B64" t="s">
        <v>213</v>
      </c>
      <c r="C64">
        <v>66.900000000000006</v>
      </c>
      <c r="D64">
        <v>262.89999999999998</v>
      </c>
      <c r="E64">
        <v>2</v>
      </c>
      <c r="F64">
        <v>17.899999999999999</v>
      </c>
      <c r="G64">
        <v>118.5</v>
      </c>
      <c r="H64">
        <v>0.4</v>
      </c>
      <c r="I64">
        <v>0.8</v>
      </c>
      <c r="J64">
        <v>51.4</v>
      </c>
    </row>
    <row r="65" spans="1:10" x14ac:dyDescent="0.35">
      <c r="A65" t="s">
        <v>616</v>
      </c>
      <c r="B65" t="s">
        <v>219</v>
      </c>
      <c r="C65">
        <v>72.8</v>
      </c>
      <c r="D65">
        <v>306.2</v>
      </c>
      <c r="E65">
        <v>2.2000000000000002</v>
      </c>
      <c r="F65">
        <v>10.5</v>
      </c>
      <c r="G65">
        <v>76.7</v>
      </c>
      <c r="H65">
        <v>0.2</v>
      </c>
      <c r="I65">
        <v>0.5</v>
      </c>
      <c r="J65">
        <v>51.4</v>
      </c>
    </row>
    <row r="66" spans="1:10" x14ac:dyDescent="0.35">
      <c r="A66" t="s">
        <v>543</v>
      </c>
      <c r="B66" t="s">
        <v>207</v>
      </c>
      <c r="C66">
        <v>66.8</v>
      </c>
      <c r="D66">
        <v>260.60000000000002</v>
      </c>
      <c r="E66">
        <v>1.9</v>
      </c>
      <c r="F66">
        <v>17.2</v>
      </c>
      <c r="G66">
        <v>120.3</v>
      </c>
      <c r="H66">
        <v>0.4</v>
      </c>
      <c r="I66">
        <v>1.2</v>
      </c>
      <c r="J66">
        <v>49.9</v>
      </c>
    </row>
    <row r="67" spans="1:10" x14ac:dyDescent="0.35">
      <c r="A67" t="s">
        <v>228</v>
      </c>
      <c r="B67" t="s">
        <v>220</v>
      </c>
      <c r="C67">
        <v>64.3</v>
      </c>
      <c r="D67">
        <v>280.39999999999998</v>
      </c>
      <c r="E67">
        <v>2</v>
      </c>
      <c r="F67">
        <v>10.6</v>
      </c>
      <c r="G67">
        <v>78</v>
      </c>
      <c r="H67">
        <v>0.3</v>
      </c>
      <c r="I67">
        <v>0.2</v>
      </c>
      <c r="J67">
        <v>49.2</v>
      </c>
    </row>
    <row r="68" spans="1:10" x14ac:dyDescent="0.35">
      <c r="A68" t="s">
        <v>116</v>
      </c>
      <c r="B68" t="s">
        <v>210</v>
      </c>
      <c r="C68">
        <v>46.2</v>
      </c>
      <c r="D68">
        <v>205.5</v>
      </c>
      <c r="E68">
        <v>1.4</v>
      </c>
      <c r="F68">
        <v>21.1</v>
      </c>
      <c r="G68">
        <v>167</v>
      </c>
      <c r="H68">
        <v>0.8</v>
      </c>
      <c r="I68">
        <v>0.7</v>
      </c>
      <c r="J68">
        <v>48.9</v>
      </c>
    </row>
    <row r="69" spans="1:10" x14ac:dyDescent="0.35">
      <c r="A69" t="s">
        <v>871</v>
      </c>
      <c r="B69" t="s">
        <v>218</v>
      </c>
      <c r="C69">
        <v>68.2</v>
      </c>
      <c r="D69">
        <v>275.60000000000002</v>
      </c>
      <c r="E69">
        <v>1.9</v>
      </c>
      <c r="F69">
        <v>12.9</v>
      </c>
      <c r="G69">
        <v>96.9</v>
      </c>
      <c r="H69">
        <v>0.5</v>
      </c>
      <c r="I69">
        <v>1.4</v>
      </c>
      <c r="J69">
        <v>48.8</v>
      </c>
    </row>
    <row r="70" spans="1:10" x14ac:dyDescent="0.35">
      <c r="A70" t="s">
        <v>758</v>
      </c>
      <c r="B70" t="s">
        <v>191</v>
      </c>
      <c r="C70">
        <v>54.2</v>
      </c>
      <c r="D70">
        <v>232.5</v>
      </c>
      <c r="E70">
        <v>1.7</v>
      </c>
      <c r="F70">
        <v>12.8</v>
      </c>
      <c r="G70">
        <v>107.2</v>
      </c>
      <c r="H70">
        <v>0.5</v>
      </c>
      <c r="I70">
        <v>0.7</v>
      </c>
      <c r="J70">
        <v>45.7</v>
      </c>
    </row>
    <row r="71" spans="1:10" x14ac:dyDescent="0.35">
      <c r="A71" t="s">
        <v>425</v>
      </c>
      <c r="B71" t="s">
        <v>209</v>
      </c>
      <c r="C71">
        <v>57.8</v>
      </c>
      <c r="D71">
        <v>231.1</v>
      </c>
      <c r="E71">
        <v>1.6</v>
      </c>
      <c r="F71">
        <v>13.8</v>
      </c>
      <c r="G71">
        <v>102.4</v>
      </c>
      <c r="H71">
        <v>0.5</v>
      </c>
      <c r="I71">
        <v>0.8</v>
      </c>
      <c r="J71">
        <v>44</v>
      </c>
    </row>
    <row r="72" spans="1:10" x14ac:dyDescent="0.35">
      <c r="A72" t="s">
        <v>840</v>
      </c>
      <c r="B72" t="s">
        <v>189</v>
      </c>
      <c r="C72">
        <v>51.1</v>
      </c>
      <c r="D72">
        <v>222.5</v>
      </c>
      <c r="E72">
        <v>1.5</v>
      </c>
      <c r="F72">
        <v>11.1</v>
      </c>
      <c r="G72">
        <v>80.3</v>
      </c>
      <c r="H72">
        <v>0.6</v>
      </c>
      <c r="I72">
        <v>0.1</v>
      </c>
      <c r="J72">
        <v>42.8</v>
      </c>
    </row>
    <row r="73" spans="1:10" x14ac:dyDescent="0.35">
      <c r="A73" t="s">
        <v>782</v>
      </c>
      <c r="B73" t="s">
        <v>209</v>
      </c>
      <c r="C73">
        <v>52.5</v>
      </c>
      <c r="D73">
        <v>255</v>
      </c>
      <c r="E73">
        <v>1.6</v>
      </c>
      <c r="F73">
        <v>8.6</v>
      </c>
      <c r="G73">
        <v>69.400000000000006</v>
      </c>
      <c r="H73">
        <v>0.2</v>
      </c>
      <c r="I73">
        <v>0.7</v>
      </c>
      <c r="J73">
        <v>42.1</v>
      </c>
    </row>
    <row r="74" spans="1:10" x14ac:dyDescent="0.35">
      <c r="A74" t="s">
        <v>880</v>
      </c>
      <c r="B74" t="s">
        <v>200</v>
      </c>
      <c r="C74">
        <v>47</v>
      </c>
      <c r="D74">
        <v>231.8</v>
      </c>
      <c r="E74">
        <v>1.6</v>
      </c>
      <c r="F74">
        <v>10.8</v>
      </c>
      <c r="G74">
        <v>76.5</v>
      </c>
      <c r="H74">
        <v>0.3</v>
      </c>
      <c r="I74">
        <v>0.1</v>
      </c>
      <c r="J74">
        <v>41.8</v>
      </c>
    </row>
    <row r="75" spans="1:10" x14ac:dyDescent="0.35">
      <c r="A75" t="s">
        <v>781</v>
      </c>
      <c r="B75" t="s">
        <v>197</v>
      </c>
      <c r="C75">
        <v>0</v>
      </c>
      <c r="D75">
        <v>235</v>
      </c>
      <c r="E75">
        <v>2</v>
      </c>
      <c r="F75">
        <v>7</v>
      </c>
      <c r="G75">
        <v>51</v>
      </c>
      <c r="H75">
        <v>0</v>
      </c>
      <c r="I75">
        <v>0</v>
      </c>
      <c r="J75">
        <v>40.6</v>
      </c>
    </row>
    <row r="76" spans="1:10" x14ac:dyDescent="0.35">
      <c r="A76" t="s">
        <v>104</v>
      </c>
      <c r="B76" t="s">
        <v>199</v>
      </c>
      <c r="C76">
        <v>49.3</v>
      </c>
      <c r="D76">
        <v>229.5</v>
      </c>
      <c r="E76">
        <v>1.6</v>
      </c>
      <c r="F76">
        <v>8.5</v>
      </c>
      <c r="G76">
        <v>60.8</v>
      </c>
      <c r="H76">
        <v>0.3</v>
      </c>
      <c r="I76">
        <v>0</v>
      </c>
      <c r="J76">
        <v>40.299999999999997</v>
      </c>
    </row>
    <row r="77" spans="1:10" x14ac:dyDescent="0.35">
      <c r="A77" t="s">
        <v>707</v>
      </c>
      <c r="B77" t="s">
        <v>194</v>
      </c>
      <c r="C77">
        <v>52.9</v>
      </c>
      <c r="D77">
        <v>254.8</v>
      </c>
      <c r="E77">
        <v>1.4</v>
      </c>
      <c r="F77">
        <v>7.9</v>
      </c>
      <c r="G77">
        <v>54.4</v>
      </c>
      <c r="H77">
        <v>0.2</v>
      </c>
      <c r="I77">
        <v>0.1</v>
      </c>
      <c r="J77">
        <v>39.799999999999997</v>
      </c>
    </row>
    <row r="78" spans="1:10" x14ac:dyDescent="0.35">
      <c r="A78" t="s">
        <v>760</v>
      </c>
      <c r="B78" t="s">
        <v>206</v>
      </c>
      <c r="C78">
        <v>41.4</v>
      </c>
      <c r="D78">
        <v>211.9</v>
      </c>
      <c r="E78">
        <v>1.5</v>
      </c>
      <c r="F78">
        <v>10.8</v>
      </c>
      <c r="G78">
        <v>73.400000000000006</v>
      </c>
      <c r="H78">
        <v>0.2</v>
      </c>
      <c r="I78">
        <v>0.1</v>
      </c>
      <c r="J78">
        <v>38.299999999999997</v>
      </c>
    </row>
    <row r="79" spans="1:10" x14ac:dyDescent="0.35">
      <c r="A79" t="s">
        <v>811</v>
      </c>
      <c r="B79" t="s">
        <v>203</v>
      </c>
      <c r="C79">
        <v>39.700000000000003</v>
      </c>
      <c r="D79">
        <v>165.4</v>
      </c>
      <c r="E79">
        <v>1.1000000000000001</v>
      </c>
      <c r="F79">
        <v>13.1</v>
      </c>
      <c r="G79">
        <v>111.2</v>
      </c>
      <c r="H79">
        <v>0.7</v>
      </c>
      <c r="I79">
        <v>0.2</v>
      </c>
      <c r="J79">
        <v>37.9</v>
      </c>
    </row>
    <row r="80" spans="1:10" x14ac:dyDescent="0.35">
      <c r="A80" t="s">
        <v>877</v>
      </c>
      <c r="B80" t="s">
        <v>214</v>
      </c>
      <c r="C80">
        <v>39.200000000000003</v>
      </c>
      <c r="D80">
        <v>214.9</v>
      </c>
      <c r="E80">
        <v>1.5</v>
      </c>
      <c r="F80">
        <v>6.5</v>
      </c>
      <c r="G80">
        <v>52.9</v>
      </c>
      <c r="H80">
        <v>0.1</v>
      </c>
      <c r="I80">
        <v>0.1</v>
      </c>
      <c r="J80">
        <v>36.4</v>
      </c>
    </row>
    <row r="81" spans="1:10" x14ac:dyDescent="0.35">
      <c r="A81" t="s">
        <v>873</v>
      </c>
      <c r="B81" t="s">
        <v>207</v>
      </c>
      <c r="C81">
        <v>33.9</v>
      </c>
      <c r="D81">
        <v>183.7</v>
      </c>
      <c r="E81">
        <v>1.5</v>
      </c>
      <c r="F81">
        <v>6.5</v>
      </c>
      <c r="G81">
        <v>48.7</v>
      </c>
      <c r="H81">
        <v>0.4</v>
      </c>
      <c r="I81">
        <v>0.1</v>
      </c>
      <c r="J81">
        <v>34.5</v>
      </c>
    </row>
    <row r="82" spans="1:10" x14ac:dyDescent="0.35">
      <c r="A82" t="s">
        <v>837</v>
      </c>
      <c r="B82" t="s">
        <v>208</v>
      </c>
      <c r="C82">
        <v>34.299999999999997</v>
      </c>
      <c r="D82">
        <v>149.19999999999999</v>
      </c>
      <c r="E82">
        <v>1.1000000000000001</v>
      </c>
      <c r="F82">
        <v>13.4</v>
      </c>
      <c r="G82">
        <v>88.5</v>
      </c>
      <c r="H82">
        <v>0.4</v>
      </c>
      <c r="I82">
        <v>0.4</v>
      </c>
      <c r="J82">
        <v>31.7</v>
      </c>
    </row>
    <row r="83" spans="1:10" x14ac:dyDescent="0.35">
      <c r="A83" t="s">
        <v>244</v>
      </c>
      <c r="B83" t="s">
        <v>202</v>
      </c>
      <c r="C83">
        <v>36</v>
      </c>
      <c r="D83">
        <v>152</v>
      </c>
      <c r="E83">
        <v>1.1000000000000001</v>
      </c>
      <c r="F83">
        <v>10.199999999999999</v>
      </c>
      <c r="G83">
        <v>77.3</v>
      </c>
      <c r="H83">
        <v>0.3</v>
      </c>
      <c r="I83">
        <v>0.1</v>
      </c>
      <c r="J83">
        <v>31.4</v>
      </c>
    </row>
    <row r="84" spans="1:10" x14ac:dyDescent="0.35">
      <c r="A84" t="s">
        <v>624</v>
      </c>
      <c r="B84" t="s">
        <v>220</v>
      </c>
      <c r="C84">
        <v>51.1</v>
      </c>
      <c r="D84">
        <v>223.1</v>
      </c>
      <c r="E84">
        <v>1.2</v>
      </c>
      <c r="F84">
        <v>5.3</v>
      </c>
      <c r="G84">
        <v>40.799999999999997</v>
      </c>
      <c r="H84">
        <v>0.1</v>
      </c>
      <c r="I84">
        <v>1.4</v>
      </c>
      <c r="J84">
        <v>31.4</v>
      </c>
    </row>
    <row r="85" spans="1:10" x14ac:dyDescent="0.35">
      <c r="A85" t="s">
        <v>735</v>
      </c>
      <c r="B85" t="s">
        <v>194</v>
      </c>
      <c r="C85">
        <v>0</v>
      </c>
      <c r="D85">
        <v>134</v>
      </c>
      <c r="E85">
        <v>1</v>
      </c>
      <c r="F85">
        <v>8</v>
      </c>
      <c r="G85">
        <v>59</v>
      </c>
      <c r="H85">
        <v>1</v>
      </c>
      <c r="I85">
        <v>0</v>
      </c>
      <c r="J85">
        <v>31.3</v>
      </c>
    </row>
    <row r="86" spans="1:10" x14ac:dyDescent="0.35">
      <c r="A86" t="s">
        <v>720</v>
      </c>
      <c r="B86" t="s">
        <v>199</v>
      </c>
      <c r="C86">
        <v>40</v>
      </c>
      <c r="D86">
        <v>147.69999999999999</v>
      </c>
      <c r="E86">
        <v>1.2</v>
      </c>
      <c r="F86">
        <v>9.1</v>
      </c>
      <c r="G86">
        <v>68.5</v>
      </c>
      <c r="H86">
        <v>0.2</v>
      </c>
      <c r="I86">
        <v>0.4</v>
      </c>
      <c r="J86">
        <v>29.3</v>
      </c>
    </row>
    <row r="87" spans="1:10" x14ac:dyDescent="0.35">
      <c r="A87" t="s">
        <v>870</v>
      </c>
      <c r="B87" t="s">
        <v>217</v>
      </c>
      <c r="C87">
        <v>45.7</v>
      </c>
      <c r="D87">
        <v>163.80000000000001</v>
      </c>
      <c r="E87">
        <v>1.3</v>
      </c>
      <c r="F87">
        <v>5.3</v>
      </c>
      <c r="G87">
        <v>39.1</v>
      </c>
      <c r="H87">
        <v>0.1</v>
      </c>
      <c r="I87">
        <v>0.1</v>
      </c>
      <c r="J87">
        <v>28.4</v>
      </c>
    </row>
    <row r="88" spans="1:10" x14ac:dyDescent="0.35">
      <c r="A88" t="s">
        <v>879</v>
      </c>
      <c r="B88" t="s">
        <v>478</v>
      </c>
      <c r="C88">
        <v>26.9</v>
      </c>
      <c r="D88">
        <v>145.19999999999999</v>
      </c>
      <c r="E88">
        <v>1.1000000000000001</v>
      </c>
      <c r="F88">
        <v>7.8</v>
      </c>
      <c r="G88">
        <v>57.3</v>
      </c>
      <c r="H88">
        <v>0.1</v>
      </c>
      <c r="I88">
        <v>0</v>
      </c>
      <c r="J88">
        <v>27.4</v>
      </c>
    </row>
    <row r="89" spans="1:10" x14ac:dyDescent="0.35">
      <c r="A89" t="s">
        <v>518</v>
      </c>
      <c r="B89" t="s">
        <v>219</v>
      </c>
      <c r="C89">
        <v>41.3</v>
      </c>
      <c r="D89">
        <v>158.5</v>
      </c>
      <c r="E89">
        <v>1.1000000000000001</v>
      </c>
      <c r="F89">
        <v>4.7</v>
      </c>
      <c r="G89">
        <v>35.6</v>
      </c>
      <c r="H89">
        <v>0.2</v>
      </c>
      <c r="I89">
        <v>0.1</v>
      </c>
      <c r="J89">
        <v>26.7</v>
      </c>
    </row>
    <row r="90" spans="1:10" x14ac:dyDescent="0.35">
      <c r="A90" t="s">
        <v>960</v>
      </c>
      <c r="B90" t="s">
        <v>194</v>
      </c>
      <c r="C90">
        <v>25.2</v>
      </c>
      <c r="D90">
        <v>131.1</v>
      </c>
      <c r="E90">
        <v>0.9</v>
      </c>
      <c r="F90">
        <v>7.5</v>
      </c>
      <c r="G90">
        <v>54.3</v>
      </c>
      <c r="H90">
        <v>0.4</v>
      </c>
      <c r="I90">
        <v>0.1</v>
      </c>
      <c r="J90">
        <v>25.7</v>
      </c>
    </row>
    <row r="91" spans="1:10" x14ac:dyDescent="0.35">
      <c r="A91" t="s">
        <v>875</v>
      </c>
      <c r="B91" t="s">
        <v>192</v>
      </c>
      <c r="C91">
        <v>31.2</v>
      </c>
      <c r="D91">
        <v>129.19999999999999</v>
      </c>
      <c r="E91">
        <v>1</v>
      </c>
      <c r="F91">
        <v>5.4</v>
      </c>
      <c r="G91">
        <v>43.7</v>
      </c>
      <c r="H91">
        <v>0.4</v>
      </c>
      <c r="I91">
        <v>0</v>
      </c>
      <c r="J91">
        <v>25.5</v>
      </c>
    </row>
    <row r="92" spans="1:10" x14ac:dyDescent="0.35">
      <c r="A92" t="s">
        <v>878</v>
      </c>
      <c r="B92" t="s">
        <v>209</v>
      </c>
      <c r="C92">
        <v>26.4</v>
      </c>
      <c r="D92">
        <v>149.1</v>
      </c>
      <c r="E92">
        <v>1.2</v>
      </c>
      <c r="F92">
        <v>3.9</v>
      </c>
      <c r="G92">
        <v>31</v>
      </c>
      <c r="H92">
        <v>0.1</v>
      </c>
      <c r="I92">
        <v>0</v>
      </c>
      <c r="J92">
        <v>25.2</v>
      </c>
    </row>
    <row r="93" spans="1:10" x14ac:dyDescent="0.35">
      <c r="A93" t="s">
        <v>542</v>
      </c>
      <c r="B93" t="s">
        <v>208</v>
      </c>
      <c r="C93">
        <v>0</v>
      </c>
      <c r="D93">
        <v>111</v>
      </c>
      <c r="E93">
        <v>1</v>
      </c>
      <c r="F93">
        <v>10</v>
      </c>
      <c r="G93">
        <v>69</v>
      </c>
      <c r="H93">
        <v>0</v>
      </c>
      <c r="I93">
        <v>0</v>
      </c>
      <c r="J93">
        <v>24</v>
      </c>
    </row>
    <row r="94" spans="1:10" x14ac:dyDescent="0.35">
      <c r="A94" t="s">
        <v>231</v>
      </c>
      <c r="B94" t="s">
        <v>214</v>
      </c>
      <c r="C94">
        <v>5.6</v>
      </c>
      <c r="D94">
        <v>20.2</v>
      </c>
      <c r="E94">
        <v>0.1</v>
      </c>
      <c r="F94">
        <v>14.9</v>
      </c>
      <c r="G94">
        <v>142.6</v>
      </c>
      <c r="H94">
        <v>1.1000000000000001</v>
      </c>
      <c r="I94">
        <v>0</v>
      </c>
      <c r="J94">
        <v>23.7</v>
      </c>
    </row>
    <row r="95" spans="1:10" x14ac:dyDescent="0.35">
      <c r="A95" t="s">
        <v>755</v>
      </c>
      <c r="B95" t="s">
        <v>190</v>
      </c>
      <c r="C95">
        <v>4.5</v>
      </c>
      <c r="D95">
        <v>134.1</v>
      </c>
      <c r="E95">
        <v>1.1000000000000001</v>
      </c>
      <c r="F95">
        <v>5</v>
      </c>
      <c r="G95">
        <v>36.6</v>
      </c>
      <c r="H95">
        <v>0</v>
      </c>
      <c r="I95">
        <v>0</v>
      </c>
      <c r="J95">
        <v>23.4</v>
      </c>
    </row>
    <row r="96" spans="1:10" x14ac:dyDescent="0.35">
      <c r="A96" t="s">
        <v>357</v>
      </c>
      <c r="B96" t="s">
        <v>195</v>
      </c>
      <c r="C96">
        <v>0</v>
      </c>
      <c r="D96">
        <v>88</v>
      </c>
      <c r="E96">
        <v>1</v>
      </c>
      <c r="F96">
        <v>11</v>
      </c>
      <c r="G96">
        <v>83</v>
      </c>
      <c r="H96">
        <v>0</v>
      </c>
      <c r="I96">
        <v>0</v>
      </c>
      <c r="J96">
        <v>23.1</v>
      </c>
    </row>
    <row r="97" spans="1:10" x14ac:dyDescent="0.35">
      <c r="A97" t="s">
        <v>882</v>
      </c>
      <c r="B97" t="s">
        <v>219</v>
      </c>
      <c r="C97">
        <v>0</v>
      </c>
      <c r="D97">
        <v>134</v>
      </c>
      <c r="E97">
        <v>1</v>
      </c>
      <c r="F97">
        <v>4</v>
      </c>
      <c r="G97">
        <v>30</v>
      </c>
      <c r="H97">
        <v>0</v>
      </c>
      <c r="I97">
        <v>0</v>
      </c>
      <c r="J97">
        <v>22.4</v>
      </c>
    </row>
    <row r="98" spans="1:10" x14ac:dyDescent="0.35">
      <c r="A98" t="s">
        <v>783</v>
      </c>
      <c r="B98" t="s">
        <v>216</v>
      </c>
      <c r="C98">
        <v>29.7</v>
      </c>
      <c r="D98">
        <v>116.8</v>
      </c>
      <c r="E98">
        <v>0.8</v>
      </c>
      <c r="F98">
        <v>4.5999999999999996</v>
      </c>
      <c r="G98">
        <v>33.299999999999997</v>
      </c>
      <c r="H98">
        <v>0.1</v>
      </c>
      <c r="I98">
        <v>0</v>
      </c>
      <c r="J98">
        <v>20.100000000000001</v>
      </c>
    </row>
    <row r="99" spans="1:10" x14ac:dyDescent="0.35">
      <c r="A99" t="s">
        <v>111</v>
      </c>
      <c r="B99" t="s">
        <v>478</v>
      </c>
      <c r="C99">
        <v>26.7</v>
      </c>
      <c r="D99">
        <v>102.3</v>
      </c>
      <c r="E99">
        <v>0.2</v>
      </c>
      <c r="F99">
        <v>10.7</v>
      </c>
      <c r="G99">
        <v>78.400000000000006</v>
      </c>
      <c r="H99">
        <v>0.1</v>
      </c>
      <c r="I99">
        <v>0</v>
      </c>
      <c r="J99">
        <v>20.100000000000001</v>
      </c>
    </row>
    <row r="100" spans="1:10" x14ac:dyDescent="0.35">
      <c r="A100" t="s">
        <v>1092</v>
      </c>
      <c r="B100" t="s">
        <v>210</v>
      </c>
      <c r="C100">
        <v>14.8</v>
      </c>
      <c r="D100">
        <v>101.3</v>
      </c>
      <c r="E100">
        <v>0.9</v>
      </c>
      <c r="F100">
        <v>5.0999999999999996</v>
      </c>
      <c r="G100">
        <v>39.1</v>
      </c>
      <c r="H100">
        <v>0.1</v>
      </c>
      <c r="I100">
        <v>0</v>
      </c>
      <c r="J100">
        <v>19.8</v>
      </c>
    </row>
    <row r="101" spans="1:10" x14ac:dyDescent="0.35">
      <c r="A101" t="s">
        <v>618</v>
      </c>
      <c r="B101" t="s">
        <v>200</v>
      </c>
      <c r="C101">
        <v>0</v>
      </c>
      <c r="D101">
        <v>106</v>
      </c>
      <c r="E101">
        <v>1</v>
      </c>
      <c r="F101">
        <v>4</v>
      </c>
      <c r="G101">
        <v>27</v>
      </c>
      <c r="H101">
        <v>0</v>
      </c>
      <c r="I101">
        <v>0</v>
      </c>
      <c r="J101">
        <v>19.3</v>
      </c>
    </row>
    <row r="102" spans="1:10" x14ac:dyDescent="0.35">
      <c r="A102" t="s">
        <v>476</v>
      </c>
      <c r="B102" t="s">
        <v>205</v>
      </c>
      <c r="C102">
        <v>31.8</v>
      </c>
      <c r="D102">
        <v>113.9</v>
      </c>
      <c r="E102">
        <v>0.5</v>
      </c>
      <c r="F102">
        <v>5.5</v>
      </c>
      <c r="G102">
        <v>39.200000000000003</v>
      </c>
      <c r="H102">
        <v>0.1</v>
      </c>
      <c r="I102">
        <v>0.1</v>
      </c>
      <c r="J102">
        <v>19</v>
      </c>
    </row>
    <row r="103" spans="1:10" x14ac:dyDescent="0.35">
      <c r="A103" t="s">
        <v>526</v>
      </c>
      <c r="B103" t="s">
        <v>201</v>
      </c>
      <c r="C103">
        <v>21.6</v>
      </c>
      <c r="D103">
        <v>102.3</v>
      </c>
      <c r="E103">
        <v>0.8</v>
      </c>
      <c r="F103">
        <v>4.0999999999999996</v>
      </c>
      <c r="G103">
        <v>33.299999999999997</v>
      </c>
      <c r="H103">
        <v>0.1</v>
      </c>
      <c r="I103">
        <v>0.1</v>
      </c>
      <c r="J103">
        <v>18.600000000000001</v>
      </c>
    </row>
    <row r="104" spans="1:10" x14ac:dyDescent="0.35">
      <c r="A104" t="s">
        <v>874</v>
      </c>
      <c r="B104" t="s">
        <v>197</v>
      </c>
      <c r="C104">
        <v>18.399999999999999</v>
      </c>
      <c r="D104">
        <v>69.5</v>
      </c>
      <c r="E104">
        <v>0.2</v>
      </c>
      <c r="F104">
        <v>9.1999999999999993</v>
      </c>
      <c r="G104">
        <v>69.5</v>
      </c>
      <c r="H104">
        <v>0.4</v>
      </c>
      <c r="I104">
        <v>0</v>
      </c>
      <c r="J104">
        <v>16.899999999999999</v>
      </c>
    </row>
    <row r="105" spans="1:10" x14ac:dyDescent="0.35">
      <c r="A105" t="s">
        <v>768</v>
      </c>
      <c r="B105" t="s">
        <v>193</v>
      </c>
      <c r="C105">
        <v>26.8</v>
      </c>
      <c r="D105">
        <v>88.9</v>
      </c>
      <c r="E105">
        <v>0.6</v>
      </c>
      <c r="F105">
        <v>4.4000000000000004</v>
      </c>
      <c r="G105">
        <v>32.299999999999997</v>
      </c>
      <c r="H105">
        <v>0.1</v>
      </c>
      <c r="I105">
        <v>0.1</v>
      </c>
      <c r="J105">
        <v>16.3</v>
      </c>
    </row>
    <row r="106" spans="1:10" x14ac:dyDescent="0.35">
      <c r="A106" t="s">
        <v>690</v>
      </c>
      <c r="B106" t="s">
        <v>198</v>
      </c>
      <c r="C106">
        <v>20.7</v>
      </c>
      <c r="D106">
        <v>81</v>
      </c>
      <c r="E106">
        <v>0.6</v>
      </c>
      <c r="F106">
        <v>4.5</v>
      </c>
      <c r="G106">
        <v>34.799999999999997</v>
      </c>
      <c r="H106">
        <v>0.1</v>
      </c>
      <c r="I106">
        <v>0.1</v>
      </c>
      <c r="J106">
        <v>15.9</v>
      </c>
    </row>
    <row r="107" spans="1:10" x14ac:dyDescent="0.35">
      <c r="A107" t="s">
        <v>994</v>
      </c>
      <c r="B107" t="s">
        <v>218</v>
      </c>
      <c r="C107">
        <v>14.6</v>
      </c>
      <c r="D107">
        <v>84.1</v>
      </c>
      <c r="E107">
        <v>0.7</v>
      </c>
      <c r="F107">
        <v>4</v>
      </c>
      <c r="G107">
        <v>28.6</v>
      </c>
      <c r="H107">
        <v>0.1</v>
      </c>
      <c r="I107">
        <v>0</v>
      </c>
      <c r="J107">
        <v>15.9</v>
      </c>
    </row>
    <row r="108" spans="1:10" x14ac:dyDescent="0.35">
      <c r="A108" t="s">
        <v>524</v>
      </c>
      <c r="B108" t="s">
        <v>190</v>
      </c>
      <c r="C108">
        <v>21.8</v>
      </c>
      <c r="D108">
        <v>73.8</v>
      </c>
      <c r="E108">
        <v>0.5</v>
      </c>
      <c r="F108">
        <v>6.9</v>
      </c>
      <c r="G108">
        <v>44.4</v>
      </c>
      <c r="H108">
        <v>0.1</v>
      </c>
      <c r="I108">
        <v>0.1</v>
      </c>
      <c r="J108">
        <v>15.3</v>
      </c>
    </row>
    <row r="109" spans="1:10" x14ac:dyDescent="0.35">
      <c r="A109" t="s">
        <v>784</v>
      </c>
      <c r="B109" t="s">
        <v>199</v>
      </c>
      <c r="C109">
        <v>7.4</v>
      </c>
      <c r="D109">
        <v>26.2</v>
      </c>
      <c r="E109">
        <v>1.4</v>
      </c>
      <c r="F109">
        <v>4</v>
      </c>
      <c r="G109">
        <v>27.1</v>
      </c>
      <c r="H109">
        <v>0.2</v>
      </c>
      <c r="I109">
        <v>0</v>
      </c>
      <c r="J109">
        <v>14.9</v>
      </c>
    </row>
    <row r="110" spans="1:10" x14ac:dyDescent="0.35">
      <c r="A110" t="s">
        <v>467</v>
      </c>
      <c r="B110" t="s">
        <v>212</v>
      </c>
      <c r="C110">
        <v>15</v>
      </c>
      <c r="D110">
        <v>80.3</v>
      </c>
      <c r="E110">
        <v>0.6</v>
      </c>
      <c r="F110">
        <v>3.2</v>
      </c>
      <c r="G110">
        <v>23.6</v>
      </c>
      <c r="H110">
        <v>0.1</v>
      </c>
      <c r="I110">
        <v>0</v>
      </c>
      <c r="J110">
        <v>14.7</v>
      </c>
    </row>
    <row r="111" spans="1:10" x14ac:dyDescent="0.35">
      <c r="A111" t="s">
        <v>770</v>
      </c>
      <c r="B111" t="s">
        <v>195</v>
      </c>
      <c r="C111">
        <v>25.5</v>
      </c>
      <c r="D111">
        <v>80.900000000000006</v>
      </c>
      <c r="E111">
        <v>0.6</v>
      </c>
      <c r="F111">
        <v>2.8</v>
      </c>
      <c r="G111">
        <v>21.4</v>
      </c>
      <c r="H111">
        <v>0.1</v>
      </c>
      <c r="I111">
        <v>0.1</v>
      </c>
      <c r="J111">
        <v>14.2</v>
      </c>
    </row>
    <row r="112" spans="1:10" x14ac:dyDescent="0.35">
      <c r="A112" t="s">
        <v>431</v>
      </c>
      <c r="B112" t="s">
        <v>219</v>
      </c>
      <c r="C112">
        <v>16.7</v>
      </c>
      <c r="D112">
        <v>56.9</v>
      </c>
      <c r="E112">
        <v>0.4</v>
      </c>
      <c r="F112">
        <v>7.3</v>
      </c>
      <c r="G112">
        <v>54.7</v>
      </c>
      <c r="H112">
        <v>0.1</v>
      </c>
      <c r="I112">
        <v>0</v>
      </c>
      <c r="J112">
        <v>14</v>
      </c>
    </row>
    <row r="113" spans="1:10" x14ac:dyDescent="0.35">
      <c r="A113" t="s">
        <v>961</v>
      </c>
      <c r="B113" t="s">
        <v>191</v>
      </c>
      <c r="C113">
        <v>14.6</v>
      </c>
      <c r="D113">
        <v>58.5</v>
      </c>
      <c r="E113">
        <v>0.6</v>
      </c>
      <c r="F113">
        <v>3.5</v>
      </c>
      <c r="G113">
        <v>25.3</v>
      </c>
      <c r="H113">
        <v>0.1</v>
      </c>
      <c r="I113">
        <v>0</v>
      </c>
      <c r="J113">
        <v>12.3</v>
      </c>
    </row>
    <row r="114" spans="1:10" x14ac:dyDescent="0.35">
      <c r="A114" t="s">
        <v>876</v>
      </c>
      <c r="B114" t="s">
        <v>216</v>
      </c>
      <c r="C114">
        <v>31</v>
      </c>
      <c r="D114">
        <v>77</v>
      </c>
      <c r="E114">
        <v>0.5</v>
      </c>
      <c r="F114">
        <v>2</v>
      </c>
      <c r="G114">
        <v>14</v>
      </c>
      <c r="H114">
        <v>0</v>
      </c>
      <c r="I114">
        <v>0</v>
      </c>
      <c r="J114">
        <v>12.1</v>
      </c>
    </row>
    <row r="115" spans="1:10" x14ac:dyDescent="0.35">
      <c r="A115" t="s">
        <v>1112</v>
      </c>
      <c r="B115" t="s">
        <v>192</v>
      </c>
      <c r="C115">
        <v>0</v>
      </c>
      <c r="D115">
        <v>37</v>
      </c>
      <c r="E115">
        <v>1</v>
      </c>
      <c r="F115">
        <v>4</v>
      </c>
      <c r="G115">
        <v>22</v>
      </c>
      <c r="H115">
        <v>0</v>
      </c>
      <c r="I115">
        <v>0</v>
      </c>
      <c r="J115">
        <v>11.9</v>
      </c>
    </row>
    <row r="116" spans="1:10" x14ac:dyDescent="0.35">
      <c r="A116" t="s">
        <v>547</v>
      </c>
      <c r="B116" t="s">
        <v>204</v>
      </c>
      <c r="C116">
        <v>0</v>
      </c>
      <c r="D116">
        <v>38</v>
      </c>
      <c r="E116">
        <v>0</v>
      </c>
      <c r="F116">
        <v>9</v>
      </c>
      <c r="G116">
        <v>65</v>
      </c>
      <c r="H116">
        <v>0</v>
      </c>
      <c r="I116">
        <v>0</v>
      </c>
      <c r="J116">
        <v>10.3</v>
      </c>
    </row>
    <row r="117" spans="1:10" x14ac:dyDescent="0.35">
      <c r="A117" t="s">
        <v>762</v>
      </c>
      <c r="B117" t="s">
        <v>217</v>
      </c>
      <c r="C117">
        <v>14.9</v>
      </c>
      <c r="D117">
        <v>57.5</v>
      </c>
      <c r="E117">
        <v>0.3</v>
      </c>
      <c r="F117">
        <v>2.7</v>
      </c>
      <c r="G117">
        <v>19</v>
      </c>
      <c r="H117">
        <v>0.1</v>
      </c>
      <c r="I117">
        <v>0.1</v>
      </c>
      <c r="J117">
        <v>10.1</v>
      </c>
    </row>
    <row r="118" spans="1:10" x14ac:dyDescent="0.35">
      <c r="A118" t="s">
        <v>884</v>
      </c>
      <c r="B118" t="s">
        <v>192</v>
      </c>
      <c r="C118">
        <v>7.6</v>
      </c>
      <c r="D118">
        <v>35</v>
      </c>
      <c r="E118">
        <v>0.4</v>
      </c>
      <c r="F118">
        <v>3.9</v>
      </c>
      <c r="G118">
        <v>23.2</v>
      </c>
      <c r="H118">
        <v>0.1</v>
      </c>
      <c r="I118">
        <v>0</v>
      </c>
      <c r="J118">
        <v>9.1999999999999993</v>
      </c>
    </row>
    <row r="119" spans="1:10" x14ac:dyDescent="0.35">
      <c r="A119" t="s">
        <v>714</v>
      </c>
      <c r="B119" t="s">
        <v>196</v>
      </c>
      <c r="C119">
        <v>7.2</v>
      </c>
      <c r="D119">
        <v>38.6</v>
      </c>
      <c r="E119">
        <v>0.2</v>
      </c>
      <c r="F119">
        <v>4.7</v>
      </c>
      <c r="G119">
        <v>34.6</v>
      </c>
      <c r="H119">
        <v>0</v>
      </c>
      <c r="I119">
        <v>0</v>
      </c>
      <c r="J119">
        <v>8.5</v>
      </c>
    </row>
    <row r="120" spans="1:10" x14ac:dyDescent="0.35">
      <c r="A120" t="s">
        <v>659</v>
      </c>
      <c r="B120" t="s">
        <v>199</v>
      </c>
      <c r="C120">
        <v>0</v>
      </c>
      <c r="D120">
        <v>55</v>
      </c>
      <c r="E120">
        <v>0</v>
      </c>
      <c r="F120">
        <v>3</v>
      </c>
      <c r="G120">
        <v>23</v>
      </c>
      <c r="H120">
        <v>0</v>
      </c>
      <c r="I120">
        <v>0</v>
      </c>
      <c r="J120">
        <v>7.8</v>
      </c>
    </row>
    <row r="121" spans="1:10" x14ac:dyDescent="0.35">
      <c r="A121" t="s">
        <v>523</v>
      </c>
      <c r="B121" t="s">
        <v>212</v>
      </c>
      <c r="C121">
        <v>1.1000000000000001</v>
      </c>
      <c r="D121">
        <v>4.4000000000000004</v>
      </c>
      <c r="E121">
        <v>0</v>
      </c>
      <c r="F121">
        <v>7.6</v>
      </c>
      <c r="G121">
        <v>55.5</v>
      </c>
      <c r="H121">
        <v>0.3</v>
      </c>
      <c r="I121">
        <v>0.1</v>
      </c>
      <c r="J121">
        <v>7.8</v>
      </c>
    </row>
    <row r="122" spans="1:10" x14ac:dyDescent="0.35">
      <c r="A122" t="s">
        <v>993</v>
      </c>
      <c r="B122" t="s">
        <v>210</v>
      </c>
      <c r="C122">
        <v>0</v>
      </c>
      <c r="D122">
        <v>47</v>
      </c>
      <c r="E122">
        <v>0</v>
      </c>
      <c r="F122">
        <v>2</v>
      </c>
      <c r="G122">
        <v>18</v>
      </c>
      <c r="H122">
        <v>0</v>
      </c>
      <c r="I122">
        <v>0</v>
      </c>
      <c r="J122">
        <v>6.5</v>
      </c>
    </row>
    <row r="123" spans="1:10" x14ac:dyDescent="0.35">
      <c r="A123" t="s">
        <v>883</v>
      </c>
      <c r="B123" t="s">
        <v>201</v>
      </c>
      <c r="C123">
        <v>12.6</v>
      </c>
      <c r="D123">
        <v>39.5</v>
      </c>
      <c r="E123">
        <v>0.2</v>
      </c>
      <c r="F123">
        <v>1.5</v>
      </c>
      <c r="G123">
        <v>9.6999999999999993</v>
      </c>
      <c r="H123">
        <v>0</v>
      </c>
      <c r="I123">
        <v>0</v>
      </c>
      <c r="J123">
        <v>6.4</v>
      </c>
    </row>
    <row r="124" spans="1:10" x14ac:dyDescent="0.35">
      <c r="A124" t="s">
        <v>430</v>
      </c>
      <c r="B124" t="s">
        <v>204</v>
      </c>
      <c r="C124">
        <v>0</v>
      </c>
      <c r="D124">
        <v>41</v>
      </c>
      <c r="E124">
        <v>0</v>
      </c>
      <c r="F124">
        <v>3</v>
      </c>
      <c r="G124">
        <v>20</v>
      </c>
      <c r="H124">
        <v>0</v>
      </c>
      <c r="I124">
        <v>0</v>
      </c>
      <c r="J124">
        <v>6.1</v>
      </c>
    </row>
    <row r="125" spans="1:10" x14ac:dyDescent="0.35">
      <c r="A125" t="s">
        <v>429</v>
      </c>
      <c r="B125" t="s">
        <v>213</v>
      </c>
      <c r="C125">
        <v>2.2999999999999998</v>
      </c>
      <c r="D125">
        <v>32.299999999999997</v>
      </c>
      <c r="E125">
        <v>0</v>
      </c>
      <c r="F125">
        <v>3.1</v>
      </c>
      <c r="G125">
        <v>22.1</v>
      </c>
      <c r="H125">
        <v>0.1</v>
      </c>
      <c r="I125">
        <v>0</v>
      </c>
      <c r="J125">
        <v>6</v>
      </c>
    </row>
    <row r="126" spans="1:10" x14ac:dyDescent="0.35">
      <c r="A126" t="s">
        <v>999</v>
      </c>
      <c r="B126" t="s">
        <v>214</v>
      </c>
      <c r="C126">
        <v>7.9</v>
      </c>
      <c r="D126">
        <v>28</v>
      </c>
      <c r="E126">
        <v>0.2</v>
      </c>
      <c r="F126">
        <v>1.9</v>
      </c>
      <c r="G126">
        <v>13.5</v>
      </c>
      <c r="H126">
        <v>0.1</v>
      </c>
      <c r="I126">
        <v>0</v>
      </c>
      <c r="J126">
        <v>5.6</v>
      </c>
    </row>
    <row r="127" spans="1:10" x14ac:dyDescent="0.35">
      <c r="A127" t="s">
        <v>522</v>
      </c>
      <c r="B127" t="s">
        <v>208</v>
      </c>
      <c r="C127">
        <v>2.5</v>
      </c>
      <c r="D127">
        <v>28</v>
      </c>
      <c r="E127">
        <v>0</v>
      </c>
      <c r="F127">
        <v>3.5</v>
      </c>
      <c r="G127">
        <v>24</v>
      </c>
      <c r="H127">
        <v>0</v>
      </c>
      <c r="I127">
        <v>0</v>
      </c>
      <c r="J127">
        <v>5.2</v>
      </c>
    </row>
    <row r="128" spans="1:10" x14ac:dyDescent="0.35">
      <c r="A128" t="s">
        <v>356</v>
      </c>
      <c r="B128" t="s">
        <v>220</v>
      </c>
      <c r="C128">
        <v>1.3</v>
      </c>
      <c r="D128">
        <v>17.100000000000001</v>
      </c>
      <c r="E128">
        <v>0</v>
      </c>
      <c r="F128">
        <v>4.5</v>
      </c>
      <c r="G128">
        <v>32.299999999999997</v>
      </c>
      <c r="H128">
        <v>0</v>
      </c>
      <c r="I128">
        <v>0</v>
      </c>
      <c r="J128">
        <v>5.0999999999999996</v>
      </c>
    </row>
    <row r="129" spans="1:10" x14ac:dyDescent="0.35">
      <c r="A129" t="s">
        <v>996</v>
      </c>
      <c r="B129" t="s">
        <v>203</v>
      </c>
      <c r="C129">
        <v>0</v>
      </c>
      <c r="D129">
        <v>0</v>
      </c>
      <c r="E129">
        <v>0</v>
      </c>
      <c r="F129">
        <v>4.4000000000000004</v>
      </c>
      <c r="G129">
        <v>33.200000000000003</v>
      </c>
      <c r="H129">
        <v>0.3</v>
      </c>
      <c r="I129">
        <v>0</v>
      </c>
      <c r="J129">
        <v>4.9000000000000004</v>
      </c>
    </row>
    <row r="130" spans="1:10" x14ac:dyDescent="0.35">
      <c r="A130" t="s">
        <v>997</v>
      </c>
      <c r="B130" t="s">
        <v>205</v>
      </c>
      <c r="C130">
        <v>0</v>
      </c>
      <c r="D130">
        <v>33</v>
      </c>
      <c r="E130">
        <v>0</v>
      </c>
      <c r="F130">
        <v>2</v>
      </c>
      <c r="G130">
        <v>15</v>
      </c>
      <c r="H130">
        <v>0</v>
      </c>
      <c r="I130">
        <v>0</v>
      </c>
      <c r="J130">
        <v>4.8</v>
      </c>
    </row>
    <row r="131" spans="1:10" x14ac:dyDescent="0.35">
      <c r="A131" t="s">
        <v>631</v>
      </c>
      <c r="B131" t="s">
        <v>191</v>
      </c>
      <c r="C131">
        <v>3.3</v>
      </c>
      <c r="D131">
        <v>14</v>
      </c>
      <c r="E131">
        <v>0.1</v>
      </c>
      <c r="F131">
        <v>3.3</v>
      </c>
      <c r="G131">
        <v>23.1</v>
      </c>
      <c r="H131">
        <v>0.1</v>
      </c>
      <c r="I131">
        <v>0</v>
      </c>
      <c r="J131">
        <v>4.8</v>
      </c>
    </row>
    <row r="132" spans="1:10" x14ac:dyDescent="0.35">
      <c r="A132" t="s">
        <v>998</v>
      </c>
      <c r="B132" t="s">
        <v>209</v>
      </c>
      <c r="C132">
        <v>2.7</v>
      </c>
      <c r="D132">
        <v>10.9</v>
      </c>
      <c r="E132">
        <v>0</v>
      </c>
      <c r="F132">
        <v>3.7</v>
      </c>
      <c r="G132">
        <v>26.2</v>
      </c>
      <c r="H132">
        <v>0.2</v>
      </c>
      <c r="I132">
        <v>0</v>
      </c>
      <c r="J132">
        <v>4.8</v>
      </c>
    </row>
    <row r="133" spans="1:10" x14ac:dyDescent="0.35">
      <c r="A133" t="s">
        <v>234</v>
      </c>
      <c r="B133" t="s">
        <v>218</v>
      </c>
      <c r="C133">
        <v>2.4</v>
      </c>
      <c r="D133">
        <v>9.4</v>
      </c>
      <c r="E133">
        <v>0</v>
      </c>
      <c r="F133">
        <v>3.7</v>
      </c>
      <c r="G133">
        <v>24.5</v>
      </c>
      <c r="H133">
        <v>0.2</v>
      </c>
      <c r="I133">
        <v>0</v>
      </c>
      <c r="J133">
        <v>4.5</v>
      </c>
    </row>
    <row r="134" spans="1:10" x14ac:dyDescent="0.35">
      <c r="A134" t="s">
        <v>622</v>
      </c>
      <c r="B134" t="s">
        <v>200</v>
      </c>
      <c r="C134">
        <v>2.2999999999999998</v>
      </c>
      <c r="D134">
        <v>27.6</v>
      </c>
      <c r="E134">
        <v>0</v>
      </c>
      <c r="F134">
        <v>2.1</v>
      </c>
      <c r="G134">
        <v>12.6</v>
      </c>
      <c r="H134">
        <v>0.1</v>
      </c>
      <c r="I134">
        <v>0</v>
      </c>
      <c r="J134">
        <v>4.4000000000000004</v>
      </c>
    </row>
    <row r="135" spans="1:10" x14ac:dyDescent="0.35">
      <c r="A135" t="s">
        <v>625</v>
      </c>
      <c r="B135" t="s">
        <v>210</v>
      </c>
      <c r="C135">
        <v>0</v>
      </c>
      <c r="D135">
        <v>30</v>
      </c>
      <c r="E135">
        <v>0</v>
      </c>
      <c r="F135">
        <v>2</v>
      </c>
      <c r="G135">
        <v>10</v>
      </c>
      <c r="H135">
        <v>0</v>
      </c>
      <c r="I135">
        <v>0</v>
      </c>
      <c r="J135">
        <v>4</v>
      </c>
    </row>
    <row r="136" spans="1:10" x14ac:dyDescent="0.35">
      <c r="A136" t="s">
        <v>428</v>
      </c>
      <c r="B136" t="s">
        <v>211</v>
      </c>
      <c r="C136">
        <v>0</v>
      </c>
      <c r="D136">
        <v>26</v>
      </c>
      <c r="E136">
        <v>0</v>
      </c>
      <c r="F136">
        <v>2</v>
      </c>
      <c r="G136">
        <v>11</v>
      </c>
      <c r="H136">
        <v>0</v>
      </c>
      <c r="I136">
        <v>0</v>
      </c>
      <c r="J136">
        <v>3.7</v>
      </c>
    </row>
    <row r="137" spans="1:10" x14ac:dyDescent="0.35">
      <c r="A137" t="s">
        <v>1000</v>
      </c>
      <c r="B137" t="s">
        <v>211</v>
      </c>
      <c r="C137">
        <v>2</v>
      </c>
      <c r="D137">
        <v>8.3000000000000007</v>
      </c>
      <c r="E137">
        <v>0</v>
      </c>
      <c r="F137">
        <v>3.3</v>
      </c>
      <c r="G137">
        <v>22.4</v>
      </c>
      <c r="H137">
        <v>0.1</v>
      </c>
      <c r="I137">
        <v>0</v>
      </c>
      <c r="J137">
        <v>3.7</v>
      </c>
    </row>
    <row r="138" spans="1:10" x14ac:dyDescent="0.35">
      <c r="A138" t="s">
        <v>623</v>
      </c>
      <c r="B138" t="s">
        <v>207</v>
      </c>
      <c r="C138">
        <v>0</v>
      </c>
      <c r="D138">
        <v>17</v>
      </c>
      <c r="E138">
        <v>0</v>
      </c>
      <c r="F138">
        <v>1</v>
      </c>
      <c r="G138">
        <v>3</v>
      </c>
      <c r="H138">
        <v>0</v>
      </c>
      <c r="I138">
        <v>0</v>
      </c>
      <c r="J138">
        <v>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J217"/>
  <sheetViews>
    <sheetView workbookViewId="0">
      <selection activeCell="E178" sqref="E178"/>
    </sheetView>
  </sheetViews>
  <sheetFormatPr defaultColWidth="8.90625" defaultRowHeight="14.5" x14ac:dyDescent="0.35"/>
  <cols>
    <col min="1" max="1" width="23.1796875" bestFit="1" customWidth="1"/>
    <col min="2" max="2" width="7.90625" bestFit="1" customWidth="1"/>
    <col min="3" max="3" width="16.08984375" bestFit="1" customWidth="1"/>
    <col min="4" max="4" width="16.1796875" bestFit="1" customWidth="1"/>
    <col min="5" max="5" width="16.08984375" bestFit="1" customWidth="1"/>
    <col min="6" max="6" width="14.81640625" bestFit="1" customWidth="1"/>
    <col min="7" max="7" width="15" bestFit="1" customWidth="1"/>
    <col min="8" max="8" width="14.81640625" bestFit="1" customWidth="1"/>
    <col min="9" max="9" width="9.81640625" bestFit="1" customWidth="1"/>
    <col min="10" max="10" width="12" bestFit="1" customWidth="1"/>
  </cols>
  <sheetData>
    <row r="1" spans="1:10" x14ac:dyDescent="0.35">
      <c r="A1" t="s">
        <v>82</v>
      </c>
      <c r="B1" t="s">
        <v>272</v>
      </c>
      <c r="C1" t="s">
        <v>391</v>
      </c>
      <c r="D1" t="s">
        <v>392</v>
      </c>
      <c r="E1" t="s">
        <v>393</v>
      </c>
      <c r="F1" t="s">
        <v>386</v>
      </c>
      <c r="G1" t="s">
        <v>387</v>
      </c>
      <c r="H1" t="s">
        <v>388</v>
      </c>
      <c r="I1" t="s">
        <v>389</v>
      </c>
      <c r="J1" t="s">
        <v>390</v>
      </c>
    </row>
    <row r="2" spans="1:10" x14ac:dyDescent="0.35">
      <c r="A2" t="s">
        <v>488</v>
      </c>
      <c r="B2" t="s">
        <v>199</v>
      </c>
      <c r="C2">
        <v>116.1</v>
      </c>
      <c r="D2">
        <v>1488.6</v>
      </c>
      <c r="E2">
        <v>9.6999999999999993</v>
      </c>
      <c r="F2">
        <v>9.8000000000000007</v>
      </c>
      <c r="G2">
        <v>68.400000000000006</v>
      </c>
      <c r="H2">
        <v>0.8</v>
      </c>
      <c r="I2">
        <v>1.1000000000000001</v>
      </c>
      <c r="J2">
        <v>216.5</v>
      </c>
    </row>
    <row r="3" spans="1:10" x14ac:dyDescent="0.35">
      <c r="A3" t="s">
        <v>102</v>
      </c>
      <c r="B3" t="s">
        <v>212</v>
      </c>
      <c r="C3">
        <v>110</v>
      </c>
      <c r="D3">
        <v>1544.9</v>
      </c>
      <c r="E3">
        <v>9.9</v>
      </c>
      <c r="F3">
        <v>5.2</v>
      </c>
      <c r="G3">
        <v>30.5</v>
      </c>
      <c r="H3">
        <v>0.1</v>
      </c>
      <c r="I3">
        <v>1</v>
      </c>
      <c r="J3">
        <v>215.8</v>
      </c>
    </row>
    <row r="4" spans="1:10" x14ac:dyDescent="0.35">
      <c r="A4" t="s">
        <v>550</v>
      </c>
      <c r="B4" t="s">
        <v>204</v>
      </c>
      <c r="C4">
        <v>106.5</v>
      </c>
      <c r="D4">
        <v>1357.4</v>
      </c>
      <c r="E4">
        <v>9.1</v>
      </c>
      <c r="F4">
        <v>3</v>
      </c>
      <c r="G4">
        <v>12.6</v>
      </c>
      <c r="H4">
        <v>0.1</v>
      </c>
      <c r="I4">
        <v>0.7</v>
      </c>
      <c r="J4">
        <v>190.6</v>
      </c>
    </row>
    <row r="5" spans="1:10" x14ac:dyDescent="0.35">
      <c r="A5" t="s">
        <v>490</v>
      </c>
      <c r="B5" t="s">
        <v>211</v>
      </c>
      <c r="C5">
        <v>105.5</v>
      </c>
      <c r="D5">
        <v>1447.6</v>
      </c>
      <c r="E5">
        <v>7.4</v>
      </c>
      <c r="F5">
        <v>1.2</v>
      </c>
      <c r="G5">
        <v>3.8</v>
      </c>
      <c r="H5">
        <v>0</v>
      </c>
      <c r="I5">
        <v>1</v>
      </c>
      <c r="J5">
        <v>188</v>
      </c>
    </row>
    <row r="6" spans="1:10" x14ac:dyDescent="0.35">
      <c r="A6" t="s">
        <v>557</v>
      </c>
      <c r="B6" t="s">
        <v>201</v>
      </c>
      <c r="C6">
        <v>111</v>
      </c>
      <c r="D6">
        <v>1351</v>
      </c>
      <c r="E6">
        <v>8.1999999999999993</v>
      </c>
      <c r="F6">
        <v>4.5</v>
      </c>
      <c r="G6">
        <v>31.3</v>
      </c>
      <c r="H6">
        <v>0.1</v>
      </c>
      <c r="I6">
        <v>0.9</v>
      </c>
      <c r="J6">
        <v>186</v>
      </c>
    </row>
    <row r="7" spans="1:10" x14ac:dyDescent="0.35">
      <c r="A7" t="s">
        <v>434</v>
      </c>
      <c r="B7" t="s">
        <v>207</v>
      </c>
      <c r="C7">
        <v>92.9</v>
      </c>
      <c r="D7">
        <v>1318.2</v>
      </c>
      <c r="E7">
        <v>8.1999999999999993</v>
      </c>
      <c r="F7">
        <v>0</v>
      </c>
      <c r="G7">
        <v>1.4</v>
      </c>
      <c r="H7">
        <v>0</v>
      </c>
      <c r="I7">
        <v>1.3</v>
      </c>
      <c r="J7">
        <v>178.7</v>
      </c>
    </row>
    <row r="8" spans="1:10" x14ac:dyDescent="0.35">
      <c r="A8" t="s">
        <v>789</v>
      </c>
      <c r="B8" t="s">
        <v>216</v>
      </c>
      <c r="C8">
        <v>94.7</v>
      </c>
      <c r="D8">
        <v>1299.5999999999999</v>
      </c>
      <c r="E8">
        <v>7.2</v>
      </c>
      <c r="F8">
        <v>8.9</v>
      </c>
      <c r="G8">
        <v>54.7</v>
      </c>
      <c r="H8">
        <v>0.2</v>
      </c>
      <c r="I8">
        <v>0.7</v>
      </c>
      <c r="J8">
        <v>178.2</v>
      </c>
    </row>
    <row r="9" spans="1:10" x14ac:dyDescent="0.35">
      <c r="A9" t="s">
        <v>590</v>
      </c>
      <c r="B9" t="s">
        <v>217</v>
      </c>
      <c r="C9">
        <v>95.2</v>
      </c>
      <c r="D9">
        <v>1190.2</v>
      </c>
      <c r="E9">
        <v>8.1999999999999993</v>
      </c>
      <c r="F9">
        <v>3.9</v>
      </c>
      <c r="G9">
        <v>19.2</v>
      </c>
      <c r="H9">
        <v>0.1</v>
      </c>
      <c r="I9">
        <v>1.3</v>
      </c>
      <c r="J9">
        <v>167.8</v>
      </c>
    </row>
    <row r="10" spans="1:10" x14ac:dyDescent="0.35">
      <c r="A10" t="s">
        <v>906</v>
      </c>
      <c r="B10" t="s">
        <v>214</v>
      </c>
      <c r="C10">
        <v>66.900000000000006</v>
      </c>
      <c r="D10">
        <v>926.5</v>
      </c>
      <c r="E10">
        <v>5.9</v>
      </c>
      <c r="F10">
        <v>35.799999999999997</v>
      </c>
      <c r="G10">
        <v>208.2</v>
      </c>
      <c r="H10">
        <v>3.1</v>
      </c>
      <c r="I10">
        <v>1</v>
      </c>
      <c r="J10">
        <v>165.3</v>
      </c>
    </row>
    <row r="11" spans="1:10" x14ac:dyDescent="0.35">
      <c r="A11" t="s">
        <v>90</v>
      </c>
      <c r="B11" t="s">
        <v>195</v>
      </c>
      <c r="C11">
        <v>75.599999999999994</v>
      </c>
      <c r="D11">
        <v>1120.4000000000001</v>
      </c>
      <c r="E11">
        <v>8.4</v>
      </c>
      <c r="F11">
        <v>0</v>
      </c>
      <c r="G11">
        <v>1.2</v>
      </c>
      <c r="H11">
        <v>0</v>
      </c>
      <c r="I11">
        <v>0.5</v>
      </c>
      <c r="J11">
        <v>161.6</v>
      </c>
    </row>
    <row r="12" spans="1:10" x14ac:dyDescent="0.35">
      <c r="A12" t="s">
        <v>559</v>
      </c>
      <c r="B12" t="s">
        <v>219</v>
      </c>
      <c r="C12">
        <v>78.5</v>
      </c>
      <c r="D12">
        <v>1152</v>
      </c>
      <c r="E12">
        <v>7.4</v>
      </c>
      <c r="F12">
        <v>1.4</v>
      </c>
      <c r="G12">
        <v>8.6</v>
      </c>
      <c r="H12">
        <v>0</v>
      </c>
      <c r="I12">
        <v>0.5</v>
      </c>
      <c r="J12">
        <v>159.69999999999999</v>
      </c>
    </row>
    <row r="13" spans="1:10" x14ac:dyDescent="0.35">
      <c r="A13" t="s">
        <v>589</v>
      </c>
      <c r="B13" t="s">
        <v>191</v>
      </c>
      <c r="C13">
        <v>89.7</v>
      </c>
      <c r="D13">
        <v>1205.9000000000001</v>
      </c>
      <c r="E13">
        <v>6.5</v>
      </c>
      <c r="F13">
        <v>0</v>
      </c>
      <c r="G13">
        <v>1</v>
      </c>
      <c r="H13">
        <v>0</v>
      </c>
      <c r="I13">
        <v>0.6</v>
      </c>
      <c r="J13">
        <v>158.69999999999999</v>
      </c>
    </row>
    <row r="14" spans="1:10" x14ac:dyDescent="0.35">
      <c r="A14" t="s">
        <v>907</v>
      </c>
      <c r="B14" t="s">
        <v>208</v>
      </c>
      <c r="C14">
        <v>88.4</v>
      </c>
      <c r="D14">
        <v>1175.7</v>
      </c>
      <c r="E14">
        <v>6.8</v>
      </c>
      <c r="F14">
        <v>0.5</v>
      </c>
      <c r="G14">
        <v>3.6</v>
      </c>
      <c r="H14">
        <v>0</v>
      </c>
      <c r="I14">
        <v>1.5</v>
      </c>
      <c r="J14">
        <v>155.69999999999999</v>
      </c>
    </row>
    <row r="15" spans="1:10" x14ac:dyDescent="0.35">
      <c r="A15" t="s">
        <v>588</v>
      </c>
      <c r="B15" t="s">
        <v>192</v>
      </c>
      <c r="C15">
        <v>87.8</v>
      </c>
      <c r="D15">
        <v>1144.5</v>
      </c>
      <c r="E15">
        <v>7</v>
      </c>
      <c r="F15">
        <v>0</v>
      </c>
      <c r="G15">
        <v>2.2000000000000002</v>
      </c>
      <c r="H15">
        <v>0</v>
      </c>
      <c r="I15">
        <v>0.9</v>
      </c>
      <c r="J15">
        <v>154.9</v>
      </c>
    </row>
    <row r="16" spans="1:10" x14ac:dyDescent="0.35">
      <c r="A16" t="s">
        <v>586</v>
      </c>
      <c r="B16" t="s">
        <v>193</v>
      </c>
      <c r="C16">
        <v>73.7</v>
      </c>
      <c r="D16">
        <v>1068.5999999999999</v>
      </c>
      <c r="E16">
        <v>8.1</v>
      </c>
      <c r="F16">
        <v>0</v>
      </c>
      <c r="G16">
        <v>1.2</v>
      </c>
      <c r="H16">
        <v>0</v>
      </c>
      <c r="I16">
        <v>0.5</v>
      </c>
      <c r="J16">
        <v>154.5</v>
      </c>
    </row>
    <row r="17" spans="1:10" x14ac:dyDescent="0.35">
      <c r="A17" t="s">
        <v>492</v>
      </c>
      <c r="B17" t="s">
        <v>214</v>
      </c>
      <c r="C17">
        <v>74.2</v>
      </c>
      <c r="D17">
        <v>1118</v>
      </c>
      <c r="E17">
        <v>7.1</v>
      </c>
      <c r="F17">
        <v>0.8</v>
      </c>
      <c r="G17">
        <v>4</v>
      </c>
      <c r="H17">
        <v>0</v>
      </c>
      <c r="I17">
        <v>0.9</v>
      </c>
      <c r="J17">
        <v>153.19999999999999</v>
      </c>
    </row>
    <row r="18" spans="1:10" x14ac:dyDescent="0.35">
      <c r="A18" t="s">
        <v>100</v>
      </c>
      <c r="B18" t="s">
        <v>478</v>
      </c>
      <c r="C18">
        <v>93.1</v>
      </c>
      <c r="D18">
        <v>1129.7</v>
      </c>
      <c r="E18">
        <v>6.5</v>
      </c>
      <c r="F18">
        <v>0</v>
      </c>
      <c r="G18">
        <v>1</v>
      </c>
      <c r="H18">
        <v>0</v>
      </c>
      <c r="I18">
        <v>0.5</v>
      </c>
      <c r="J18">
        <v>151</v>
      </c>
    </row>
    <row r="19" spans="1:10" x14ac:dyDescent="0.35">
      <c r="A19" t="s">
        <v>239</v>
      </c>
      <c r="B19" t="s">
        <v>216</v>
      </c>
      <c r="C19">
        <v>85.9</v>
      </c>
      <c r="D19">
        <v>1061.2</v>
      </c>
      <c r="E19">
        <v>7.3</v>
      </c>
      <c r="F19">
        <v>2.9</v>
      </c>
      <c r="G19">
        <v>17.399999999999999</v>
      </c>
      <c r="H19">
        <v>0.1</v>
      </c>
      <c r="I19">
        <v>0.5</v>
      </c>
      <c r="J19">
        <v>150.80000000000001</v>
      </c>
    </row>
    <row r="20" spans="1:10" x14ac:dyDescent="0.35">
      <c r="A20" t="s">
        <v>551</v>
      </c>
      <c r="B20" t="s">
        <v>207</v>
      </c>
      <c r="C20">
        <v>84.8</v>
      </c>
      <c r="D20">
        <v>1082.3</v>
      </c>
      <c r="E20">
        <v>7.1</v>
      </c>
      <c r="F20">
        <v>0</v>
      </c>
      <c r="G20">
        <v>1.2</v>
      </c>
      <c r="H20">
        <v>0</v>
      </c>
      <c r="I20">
        <v>0.9</v>
      </c>
      <c r="J20">
        <v>149</v>
      </c>
    </row>
    <row r="21" spans="1:10" x14ac:dyDescent="0.35">
      <c r="A21" t="s">
        <v>552</v>
      </c>
      <c r="B21" t="s">
        <v>212</v>
      </c>
      <c r="C21">
        <v>81.8</v>
      </c>
      <c r="D21">
        <v>1123.8</v>
      </c>
      <c r="E21">
        <v>5.7</v>
      </c>
      <c r="F21">
        <v>3.6</v>
      </c>
      <c r="G21">
        <v>21.1</v>
      </c>
      <c r="H21">
        <v>0.1</v>
      </c>
      <c r="I21">
        <v>0.5</v>
      </c>
      <c r="J21">
        <v>148.4</v>
      </c>
    </row>
    <row r="22" spans="1:10" x14ac:dyDescent="0.35">
      <c r="A22" t="s">
        <v>92</v>
      </c>
      <c r="B22" t="s">
        <v>220</v>
      </c>
      <c r="C22">
        <v>73.2</v>
      </c>
      <c r="D22">
        <v>1107.0999999999999</v>
      </c>
      <c r="E22">
        <v>6.3</v>
      </c>
      <c r="F22">
        <v>0</v>
      </c>
      <c r="G22">
        <v>1</v>
      </c>
      <c r="H22">
        <v>0</v>
      </c>
      <c r="I22">
        <v>0.9</v>
      </c>
      <c r="J22">
        <v>146.9</v>
      </c>
    </row>
    <row r="23" spans="1:10" x14ac:dyDescent="0.35">
      <c r="A23" t="s">
        <v>585</v>
      </c>
      <c r="B23" t="s">
        <v>213</v>
      </c>
      <c r="C23">
        <v>75.5</v>
      </c>
      <c r="D23">
        <v>1038</v>
      </c>
      <c r="E23">
        <v>7</v>
      </c>
      <c r="F23">
        <v>2.2999999999999998</v>
      </c>
      <c r="G23">
        <v>15.1</v>
      </c>
      <c r="H23">
        <v>0.2</v>
      </c>
      <c r="I23">
        <v>0.9</v>
      </c>
      <c r="J23">
        <v>146.69999999999999</v>
      </c>
    </row>
    <row r="24" spans="1:10" x14ac:dyDescent="0.35">
      <c r="A24" t="s">
        <v>493</v>
      </c>
      <c r="B24" t="s">
        <v>204</v>
      </c>
      <c r="C24">
        <v>71.599999999999994</v>
      </c>
      <c r="D24">
        <v>1026.3</v>
      </c>
      <c r="E24">
        <v>7.5</v>
      </c>
      <c r="F24">
        <v>0</v>
      </c>
      <c r="G24">
        <v>1</v>
      </c>
      <c r="H24">
        <v>0</v>
      </c>
      <c r="I24">
        <v>0.5</v>
      </c>
      <c r="J24">
        <v>146.69999999999999</v>
      </c>
    </row>
    <row r="25" spans="1:10" x14ac:dyDescent="0.35">
      <c r="A25" t="s">
        <v>597</v>
      </c>
      <c r="B25" t="s">
        <v>202</v>
      </c>
      <c r="C25">
        <v>70.7</v>
      </c>
      <c r="D25">
        <v>1089.0999999999999</v>
      </c>
      <c r="E25">
        <v>6</v>
      </c>
      <c r="F25">
        <v>2.6</v>
      </c>
      <c r="G25">
        <v>16.899999999999999</v>
      </c>
      <c r="H25">
        <v>0</v>
      </c>
      <c r="I25">
        <v>0.9</v>
      </c>
      <c r="J25">
        <v>145.19999999999999</v>
      </c>
    </row>
    <row r="26" spans="1:10" x14ac:dyDescent="0.35">
      <c r="A26" t="s">
        <v>790</v>
      </c>
      <c r="B26" t="s">
        <v>219</v>
      </c>
      <c r="C26">
        <v>70</v>
      </c>
      <c r="D26">
        <v>954.4</v>
      </c>
      <c r="E26">
        <v>7</v>
      </c>
      <c r="F26">
        <v>11.1</v>
      </c>
      <c r="G26">
        <v>61.6</v>
      </c>
      <c r="H26">
        <v>0.2</v>
      </c>
      <c r="I26">
        <v>0.6</v>
      </c>
      <c r="J26">
        <v>143.1</v>
      </c>
    </row>
    <row r="27" spans="1:10" x14ac:dyDescent="0.35">
      <c r="A27" t="s">
        <v>120</v>
      </c>
      <c r="B27" t="s">
        <v>219</v>
      </c>
      <c r="C27">
        <v>85.1</v>
      </c>
      <c r="D27">
        <v>1031.8</v>
      </c>
      <c r="E27">
        <v>6.6</v>
      </c>
      <c r="F27">
        <v>1.9</v>
      </c>
      <c r="G27">
        <v>9.1</v>
      </c>
      <c r="H27">
        <v>0.1</v>
      </c>
      <c r="I27">
        <v>1</v>
      </c>
      <c r="J27">
        <v>142.1</v>
      </c>
    </row>
    <row r="28" spans="1:10" x14ac:dyDescent="0.35">
      <c r="A28" t="s">
        <v>908</v>
      </c>
      <c r="B28" t="s">
        <v>206</v>
      </c>
      <c r="C28">
        <v>81.2</v>
      </c>
      <c r="D28">
        <v>1076.5999999999999</v>
      </c>
      <c r="E28">
        <v>5.9</v>
      </c>
      <c r="F28">
        <v>0.5</v>
      </c>
      <c r="G28">
        <v>5</v>
      </c>
      <c r="H28">
        <v>0</v>
      </c>
      <c r="I28">
        <v>1.2</v>
      </c>
      <c r="J28">
        <v>141</v>
      </c>
    </row>
    <row r="29" spans="1:10" x14ac:dyDescent="0.35">
      <c r="A29" t="s">
        <v>359</v>
      </c>
      <c r="B29" t="s">
        <v>198</v>
      </c>
      <c r="C29">
        <v>71.400000000000006</v>
      </c>
      <c r="D29">
        <v>974.8</v>
      </c>
      <c r="E29">
        <v>6.9</v>
      </c>
      <c r="F29">
        <v>2.9</v>
      </c>
      <c r="G29">
        <v>14.8</v>
      </c>
      <c r="H29">
        <v>0</v>
      </c>
      <c r="I29">
        <v>0.5</v>
      </c>
      <c r="J29">
        <v>139.69999999999999</v>
      </c>
    </row>
    <row r="30" spans="1:10" x14ac:dyDescent="0.35">
      <c r="A30" t="s">
        <v>711</v>
      </c>
      <c r="B30" t="s">
        <v>209</v>
      </c>
      <c r="C30">
        <v>79.400000000000006</v>
      </c>
      <c r="D30">
        <v>964.3</v>
      </c>
      <c r="E30">
        <v>6.2</v>
      </c>
      <c r="F30">
        <v>7.4</v>
      </c>
      <c r="G30">
        <v>46.3</v>
      </c>
      <c r="H30">
        <v>0.6</v>
      </c>
      <c r="I30">
        <v>1</v>
      </c>
      <c r="J30">
        <v>139.6</v>
      </c>
    </row>
    <row r="31" spans="1:10" x14ac:dyDescent="0.35">
      <c r="A31" t="s">
        <v>491</v>
      </c>
      <c r="B31" t="s">
        <v>194</v>
      </c>
      <c r="C31">
        <v>96.6</v>
      </c>
      <c r="D31">
        <v>1061.2</v>
      </c>
      <c r="E31">
        <v>5</v>
      </c>
      <c r="F31">
        <v>0.3</v>
      </c>
      <c r="G31">
        <v>3</v>
      </c>
      <c r="H31">
        <v>0</v>
      </c>
      <c r="I31">
        <v>1</v>
      </c>
      <c r="J31">
        <v>134.6</v>
      </c>
    </row>
    <row r="32" spans="1:10" x14ac:dyDescent="0.35">
      <c r="A32" t="s">
        <v>743</v>
      </c>
      <c r="B32" t="s">
        <v>210</v>
      </c>
      <c r="C32">
        <v>77.900000000000006</v>
      </c>
      <c r="D32">
        <v>923.9</v>
      </c>
      <c r="E32">
        <v>7.1</v>
      </c>
      <c r="F32">
        <v>1.5</v>
      </c>
      <c r="G32">
        <v>7</v>
      </c>
      <c r="H32">
        <v>0</v>
      </c>
      <c r="I32">
        <v>1</v>
      </c>
      <c r="J32">
        <v>134.1</v>
      </c>
    </row>
    <row r="33" spans="1:10" x14ac:dyDescent="0.35">
      <c r="A33" t="s">
        <v>240</v>
      </c>
      <c r="B33" t="s">
        <v>195</v>
      </c>
      <c r="C33">
        <v>83.1</v>
      </c>
      <c r="D33">
        <v>988.6</v>
      </c>
      <c r="E33">
        <v>5.3</v>
      </c>
      <c r="F33">
        <v>2.7</v>
      </c>
      <c r="G33">
        <v>20.9</v>
      </c>
      <c r="H33">
        <v>0.3</v>
      </c>
      <c r="I33">
        <v>0.5</v>
      </c>
      <c r="J33">
        <v>132.9</v>
      </c>
    </row>
    <row r="34" spans="1:10" x14ac:dyDescent="0.35">
      <c r="A34" t="s">
        <v>362</v>
      </c>
      <c r="B34" t="s">
        <v>205</v>
      </c>
      <c r="C34">
        <v>81</v>
      </c>
      <c r="D34">
        <v>1007.9</v>
      </c>
      <c r="E34">
        <v>5.4</v>
      </c>
      <c r="F34">
        <v>1</v>
      </c>
      <c r="G34">
        <v>6.4</v>
      </c>
      <c r="H34">
        <v>0</v>
      </c>
      <c r="I34">
        <v>1.3</v>
      </c>
      <c r="J34">
        <v>131.5</v>
      </c>
    </row>
    <row r="35" spans="1:10" x14ac:dyDescent="0.35">
      <c r="A35" t="s">
        <v>727</v>
      </c>
      <c r="B35" t="s">
        <v>189</v>
      </c>
      <c r="C35">
        <v>64.099999999999994</v>
      </c>
      <c r="D35">
        <v>796.5</v>
      </c>
      <c r="E35">
        <v>5.9</v>
      </c>
      <c r="F35">
        <v>9.1</v>
      </c>
      <c r="G35">
        <v>74</v>
      </c>
      <c r="H35">
        <v>1.2</v>
      </c>
      <c r="I35">
        <v>0.6</v>
      </c>
      <c r="J35">
        <v>128.19999999999999</v>
      </c>
    </row>
    <row r="36" spans="1:10" x14ac:dyDescent="0.35">
      <c r="A36" t="s">
        <v>435</v>
      </c>
      <c r="B36" t="s">
        <v>197</v>
      </c>
      <c r="C36">
        <v>76.400000000000006</v>
      </c>
      <c r="D36">
        <v>1009.4</v>
      </c>
      <c r="E36">
        <v>4.5999999999999996</v>
      </c>
      <c r="F36">
        <v>0.3</v>
      </c>
      <c r="G36">
        <v>2.2000000000000002</v>
      </c>
      <c r="H36">
        <v>0</v>
      </c>
      <c r="I36">
        <v>0.5</v>
      </c>
      <c r="J36">
        <v>127.8</v>
      </c>
    </row>
    <row r="37" spans="1:10" x14ac:dyDescent="0.35">
      <c r="A37" t="s">
        <v>437</v>
      </c>
      <c r="B37" t="s">
        <v>196</v>
      </c>
      <c r="C37">
        <v>72.8</v>
      </c>
      <c r="D37">
        <v>905.9</v>
      </c>
      <c r="E37">
        <v>5.7</v>
      </c>
      <c r="F37">
        <v>1</v>
      </c>
      <c r="G37">
        <v>7.2</v>
      </c>
      <c r="H37">
        <v>0</v>
      </c>
      <c r="I37">
        <v>0.6</v>
      </c>
      <c r="J37">
        <v>124.7</v>
      </c>
    </row>
    <row r="38" spans="1:10" x14ac:dyDescent="0.35">
      <c r="A38" t="s">
        <v>595</v>
      </c>
      <c r="B38" t="s">
        <v>189</v>
      </c>
      <c r="C38">
        <v>53.7</v>
      </c>
      <c r="D38">
        <v>780.1</v>
      </c>
      <c r="E38">
        <v>7</v>
      </c>
      <c r="F38">
        <v>4.2</v>
      </c>
      <c r="G38">
        <v>24.9</v>
      </c>
      <c r="H38">
        <v>0.3</v>
      </c>
      <c r="I38">
        <v>0.5</v>
      </c>
      <c r="J38">
        <v>123</v>
      </c>
    </row>
    <row r="39" spans="1:10" x14ac:dyDescent="0.35">
      <c r="A39" t="s">
        <v>101</v>
      </c>
      <c r="B39" t="s">
        <v>213</v>
      </c>
      <c r="C39">
        <v>79.7</v>
      </c>
      <c r="D39">
        <v>895.2</v>
      </c>
      <c r="E39">
        <v>5.6</v>
      </c>
      <c r="F39">
        <v>1</v>
      </c>
      <c r="G39">
        <v>6.3</v>
      </c>
      <c r="H39">
        <v>0</v>
      </c>
      <c r="I39">
        <v>1</v>
      </c>
      <c r="J39">
        <v>122</v>
      </c>
    </row>
    <row r="40" spans="1:10" x14ac:dyDescent="0.35">
      <c r="A40" t="s">
        <v>910</v>
      </c>
      <c r="B40" t="s">
        <v>210</v>
      </c>
      <c r="C40">
        <v>57.1</v>
      </c>
      <c r="D40">
        <v>830.4</v>
      </c>
      <c r="E40">
        <v>6</v>
      </c>
      <c r="F40">
        <v>3.8</v>
      </c>
      <c r="G40">
        <v>23.2</v>
      </c>
      <c r="H40">
        <v>0.1</v>
      </c>
      <c r="I40">
        <v>0.8</v>
      </c>
      <c r="J40">
        <v>120</v>
      </c>
    </row>
    <row r="41" spans="1:10" x14ac:dyDescent="0.35">
      <c r="A41" t="s">
        <v>360</v>
      </c>
      <c r="B41" t="s">
        <v>218</v>
      </c>
      <c r="C41">
        <v>65.8</v>
      </c>
      <c r="D41">
        <v>850</v>
      </c>
      <c r="E41">
        <v>6.1</v>
      </c>
      <c r="F41">
        <v>0</v>
      </c>
      <c r="G41">
        <v>1.2</v>
      </c>
      <c r="H41">
        <v>0</v>
      </c>
      <c r="I41">
        <v>1.3</v>
      </c>
      <c r="J41">
        <v>119.1</v>
      </c>
    </row>
    <row r="42" spans="1:10" x14ac:dyDescent="0.35">
      <c r="A42" t="s">
        <v>93</v>
      </c>
      <c r="B42" t="s">
        <v>198</v>
      </c>
      <c r="C42">
        <v>64.7</v>
      </c>
      <c r="D42">
        <v>851.3</v>
      </c>
      <c r="E42">
        <v>5.7</v>
      </c>
      <c r="F42">
        <v>0.3</v>
      </c>
      <c r="G42">
        <v>2.8</v>
      </c>
      <c r="H42">
        <v>0</v>
      </c>
      <c r="I42">
        <v>0.5</v>
      </c>
      <c r="J42">
        <v>118.7</v>
      </c>
    </row>
    <row r="43" spans="1:10" x14ac:dyDescent="0.35">
      <c r="A43" t="s">
        <v>753</v>
      </c>
      <c r="B43" t="s">
        <v>211</v>
      </c>
      <c r="C43">
        <v>64.5</v>
      </c>
      <c r="D43">
        <v>829.2</v>
      </c>
      <c r="E43">
        <v>5.9</v>
      </c>
      <c r="F43">
        <v>0.3</v>
      </c>
      <c r="G43">
        <v>4</v>
      </c>
      <c r="H43">
        <v>0</v>
      </c>
      <c r="I43">
        <v>0.5</v>
      </c>
      <c r="J43">
        <v>117.4</v>
      </c>
    </row>
    <row r="44" spans="1:10" x14ac:dyDescent="0.35">
      <c r="A44" t="s">
        <v>912</v>
      </c>
      <c r="B44" t="s">
        <v>213</v>
      </c>
      <c r="C44">
        <v>62.5</v>
      </c>
      <c r="D44">
        <v>852.4</v>
      </c>
      <c r="E44">
        <v>5.4</v>
      </c>
      <c r="F44">
        <v>1</v>
      </c>
      <c r="G44">
        <v>6.4</v>
      </c>
      <c r="H44">
        <v>0</v>
      </c>
      <c r="I44">
        <v>1.1000000000000001</v>
      </c>
      <c r="J44">
        <v>116.1</v>
      </c>
    </row>
    <row r="45" spans="1:10" x14ac:dyDescent="0.35">
      <c r="A45" t="s">
        <v>596</v>
      </c>
      <c r="B45" t="s">
        <v>201</v>
      </c>
      <c r="C45">
        <v>55.2</v>
      </c>
      <c r="D45">
        <v>775.3</v>
      </c>
      <c r="E45">
        <v>4.8</v>
      </c>
      <c r="F45">
        <v>4.5</v>
      </c>
      <c r="G45">
        <v>42</v>
      </c>
      <c r="H45">
        <v>0.7</v>
      </c>
      <c r="I45">
        <v>0.6</v>
      </c>
      <c r="J45">
        <v>113.9</v>
      </c>
    </row>
    <row r="46" spans="1:10" x14ac:dyDescent="0.35">
      <c r="A46" t="s">
        <v>769</v>
      </c>
      <c r="B46" t="s">
        <v>193</v>
      </c>
      <c r="C46">
        <v>75.7</v>
      </c>
      <c r="D46">
        <v>830.5</v>
      </c>
      <c r="E46">
        <v>5.3</v>
      </c>
      <c r="F46">
        <v>0</v>
      </c>
      <c r="G46">
        <v>2</v>
      </c>
      <c r="H46">
        <v>0</v>
      </c>
      <c r="I46">
        <v>0.6</v>
      </c>
      <c r="J46">
        <v>113.8</v>
      </c>
    </row>
    <row r="47" spans="1:10" x14ac:dyDescent="0.35">
      <c r="A47" t="s">
        <v>914</v>
      </c>
      <c r="B47" t="s">
        <v>205</v>
      </c>
      <c r="C47">
        <v>63.2</v>
      </c>
      <c r="D47">
        <v>844.8</v>
      </c>
      <c r="E47">
        <v>5</v>
      </c>
      <c r="F47">
        <v>0.7</v>
      </c>
      <c r="G47">
        <v>6</v>
      </c>
      <c r="H47">
        <v>0</v>
      </c>
      <c r="I47">
        <v>1.1000000000000001</v>
      </c>
      <c r="J47">
        <v>112.9</v>
      </c>
    </row>
    <row r="48" spans="1:10" x14ac:dyDescent="0.35">
      <c r="A48" t="s">
        <v>911</v>
      </c>
      <c r="B48" t="s">
        <v>200</v>
      </c>
      <c r="C48">
        <v>66</v>
      </c>
      <c r="D48">
        <v>822.1</v>
      </c>
      <c r="E48">
        <v>5.0999999999999996</v>
      </c>
      <c r="F48">
        <v>1.1000000000000001</v>
      </c>
      <c r="G48">
        <v>6.7</v>
      </c>
      <c r="H48">
        <v>0</v>
      </c>
      <c r="I48">
        <v>1.1000000000000001</v>
      </c>
      <c r="J48">
        <v>111.1</v>
      </c>
    </row>
    <row r="49" spans="1:10" x14ac:dyDescent="0.35">
      <c r="A49" t="s">
        <v>433</v>
      </c>
      <c r="B49" t="s">
        <v>210</v>
      </c>
      <c r="C49">
        <v>56.1</v>
      </c>
      <c r="D49">
        <v>747.3</v>
      </c>
      <c r="E49">
        <v>6</v>
      </c>
      <c r="F49">
        <v>1.2</v>
      </c>
      <c r="G49">
        <v>10.8</v>
      </c>
      <c r="H49">
        <v>0</v>
      </c>
      <c r="I49">
        <v>0.4</v>
      </c>
      <c r="J49">
        <v>111</v>
      </c>
    </row>
    <row r="50" spans="1:10" x14ac:dyDescent="0.35">
      <c r="A50" t="s">
        <v>489</v>
      </c>
      <c r="B50" t="s">
        <v>220</v>
      </c>
      <c r="C50">
        <v>61.9</v>
      </c>
      <c r="D50">
        <v>851.1</v>
      </c>
      <c r="E50">
        <v>4.3</v>
      </c>
      <c r="F50">
        <v>0.3</v>
      </c>
      <c r="G50">
        <v>5.3</v>
      </c>
      <c r="H50">
        <v>0</v>
      </c>
      <c r="I50">
        <v>0.6</v>
      </c>
      <c r="J50">
        <v>110.6</v>
      </c>
    </row>
    <row r="51" spans="1:10" x14ac:dyDescent="0.35">
      <c r="A51" t="s">
        <v>139</v>
      </c>
      <c r="B51" t="s">
        <v>193</v>
      </c>
      <c r="C51">
        <v>66.400000000000006</v>
      </c>
      <c r="D51">
        <v>762.4</v>
      </c>
      <c r="E51">
        <v>5.2</v>
      </c>
      <c r="F51">
        <v>0</v>
      </c>
      <c r="G51">
        <v>1.5</v>
      </c>
      <c r="H51">
        <v>0</v>
      </c>
      <c r="I51">
        <v>0.5</v>
      </c>
      <c r="J51">
        <v>106.4</v>
      </c>
    </row>
    <row r="52" spans="1:10" x14ac:dyDescent="0.35">
      <c r="A52" t="s">
        <v>578</v>
      </c>
      <c r="B52" t="s">
        <v>200</v>
      </c>
      <c r="C52">
        <v>62.2</v>
      </c>
      <c r="D52">
        <v>786.8</v>
      </c>
      <c r="E52">
        <v>4.7</v>
      </c>
      <c r="F52">
        <v>0.3</v>
      </c>
      <c r="G52">
        <v>2.8</v>
      </c>
      <c r="H52">
        <v>0</v>
      </c>
      <c r="I52">
        <v>0.9</v>
      </c>
      <c r="J52">
        <v>105.7</v>
      </c>
    </row>
    <row r="53" spans="1:10" x14ac:dyDescent="0.35">
      <c r="A53" t="s">
        <v>236</v>
      </c>
      <c r="B53" t="s">
        <v>203</v>
      </c>
      <c r="C53">
        <v>61</v>
      </c>
      <c r="D53">
        <v>663</v>
      </c>
      <c r="E53">
        <v>4.5999999999999996</v>
      </c>
      <c r="F53">
        <v>11.3</v>
      </c>
      <c r="G53">
        <v>66.7</v>
      </c>
      <c r="H53">
        <v>1</v>
      </c>
      <c r="I53">
        <v>0.5</v>
      </c>
      <c r="J53">
        <v>105.5</v>
      </c>
    </row>
    <row r="54" spans="1:10" x14ac:dyDescent="0.35">
      <c r="A54" t="s">
        <v>785</v>
      </c>
      <c r="B54" t="s">
        <v>205</v>
      </c>
      <c r="C54">
        <v>50</v>
      </c>
      <c r="D54">
        <v>739</v>
      </c>
      <c r="E54">
        <v>5.5</v>
      </c>
      <c r="F54">
        <v>0.3</v>
      </c>
      <c r="G54">
        <v>1.3</v>
      </c>
      <c r="H54">
        <v>0</v>
      </c>
      <c r="I54">
        <v>0.9</v>
      </c>
      <c r="J54">
        <v>105.1</v>
      </c>
    </row>
    <row r="55" spans="1:10" x14ac:dyDescent="0.35">
      <c r="A55" t="s">
        <v>127</v>
      </c>
      <c r="B55" t="s">
        <v>217</v>
      </c>
      <c r="C55">
        <v>56.1</v>
      </c>
      <c r="D55">
        <v>752.5</v>
      </c>
      <c r="E55">
        <v>4.9000000000000004</v>
      </c>
      <c r="F55">
        <v>2.2999999999999998</v>
      </c>
      <c r="G55">
        <v>9.1999999999999993</v>
      </c>
      <c r="H55">
        <v>0</v>
      </c>
      <c r="I55">
        <v>0.5</v>
      </c>
      <c r="J55">
        <v>104.6</v>
      </c>
    </row>
    <row r="56" spans="1:10" x14ac:dyDescent="0.35">
      <c r="A56" t="s">
        <v>96</v>
      </c>
      <c r="B56" t="s">
        <v>199</v>
      </c>
      <c r="C56">
        <v>56.5</v>
      </c>
      <c r="D56">
        <v>692.7</v>
      </c>
      <c r="E56">
        <v>5.6</v>
      </c>
      <c r="F56">
        <v>3.4</v>
      </c>
      <c r="G56">
        <v>20.7</v>
      </c>
      <c r="H56">
        <v>0.1</v>
      </c>
      <c r="I56">
        <v>0.5</v>
      </c>
      <c r="J56">
        <v>104.5</v>
      </c>
    </row>
    <row r="57" spans="1:10" x14ac:dyDescent="0.35">
      <c r="A57" t="s">
        <v>607</v>
      </c>
      <c r="B57" t="s">
        <v>203</v>
      </c>
      <c r="C57">
        <v>59.2</v>
      </c>
      <c r="D57">
        <v>775.8</v>
      </c>
      <c r="E57">
        <v>4.5</v>
      </c>
      <c r="F57">
        <v>0.3</v>
      </c>
      <c r="G57">
        <v>3.2</v>
      </c>
      <c r="H57">
        <v>0</v>
      </c>
      <c r="I57">
        <v>0.2</v>
      </c>
      <c r="J57">
        <v>104.4</v>
      </c>
    </row>
    <row r="58" spans="1:10" x14ac:dyDescent="0.35">
      <c r="A58" t="s">
        <v>466</v>
      </c>
      <c r="B58" t="s">
        <v>478</v>
      </c>
      <c r="C58">
        <v>64.7</v>
      </c>
      <c r="D58">
        <v>728.7</v>
      </c>
      <c r="E58">
        <v>4.5999999999999996</v>
      </c>
      <c r="F58">
        <v>2.4</v>
      </c>
      <c r="G58">
        <v>15.6</v>
      </c>
      <c r="H58">
        <v>0.3</v>
      </c>
      <c r="I58">
        <v>0.5</v>
      </c>
      <c r="J58">
        <v>102.8</v>
      </c>
    </row>
    <row r="59" spans="1:10" x14ac:dyDescent="0.35">
      <c r="A59" t="s">
        <v>913</v>
      </c>
      <c r="B59" t="s">
        <v>203</v>
      </c>
      <c r="C59">
        <v>55.8</v>
      </c>
      <c r="D59">
        <v>745.3</v>
      </c>
      <c r="E59">
        <v>5</v>
      </c>
      <c r="F59">
        <v>1</v>
      </c>
      <c r="G59">
        <v>4.8</v>
      </c>
      <c r="H59">
        <v>0</v>
      </c>
      <c r="I59">
        <v>1.1000000000000001</v>
      </c>
      <c r="J59">
        <v>102.7</v>
      </c>
    </row>
    <row r="60" spans="1:10" x14ac:dyDescent="0.35">
      <c r="A60" t="s">
        <v>604</v>
      </c>
      <c r="B60" t="s">
        <v>189</v>
      </c>
      <c r="C60">
        <v>55.8</v>
      </c>
      <c r="D60">
        <v>686.5</v>
      </c>
      <c r="E60">
        <v>5.6</v>
      </c>
      <c r="F60">
        <v>0</v>
      </c>
      <c r="G60">
        <v>1.5</v>
      </c>
      <c r="H60">
        <v>0</v>
      </c>
      <c r="I60">
        <v>0.5</v>
      </c>
      <c r="J60">
        <v>101.4</v>
      </c>
    </row>
    <row r="61" spans="1:10" x14ac:dyDescent="0.35">
      <c r="A61" t="s">
        <v>759</v>
      </c>
      <c r="B61" t="s">
        <v>191</v>
      </c>
      <c r="C61">
        <v>50.3</v>
      </c>
      <c r="D61">
        <v>728.8</v>
      </c>
      <c r="E61">
        <v>4.2</v>
      </c>
      <c r="F61">
        <v>4.3</v>
      </c>
      <c r="G61">
        <v>33.200000000000003</v>
      </c>
      <c r="H61">
        <v>0</v>
      </c>
      <c r="I61">
        <v>0.9</v>
      </c>
      <c r="J61">
        <v>99.7</v>
      </c>
    </row>
    <row r="62" spans="1:10" x14ac:dyDescent="0.35">
      <c r="A62" t="s">
        <v>915</v>
      </c>
      <c r="B62" t="s">
        <v>190</v>
      </c>
      <c r="C62">
        <v>61.4</v>
      </c>
      <c r="D62">
        <v>745.1</v>
      </c>
      <c r="E62">
        <v>3.2</v>
      </c>
      <c r="F62">
        <v>8.4</v>
      </c>
      <c r="G62">
        <v>44.1</v>
      </c>
      <c r="H62">
        <v>0.1</v>
      </c>
      <c r="I62">
        <v>0.9</v>
      </c>
      <c r="J62">
        <v>97.2</v>
      </c>
    </row>
    <row r="63" spans="1:10" x14ac:dyDescent="0.35">
      <c r="A63" t="s">
        <v>502</v>
      </c>
      <c r="B63" t="s">
        <v>192</v>
      </c>
      <c r="C63">
        <v>50.9</v>
      </c>
      <c r="D63">
        <v>706.1</v>
      </c>
      <c r="E63">
        <v>4.0999999999999996</v>
      </c>
      <c r="F63">
        <v>2.1</v>
      </c>
      <c r="G63">
        <v>12.1</v>
      </c>
      <c r="H63">
        <v>0.1</v>
      </c>
      <c r="I63">
        <v>0.2</v>
      </c>
      <c r="J63">
        <v>96.7</v>
      </c>
    </row>
    <row r="64" spans="1:10" x14ac:dyDescent="0.35">
      <c r="A64" t="s">
        <v>138</v>
      </c>
      <c r="B64" t="s">
        <v>196</v>
      </c>
      <c r="C64">
        <v>69.2</v>
      </c>
      <c r="D64">
        <v>695.7</v>
      </c>
      <c r="E64">
        <v>4.5</v>
      </c>
      <c r="F64">
        <v>0.3</v>
      </c>
      <c r="G64">
        <v>3</v>
      </c>
      <c r="H64">
        <v>0</v>
      </c>
      <c r="I64">
        <v>0.6</v>
      </c>
      <c r="J64">
        <v>95.5</v>
      </c>
    </row>
    <row r="65" spans="1:10" x14ac:dyDescent="0.35">
      <c r="A65" t="s">
        <v>1082</v>
      </c>
      <c r="B65" t="s">
        <v>199</v>
      </c>
      <c r="C65">
        <v>53</v>
      </c>
      <c r="D65">
        <v>711</v>
      </c>
      <c r="E65">
        <v>4</v>
      </c>
      <c r="F65">
        <v>2</v>
      </c>
      <c r="G65">
        <v>10</v>
      </c>
      <c r="H65">
        <v>0</v>
      </c>
      <c r="I65">
        <v>2</v>
      </c>
      <c r="J65">
        <v>92.1</v>
      </c>
    </row>
    <row r="66" spans="1:10" x14ac:dyDescent="0.35">
      <c r="A66" t="s">
        <v>919</v>
      </c>
      <c r="B66" t="s">
        <v>190</v>
      </c>
      <c r="C66">
        <v>58.7</v>
      </c>
      <c r="D66">
        <v>720</v>
      </c>
      <c r="E66">
        <v>3.2</v>
      </c>
      <c r="F66">
        <v>0.7</v>
      </c>
      <c r="G66">
        <v>5.8</v>
      </c>
      <c r="H66">
        <v>0</v>
      </c>
      <c r="I66">
        <v>0.8</v>
      </c>
      <c r="J66">
        <v>90.4</v>
      </c>
    </row>
    <row r="67" spans="1:10" x14ac:dyDescent="0.35">
      <c r="A67" t="s">
        <v>728</v>
      </c>
      <c r="B67" t="s">
        <v>189</v>
      </c>
      <c r="C67">
        <v>46.1</v>
      </c>
      <c r="D67">
        <v>615.29999999999995</v>
      </c>
      <c r="E67">
        <v>4.8</v>
      </c>
      <c r="F67">
        <v>0.3</v>
      </c>
      <c r="G67">
        <v>3.8</v>
      </c>
      <c r="H67">
        <v>0</v>
      </c>
      <c r="I67">
        <v>0.5</v>
      </c>
      <c r="J67">
        <v>89.5</v>
      </c>
    </row>
    <row r="68" spans="1:10" x14ac:dyDescent="0.35">
      <c r="A68" t="s">
        <v>917</v>
      </c>
      <c r="B68" t="s">
        <v>194</v>
      </c>
      <c r="C68">
        <v>48.6</v>
      </c>
      <c r="D68">
        <v>656.4</v>
      </c>
      <c r="E68">
        <v>3.8</v>
      </c>
      <c r="F68">
        <v>0.7</v>
      </c>
      <c r="G68">
        <v>4.8</v>
      </c>
      <c r="H68">
        <v>0</v>
      </c>
      <c r="I68">
        <v>0.8</v>
      </c>
      <c r="J68">
        <v>87.1</v>
      </c>
    </row>
    <row r="69" spans="1:10" x14ac:dyDescent="0.35">
      <c r="A69" t="s">
        <v>709</v>
      </c>
      <c r="B69" t="s">
        <v>208</v>
      </c>
      <c r="C69">
        <v>49.8</v>
      </c>
      <c r="D69">
        <v>651.6</v>
      </c>
      <c r="E69">
        <v>3.7</v>
      </c>
      <c r="F69">
        <v>0</v>
      </c>
      <c r="G69">
        <v>1.3</v>
      </c>
      <c r="H69">
        <v>0</v>
      </c>
      <c r="I69">
        <v>0.2</v>
      </c>
      <c r="J69">
        <v>86.9</v>
      </c>
    </row>
    <row r="70" spans="1:10" x14ac:dyDescent="0.35">
      <c r="A70" t="s">
        <v>245</v>
      </c>
      <c r="B70" t="s">
        <v>216</v>
      </c>
      <c r="C70">
        <v>45.8</v>
      </c>
      <c r="D70">
        <v>587.4</v>
      </c>
      <c r="E70">
        <v>4.4000000000000004</v>
      </c>
      <c r="F70">
        <v>0.3</v>
      </c>
      <c r="G70">
        <v>7.8</v>
      </c>
      <c r="H70">
        <v>0</v>
      </c>
      <c r="I70">
        <v>0.6</v>
      </c>
      <c r="J70">
        <v>84.6</v>
      </c>
    </row>
    <row r="71" spans="1:10" x14ac:dyDescent="0.35">
      <c r="A71" t="s">
        <v>591</v>
      </c>
      <c r="B71" t="s">
        <v>200</v>
      </c>
      <c r="C71">
        <v>39.1</v>
      </c>
      <c r="D71">
        <v>560.5</v>
      </c>
      <c r="E71">
        <v>4.7</v>
      </c>
      <c r="F71">
        <v>0</v>
      </c>
      <c r="G71">
        <v>1.8</v>
      </c>
      <c r="H71">
        <v>0</v>
      </c>
      <c r="I71">
        <v>0.5</v>
      </c>
      <c r="J71">
        <v>83.7</v>
      </c>
    </row>
    <row r="72" spans="1:10" x14ac:dyDescent="0.35">
      <c r="A72" t="s">
        <v>736</v>
      </c>
      <c r="B72" t="s">
        <v>194</v>
      </c>
      <c r="C72">
        <v>54.9</v>
      </c>
      <c r="D72">
        <v>625.79999999999995</v>
      </c>
      <c r="E72">
        <v>3.3</v>
      </c>
      <c r="F72">
        <v>0</v>
      </c>
      <c r="G72">
        <v>5.3</v>
      </c>
      <c r="H72">
        <v>0</v>
      </c>
      <c r="I72">
        <v>0.5</v>
      </c>
      <c r="J72">
        <v>81.8</v>
      </c>
    </row>
    <row r="73" spans="1:10" x14ac:dyDescent="0.35">
      <c r="A73" t="s">
        <v>553</v>
      </c>
      <c r="B73" t="s">
        <v>209</v>
      </c>
      <c r="C73">
        <v>46.2</v>
      </c>
      <c r="D73">
        <v>604.70000000000005</v>
      </c>
      <c r="E73">
        <v>3.5</v>
      </c>
      <c r="F73">
        <v>0.3</v>
      </c>
      <c r="G73">
        <v>4.5</v>
      </c>
      <c r="H73">
        <v>0</v>
      </c>
      <c r="I73">
        <v>0.2</v>
      </c>
      <c r="J73">
        <v>81.5</v>
      </c>
    </row>
    <row r="74" spans="1:10" x14ac:dyDescent="0.35">
      <c r="A74" t="s">
        <v>602</v>
      </c>
      <c r="B74" t="s">
        <v>206</v>
      </c>
      <c r="C74">
        <v>61.1</v>
      </c>
      <c r="D74">
        <v>567.6</v>
      </c>
      <c r="E74">
        <v>2.8</v>
      </c>
      <c r="F74">
        <v>8.1</v>
      </c>
      <c r="G74">
        <v>58.1</v>
      </c>
      <c r="H74">
        <v>0.5</v>
      </c>
      <c r="I74">
        <v>0.5</v>
      </c>
      <c r="J74">
        <v>80.900000000000006</v>
      </c>
    </row>
    <row r="75" spans="1:10" x14ac:dyDescent="0.35">
      <c r="A75" t="s">
        <v>438</v>
      </c>
      <c r="B75" t="s">
        <v>206</v>
      </c>
      <c r="C75">
        <v>43.4</v>
      </c>
      <c r="D75">
        <v>612.5</v>
      </c>
      <c r="E75">
        <v>3.2</v>
      </c>
      <c r="F75">
        <v>0</v>
      </c>
      <c r="G75">
        <v>1.3</v>
      </c>
      <c r="H75">
        <v>0</v>
      </c>
      <c r="I75">
        <v>0.1</v>
      </c>
      <c r="J75">
        <v>80.3</v>
      </c>
    </row>
    <row r="76" spans="1:10" x14ac:dyDescent="0.35">
      <c r="A76" t="s">
        <v>916</v>
      </c>
      <c r="B76" t="s">
        <v>196</v>
      </c>
      <c r="C76">
        <v>45.6</v>
      </c>
      <c r="D76">
        <v>593.5</v>
      </c>
      <c r="E76">
        <v>3</v>
      </c>
      <c r="F76">
        <v>2.8</v>
      </c>
      <c r="G76">
        <v>17.2</v>
      </c>
      <c r="H76">
        <v>0.1</v>
      </c>
      <c r="I76">
        <v>0.4</v>
      </c>
      <c r="J76">
        <v>78.900000000000006</v>
      </c>
    </row>
    <row r="77" spans="1:10" x14ac:dyDescent="0.35">
      <c r="A77" t="s">
        <v>243</v>
      </c>
      <c r="B77" t="s">
        <v>218</v>
      </c>
      <c r="C77">
        <v>41</v>
      </c>
      <c r="D77">
        <v>532.5</v>
      </c>
      <c r="E77">
        <v>3.6</v>
      </c>
      <c r="F77">
        <v>0</v>
      </c>
      <c r="G77">
        <v>1.5</v>
      </c>
      <c r="H77">
        <v>0</v>
      </c>
      <c r="I77">
        <v>0.5</v>
      </c>
      <c r="J77">
        <v>74.2</v>
      </c>
    </row>
    <row r="78" spans="1:10" x14ac:dyDescent="0.35">
      <c r="A78" t="s">
        <v>722</v>
      </c>
      <c r="B78" t="s">
        <v>218</v>
      </c>
      <c r="C78">
        <v>41.2</v>
      </c>
      <c r="D78">
        <v>541.20000000000005</v>
      </c>
      <c r="E78">
        <v>2.6</v>
      </c>
      <c r="F78">
        <v>3.9</v>
      </c>
      <c r="G78">
        <v>23.5</v>
      </c>
      <c r="H78">
        <v>0.1</v>
      </c>
      <c r="I78">
        <v>0.3</v>
      </c>
      <c r="J78">
        <v>72.2</v>
      </c>
    </row>
    <row r="79" spans="1:10" x14ac:dyDescent="0.35">
      <c r="A79" t="s">
        <v>925</v>
      </c>
      <c r="B79" t="s">
        <v>195</v>
      </c>
      <c r="C79">
        <v>43.8</v>
      </c>
      <c r="D79">
        <v>523.70000000000005</v>
      </c>
      <c r="E79">
        <v>3.3</v>
      </c>
      <c r="F79">
        <v>0.7</v>
      </c>
      <c r="G79">
        <v>7.5</v>
      </c>
      <c r="H79">
        <v>0</v>
      </c>
      <c r="I79">
        <v>0.8</v>
      </c>
      <c r="J79">
        <v>71.400000000000006</v>
      </c>
    </row>
    <row r="80" spans="1:10" x14ac:dyDescent="0.35">
      <c r="A80" t="s">
        <v>746</v>
      </c>
      <c r="B80" t="s">
        <v>200</v>
      </c>
      <c r="C80">
        <v>40.6</v>
      </c>
      <c r="D80">
        <v>504.5</v>
      </c>
      <c r="E80">
        <v>3.2</v>
      </c>
      <c r="F80">
        <v>1.7</v>
      </c>
      <c r="G80">
        <v>6.8</v>
      </c>
      <c r="H80">
        <v>0</v>
      </c>
      <c r="I80">
        <v>0.1</v>
      </c>
      <c r="J80">
        <v>70.2</v>
      </c>
    </row>
    <row r="81" spans="1:10" x14ac:dyDescent="0.35">
      <c r="A81" t="s">
        <v>923</v>
      </c>
      <c r="B81" t="s">
        <v>214</v>
      </c>
      <c r="C81">
        <v>37</v>
      </c>
      <c r="D81">
        <v>477.8</v>
      </c>
      <c r="E81">
        <v>3.5</v>
      </c>
      <c r="F81">
        <v>2.2000000000000002</v>
      </c>
      <c r="G81">
        <v>14.5</v>
      </c>
      <c r="H81">
        <v>0.1</v>
      </c>
      <c r="I81">
        <v>0.7</v>
      </c>
      <c r="J81">
        <v>68.900000000000006</v>
      </c>
    </row>
    <row r="82" spans="1:10" x14ac:dyDescent="0.35">
      <c r="A82" t="s">
        <v>787</v>
      </c>
      <c r="B82" t="s">
        <v>206</v>
      </c>
      <c r="C82">
        <v>43.2</v>
      </c>
      <c r="D82">
        <v>539.70000000000005</v>
      </c>
      <c r="E82">
        <v>2.5</v>
      </c>
      <c r="F82">
        <v>0</v>
      </c>
      <c r="G82">
        <v>1</v>
      </c>
      <c r="H82">
        <v>0</v>
      </c>
      <c r="I82">
        <v>0.3</v>
      </c>
      <c r="J82">
        <v>68.599999999999994</v>
      </c>
    </row>
    <row r="83" spans="1:10" x14ac:dyDescent="0.35">
      <c r="A83" t="s">
        <v>364</v>
      </c>
      <c r="B83" t="s">
        <v>190</v>
      </c>
      <c r="C83">
        <v>39.1</v>
      </c>
      <c r="D83">
        <v>471.3</v>
      </c>
      <c r="E83">
        <v>3.1</v>
      </c>
      <c r="F83">
        <v>2.8</v>
      </c>
      <c r="G83">
        <v>17.100000000000001</v>
      </c>
      <c r="H83">
        <v>0</v>
      </c>
      <c r="I83">
        <v>0.5</v>
      </c>
      <c r="J83">
        <v>66.8</v>
      </c>
    </row>
    <row r="84" spans="1:10" x14ac:dyDescent="0.35">
      <c r="A84" t="s">
        <v>238</v>
      </c>
      <c r="B84" t="s">
        <v>198</v>
      </c>
      <c r="C84">
        <v>47.4</v>
      </c>
      <c r="D84">
        <v>512.20000000000005</v>
      </c>
      <c r="E84">
        <v>2.5</v>
      </c>
      <c r="F84">
        <v>1.3</v>
      </c>
      <c r="G84">
        <v>7.6</v>
      </c>
      <c r="H84">
        <v>0</v>
      </c>
      <c r="I84">
        <v>0.5</v>
      </c>
      <c r="J84">
        <v>66.099999999999994</v>
      </c>
    </row>
    <row r="85" spans="1:10" x14ac:dyDescent="0.35">
      <c r="A85" t="s">
        <v>408</v>
      </c>
      <c r="B85" t="s">
        <v>201</v>
      </c>
      <c r="C85">
        <v>38</v>
      </c>
      <c r="D85">
        <v>467</v>
      </c>
      <c r="E85">
        <v>3</v>
      </c>
      <c r="F85">
        <v>0</v>
      </c>
      <c r="G85">
        <v>9</v>
      </c>
      <c r="H85">
        <v>0</v>
      </c>
      <c r="I85">
        <v>0</v>
      </c>
      <c r="J85">
        <v>65.599999999999994</v>
      </c>
    </row>
    <row r="86" spans="1:10" x14ac:dyDescent="0.35">
      <c r="A86" t="s">
        <v>920</v>
      </c>
      <c r="B86" t="s">
        <v>202</v>
      </c>
      <c r="C86">
        <v>37</v>
      </c>
      <c r="D86">
        <v>479.9</v>
      </c>
      <c r="E86">
        <v>2.8</v>
      </c>
      <c r="F86">
        <v>0.7</v>
      </c>
      <c r="G86">
        <v>10</v>
      </c>
      <c r="H86">
        <v>0</v>
      </c>
      <c r="I86">
        <v>0.4</v>
      </c>
      <c r="J86">
        <v>65</v>
      </c>
    </row>
    <row r="87" spans="1:10" x14ac:dyDescent="0.35">
      <c r="A87" t="s">
        <v>592</v>
      </c>
      <c r="B87" t="s">
        <v>199</v>
      </c>
      <c r="C87">
        <v>37.5</v>
      </c>
      <c r="D87">
        <v>464.4</v>
      </c>
      <c r="E87">
        <v>3</v>
      </c>
      <c r="F87">
        <v>0</v>
      </c>
      <c r="G87">
        <v>2.2999999999999998</v>
      </c>
      <c r="H87">
        <v>0</v>
      </c>
      <c r="I87">
        <v>0.2</v>
      </c>
      <c r="J87">
        <v>64.3</v>
      </c>
    </row>
    <row r="88" spans="1:10" x14ac:dyDescent="0.35">
      <c r="A88" t="s">
        <v>594</v>
      </c>
      <c r="B88" t="s">
        <v>207</v>
      </c>
      <c r="C88">
        <v>35.5</v>
      </c>
      <c r="D88">
        <v>436.3</v>
      </c>
      <c r="E88">
        <v>3.5</v>
      </c>
      <c r="F88">
        <v>0</v>
      </c>
      <c r="G88">
        <v>2</v>
      </c>
      <c r="H88">
        <v>0</v>
      </c>
      <c r="I88">
        <v>0.4</v>
      </c>
      <c r="J88">
        <v>63.7</v>
      </c>
    </row>
    <row r="89" spans="1:10" x14ac:dyDescent="0.35">
      <c r="A89" t="s">
        <v>796</v>
      </c>
      <c r="B89" t="s">
        <v>204</v>
      </c>
      <c r="C89">
        <v>36.299999999999997</v>
      </c>
      <c r="D89">
        <v>425.2</v>
      </c>
      <c r="E89">
        <v>3.2</v>
      </c>
      <c r="F89">
        <v>0</v>
      </c>
      <c r="G89">
        <v>3.3</v>
      </c>
      <c r="H89">
        <v>0</v>
      </c>
      <c r="I89">
        <v>0.2</v>
      </c>
      <c r="J89">
        <v>61.9</v>
      </c>
    </row>
    <row r="90" spans="1:10" x14ac:dyDescent="0.35">
      <c r="A90" t="s">
        <v>744</v>
      </c>
      <c r="B90" t="s">
        <v>478</v>
      </c>
      <c r="C90">
        <v>35</v>
      </c>
      <c r="D90">
        <v>425</v>
      </c>
      <c r="E90">
        <v>2.4</v>
      </c>
      <c r="F90">
        <v>6</v>
      </c>
      <c r="G90">
        <v>39.799999999999997</v>
      </c>
      <c r="H90">
        <v>0.2</v>
      </c>
      <c r="I90">
        <v>0.3</v>
      </c>
      <c r="J90">
        <v>61.3</v>
      </c>
    </row>
    <row r="91" spans="1:10" x14ac:dyDescent="0.35">
      <c r="A91" t="s">
        <v>918</v>
      </c>
      <c r="B91" t="s">
        <v>204</v>
      </c>
      <c r="C91">
        <v>34.9</v>
      </c>
      <c r="D91">
        <v>443.2</v>
      </c>
      <c r="E91">
        <v>2.9</v>
      </c>
      <c r="F91">
        <v>0.7</v>
      </c>
      <c r="G91">
        <v>4.3</v>
      </c>
      <c r="H91">
        <v>0</v>
      </c>
      <c r="I91">
        <v>0.7</v>
      </c>
      <c r="J91">
        <v>61</v>
      </c>
    </row>
    <row r="92" spans="1:10" x14ac:dyDescent="0.35">
      <c r="A92" t="s">
        <v>674</v>
      </c>
      <c r="B92" t="s">
        <v>192</v>
      </c>
      <c r="C92">
        <v>36.5</v>
      </c>
      <c r="D92">
        <v>376.1</v>
      </c>
      <c r="E92">
        <v>2.8</v>
      </c>
      <c r="F92">
        <v>6.9</v>
      </c>
      <c r="G92">
        <v>46.8</v>
      </c>
      <c r="H92">
        <v>0.2</v>
      </c>
      <c r="I92">
        <v>0.2</v>
      </c>
      <c r="J92">
        <v>59.8</v>
      </c>
    </row>
    <row r="93" spans="1:10" x14ac:dyDescent="0.35">
      <c r="A93" t="s">
        <v>922</v>
      </c>
      <c r="B93" t="s">
        <v>218</v>
      </c>
      <c r="C93">
        <v>35.6</v>
      </c>
      <c r="D93">
        <v>443.3</v>
      </c>
      <c r="E93">
        <v>2.5</v>
      </c>
      <c r="F93">
        <v>0</v>
      </c>
      <c r="G93">
        <v>2.5</v>
      </c>
      <c r="H93">
        <v>0</v>
      </c>
      <c r="I93">
        <v>0.1</v>
      </c>
      <c r="J93">
        <v>59.4</v>
      </c>
    </row>
    <row r="94" spans="1:10" x14ac:dyDescent="0.35">
      <c r="A94" t="s">
        <v>445</v>
      </c>
      <c r="B94" t="s">
        <v>208</v>
      </c>
      <c r="C94">
        <v>40.9</v>
      </c>
      <c r="D94">
        <v>420.9</v>
      </c>
      <c r="E94">
        <v>2.5</v>
      </c>
      <c r="F94">
        <v>3.2</v>
      </c>
      <c r="G94">
        <v>21.2</v>
      </c>
      <c r="H94">
        <v>0.1</v>
      </c>
      <c r="I94">
        <v>0.1</v>
      </c>
      <c r="J94">
        <v>59.3</v>
      </c>
    </row>
    <row r="95" spans="1:10" x14ac:dyDescent="0.35">
      <c r="A95" t="s">
        <v>247</v>
      </c>
      <c r="B95" t="s">
        <v>197</v>
      </c>
      <c r="C95">
        <v>33.9</v>
      </c>
      <c r="D95">
        <v>465.8</v>
      </c>
      <c r="E95">
        <v>2</v>
      </c>
      <c r="F95">
        <v>0.3</v>
      </c>
      <c r="G95">
        <v>0.8</v>
      </c>
      <c r="H95">
        <v>0</v>
      </c>
      <c r="I95">
        <v>0.1</v>
      </c>
      <c r="J95">
        <v>58.8</v>
      </c>
    </row>
    <row r="96" spans="1:10" x14ac:dyDescent="0.35">
      <c r="A96" t="s">
        <v>554</v>
      </c>
      <c r="B96" t="s">
        <v>220</v>
      </c>
      <c r="C96">
        <v>37.200000000000003</v>
      </c>
      <c r="D96">
        <v>428.7</v>
      </c>
      <c r="E96">
        <v>2.5</v>
      </c>
      <c r="F96">
        <v>4.4000000000000004</v>
      </c>
      <c r="G96">
        <v>14.7</v>
      </c>
      <c r="H96">
        <v>0</v>
      </c>
      <c r="I96">
        <v>0.4</v>
      </c>
      <c r="J96">
        <v>58.7</v>
      </c>
    </row>
    <row r="97" spans="1:10" x14ac:dyDescent="0.35">
      <c r="A97" t="s">
        <v>921</v>
      </c>
      <c r="B97" t="s">
        <v>217</v>
      </c>
      <c r="C97">
        <v>35.200000000000003</v>
      </c>
      <c r="D97">
        <v>404</v>
      </c>
      <c r="E97">
        <v>2.5</v>
      </c>
      <c r="F97">
        <v>3.6</v>
      </c>
      <c r="G97">
        <v>24.7</v>
      </c>
      <c r="H97">
        <v>0.1</v>
      </c>
      <c r="I97">
        <v>0.7</v>
      </c>
      <c r="J97">
        <v>56.9</v>
      </c>
    </row>
    <row r="98" spans="1:10" x14ac:dyDescent="0.35">
      <c r="A98" t="s">
        <v>924</v>
      </c>
      <c r="B98" t="s">
        <v>197</v>
      </c>
      <c r="C98">
        <v>35.6</v>
      </c>
      <c r="D98">
        <v>420</v>
      </c>
      <c r="E98">
        <v>2.1</v>
      </c>
      <c r="F98">
        <v>0.7</v>
      </c>
      <c r="G98">
        <v>9.3000000000000007</v>
      </c>
      <c r="H98">
        <v>0</v>
      </c>
      <c r="I98">
        <v>0.4</v>
      </c>
      <c r="J98">
        <v>54.9</v>
      </c>
    </row>
    <row r="99" spans="1:10" x14ac:dyDescent="0.35">
      <c r="A99" t="s">
        <v>715</v>
      </c>
      <c r="B99" t="s">
        <v>196</v>
      </c>
      <c r="C99">
        <v>36</v>
      </c>
      <c r="D99">
        <v>422.8</v>
      </c>
      <c r="E99">
        <v>2.1</v>
      </c>
      <c r="F99">
        <v>0</v>
      </c>
      <c r="G99">
        <v>3</v>
      </c>
      <c r="H99">
        <v>0</v>
      </c>
      <c r="I99">
        <v>0.1</v>
      </c>
      <c r="J99">
        <v>54.7</v>
      </c>
    </row>
    <row r="100" spans="1:10" x14ac:dyDescent="0.35">
      <c r="A100" t="s">
        <v>560</v>
      </c>
      <c r="B100" t="s">
        <v>197</v>
      </c>
      <c r="C100">
        <v>29.6</v>
      </c>
      <c r="D100">
        <v>401.6</v>
      </c>
      <c r="E100">
        <v>2.4</v>
      </c>
      <c r="F100">
        <v>0</v>
      </c>
      <c r="G100">
        <v>2.8</v>
      </c>
      <c r="H100">
        <v>0</v>
      </c>
      <c r="I100">
        <v>0.1</v>
      </c>
      <c r="J100">
        <v>54.6</v>
      </c>
    </row>
    <row r="101" spans="1:10" x14ac:dyDescent="0.35">
      <c r="A101" t="s">
        <v>89</v>
      </c>
      <c r="B101" t="s">
        <v>212</v>
      </c>
      <c r="C101">
        <v>27.9</v>
      </c>
      <c r="D101">
        <v>379.5</v>
      </c>
      <c r="E101">
        <v>2.6</v>
      </c>
      <c r="F101">
        <v>0</v>
      </c>
      <c r="G101">
        <v>2</v>
      </c>
      <c r="H101">
        <v>0</v>
      </c>
      <c r="I101">
        <v>0.4</v>
      </c>
      <c r="J101">
        <v>52.7</v>
      </c>
    </row>
    <row r="102" spans="1:10" x14ac:dyDescent="0.35">
      <c r="A102" t="s">
        <v>441</v>
      </c>
      <c r="B102" t="s">
        <v>201</v>
      </c>
      <c r="C102">
        <v>28.9</v>
      </c>
      <c r="D102">
        <v>357</v>
      </c>
      <c r="E102">
        <v>1.9</v>
      </c>
      <c r="F102">
        <v>2.2000000000000002</v>
      </c>
      <c r="G102">
        <v>24.6</v>
      </c>
      <c r="H102">
        <v>0.1</v>
      </c>
      <c r="I102">
        <v>0.2</v>
      </c>
      <c r="J102">
        <v>49.6</v>
      </c>
    </row>
    <row r="103" spans="1:10" x14ac:dyDescent="0.35">
      <c r="A103" t="s">
        <v>599</v>
      </c>
      <c r="B103" t="s">
        <v>191</v>
      </c>
      <c r="C103">
        <v>26</v>
      </c>
      <c r="D103">
        <v>325.5</v>
      </c>
      <c r="E103">
        <v>2.7</v>
      </c>
      <c r="F103">
        <v>0.3</v>
      </c>
      <c r="G103">
        <v>2.2999999999999998</v>
      </c>
      <c r="H103">
        <v>0</v>
      </c>
      <c r="I103">
        <v>0.1</v>
      </c>
      <c r="J103">
        <v>48.7</v>
      </c>
    </row>
    <row r="104" spans="1:10" x14ac:dyDescent="0.35">
      <c r="A104" t="s">
        <v>598</v>
      </c>
      <c r="B104" t="s">
        <v>194</v>
      </c>
      <c r="C104">
        <v>24.1</v>
      </c>
      <c r="D104">
        <v>362.5</v>
      </c>
      <c r="E104">
        <v>2</v>
      </c>
      <c r="F104">
        <v>0</v>
      </c>
      <c r="G104">
        <v>1.3</v>
      </c>
      <c r="H104">
        <v>0</v>
      </c>
      <c r="I104">
        <v>0.1</v>
      </c>
      <c r="J104">
        <v>48.3</v>
      </c>
    </row>
    <row r="105" spans="1:10" x14ac:dyDescent="0.35">
      <c r="A105" t="s">
        <v>587</v>
      </c>
      <c r="B105" t="s">
        <v>198</v>
      </c>
      <c r="C105">
        <v>27</v>
      </c>
      <c r="D105">
        <v>357.7</v>
      </c>
      <c r="E105">
        <v>1.8</v>
      </c>
      <c r="F105">
        <v>1.8</v>
      </c>
      <c r="G105">
        <v>18.7</v>
      </c>
      <c r="H105">
        <v>0.1</v>
      </c>
      <c r="I105">
        <v>0.6</v>
      </c>
      <c r="J105">
        <v>47.4</v>
      </c>
    </row>
    <row r="106" spans="1:10" x14ac:dyDescent="0.35">
      <c r="A106" t="s">
        <v>794</v>
      </c>
      <c r="B106" t="s">
        <v>195</v>
      </c>
      <c r="C106">
        <v>27.5</v>
      </c>
      <c r="D106">
        <v>328.4</v>
      </c>
      <c r="E106">
        <v>2</v>
      </c>
      <c r="F106">
        <v>4.2</v>
      </c>
      <c r="G106">
        <v>20.2</v>
      </c>
      <c r="H106">
        <v>0.1</v>
      </c>
      <c r="I106">
        <v>0.2</v>
      </c>
      <c r="J106">
        <v>47.3</v>
      </c>
    </row>
    <row r="107" spans="1:10" x14ac:dyDescent="0.35">
      <c r="A107" t="s">
        <v>703</v>
      </c>
      <c r="B107" t="s">
        <v>199</v>
      </c>
      <c r="C107">
        <v>18.7</v>
      </c>
      <c r="D107">
        <v>220.3</v>
      </c>
      <c r="E107">
        <v>2.7</v>
      </c>
      <c r="F107">
        <v>8.6999999999999993</v>
      </c>
      <c r="G107">
        <v>66.900000000000006</v>
      </c>
      <c r="H107">
        <v>0.4</v>
      </c>
      <c r="I107">
        <v>0.4</v>
      </c>
      <c r="J107">
        <v>46.3</v>
      </c>
    </row>
    <row r="108" spans="1:10" x14ac:dyDescent="0.35">
      <c r="A108" t="s">
        <v>611</v>
      </c>
      <c r="B108" t="s">
        <v>211</v>
      </c>
      <c r="C108">
        <v>27.5</v>
      </c>
      <c r="D108">
        <v>341.5</v>
      </c>
      <c r="E108">
        <v>1.7</v>
      </c>
      <c r="F108">
        <v>0</v>
      </c>
      <c r="G108">
        <v>0.3</v>
      </c>
      <c r="H108">
        <v>0</v>
      </c>
      <c r="I108">
        <v>0.1</v>
      </c>
      <c r="J108">
        <v>44.2</v>
      </c>
    </row>
    <row r="109" spans="1:10" x14ac:dyDescent="0.35">
      <c r="A109" t="s">
        <v>498</v>
      </c>
      <c r="B109" t="s">
        <v>202</v>
      </c>
      <c r="C109">
        <v>24.1</v>
      </c>
      <c r="D109">
        <v>327.10000000000002</v>
      </c>
      <c r="E109">
        <v>1.9</v>
      </c>
      <c r="F109">
        <v>0</v>
      </c>
      <c r="G109">
        <v>4</v>
      </c>
      <c r="H109">
        <v>0</v>
      </c>
      <c r="I109">
        <v>0.1</v>
      </c>
      <c r="J109">
        <v>44.1</v>
      </c>
    </row>
    <row r="110" spans="1:10" x14ac:dyDescent="0.35">
      <c r="A110" t="s">
        <v>792</v>
      </c>
      <c r="B110" t="s">
        <v>191</v>
      </c>
      <c r="C110">
        <v>20.2</v>
      </c>
      <c r="D110">
        <v>299.39999999999998</v>
      </c>
      <c r="E110">
        <v>2.2999999999999998</v>
      </c>
      <c r="F110">
        <v>0.3</v>
      </c>
      <c r="G110">
        <v>1.8</v>
      </c>
      <c r="H110">
        <v>0</v>
      </c>
      <c r="I110">
        <v>0</v>
      </c>
      <c r="J110">
        <v>44.1</v>
      </c>
    </row>
    <row r="111" spans="1:10" x14ac:dyDescent="0.35">
      <c r="A111" t="s">
        <v>605</v>
      </c>
      <c r="B111" t="s">
        <v>202</v>
      </c>
      <c r="C111">
        <v>25.4</v>
      </c>
      <c r="D111">
        <v>294.7</v>
      </c>
      <c r="E111">
        <v>1.6</v>
      </c>
      <c r="F111">
        <v>4.5</v>
      </c>
      <c r="G111">
        <v>36.299999999999997</v>
      </c>
      <c r="H111">
        <v>0.1</v>
      </c>
      <c r="I111">
        <v>0.2</v>
      </c>
      <c r="J111">
        <v>43.3</v>
      </c>
    </row>
    <row r="112" spans="1:10" x14ac:dyDescent="0.35">
      <c r="A112" t="s">
        <v>719</v>
      </c>
      <c r="B112" t="s">
        <v>220</v>
      </c>
      <c r="C112">
        <v>24.2</v>
      </c>
      <c r="D112">
        <v>307.89999999999998</v>
      </c>
      <c r="E112">
        <v>2</v>
      </c>
      <c r="F112">
        <v>0</v>
      </c>
      <c r="G112">
        <v>1.7</v>
      </c>
      <c r="H112">
        <v>0</v>
      </c>
      <c r="I112">
        <v>0.2</v>
      </c>
      <c r="J112">
        <v>42.3</v>
      </c>
    </row>
    <row r="113" spans="1:10" x14ac:dyDescent="0.35">
      <c r="A113" t="s">
        <v>242</v>
      </c>
      <c r="B113" t="s">
        <v>209</v>
      </c>
      <c r="C113">
        <v>23.3</v>
      </c>
      <c r="D113">
        <v>291.7</v>
      </c>
      <c r="E113">
        <v>2.1</v>
      </c>
      <c r="F113">
        <v>0</v>
      </c>
      <c r="G113">
        <v>2</v>
      </c>
      <c r="H113">
        <v>0</v>
      </c>
      <c r="I113">
        <v>0.1</v>
      </c>
      <c r="J113">
        <v>41.9</v>
      </c>
    </row>
    <row r="114" spans="1:10" x14ac:dyDescent="0.35">
      <c r="A114" t="s">
        <v>503</v>
      </c>
      <c r="B114" t="s">
        <v>190</v>
      </c>
      <c r="C114">
        <v>24.7</v>
      </c>
      <c r="D114">
        <v>299.60000000000002</v>
      </c>
      <c r="E114">
        <v>1.7</v>
      </c>
      <c r="F114">
        <v>0</v>
      </c>
      <c r="G114">
        <v>2</v>
      </c>
      <c r="H114">
        <v>0</v>
      </c>
      <c r="I114">
        <v>0.1</v>
      </c>
      <c r="J114">
        <v>40</v>
      </c>
    </row>
    <row r="115" spans="1:10" x14ac:dyDescent="0.35">
      <c r="A115" t="s">
        <v>926</v>
      </c>
      <c r="B115" t="s">
        <v>209</v>
      </c>
      <c r="C115">
        <v>22.3</v>
      </c>
      <c r="D115">
        <v>273.10000000000002</v>
      </c>
      <c r="E115">
        <v>2</v>
      </c>
      <c r="F115">
        <v>0</v>
      </c>
      <c r="G115">
        <v>3.5</v>
      </c>
      <c r="H115">
        <v>0</v>
      </c>
      <c r="I115">
        <v>0</v>
      </c>
      <c r="J115">
        <v>39.799999999999997</v>
      </c>
    </row>
    <row r="116" spans="1:10" x14ac:dyDescent="0.35">
      <c r="A116" t="s">
        <v>143</v>
      </c>
      <c r="B116" t="s">
        <v>208</v>
      </c>
      <c r="C116">
        <v>25.7</v>
      </c>
      <c r="D116">
        <v>291.2</v>
      </c>
      <c r="E116">
        <v>1.9</v>
      </c>
      <c r="F116">
        <v>0</v>
      </c>
      <c r="G116">
        <v>2</v>
      </c>
      <c r="H116">
        <v>0</v>
      </c>
      <c r="I116">
        <v>0.6</v>
      </c>
      <c r="J116">
        <v>39.700000000000003</v>
      </c>
    </row>
    <row r="117" spans="1:10" x14ac:dyDescent="0.35">
      <c r="A117" t="s">
        <v>470</v>
      </c>
      <c r="B117" t="s">
        <v>192</v>
      </c>
      <c r="C117">
        <v>20.5</v>
      </c>
      <c r="D117">
        <v>274</v>
      </c>
      <c r="E117">
        <v>1.7</v>
      </c>
      <c r="F117">
        <v>0</v>
      </c>
      <c r="G117">
        <v>0</v>
      </c>
      <c r="H117">
        <v>0</v>
      </c>
      <c r="I117">
        <v>0.3</v>
      </c>
      <c r="J117">
        <v>37</v>
      </c>
    </row>
    <row r="118" spans="1:10" x14ac:dyDescent="0.35">
      <c r="A118" t="s">
        <v>500</v>
      </c>
      <c r="B118" t="s">
        <v>197</v>
      </c>
      <c r="C118">
        <v>22.1</v>
      </c>
      <c r="D118">
        <v>270.3</v>
      </c>
      <c r="E118">
        <v>1.6</v>
      </c>
      <c r="F118">
        <v>0</v>
      </c>
      <c r="G118">
        <v>5</v>
      </c>
      <c r="H118">
        <v>0</v>
      </c>
      <c r="I118">
        <v>0.1</v>
      </c>
      <c r="J118">
        <v>36.799999999999997</v>
      </c>
    </row>
    <row r="119" spans="1:10" x14ac:dyDescent="0.35">
      <c r="A119" t="s">
        <v>933</v>
      </c>
      <c r="B119" t="s">
        <v>190</v>
      </c>
      <c r="C119">
        <v>22.3</v>
      </c>
      <c r="D119">
        <v>267.5</v>
      </c>
      <c r="E119">
        <v>1.4</v>
      </c>
      <c r="F119">
        <v>0</v>
      </c>
      <c r="G119">
        <v>7.3</v>
      </c>
      <c r="H119">
        <v>0</v>
      </c>
      <c r="I119">
        <v>0</v>
      </c>
      <c r="J119">
        <v>36.1</v>
      </c>
    </row>
    <row r="120" spans="1:10" x14ac:dyDescent="0.35">
      <c r="A120" t="s">
        <v>506</v>
      </c>
      <c r="B120" t="s">
        <v>214</v>
      </c>
      <c r="C120">
        <v>20.9</v>
      </c>
      <c r="D120">
        <v>258.60000000000002</v>
      </c>
      <c r="E120">
        <v>1.7</v>
      </c>
      <c r="F120">
        <v>0</v>
      </c>
      <c r="G120">
        <v>3.3</v>
      </c>
      <c r="H120">
        <v>0</v>
      </c>
      <c r="I120">
        <v>0.1</v>
      </c>
      <c r="J120">
        <v>35.9</v>
      </c>
    </row>
    <row r="121" spans="1:10" x14ac:dyDescent="0.35">
      <c r="A121" t="s">
        <v>442</v>
      </c>
      <c r="B121" t="s">
        <v>217</v>
      </c>
      <c r="C121">
        <v>19.399999999999999</v>
      </c>
      <c r="D121">
        <v>250</v>
      </c>
      <c r="E121">
        <v>1.8</v>
      </c>
      <c r="F121">
        <v>0</v>
      </c>
      <c r="G121">
        <v>0.7</v>
      </c>
      <c r="H121">
        <v>0</v>
      </c>
      <c r="I121">
        <v>0.1</v>
      </c>
      <c r="J121">
        <v>35.799999999999997</v>
      </c>
    </row>
    <row r="122" spans="1:10" x14ac:dyDescent="0.35">
      <c r="A122" t="s">
        <v>847</v>
      </c>
      <c r="B122" t="s">
        <v>217</v>
      </c>
      <c r="C122">
        <v>19.399999999999999</v>
      </c>
      <c r="D122">
        <v>221.4</v>
      </c>
      <c r="E122">
        <v>1.6</v>
      </c>
      <c r="F122">
        <v>4.5999999999999996</v>
      </c>
      <c r="G122">
        <v>32.6</v>
      </c>
      <c r="H122">
        <v>0.2</v>
      </c>
      <c r="I122">
        <v>0.1</v>
      </c>
      <c r="J122">
        <v>35.6</v>
      </c>
    </row>
    <row r="123" spans="1:10" x14ac:dyDescent="0.35">
      <c r="A123" t="s">
        <v>733</v>
      </c>
      <c r="B123" t="s">
        <v>219</v>
      </c>
      <c r="C123">
        <v>19.2</v>
      </c>
      <c r="D123">
        <v>232.6</v>
      </c>
      <c r="E123">
        <v>1.5</v>
      </c>
      <c r="F123">
        <v>0</v>
      </c>
      <c r="G123">
        <v>5.3</v>
      </c>
      <c r="H123">
        <v>0</v>
      </c>
      <c r="I123">
        <v>0.1</v>
      </c>
      <c r="J123">
        <v>32.6</v>
      </c>
    </row>
    <row r="124" spans="1:10" x14ac:dyDescent="0.35">
      <c r="A124" t="s">
        <v>561</v>
      </c>
      <c r="B124" t="s">
        <v>216</v>
      </c>
      <c r="C124">
        <v>17.899999999999999</v>
      </c>
      <c r="D124">
        <v>235.5</v>
      </c>
      <c r="E124">
        <v>1.2</v>
      </c>
      <c r="F124">
        <v>2.2000000000000002</v>
      </c>
      <c r="G124">
        <v>14.1</v>
      </c>
      <c r="H124">
        <v>0.1</v>
      </c>
      <c r="I124">
        <v>0.1</v>
      </c>
      <c r="J124">
        <v>32.5</v>
      </c>
    </row>
    <row r="125" spans="1:10" x14ac:dyDescent="0.35">
      <c r="A125" t="s">
        <v>508</v>
      </c>
      <c r="B125" t="s">
        <v>204</v>
      </c>
      <c r="C125">
        <v>18.2</v>
      </c>
      <c r="D125">
        <v>230.4</v>
      </c>
      <c r="E125">
        <v>1.5</v>
      </c>
      <c r="F125">
        <v>0</v>
      </c>
      <c r="G125">
        <v>1.5</v>
      </c>
      <c r="H125">
        <v>0</v>
      </c>
      <c r="I125">
        <v>0.1</v>
      </c>
      <c r="J125">
        <v>32.200000000000003</v>
      </c>
    </row>
    <row r="126" spans="1:10" x14ac:dyDescent="0.35">
      <c r="A126" t="s">
        <v>241</v>
      </c>
      <c r="B126" t="s">
        <v>210</v>
      </c>
      <c r="C126">
        <v>21.4</v>
      </c>
      <c r="D126">
        <v>226.1</v>
      </c>
      <c r="E126">
        <v>1.6</v>
      </c>
      <c r="F126">
        <v>0.3</v>
      </c>
      <c r="G126">
        <v>1</v>
      </c>
      <c r="H126">
        <v>0</v>
      </c>
      <c r="I126">
        <v>0</v>
      </c>
      <c r="J126">
        <v>32.200000000000003</v>
      </c>
    </row>
    <row r="127" spans="1:10" x14ac:dyDescent="0.35">
      <c r="A127" t="s">
        <v>740</v>
      </c>
      <c r="B127" t="s">
        <v>205</v>
      </c>
      <c r="C127">
        <v>20.399999999999999</v>
      </c>
      <c r="D127">
        <v>217.1</v>
      </c>
      <c r="E127">
        <v>1.6</v>
      </c>
      <c r="F127">
        <v>0</v>
      </c>
      <c r="G127">
        <v>4</v>
      </c>
      <c r="H127">
        <v>0</v>
      </c>
      <c r="I127">
        <v>0</v>
      </c>
      <c r="J127">
        <v>31.7</v>
      </c>
    </row>
    <row r="128" spans="1:10" x14ac:dyDescent="0.35">
      <c r="A128" t="s">
        <v>606</v>
      </c>
      <c r="B128" t="s">
        <v>190</v>
      </c>
      <c r="C128">
        <v>16</v>
      </c>
      <c r="D128">
        <v>198.6</v>
      </c>
      <c r="E128">
        <v>1</v>
      </c>
      <c r="F128">
        <v>1.2</v>
      </c>
      <c r="G128">
        <v>8.1</v>
      </c>
      <c r="H128">
        <v>0</v>
      </c>
      <c r="I128">
        <v>0.1</v>
      </c>
      <c r="J128">
        <v>26.6</v>
      </c>
    </row>
    <row r="129" spans="1:10" x14ac:dyDescent="0.35">
      <c r="A129" t="s">
        <v>249</v>
      </c>
      <c r="B129" t="s">
        <v>203</v>
      </c>
      <c r="C129">
        <v>14.4</v>
      </c>
      <c r="D129">
        <v>185.4</v>
      </c>
      <c r="E129">
        <v>1.3</v>
      </c>
      <c r="F129">
        <v>0</v>
      </c>
      <c r="G129">
        <v>0</v>
      </c>
      <c r="H129">
        <v>0</v>
      </c>
      <c r="I129">
        <v>0</v>
      </c>
      <c r="J129">
        <v>26.3</v>
      </c>
    </row>
    <row r="130" spans="1:10" x14ac:dyDescent="0.35">
      <c r="A130" t="s">
        <v>849</v>
      </c>
      <c r="B130" t="s">
        <v>194</v>
      </c>
      <c r="C130">
        <v>16</v>
      </c>
      <c r="D130">
        <v>192</v>
      </c>
      <c r="E130">
        <v>1</v>
      </c>
      <c r="F130">
        <v>0</v>
      </c>
      <c r="G130">
        <v>6</v>
      </c>
      <c r="H130">
        <v>0</v>
      </c>
      <c r="I130">
        <v>0</v>
      </c>
      <c r="J130">
        <v>25.8</v>
      </c>
    </row>
    <row r="131" spans="1:10" x14ac:dyDescent="0.35">
      <c r="A131" t="s">
        <v>367</v>
      </c>
      <c r="B131" t="s">
        <v>210</v>
      </c>
      <c r="C131">
        <v>12.7</v>
      </c>
      <c r="D131">
        <v>179.1</v>
      </c>
      <c r="E131">
        <v>1.3</v>
      </c>
      <c r="F131">
        <v>0</v>
      </c>
      <c r="G131">
        <v>0</v>
      </c>
      <c r="H131">
        <v>0</v>
      </c>
      <c r="I131">
        <v>0.1</v>
      </c>
      <c r="J131">
        <v>25.4</v>
      </c>
    </row>
    <row r="132" spans="1:10" x14ac:dyDescent="0.35">
      <c r="A132" t="s">
        <v>845</v>
      </c>
      <c r="B132" t="s">
        <v>193</v>
      </c>
      <c r="C132">
        <v>15</v>
      </c>
      <c r="D132">
        <v>174</v>
      </c>
      <c r="E132">
        <v>1.3</v>
      </c>
      <c r="F132">
        <v>0</v>
      </c>
      <c r="G132">
        <v>1.3</v>
      </c>
      <c r="H132">
        <v>0</v>
      </c>
      <c r="I132">
        <v>0.1</v>
      </c>
      <c r="J132">
        <v>25</v>
      </c>
    </row>
    <row r="133" spans="1:10" x14ac:dyDescent="0.35">
      <c r="A133" t="s">
        <v>761</v>
      </c>
      <c r="B133" t="s">
        <v>206</v>
      </c>
      <c r="C133">
        <v>14</v>
      </c>
      <c r="D133">
        <v>183</v>
      </c>
      <c r="E133">
        <v>1</v>
      </c>
      <c r="F133">
        <v>0</v>
      </c>
      <c r="G133">
        <v>4</v>
      </c>
      <c r="H133">
        <v>0</v>
      </c>
      <c r="I133">
        <v>0</v>
      </c>
      <c r="J133">
        <v>24.7</v>
      </c>
    </row>
    <row r="134" spans="1:10" x14ac:dyDescent="0.35">
      <c r="A134" t="s">
        <v>600</v>
      </c>
      <c r="B134" t="s">
        <v>220</v>
      </c>
      <c r="C134">
        <v>15.2</v>
      </c>
      <c r="D134">
        <v>157.5</v>
      </c>
      <c r="E134">
        <v>1.5</v>
      </c>
      <c r="F134">
        <v>0</v>
      </c>
      <c r="G134">
        <v>1</v>
      </c>
      <c r="H134">
        <v>0</v>
      </c>
      <c r="I134">
        <v>0</v>
      </c>
      <c r="J134">
        <v>24.7</v>
      </c>
    </row>
    <row r="135" spans="1:10" x14ac:dyDescent="0.35">
      <c r="A135" t="s">
        <v>809</v>
      </c>
      <c r="B135" t="s">
        <v>195</v>
      </c>
      <c r="C135">
        <v>14</v>
      </c>
      <c r="D135">
        <v>175</v>
      </c>
      <c r="E135">
        <v>1</v>
      </c>
      <c r="F135">
        <v>0</v>
      </c>
      <c r="G135">
        <v>10</v>
      </c>
      <c r="H135">
        <v>0</v>
      </c>
      <c r="I135">
        <v>0</v>
      </c>
      <c r="J135">
        <v>24.5</v>
      </c>
    </row>
    <row r="136" spans="1:10" x14ac:dyDescent="0.35">
      <c r="A136" t="s">
        <v>501</v>
      </c>
      <c r="B136" t="s">
        <v>201</v>
      </c>
      <c r="C136">
        <v>13</v>
      </c>
      <c r="D136">
        <v>181</v>
      </c>
      <c r="E136">
        <v>1</v>
      </c>
      <c r="F136">
        <v>0</v>
      </c>
      <c r="G136">
        <v>4</v>
      </c>
      <c r="H136">
        <v>0</v>
      </c>
      <c r="I136">
        <v>0</v>
      </c>
      <c r="J136">
        <v>24.5</v>
      </c>
    </row>
    <row r="137" spans="1:10" x14ac:dyDescent="0.35">
      <c r="A137" t="s">
        <v>929</v>
      </c>
      <c r="B137" t="s">
        <v>212</v>
      </c>
      <c r="C137">
        <v>12.6</v>
      </c>
      <c r="D137">
        <v>157</v>
      </c>
      <c r="E137">
        <v>1</v>
      </c>
      <c r="F137">
        <v>2.1</v>
      </c>
      <c r="G137">
        <v>13.3</v>
      </c>
      <c r="H137">
        <v>0.1</v>
      </c>
      <c r="I137">
        <v>0</v>
      </c>
      <c r="J137">
        <v>23</v>
      </c>
    </row>
    <row r="138" spans="1:10" x14ac:dyDescent="0.35">
      <c r="A138" t="s">
        <v>1095</v>
      </c>
      <c r="B138" t="s">
        <v>200</v>
      </c>
      <c r="C138">
        <v>11</v>
      </c>
      <c r="D138">
        <v>166</v>
      </c>
      <c r="E138">
        <v>1</v>
      </c>
      <c r="F138">
        <v>0</v>
      </c>
      <c r="G138">
        <v>0</v>
      </c>
      <c r="H138">
        <v>0</v>
      </c>
      <c r="I138">
        <v>0</v>
      </c>
      <c r="J138">
        <v>22.6</v>
      </c>
    </row>
    <row r="139" spans="1:10" x14ac:dyDescent="0.35">
      <c r="A139" t="s">
        <v>1127</v>
      </c>
      <c r="B139" t="s">
        <v>201</v>
      </c>
      <c r="C139">
        <v>13.6</v>
      </c>
      <c r="D139">
        <v>161.80000000000001</v>
      </c>
      <c r="E139">
        <v>1.1000000000000001</v>
      </c>
      <c r="F139">
        <v>0</v>
      </c>
      <c r="G139">
        <v>0</v>
      </c>
      <c r="H139">
        <v>0</v>
      </c>
      <c r="I139">
        <v>0.1</v>
      </c>
      <c r="J139">
        <v>22.5</v>
      </c>
    </row>
    <row r="140" spans="1:10" x14ac:dyDescent="0.35">
      <c r="A140" t="s">
        <v>931</v>
      </c>
      <c r="B140" t="s">
        <v>211</v>
      </c>
      <c r="C140">
        <v>13.9</v>
      </c>
      <c r="D140">
        <v>165.6</v>
      </c>
      <c r="E140">
        <v>1</v>
      </c>
      <c r="F140">
        <v>0</v>
      </c>
      <c r="G140">
        <v>2</v>
      </c>
      <c r="H140">
        <v>0</v>
      </c>
      <c r="I140">
        <v>0</v>
      </c>
      <c r="J140">
        <v>22.5</v>
      </c>
    </row>
    <row r="141" spans="1:10" x14ac:dyDescent="0.35">
      <c r="A141" t="s">
        <v>365</v>
      </c>
      <c r="B141" t="s">
        <v>203</v>
      </c>
      <c r="C141">
        <v>9.9</v>
      </c>
      <c r="D141">
        <v>155</v>
      </c>
      <c r="E141">
        <v>1.2</v>
      </c>
      <c r="F141">
        <v>0</v>
      </c>
      <c r="G141">
        <v>1</v>
      </c>
      <c r="H141">
        <v>0</v>
      </c>
      <c r="I141">
        <v>0</v>
      </c>
      <c r="J141">
        <v>22.4</v>
      </c>
    </row>
    <row r="142" spans="1:10" x14ac:dyDescent="0.35">
      <c r="A142" t="s">
        <v>927</v>
      </c>
      <c r="B142" t="s">
        <v>191</v>
      </c>
      <c r="C142">
        <v>13.2</v>
      </c>
      <c r="D142">
        <v>160.19999999999999</v>
      </c>
      <c r="E142">
        <v>1.1000000000000001</v>
      </c>
      <c r="F142">
        <v>0</v>
      </c>
      <c r="G142">
        <v>0</v>
      </c>
      <c r="H142">
        <v>0</v>
      </c>
      <c r="I142">
        <v>0</v>
      </c>
      <c r="J142">
        <v>22.3</v>
      </c>
    </row>
    <row r="143" spans="1:10" x14ac:dyDescent="0.35">
      <c r="A143" t="s">
        <v>432</v>
      </c>
      <c r="B143" t="s">
        <v>207</v>
      </c>
      <c r="C143">
        <v>14</v>
      </c>
      <c r="D143">
        <v>152</v>
      </c>
      <c r="E143">
        <v>1</v>
      </c>
      <c r="F143">
        <v>0</v>
      </c>
      <c r="G143">
        <v>5</v>
      </c>
      <c r="H143">
        <v>0</v>
      </c>
      <c r="I143">
        <v>0</v>
      </c>
      <c r="J143">
        <v>21.7</v>
      </c>
    </row>
    <row r="144" spans="1:10" x14ac:dyDescent="0.35">
      <c r="A144" t="s">
        <v>439</v>
      </c>
      <c r="B144" t="s">
        <v>211</v>
      </c>
      <c r="C144">
        <v>14.7</v>
      </c>
      <c r="D144">
        <v>143.4</v>
      </c>
      <c r="E144">
        <v>0.9</v>
      </c>
      <c r="F144">
        <v>1.9</v>
      </c>
      <c r="G144">
        <v>14.6</v>
      </c>
      <c r="H144">
        <v>0</v>
      </c>
      <c r="I144">
        <v>0.1</v>
      </c>
      <c r="J144">
        <v>21.1</v>
      </c>
    </row>
    <row r="145" spans="1:10" x14ac:dyDescent="0.35">
      <c r="A145" t="s">
        <v>932</v>
      </c>
      <c r="B145" t="s">
        <v>207</v>
      </c>
      <c r="C145">
        <v>11</v>
      </c>
      <c r="D145">
        <v>141</v>
      </c>
      <c r="E145">
        <v>1</v>
      </c>
      <c r="F145">
        <v>0</v>
      </c>
      <c r="G145">
        <v>6</v>
      </c>
      <c r="H145">
        <v>0</v>
      </c>
      <c r="I145">
        <v>0</v>
      </c>
      <c r="J145">
        <v>20.7</v>
      </c>
    </row>
    <row r="146" spans="1:10" x14ac:dyDescent="0.35">
      <c r="A146" t="s">
        <v>1010</v>
      </c>
      <c r="B146" t="s">
        <v>220</v>
      </c>
      <c r="C146">
        <v>11</v>
      </c>
      <c r="D146">
        <v>141</v>
      </c>
      <c r="E146">
        <v>1</v>
      </c>
      <c r="F146">
        <v>0</v>
      </c>
      <c r="G146">
        <v>6</v>
      </c>
      <c r="H146">
        <v>0</v>
      </c>
      <c r="I146">
        <v>0</v>
      </c>
      <c r="J146">
        <v>20.7</v>
      </c>
    </row>
    <row r="147" spans="1:10" x14ac:dyDescent="0.35">
      <c r="A147" t="s">
        <v>928</v>
      </c>
      <c r="B147" t="s">
        <v>199</v>
      </c>
      <c r="C147">
        <v>12</v>
      </c>
      <c r="D147">
        <v>141.1</v>
      </c>
      <c r="E147">
        <v>1.1000000000000001</v>
      </c>
      <c r="F147">
        <v>0</v>
      </c>
      <c r="G147">
        <v>0</v>
      </c>
      <c r="H147">
        <v>0</v>
      </c>
      <c r="I147">
        <v>0</v>
      </c>
      <c r="J147">
        <v>20.5</v>
      </c>
    </row>
    <row r="148" spans="1:10" x14ac:dyDescent="0.35">
      <c r="A148" t="s">
        <v>1011</v>
      </c>
      <c r="B148" t="s">
        <v>214</v>
      </c>
      <c r="C148">
        <v>11</v>
      </c>
      <c r="D148">
        <v>134</v>
      </c>
      <c r="E148">
        <v>1</v>
      </c>
      <c r="F148">
        <v>0</v>
      </c>
      <c r="G148">
        <v>6</v>
      </c>
      <c r="H148">
        <v>0</v>
      </c>
      <c r="I148">
        <v>0</v>
      </c>
      <c r="J148">
        <v>20</v>
      </c>
    </row>
    <row r="149" spans="1:10" x14ac:dyDescent="0.35">
      <c r="A149" t="s">
        <v>440</v>
      </c>
      <c r="B149" t="s">
        <v>212</v>
      </c>
      <c r="C149">
        <v>14.4</v>
      </c>
      <c r="D149">
        <v>140.6</v>
      </c>
      <c r="E149">
        <v>0.9</v>
      </c>
      <c r="F149">
        <v>0</v>
      </c>
      <c r="G149">
        <v>2.7</v>
      </c>
      <c r="H149">
        <v>0</v>
      </c>
      <c r="I149">
        <v>0.1</v>
      </c>
      <c r="J149">
        <v>19.8</v>
      </c>
    </row>
    <row r="150" spans="1:10" x14ac:dyDescent="0.35">
      <c r="A150" t="s">
        <v>934</v>
      </c>
      <c r="B150" t="s">
        <v>207</v>
      </c>
      <c r="C150">
        <v>11.8</v>
      </c>
      <c r="D150">
        <v>140</v>
      </c>
      <c r="E150">
        <v>0.9</v>
      </c>
      <c r="F150">
        <v>0</v>
      </c>
      <c r="G150">
        <v>2.5</v>
      </c>
      <c r="H150">
        <v>0</v>
      </c>
      <c r="I150">
        <v>0</v>
      </c>
      <c r="J150">
        <v>19.3</v>
      </c>
    </row>
    <row r="151" spans="1:10" x14ac:dyDescent="0.35">
      <c r="A151" t="s">
        <v>563</v>
      </c>
      <c r="B151" t="s">
        <v>198</v>
      </c>
      <c r="C151">
        <v>10.6</v>
      </c>
      <c r="D151">
        <v>143.19999999999999</v>
      </c>
      <c r="E151">
        <v>0.8</v>
      </c>
      <c r="F151">
        <v>0</v>
      </c>
      <c r="G151">
        <v>1.3</v>
      </c>
      <c r="H151">
        <v>0</v>
      </c>
      <c r="I151">
        <v>0</v>
      </c>
      <c r="J151">
        <v>19.2</v>
      </c>
    </row>
    <row r="152" spans="1:10" x14ac:dyDescent="0.35">
      <c r="A152" t="s">
        <v>1012</v>
      </c>
      <c r="B152" t="s">
        <v>207</v>
      </c>
      <c r="C152">
        <v>10</v>
      </c>
      <c r="D152">
        <v>126</v>
      </c>
      <c r="E152">
        <v>1</v>
      </c>
      <c r="F152">
        <v>0</v>
      </c>
      <c r="G152">
        <v>6</v>
      </c>
      <c r="H152">
        <v>0</v>
      </c>
      <c r="I152">
        <v>0</v>
      </c>
      <c r="J152">
        <v>19.2</v>
      </c>
    </row>
    <row r="153" spans="1:10" x14ac:dyDescent="0.35">
      <c r="A153" t="s">
        <v>1096</v>
      </c>
      <c r="B153" t="s">
        <v>218</v>
      </c>
      <c r="C153">
        <v>11.8</v>
      </c>
      <c r="D153">
        <v>139.1</v>
      </c>
      <c r="E153">
        <v>0.9</v>
      </c>
      <c r="F153">
        <v>0</v>
      </c>
      <c r="G153">
        <v>0</v>
      </c>
      <c r="H153">
        <v>0</v>
      </c>
      <c r="I153">
        <v>0</v>
      </c>
      <c r="J153">
        <v>19.100000000000001</v>
      </c>
    </row>
    <row r="154" spans="1:10" x14ac:dyDescent="0.35">
      <c r="A154" t="s">
        <v>1080</v>
      </c>
      <c r="B154" t="s">
        <v>212</v>
      </c>
      <c r="C154">
        <v>11</v>
      </c>
      <c r="D154">
        <v>131</v>
      </c>
      <c r="E154">
        <v>1</v>
      </c>
      <c r="F154">
        <v>0</v>
      </c>
      <c r="G154">
        <v>0</v>
      </c>
      <c r="H154">
        <v>0</v>
      </c>
      <c r="I154">
        <v>0</v>
      </c>
      <c r="J154">
        <v>19.100000000000001</v>
      </c>
    </row>
    <row r="155" spans="1:10" x14ac:dyDescent="0.35">
      <c r="A155" t="s">
        <v>1089</v>
      </c>
      <c r="B155" t="s">
        <v>210</v>
      </c>
      <c r="C155">
        <v>10</v>
      </c>
      <c r="D155">
        <v>130</v>
      </c>
      <c r="E155">
        <v>1</v>
      </c>
      <c r="F155">
        <v>0</v>
      </c>
      <c r="G155">
        <v>0</v>
      </c>
      <c r="H155">
        <v>0</v>
      </c>
      <c r="I155">
        <v>0</v>
      </c>
      <c r="J155">
        <v>19</v>
      </c>
    </row>
    <row r="156" spans="1:10" x14ac:dyDescent="0.35">
      <c r="A156" t="s">
        <v>495</v>
      </c>
      <c r="B156" t="s">
        <v>203</v>
      </c>
      <c r="C156">
        <v>9</v>
      </c>
      <c r="D156">
        <v>125</v>
      </c>
      <c r="E156">
        <v>1</v>
      </c>
      <c r="F156">
        <v>0</v>
      </c>
      <c r="G156">
        <v>5</v>
      </c>
      <c r="H156">
        <v>0</v>
      </c>
      <c r="I156">
        <v>0</v>
      </c>
      <c r="J156">
        <v>19</v>
      </c>
    </row>
    <row r="157" spans="1:10" x14ac:dyDescent="0.35">
      <c r="A157" t="s">
        <v>1013</v>
      </c>
      <c r="B157" t="s">
        <v>220</v>
      </c>
      <c r="C157">
        <v>9</v>
      </c>
      <c r="D157">
        <v>119</v>
      </c>
      <c r="E157">
        <v>1</v>
      </c>
      <c r="F157">
        <v>0</v>
      </c>
      <c r="G157">
        <v>4</v>
      </c>
      <c r="H157">
        <v>0</v>
      </c>
      <c r="I157">
        <v>0</v>
      </c>
      <c r="J157">
        <v>18.3</v>
      </c>
    </row>
    <row r="158" spans="1:10" x14ac:dyDescent="0.35">
      <c r="A158" t="s">
        <v>930</v>
      </c>
      <c r="B158" t="s">
        <v>216</v>
      </c>
      <c r="C158">
        <v>10.8</v>
      </c>
      <c r="D158">
        <v>129.6</v>
      </c>
      <c r="E158">
        <v>0.9</v>
      </c>
      <c r="F158">
        <v>0</v>
      </c>
      <c r="G158">
        <v>0</v>
      </c>
      <c r="H158">
        <v>0</v>
      </c>
      <c r="I158">
        <v>0</v>
      </c>
      <c r="J158">
        <v>18.2</v>
      </c>
    </row>
    <row r="159" spans="1:10" x14ac:dyDescent="0.35">
      <c r="A159" t="s">
        <v>1097</v>
      </c>
      <c r="B159" t="s">
        <v>208</v>
      </c>
      <c r="C159">
        <v>11</v>
      </c>
      <c r="D159">
        <v>122</v>
      </c>
      <c r="E159">
        <v>1</v>
      </c>
      <c r="F159">
        <v>0</v>
      </c>
      <c r="G159">
        <v>0</v>
      </c>
      <c r="H159">
        <v>0</v>
      </c>
      <c r="I159">
        <v>0</v>
      </c>
      <c r="J159">
        <v>18.2</v>
      </c>
    </row>
    <row r="160" spans="1:10" x14ac:dyDescent="0.35">
      <c r="A160" t="s">
        <v>248</v>
      </c>
      <c r="B160" t="s">
        <v>206</v>
      </c>
      <c r="C160">
        <v>11</v>
      </c>
      <c r="D160">
        <v>107</v>
      </c>
      <c r="E160">
        <v>1</v>
      </c>
      <c r="F160">
        <v>0</v>
      </c>
      <c r="G160">
        <v>10</v>
      </c>
      <c r="H160">
        <v>0</v>
      </c>
      <c r="I160">
        <v>0</v>
      </c>
      <c r="J160">
        <v>17.7</v>
      </c>
    </row>
    <row r="161" spans="1:10" x14ac:dyDescent="0.35">
      <c r="A161" t="s">
        <v>549</v>
      </c>
      <c r="B161" t="s">
        <v>201</v>
      </c>
      <c r="C161">
        <v>11</v>
      </c>
      <c r="D161">
        <v>113</v>
      </c>
      <c r="E161">
        <v>1</v>
      </c>
      <c r="F161">
        <v>0</v>
      </c>
      <c r="G161">
        <v>4</v>
      </c>
      <c r="H161">
        <v>0</v>
      </c>
      <c r="I161">
        <v>0</v>
      </c>
      <c r="J161">
        <v>17.7</v>
      </c>
    </row>
    <row r="162" spans="1:10" x14ac:dyDescent="0.35">
      <c r="A162" t="s">
        <v>793</v>
      </c>
      <c r="B162" t="s">
        <v>213</v>
      </c>
      <c r="C162">
        <v>8.9</v>
      </c>
      <c r="D162">
        <v>101.7</v>
      </c>
      <c r="E162">
        <v>0.8</v>
      </c>
      <c r="F162">
        <v>2.1</v>
      </c>
      <c r="G162">
        <v>18.2</v>
      </c>
      <c r="H162">
        <v>0.1</v>
      </c>
      <c r="I162">
        <v>0</v>
      </c>
      <c r="J162">
        <v>17.100000000000001</v>
      </c>
    </row>
    <row r="163" spans="1:10" x14ac:dyDescent="0.35">
      <c r="A163" t="s">
        <v>795</v>
      </c>
      <c r="B163" t="s">
        <v>210</v>
      </c>
      <c r="C163">
        <v>8</v>
      </c>
      <c r="D163">
        <v>103</v>
      </c>
      <c r="E163">
        <v>1</v>
      </c>
      <c r="F163">
        <v>0</v>
      </c>
      <c r="G163">
        <v>0</v>
      </c>
      <c r="H163">
        <v>0</v>
      </c>
      <c r="I163">
        <v>0</v>
      </c>
      <c r="J163">
        <v>16.3</v>
      </c>
    </row>
    <row r="164" spans="1:10" x14ac:dyDescent="0.35">
      <c r="A164" t="s">
        <v>108</v>
      </c>
      <c r="B164" t="s">
        <v>197</v>
      </c>
      <c r="C164">
        <v>12</v>
      </c>
      <c r="D164">
        <v>118.3</v>
      </c>
      <c r="E164">
        <v>0.7</v>
      </c>
      <c r="F164">
        <v>0</v>
      </c>
      <c r="G164">
        <v>0</v>
      </c>
      <c r="H164">
        <v>0</v>
      </c>
      <c r="I164">
        <v>0</v>
      </c>
      <c r="J164">
        <v>16.100000000000001</v>
      </c>
    </row>
    <row r="165" spans="1:10" x14ac:dyDescent="0.35">
      <c r="A165" t="s">
        <v>808</v>
      </c>
      <c r="B165" t="s">
        <v>200</v>
      </c>
      <c r="C165">
        <v>7</v>
      </c>
      <c r="D165">
        <v>81.2</v>
      </c>
      <c r="E165">
        <v>0.6</v>
      </c>
      <c r="F165">
        <v>6.7</v>
      </c>
      <c r="G165">
        <v>38.6</v>
      </c>
      <c r="H165">
        <v>0.1</v>
      </c>
      <c r="I165">
        <v>0.1</v>
      </c>
      <c r="J165">
        <v>15.8</v>
      </c>
    </row>
    <row r="166" spans="1:10" x14ac:dyDescent="0.35">
      <c r="A166" t="s">
        <v>366</v>
      </c>
      <c r="B166" t="s">
        <v>191</v>
      </c>
      <c r="C166">
        <v>7</v>
      </c>
      <c r="D166">
        <v>91</v>
      </c>
      <c r="E166">
        <v>1</v>
      </c>
      <c r="F166">
        <v>0</v>
      </c>
      <c r="G166">
        <v>4</v>
      </c>
      <c r="H166">
        <v>0</v>
      </c>
      <c r="I166">
        <v>0</v>
      </c>
      <c r="J166">
        <v>15.5</v>
      </c>
    </row>
    <row r="167" spans="1:10" x14ac:dyDescent="0.35">
      <c r="A167" t="s">
        <v>1079</v>
      </c>
      <c r="B167" t="s">
        <v>192</v>
      </c>
      <c r="C167">
        <v>8.6999999999999993</v>
      </c>
      <c r="D167">
        <v>105.8</v>
      </c>
      <c r="E167">
        <v>0.8</v>
      </c>
      <c r="F167">
        <v>0</v>
      </c>
      <c r="G167">
        <v>0</v>
      </c>
      <c r="H167">
        <v>0</v>
      </c>
      <c r="I167">
        <v>0</v>
      </c>
      <c r="J167">
        <v>15.5</v>
      </c>
    </row>
    <row r="168" spans="1:10" x14ac:dyDescent="0.35">
      <c r="A168" t="s">
        <v>833</v>
      </c>
      <c r="B168" t="s">
        <v>199</v>
      </c>
      <c r="C168">
        <v>11.5</v>
      </c>
      <c r="D168">
        <v>106.9</v>
      </c>
      <c r="E168">
        <v>0.8</v>
      </c>
      <c r="F168">
        <v>0</v>
      </c>
      <c r="G168">
        <v>0</v>
      </c>
      <c r="H168">
        <v>0</v>
      </c>
      <c r="I168">
        <v>0</v>
      </c>
      <c r="J168">
        <v>15.4</v>
      </c>
    </row>
    <row r="169" spans="1:10" x14ac:dyDescent="0.35">
      <c r="A169" t="s">
        <v>593</v>
      </c>
      <c r="B169" t="s">
        <v>210</v>
      </c>
      <c r="C169">
        <v>8.6</v>
      </c>
      <c r="D169">
        <v>100.4</v>
      </c>
      <c r="E169">
        <v>0.8</v>
      </c>
      <c r="F169">
        <v>0</v>
      </c>
      <c r="G169">
        <v>3</v>
      </c>
      <c r="H169">
        <v>0</v>
      </c>
      <c r="I169">
        <v>0.1</v>
      </c>
      <c r="J169">
        <v>14.9</v>
      </c>
    </row>
    <row r="170" spans="1:10" x14ac:dyDescent="0.35">
      <c r="A170" t="s">
        <v>409</v>
      </c>
      <c r="B170" t="s">
        <v>196</v>
      </c>
      <c r="C170">
        <v>8.1</v>
      </c>
      <c r="D170">
        <v>107.9</v>
      </c>
      <c r="E170">
        <v>0.7</v>
      </c>
      <c r="F170">
        <v>0</v>
      </c>
      <c r="G170">
        <v>1.7</v>
      </c>
      <c r="H170">
        <v>0</v>
      </c>
      <c r="I170">
        <v>0.1</v>
      </c>
      <c r="J170">
        <v>14.7</v>
      </c>
    </row>
    <row r="171" spans="1:10" x14ac:dyDescent="0.35">
      <c r="A171" t="s">
        <v>497</v>
      </c>
      <c r="B171" t="s">
        <v>205</v>
      </c>
      <c r="C171">
        <v>8.8000000000000007</v>
      </c>
      <c r="D171">
        <v>88.5</v>
      </c>
      <c r="E171">
        <v>0.4</v>
      </c>
      <c r="F171">
        <v>3.3</v>
      </c>
      <c r="G171">
        <v>16.899999999999999</v>
      </c>
      <c r="H171">
        <v>0.1</v>
      </c>
      <c r="I171">
        <v>0.1</v>
      </c>
      <c r="J171">
        <v>13.5</v>
      </c>
    </row>
    <row r="172" spans="1:10" x14ac:dyDescent="0.35">
      <c r="A172" t="s">
        <v>1202</v>
      </c>
      <c r="B172" t="s">
        <v>190</v>
      </c>
      <c r="C172">
        <v>7</v>
      </c>
      <c r="D172">
        <v>90.2</v>
      </c>
      <c r="E172">
        <v>0.7</v>
      </c>
      <c r="F172">
        <v>0</v>
      </c>
      <c r="G172">
        <v>2</v>
      </c>
      <c r="H172">
        <v>0</v>
      </c>
      <c r="I172">
        <v>0</v>
      </c>
      <c r="J172">
        <v>13.2</v>
      </c>
    </row>
    <row r="173" spans="1:10" x14ac:dyDescent="0.35">
      <c r="A173" t="s">
        <v>235</v>
      </c>
      <c r="B173" t="s">
        <v>219</v>
      </c>
      <c r="C173">
        <v>8.3000000000000007</v>
      </c>
      <c r="D173">
        <v>89.4</v>
      </c>
      <c r="E173">
        <v>0.6</v>
      </c>
      <c r="F173">
        <v>0</v>
      </c>
      <c r="G173">
        <v>1.3</v>
      </c>
      <c r="H173">
        <v>0</v>
      </c>
      <c r="I173">
        <v>0</v>
      </c>
      <c r="J173">
        <v>12.8</v>
      </c>
    </row>
    <row r="174" spans="1:10" x14ac:dyDescent="0.35">
      <c r="A174" t="s">
        <v>1009</v>
      </c>
      <c r="B174" t="s">
        <v>200</v>
      </c>
      <c r="C174">
        <v>7.2</v>
      </c>
      <c r="D174">
        <v>87.9</v>
      </c>
      <c r="E174">
        <v>0.6</v>
      </c>
      <c r="F174">
        <v>0</v>
      </c>
      <c r="G174">
        <v>2</v>
      </c>
      <c r="H174">
        <v>0</v>
      </c>
      <c r="I174">
        <v>0</v>
      </c>
      <c r="J174">
        <v>12.7</v>
      </c>
    </row>
    <row r="175" spans="1:10" x14ac:dyDescent="0.35">
      <c r="A175" t="s">
        <v>246</v>
      </c>
      <c r="B175" t="s">
        <v>208</v>
      </c>
      <c r="C175">
        <v>7.7</v>
      </c>
      <c r="D175">
        <v>92.7</v>
      </c>
      <c r="E175">
        <v>0.5</v>
      </c>
      <c r="F175">
        <v>0</v>
      </c>
      <c r="G175">
        <v>3.3</v>
      </c>
      <c r="H175">
        <v>0</v>
      </c>
      <c r="I175">
        <v>0</v>
      </c>
      <c r="J175">
        <v>12.7</v>
      </c>
    </row>
    <row r="176" spans="1:10" x14ac:dyDescent="0.35">
      <c r="A176" t="s">
        <v>788</v>
      </c>
      <c r="B176" t="s">
        <v>190</v>
      </c>
      <c r="C176">
        <v>7</v>
      </c>
      <c r="D176">
        <v>88.4</v>
      </c>
      <c r="E176">
        <v>0.6</v>
      </c>
      <c r="F176">
        <v>0</v>
      </c>
      <c r="G176">
        <v>2.5</v>
      </c>
      <c r="H176">
        <v>0</v>
      </c>
      <c r="I176">
        <v>0</v>
      </c>
      <c r="J176">
        <v>12.6</v>
      </c>
    </row>
    <row r="177" spans="1:10" x14ac:dyDescent="0.35">
      <c r="A177" t="s">
        <v>411</v>
      </c>
      <c r="B177" t="s">
        <v>208</v>
      </c>
      <c r="C177">
        <v>6.8</v>
      </c>
      <c r="D177">
        <v>83.6</v>
      </c>
      <c r="E177">
        <v>0.7</v>
      </c>
      <c r="F177">
        <v>0</v>
      </c>
      <c r="G177">
        <v>2</v>
      </c>
      <c r="H177">
        <v>0</v>
      </c>
      <c r="I177">
        <v>0</v>
      </c>
      <c r="J177">
        <v>12.5</v>
      </c>
    </row>
    <row r="178" spans="1:10" x14ac:dyDescent="0.35">
      <c r="A178" t="s">
        <v>1088</v>
      </c>
      <c r="B178" t="s">
        <v>191</v>
      </c>
      <c r="C178">
        <v>7.7</v>
      </c>
      <c r="D178">
        <v>86.1</v>
      </c>
      <c r="E178">
        <v>0.6</v>
      </c>
      <c r="F178">
        <v>0</v>
      </c>
      <c r="G178">
        <v>0</v>
      </c>
      <c r="H178">
        <v>0</v>
      </c>
      <c r="I178">
        <v>0</v>
      </c>
      <c r="J178">
        <v>12.4</v>
      </c>
    </row>
    <row r="179" spans="1:10" x14ac:dyDescent="0.35">
      <c r="A179" t="s">
        <v>786</v>
      </c>
      <c r="B179" t="s">
        <v>210</v>
      </c>
      <c r="C179">
        <v>5.2</v>
      </c>
      <c r="D179">
        <v>65.5</v>
      </c>
      <c r="E179">
        <v>0.6</v>
      </c>
      <c r="F179">
        <v>2.1</v>
      </c>
      <c r="G179">
        <v>15.4</v>
      </c>
      <c r="H179">
        <v>0.1</v>
      </c>
      <c r="I179">
        <v>0</v>
      </c>
      <c r="J179">
        <v>12</v>
      </c>
    </row>
    <row r="180" spans="1:10" x14ac:dyDescent="0.35">
      <c r="A180" t="s">
        <v>1203</v>
      </c>
      <c r="B180" t="s">
        <v>212</v>
      </c>
      <c r="C180">
        <v>6.6</v>
      </c>
      <c r="D180">
        <v>79</v>
      </c>
      <c r="E180">
        <v>0.6</v>
      </c>
      <c r="F180">
        <v>0</v>
      </c>
      <c r="G180">
        <v>2</v>
      </c>
      <c r="H180">
        <v>0</v>
      </c>
      <c r="I180">
        <v>0</v>
      </c>
      <c r="J180">
        <v>12</v>
      </c>
    </row>
    <row r="181" spans="1:10" x14ac:dyDescent="0.35">
      <c r="A181" t="s">
        <v>791</v>
      </c>
      <c r="B181" t="s">
        <v>219</v>
      </c>
      <c r="C181">
        <v>6.4</v>
      </c>
      <c r="D181">
        <v>76.599999999999994</v>
      </c>
      <c r="E181">
        <v>0.6</v>
      </c>
      <c r="F181">
        <v>0</v>
      </c>
      <c r="G181">
        <v>7</v>
      </c>
      <c r="H181">
        <v>0</v>
      </c>
      <c r="I181">
        <v>0</v>
      </c>
      <c r="J181">
        <v>11.9</v>
      </c>
    </row>
    <row r="182" spans="1:10" x14ac:dyDescent="0.35">
      <c r="A182" t="s">
        <v>935</v>
      </c>
      <c r="B182" t="s">
        <v>194</v>
      </c>
      <c r="C182">
        <v>6.8</v>
      </c>
      <c r="D182">
        <v>80.7</v>
      </c>
      <c r="E182">
        <v>0.6</v>
      </c>
      <c r="F182">
        <v>0</v>
      </c>
      <c r="G182">
        <v>0</v>
      </c>
      <c r="H182">
        <v>0</v>
      </c>
      <c r="I182">
        <v>0</v>
      </c>
      <c r="J182">
        <v>11.8</v>
      </c>
    </row>
    <row r="183" spans="1:10" x14ac:dyDescent="0.35">
      <c r="A183" t="s">
        <v>609</v>
      </c>
      <c r="B183" t="s">
        <v>209</v>
      </c>
      <c r="C183">
        <v>6.3</v>
      </c>
      <c r="D183">
        <v>77.2</v>
      </c>
      <c r="E183">
        <v>0.6</v>
      </c>
      <c r="F183">
        <v>0</v>
      </c>
      <c r="G183">
        <v>5</v>
      </c>
      <c r="H183">
        <v>0</v>
      </c>
      <c r="I183">
        <v>0</v>
      </c>
      <c r="J183">
        <v>11.7</v>
      </c>
    </row>
    <row r="184" spans="1:10" x14ac:dyDescent="0.35">
      <c r="A184" t="s">
        <v>505</v>
      </c>
      <c r="B184" t="s">
        <v>478</v>
      </c>
      <c r="C184">
        <v>6</v>
      </c>
      <c r="D184">
        <v>80</v>
      </c>
      <c r="E184">
        <v>0.6</v>
      </c>
      <c r="F184">
        <v>0</v>
      </c>
      <c r="G184">
        <v>2</v>
      </c>
      <c r="H184">
        <v>0</v>
      </c>
      <c r="I184">
        <v>0</v>
      </c>
      <c r="J184">
        <v>11.7</v>
      </c>
    </row>
    <row r="185" spans="1:10" x14ac:dyDescent="0.35">
      <c r="A185" t="s">
        <v>718</v>
      </c>
      <c r="B185" t="s">
        <v>204</v>
      </c>
      <c r="C185">
        <v>6.8</v>
      </c>
      <c r="D185">
        <v>83.2</v>
      </c>
      <c r="E185">
        <v>0.5</v>
      </c>
      <c r="F185">
        <v>0</v>
      </c>
      <c r="G185">
        <v>1.7</v>
      </c>
      <c r="H185">
        <v>0</v>
      </c>
      <c r="I185">
        <v>0</v>
      </c>
      <c r="J185">
        <v>11.7</v>
      </c>
    </row>
    <row r="186" spans="1:10" x14ac:dyDescent="0.35">
      <c r="A186" t="s">
        <v>444</v>
      </c>
      <c r="B186" t="s">
        <v>194</v>
      </c>
      <c r="C186">
        <v>6.5</v>
      </c>
      <c r="D186">
        <v>75.099999999999994</v>
      </c>
      <c r="E186">
        <v>0.6</v>
      </c>
      <c r="F186">
        <v>0</v>
      </c>
      <c r="G186">
        <v>2</v>
      </c>
      <c r="H186">
        <v>0</v>
      </c>
      <c r="I186">
        <v>0</v>
      </c>
      <c r="J186">
        <v>11.6</v>
      </c>
    </row>
    <row r="187" spans="1:10" x14ac:dyDescent="0.35">
      <c r="A187" t="s">
        <v>810</v>
      </c>
      <c r="B187" t="s">
        <v>214</v>
      </c>
      <c r="C187">
        <v>6.3</v>
      </c>
      <c r="D187">
        <v>76.099999999999994</v>
      </c>
      <c r="E187">
        <v>0.6</v>
      </c>
      <c r="F187">
        <v>0</v>
      </c>
      <c r="G187">
        <v>2</v>
      </c>
      <c r="H187">
        <v>0</v>
      </c>
      <c r="I187">
        <v>0</v>
      </c>
      <c r="J187">
        <v>11.3</v>
      </c>
    </row>
    <row r="188" spans="1:10" x14ac:dyDescent="0.35">
      <c r="A188" t="s">
        <v>496</v>
      </c>
      <c r="B188" t="s">
        <v>193</v>
      </c>
      <c r="C188">
        <v>5.2</v>
      </c>
      <c r="D188">
        <v>55.1</v>
      </c>
      <c r="E188">
        <v>0.2</v>
      </c>
      <c r="F188">
        <v>5.3</v>
      </c>
      <c r="G188">
        <v>36.4</v>
      </c>
      <c r="H188">
        <v>0.1</v>
      </c>
      <c r="I188">
        <v>0.1</v>
      </c>
      <c r="J188">
        <v>11</v>
      </c>
    </row>
    <row r="189" spans="1:10" x14ac:dyDescent="0.35">
      <c r="A189" t="s">
        <v>612</v>
      </c>
      <c r="B189" t="s">
        <v>189</v>
      </c>
      <c r="C189">
        <v>5.9</v>
      </c>
      <c r="D189">
        <v>68.599999999999994</v>
      </c>
      <c r="E189">
        <v>0.5</v>
      </c>
      <c r="F189">
        <v>1</v>
      </c>
      <c r="G189">
        <v>6.3</v>
      </c>
      <c r="H189">
        <v>0</v>
      </c>
      <c r="I189">
        <v>0.1</v>
      </c>
      <c r="J189">
        <v>10.4</v>
      </c>
    </row>
    <row r="190" spans="1:10" x14ac:dyDescent="0.35">
      <c r="A190" t="s">
        <v>846</v>
      </c>
      <c r="B190" t="s">
        <v>214</v>
      </c>
      <c r="C190">
        <v>5.3</v>
      </c>
      <c r="D190">
        <v>65.099999999999994</v>
      </c>
      <c r="E190">
        <v>0.6</v>
      </c>
      <c r="F190">
        <v>0</v>
      </c>
      <c r="G190">
        <v>2</v>
      </c>
      <c r="H190">
        <v>0</v>
      </c>
      <c r="I190">
        <v>0</v>
      </c>
      <c r="J190">
        <v>10.199999999999999</v>
      </c>
    </row>
    <row r="191" spans="1:10" x14ac:dyDescent="0.35">
      <c r="A191" t="s">
        <v>1128</v>
      </c>
      <c r="B191" t="s">
        <v>206</v>
      </c>
      <c r="C191">
        <v>7.1</v>
      </c>
      <c r="D191">
        <v>74.8</v>
      </c>
      <c r="E191">
        <v>0.4</v>
      </c>
      <c r="F191">
        <v>0</v>
      </c>
      <c r="G191">
        <v>0</v>
      </c>
      <c r="H191">
        <v>0</v>
      </c>
      <c r="I191">
        <v>0</v>
      </c>
      <c r="J191">
        <v>9.6</v>
      </c>
    </row>
    <row r="192" spans="1:10" x14ac:dyDescent="0.35">
      <c r="A192" t="s">
        <v>1017</v>
      </c>
      <c r="B192" t="s">
        <v>212</v>
      </c>
      <c r="C192">
        <v>9.3000000000000007</v>
      </c>
      <c r="D192">
        <v>78.900000000000006</v>
      </c>
      <c r="E192">
        <v>0.3</v>
      </c>
      <c r="F192">
        <v>0</v>
      </c>
      <c r="G192">
        <v>0</v>
      </c>
      <c r="H192">
        <v>0</v>
      </c>
      <c r="I192">
        <v>0</v>
      </c>
      <c r="J192">
        <v>9.5</v>
      </c>
    </row>
    <row r="193" spans="1:10" x14ac:dyDescent="0.35">
      <c r="A193" t="s">
        <v>1015</v>
      </c>
      <c r="B193" t="s">
        <v>205</v>
      </c>
      <c r="C193">
        <v>4.9000000000000004</v>
      </c>
      <c r="D193">
        <v>57</v>
      </c>
      <c r="E193">
        <v>0.6</v>
      </c>
      <c r="F193">
        <v>0</v>
      </c>
      <c r="G193">
        <v>2</v>
      </c>
      <c r="H193">
        <v>0</v>
      </c>
      <c r="I193">
        <v>0</v>
      </c>
      <c r="J193">
        <v>9.4</v>
      </c>
    </row>
    <row r="194" spans="1:10" x14ac:dyDescent="0.35">
      <c r="A194" t="s">
        <v>1014</v>
      </c>
      <c r="B194" t="s">
        <v>189</v>
      </c>
      <c r="C194">
        <v>4.9000000000000004</v>
      </c>
      <c r="D194">
        <v>56.7</v>
      </c>
      <c r="E194">
        <v>0.5</v>
      </c>
      <c r="F194">
        <v>0</v>
      </c>
      <c r="G194">
        <v>1</v>
      </c>
      <c r="H194">
        <v>0</v>
      </c>
      <c r="I194">
        <v>0</v>
      </c>
      <c r="J194">
        <v>8.8000000000000007</v>
      </c>
    </row>
    <row r="195" spans="1:10" x14ac:dyDescent="0.35">
      <c r="A195" t="s">
        <v>471</v>
      </c>
      <c r="B195" t="s">
        <v>202</v>
      </c>
      <c r="C195">
        <v>5.6</v>
      </c>
      <c r="D195">
        <v>69.599999999999994</v>
      </c>
      <c r="E195">
        <v>0.3</v>
      </c>
      <c r="F195">
        <v>0</v>
      </c>
      <c r="G195">
        <v>1.3</v>
      </c>
      <c r="H195">
        <v>0</v>
      </c>
      <c r="I195">
        <v>0</v>
      </c>
      <c r="J195">
        <v>8.6</v>
      </c>
    </row>
    <row r="196" spans="1:10" x14ac:dyDescent="0.35">
      <c r="A196" t="s">
        <v>1018</v>
      </c>
      <c r="B196" t="s">
        <v>193</v>
      </c>
      <c r="C196">
        <v>5.0999999999999996</v>
      </c>
      <c r="D196">
        <v>59.7</v>
      </c>
      <c r="E196">
        <v>0.4</v>
      </c>
      <c r="F196">
        <v>0</v>
      </c>
      <c r="G196">
        <v>0</v>
      </c>
      <c r="H196">
        <v>0</v>
      </c>
      <c r="I196">
        <v>0</v>
      </c>
      <c r="J196">
        <v>8.1</v>
      </c>
    </row>
    <row r="197" spans="1:10" x14ac:dyDescent="0.35">
      <c r="A197" t="s">
        <v>1019</v>
      </c>
      <c r="B197" t="s">
        <v>193</v>
      </c>
      <c r="C197">
        <v>5.0999999999999996</v>
      </c>
      <c r="D197">
        <v>59.3</v>
      </c>
      <c r="E197">
        <v>0.4</v>
      </c>
      <c r="F197">
        <v>0</v>
      </c>
      <c r="G197">
        <v>0</v>
      </c>
      <c r="H197">
        <v>0</v>
      </c>
      <c r="I197">
        <v>0</v>
      </c>
      <c r="J197">
        <v>8.1</v>
      </c>
    </row>
    <row r="198" spans="1:10" x14ac:dyDescent="0.35">
      <c r="A198" t="s">
        <v>363</v>
      </c>
      <c r="B198" t="s">
        <v>201</v>
      </c>
      <c r="C198">
        <v>11</v>
      </c>
      <c r="D198">
        <v>74</v>
      </c>
      <c r="E198">
        <v>0</v>
      </c>
      <c r="F198">
        <v>0</v>
      </c>
      <c r="G198">
        <v>0</v>
      </c>
      <c r="H198">
        <v>0</v>
      </c>
      <c r="I198">
        <v>0</v>
      </c>
      <c r="J198">
        <v>7.4</v>
      </c>
    </row>
    <row r="199" spans="1:10" x14ac:dyDescent="0.35">
      <c r="A199" t="s">
        <v>1023</v>
      </c>
      <c r="B199" t="s">
        <v>207</v>
      </c>
      <c r="C199">
        <v>5.2</v>
      </c>
      <c r="D199">
        <v>57.3</v>
      </c>
      <c r="E199">
        <v>0.3</v>
      </c>
      <c r="F199">
        <v>0</v>
      </c>
      <c r="G199">
        <v>0</v>
      </c>
      <c r="H199">
        <v>0</v>
      </c>
      <c r="I199">
        <v>0</v>
      </c>
      <c r="J199">
        <v>7.2</v>
      </c>
    </row>
    <row r="200" spans="1:10" x14ac:dyDescent="0.35">
      <c r="A200" t="s">
        <v>556</v>
      </c>
      <c r="B200" t="s">
        <v>214</v>
      </c>
      <c r="C200">
        <v>5</v>
      </c>
      <c r="D200">
        <v>64</v>
      </c>
      <c r="E200">
        <v>0</v>
      </c>
      <c r="F200">
        <v>0</v>
      </c>
      <c r="G200">
        <v>4</v>
      </c>
      <c r="H200">
        <v>0</v>
      </c>
      <c r="I200">
        <v>0</v>
      </c>
      <c r="J200">
        <v>6.8</v>
      </c>
    </row>
    <row r="201" spans="1:10" x14ac:dyDescent="0.35">
      <c r="A201" t="s">
        <v>603</v>
      </c>
      <c r="B201" t="s">
        <v>212</v>
      </c>
      <c r="C201">
        <v>4</v>
      </c>
      <c r="D201">
        <v>56</v>
      </c>
      <c r="E201">
        <v>0</v>
      </c>
      <c r="F201">
        <v>0</v>
      </c>
      <c r="G201">
        <v>6</v>
      </c>
      <c r="H201">
        <v>0</v>
      </c>
      <c r="I201">
        <v>0</v>
      </c>
      <c r="J201">
        <v>6.2</v>
      </c>
    </row>
    <row r="202" spans="1:10" x14ac:dyDescent="0.35">
      <c r="A202" t="s">
        <v>813</v>
      </c>
      <c r="B202" t="s">
        <v>216</v>
      </c>
      <c r="C202">
        <v>3.4</v>
      </c>
      <c r="D202">
        <v>40.4</v>
      </c>
      <c r="E202">
        <v>0.3</v>
      </c>
      <c r="F202">
        <v>0</v>
      </c>
      <c r="G202">
        <v>0</v>
      </c>
      <c r="H202">
        <v>0</v>
      </c>
      <c r="I202">
        <v>0</v>
      </c>
      <c r="J202">
        <v>5.7</v>
      </c>
    </row>
    <row r="203" spans="1:10" x14ac:dyDescent="0.35">
      <c r="A203" t="s">
        <v>1027</v>
      </c>
      <c r="B203" t="s">
        <v>206</v>
      </c>
      <c r="C203">
        <v>4.2</v>
      </c>
      <c r="D203">
        <v>44.5</v>
      </c>
      <c r="E203">
        <v>0.2</v>
      </c>
      <c r="F203">
        <v>0</v>
      </c>
      <c r="G203">
        <v>0</v>
      </c>
      <c r="H203">
        <v>0</v>
      </c>
      <c r="I203">
        <v>0</v>
      </c>
      <c r="J203">
        <v>5.6</v>
      </c>
    </row>
    <row r="204" spans="1:10" x14ac:dyDescent="0.35">
      <c r="A204" t="s">
        <v>1129</v>
      </c>
      <c r="B204" t="s">
        <v>195</v>
      </c>
      <c r="C204">
        <v>3.4</v>
      </c>
      <c r="D204">
        <v>39.299999999999997</v>
      </c>
      <c r="E204">
        <v>0.3</v>
      </c>
      <c r="F204">
        <v>0</v>
      </c>
      <c r="G204">
        <v>0</v>
      </c>
      <c r="H204">
        <v>0</v>
      </c>
      <c r="I204">
        <v>0</v>
      </c>
      <c r="J204">
        <v>5.5</v>
      </c>
    </row>
    <row r="205" spans="1:10" x14ac:dyDescent="0.35">
      <c r="A205" t="s">
        <v>1024</v>
      </c>
      <c r="B205" t="s">
        <v>478</v>
      </c>
      <c r="C205">
        <v>3.3</v>
      </c>
      <c r="D205">
        <v>37.4</v>
      </c>
      <c r="E205">
        <v>0.2</v>
      </c>
      <c r="F205">
        <v>0</v>
      </c>
      <c r="G205">
        <v>0</v>
      </c>
      <c r="H205">
        <v>0</v>
      </c>
      <c r="I205">
        <v>0.1</v>
      </c>
      <c r="J205">
        <v>4.9000000000000004</v>
      </c>
    </row>
    <row r="206" spans="1:10" x14ac:dyDescent="0.35">
      <c r="A206" t="s">
        <v>564</v>
      </c>
      <c r="B206" t="s">
        <v>209</v>
      </c>
      <c r="C206">
        <v>3.2</v>
      </c>
      <c r="D206">
        <v>41.3</v>
      </c>
      <c r="E206">
        <v>0.1</v>
      </c>
      <c r="F206">
        <v>0</v>
      </c>
      <c r="G206">
        <v>2</v>
      </c>
      <c r="H206">
        <v>0</v>
      </c>
      <c r="I206">
        <v>0</v>
      </c>
      <c r="J206">
        <v>4.8</v>
      </c>
    </row>
    <row r="207" spans="1:10" x14ac:dyDescent="0.35">
      <c r="A207" t="s">
        <v>601</v>
      </c>
      <c r="B207" t="s">
        <v>213</v>
      </c>
      <c r="C207">
        <v>1.9</v>
      </c>
      <c r="D207">
        <v>25</v>
      </c>
      <c r="E207">
        <v>0.1</v>
      </c>
      <c r="F207">
        <v>2.2999999999999998</v>
      </c>
      <c r="G207">
        <v>9.6999999999999993</v>
      </c>
      <c r="H207">
        <v>0.1</v>
      </c>
      <c r="I207">
        <v>0</v>
      </c>
      <c r="J207">
        <v>4.4000000000000004</v>
      </c>
    </row>
    <row r="208" spans="1:10" x14ac:dyDescent="0.35">
      <c r="A208" t="s">
        <v>848</v>
      </c>
      <c r="B208" t="s">
        <v>217</v>
      </c>
      <c r="C208">
        <v>2.6</v>
      </c>
      <c r="D208">
        <v>29.7</v>
      </c>
      <c r="E208">
        <v>0.2</v>
      </c>
      <c r="F208">
        <v>0</v>
      </c>
      <c r="G208">
        <v>0</v>
      </c>
      <c r="H208">
        <v>0</v>
      </c>
      <c r="I208">
        <v>0</v>
      </c>
      <c r="J208">
        <v>4.3</v>
      </c>
    </row>
    <row r="209" spans="1:10" x14ac:dyDescent="0.35">
      <c r="A209" t="s">
        <v>1098</v>
      </c>
      <c r="B209" t="s">
        <v>198</v>
      </c>
      <c r="C209">
        <v>4</v>
      </c>
      <c r="D209">
        <v>41</v>
      </c>
      <c r="E209">
        <v>0</v>
      </c>
      <c r="F209">
        <v>0</v>
      </c>
      <c r="G209">
        <v>0</v>
      </c>
      <c r="H209">
        <v>0</v>
      </c>
      <c r="I209">
        <v>0</v>
      </c>
      <c r="J209">
        <v>4.0999999999999996</v>
      </c>
    </row>
    <row r="210" spans="1:10" x14ac:dyDescent="0.35">
      <c r="A210" t="s">
        <v>1021</v>
      </c>
      <c r="B210" t="s">
        <v>210</v>
      </c>
      <c r="C210">
        <v>1.7</v>
      </c>
      <c r="D210">
        <v>21.1</v>
      </c>
      <c r="E210">
        <v>0.2</v>
      </c>
      <c r="F210">
        <v>0</v>
      </c>
      <c r="G210">
        <v>0</v>
      </c>
      <c r="H210">
        <v>0</v>
      </c>
      <c r="I210">
        <v>0</v>
      </c>
      <c r="J210">
        <v>3.1</v>
      </c>
    </row>
    <row r="211" spans="1:10" x14ac:dyDescent="0.35">
      <c r="A211" t="s">
        <v>1016</v>
      </c>
      <c r="B211" t="s">
        <v>200</v>
      </c>
      <c r="C211">
        <v>1.7</v>
      </c>
      <c r="D211">
        <v>20.2</v>
      </c>
      <c r="E211">
        <v>0.2</v>
      </c>
      <c r="F211">
        <v>0</v>
      </c>
      <c r="G211">
        <v>0</v>
      </c>
      <c r="H211">
        <v>0</v>
      </c>
      <c r="I211">
        <v>0</v>
      </c>
      <c r="J211">
        <v>3</v>
      </c>
    </row>
    <row r="212" spans="1:10" x14ac:dyDescent="0.35">
      <c r="A212" t="s">
        <v>1022</v>
      </c>
      <c r="B212" t="s">
        <v>193</v>
      </c>
      <c r="C212">
        <v>1.7</v>
      </c>
      <c r="D212">
        <v>19.5</v>
      </c>
      <c r="E212">
        <v>0.2</v>
      </c>
      <c r="F212">
        <v>0</v>
      </c>
      <c r="G212">
        <v>0</v>
      </c>
      <c r="H212">
        <v>0</v>
      </c>
      <c r="I212">
        <v>0</v>
      </c>
      <c r="J212">
        <v>3</v>
      </c>
    </row>
    <row r="213" spans="1:10" x14ac:dyDescent="0.35">
      <c r="A213" t="s">
        <v>1026</v>
      </c>
      <c r="B213" t="s">
        <v>211</v>
      </c>
      <c r="C213">
        <v>1.7</v>
      </c>
      <c r="D213">
        <v>18.8</v>
      </c>
      <c r="E213">
        <v>0.2</v>
      </c>
      <c r="F213">
        <v>0</v>
      </c>
      <c r="G213">
        <v>0</v>
      </c>
      <c r="H213">
        <v>0</v>
      </c>
      <c r="I213">
        <v>0</v>
      </c>
      <c r="J213">
        <v>2.9</v>
      </c>
    </row>
    <row r="214" spans="1:10" x14ac:dyDescent="0.35">
      <c r="A214" t="s">
        <v>1025</v>
      </c>
      <c r="B214" t="s">
        <v>478</v>
      </c>
      <c r="C214">
        <v>1.5</v>
      </c>
      <c r="D214">
        <v>17.600000000000001</v>
      </c>
      <c r="E214">
        <v>0.2</v>
      </c>
      <c r="F214">
        <v>0</v>
      </c>
      <c r="G214">
        <v>0</v>
      </c>
      <c r="H214">
        <v>0</v>
      </c>
      <c r="I214">
        <v>0</v>
      </c>
      <c r="J214">
        <v>2.8</v>
      </c>
    </row>
    <row r="215" spans="1:10" x14ac:dyDescent="0.35">
      <c r="A215" t="s">
        <v>1091</v>
      </c>
      <c r="B215" t="s">
        <v>213</v>
      </c>
      <c r="C215">
        <v>2</v>
      </c>
      <c r="D215">
        <v>21</v>
      </c>
      <c r="E215">
        <v>0</v>
      </c>
      <c r="F215">
        <v>0</v>
      </c>
      <c r="G215">
        <v>6</v>
      </c>
      <c r="H215">
        <v>0</v>
      </c>
      <c r="I215">
        <v>0</v>
      </c>
      <c r="J215">
        <v>2.7</v>
      </c>
    </row>
    <row r="216" spans="1:10" x14ac:dyDescent="0.35">
      <c r="A216" t="s">
        <v>1020</v>
      </c>
      <c r="B216" t="s">
        <v>218</v>
      </c>
      <c r="C216">
        <v>1.5</v>
      </c>
      <c r="D216">
        <v>16.899999999999999</v>
      </c>
      <c r="E216">
        <v>0.1</v>
      </c>
      <c r="F216">
        <v>0</v>
      </c>
      <c r="G216">
        <v>0</v>
      </c>
      <c r="H216">
        <v>0</v>
      </c>
      <c r="I216">
        <v>0</v>
      </c>
      <c r="J216">
        <v>2.5</v>
      </c>
    </row>
    <row r="217" spans="1:10" x14ac:dyDescent="0.35">
      <c r="A217" t="s">
        <v>1090</v>
      </c>
      <c r="B217" t="s">
        <v>197</v>
      </c>
      <c r="C217">
        <v>1.9</v>
      </c>
      <c r="D217">
        <v>18.899999999999999</v>
      </c>
      <c r="E217">
        <v>0.1</v>
      </c>
      <c r="F217">
        <v>0</v>
      </c>
      <c r="G217">
        <v>1</v>
      </c>
      <c r="H217">
        <v>0</v>
      </c>
      <c r="I217">
        <v>0</v>
      </c>
      <c r="J217">
        <v>2.5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dimension ref="A1:J514"/>
  <sheetViews>
    <sheetView zoomScaleNormal="100" workbookViewId="0">
      <selection activeCell="F3" sqref="F3"/>
    </sheetView>
  </sheetViews>
  <sheetFormatPr defaultColWidth="8.90625" defaultRowHeight="14.5" x14ac:dyDescent="0.35"/>
  <cols>
    <col min="2" max="2" width="23.453125" bestFit="1" customWidth="1"/>
    <col min="3" max="3" width="4.453125" bestFit="1" customWidth="1"/>
    <col min="6" max="6" width="11.08984375" bestFit="1" customWidth="1"/>
    <col min="9" max="9" width="12.90625" bestFit="1" customWidth="1"/>
    <col min="16" max="16" width="12.54296875" bestFit="1" customWidth="1"/>
  </cols>
  <sheetData>
    <row r="1" spans="1:10" ht="15" thickBot="1" x14ac:dyDescent="0.4">
      <c r="A1" s="208" t="s">
        <v>167</v>
      </c>
      <c r="B1" s="208" t="s">
        <v>250</v>
      </c>
      <c r="C1" s="208" t="s">
        <v>17</v>
      </c>
      <c r="D1" s="1" t="s">
        <v>177</v>
      </c>
      <c r="E1" s="2" t="s">
        <v>11</v>
      </c>
      <c r="F1" s="2" t="s">
        <v>251</v>
      </c>
      <c r="G1" s="2" t="s">
        <v>252</v>
      </c>
      <c r="H1" s="2" t="s">
        <v>253</v>
      </c>
      <c r="I1" s="2" t="s">
        <v>254</v>
      </c>
      <c r="J1" s="2"/>
    </row>
    <row r="2" spans="1:10" x14ac:dyDescent="0.35">
      <c r="A2">
        <f t="shared" ref="A2:A65" ca="1" si="0">RANK(E2,E:E)</f>
        <v>1</v>
      </c>
      <c r="B2" t="s">
        <v>342</v>
      </c>
      <c r="C2" t="s">
        <v>26</v>
      </c>
      <c r="D2">
        <f t="shared" ref="D2:D65" ca="1" si="1">INDEX(INDIRECT($C2&amp;"!P:P"),MATCH($B2,INDIRECT($C2&amp;"!B:B"),0))</f>
        <v>360.55600000000004</v>
      </c>
      <c r="E2" s="5">
        <f t="shared" ref="E2:E65" ca="1" si="2">D2-LARGE(D:D,RBCount+WRCount+TECount+QBCount)</f>
        <v>258.47600000000006</v>
      </c>
      <c r="F2" t="str">
        <f ca="1">IF(H2&lt;=I2,"Starter",IF(G2&gt;=LARGE(G:G,FlexOn*LeagueInfo!$F$2),"Starter","Bench"))</f>
        <v>Starter</v>
      </c>
      <c r="G2">
        <f t="shared" ref="G2:G65" ca="1" si="3">IF(H2&gt;I2,D2,0)</f>
        <v>0</v>
      </c>
      <c r="H2">
        <f t="shared" ref="H2:H65" ca="1" si="4">INDEX(INDIRECT(""&amp;C2&amp;"!A2:A489"),MATCH(B2,INDIRECT(""&amp;C2&amp;"!B2:B489"),0))</f>
        <v>1</v>
      </c>
      <c r="I2">
        <f>IF(C2="RB",LeagueInfo!$D$4*LeagueInfo!$F$2,IF(C2="WR",LeagueInfo!$D$5*LeagueInfo!$F$2,IF(C2="TE",LeagueInfo!$D$6*LeagueInfo!$F$2,LeagueInfo!$D$3*LeagueInfo!$F$2)))</f>
        <v>24</v>
      </c>
    </row>
    <row r="3" spans="1:10" x14ac:dyDescent="0.35">
      <c r="A3">
        <f t="shared" ca="1" si="0"/>
        <v>2</v>
      </c>
      <c r="B3" t="s">
        <v>513</v>
      </c>
      <c r="C3" t="s">
        <v>26</v>
      </c>
      <c r="D3">
        <f t="shared" ca="1" si="1"/>
        <v>360.35599999999999</v>
      </c>
      <c r="E3" s="5">
        <f t="shared" ca="1" si="2"/>
        <v>258.27600000000001</v>
      </c>
      <c r="F3" t="str">
        <f ca="1">IF(H3&lt;=I3,"Starter",IF(G3&gt;=LARGE(G:G,FlexOn*LeagueInfo!$F$2),"Starter","Bench"))</f>
        <v>Starter</v>
      </c>
      <c r="G3">
        <f t="shared" ca="1" si="3"/>
        <v>0</v>
      </c>
      <c r="H3">
        <f t="shared" ca="1" si="4"/>
        <v>2</v>
      </c>
      <c r="I3">
        <f>IF(C3="RB",LeagueInfo!$D$4*LeagueInfo!$F$2,IF(C3="WR",LeagueInfo!$D$5*LeagueInfo!$F$2,IF(C3="TE",LeagueInfo!$D$6*LeagueInfo!$F$2,LeagueInfo!$D$3*LeagueInfo!$F$2)))</f>
        <v>24</v>
      </c>
    </row>
    <row r="4" spans="1:10" x14ac:dyDescent="0.35">
      <c r="A4">
        <f t="shared" ca="1" si="0"/>
        <v>3</v>
      </c>
      <c r="B4" t="s">
        <v>345</v>
      </c>
      <c r="C4" t="s">
        <v>26</v>
      </c>
      <c r="D4">
        <f t="shared" ca="1" si="1"/>
        <v>339.29400000000004</v>
      </c>
      <c r="E4" s="5">
        <f t="shared" ca="1" si="2"/>
        <v>237.21400000000006</v>
      </c>
      <c r="F4" t="str">
        <f ca="1">IF(H4&lt;=I4,"Starter",IF(G4&gt;=LARGE(G:G,FlexOn*LeagueInfo!$F$2),"Starter","Bench"))</f>
        <v>Starter</v>
      </c>
      <c r="G4">
        <f t="shared" ca="1" si="3"/>
        <v>0</v>
      </c>
      <c r="H4">
        <f t="shared" ca="1" si="4"/>
        <v>3</v>
      </c>
      <c r="I4">
        <f>IF(C4="RB",LeagueInfo!$D$4*LeagueInfo!$F$2,IF(C4="WR",LeagueInfo!$D$5*LeagueInfo!$F$2,IF(C4="TE",LeagueInfo!$D$6*LeagueInfo!$F$2,LeagueInfo!$D$3*LeagueInfo!$F$2)))</f>
        <v>24</v>
      </c>
    </row>
    <row r="5" spans="1:10" x14ac:dyDescent="0.35">
      <c r="A5">
        <f t="shared" ca="1" si="0"/>
        <v>4</v>
      </c>
      <c r="B5" t="s">
        <v>531</v>
      </c>
      <c r="C5" t="s">
        <v>26</v>
      </c>
      <c r="D5">
        <f t="shared" ca="1" si="1"/>
        <v>336.69600000000003</v>
      </c>
      <c r="E5" s="5">
        <f t="shared" ca="1" si="2"/>
        <v>234.61600000000004</v>
      </c>
      <c r="F5" t="str">
        <f ca="1">IF(H5&lt;=I5,"Starter",IF(G5&gt;=LARGE(G:G,FlexOn*LeagueInfo!$F$2),"Starter","Bench"))</f>
        <v>Starter</v>
      </c>
      <c r="G5">
        <f t="shared" ca="1" si="3"/>
        <v>0</v>
      </c>
      <c r="H5">
        <f t="shared" ca="1" si="4"/>
        <v>4</v>
      </c>
      <c r="I5">
        <f>IF(C5="RB",LeagueInfo!$D$4*LeagueInfo!$F$2,IF(C5="WR",LeagueInfo!$D$5*LeagueInfo!$F$2,IF(C5="TE",LeagueInfo!$D$6*LeagueInfo!$F$2,LeagueInfo!$D$3*LeagueInfo!$F$2)))</f>
        <v>24</v>
      </c>
    </row>
    <row r="6" spans="1:10" x14ac:dyDescent="0.35">
      <c r="A6">
        <f t="shared" ca="1" si="0"/>
        <v>5</v>
      </c>
      <c r="B6" t="s">
        <v>97</v>
      </c>
      <c r="C6" t="s">
        <v>25</v>
      </c>
      <c r="D6">
        <f t="shared" ca="1" si="1"/>
        <v>315.62000000000006</v>
      </c>
      <c r="E6" s="5">
        <f t="shared" ca="1" si="2"/>
        <v>213.54000000000008</v>
      </c>
      <c r="F6" t="str">
        <f ca="1">IF(H6&lt;=I6,"Starter",IF(G6&gt;=LARGE(G:G,FlexOn*LeagueInfo!$F$2),"Starter","Bench"))</f>
        <v>Starter</v>
      </c>
      <c r="G6">
        <f t="shared" ca="1" si="3"/>
        <v>0</v>
      </c>
      <c r="H6">
        <f t="shared" ca="1" si="4"/>
        <v>1</v>
      </c>
      <c r="I6">
        <f>IF(C6="RB",LeagueInfo!$D$4*LeagueInfo!$F$2,IF(C6="WR",LeagueInfo!$D$5*LeagueInfo!$F$2,IF(C6="TE",LeagueInfo!$D$6*LeagueInfo!$F$2,LeagueInfo!$D$3*LeagueInfo!$F$2)))</f>
        <v>24</v>
      </c>
    </row>
    <row r="7" spans="1:10" x14ac:dyDescent="0.35">
      <c r="A7">
        <f t="shared" ca="1" si="0"/>
        <v>6</v>
      </c>
      <c r="B7" t="s">
        <v>734</v>
      </c>
      <c r="C7" t="s">
        <v>26</v>
      </c>
      <c r="D7">
        <f t="shared" ca="1" si="1"/>
        <v>310.57000000000005</v>
      </c>
      <c r="E7" s="5">
        <f t="shared" ca="1" si="2"/>
        <v>208.49000000000007</v>
      </c>
      <c r="F7" t="str">
        <f ca="1">IF(H7&lt;=I7,"Starter",IF(G7&gt;=LARGE(G:G,FlexOn*LeagueInfo!$F$2),"Starter","Bench"))</f>
        <v>Starter</v>
      </c>
      <c r="G7">
        <f t="shared" ca="1" si="3"/>
        <v>0</v>
      </c>
      <c r="H7">
        <f t="shared" ca="1" si="4"/>
        <v>5</v>
      </c>
      <c r="I7">
        <f>IF(C7="RB",LeagueInfo!$D$4*LeagueInfo!$F$2,IF(C7="WR",LeagueInfo!$D$5*LeagueInfo!$F$2,IF(C7="TE",LeagueInfo!$D$6*LeagueInfo!$F$2,LeagueInfo!$D$3*LeagueInfo!$F$2)))</f>
        <v>24</v>
      </c>
    </row>
    <row r="8" spans="1:10" x14ac:dyDescent="0.35">
      <c r="A8">
        <f t="shared" ca="1" si="0"/>
        <v>7</v>
      </c>
      <c r="B8" t="s">
        <v>115</v>
      </c>
      <c r="C8" t="s">
        <v>26</v>
      </c>
      <c r="D8">
        <f t="shared" ca="1" si="1"/>
        <v>307.40599999999995</v>
      </c>
      <c r="E8" s="5">
        <f t="shared" ca="1" si="2"/>
        <v>205.32599999999996</v>
      </c>
      <c r="F8" t="str">
        <f ca="1">IF(H8&lt;=I8,"Starter",IF(G8&gt;=LARGE(G:G,FlexOn*LeagueInfo!$F$2),"Starter","Bench"))</f>
        <v>Starter</v>
      </c>
      <c r="G8">
        <f t="shared" ca="1" si="3"/>
        <v>0</v>
      </c>
      <c r="H8">
        <f t="shared" ca="1" si="4"/>
        <v>6</v>
      </c>
      <c r="I8">
        <f>IF(C8="RB",LeagueInfo!$D$4*LeagueInfo!$F$2,IF(C8="WR",LeagueInfo!$D$5*LeagueInfo!$F$2,IF(C8="TE",LeagueInfo!$D$6*LeagueInfo!$F$2,LeagueInfo!$D$3*LeagueInfo!$F$2)))</f>
        <v>24</v>
      </c>
    </row>
    <row r="9" spans="1:10" x14ac:dyDescent="0.35">
      <c r="A9">
        <f t="shared" ca="1" si="0"/>
        <v>8</v>
      </c>
      <c r="B9" t="s">
        <v>732</v>
      </c>
      <c r="C9" t="s">
        <v>26</v>
      </c>
      <c r="D9">
        <f t="shared" ca="1" si="1"/>
        <v>306.47599999999994</v>
      </c>
      <c r="E9" s="5">
        <f t="shared" ca="1" si="2"/>
        <v>204.39599999999996</v>
      </c>
      <c r="F9" t="str">
        <f ca="1">IF(H9&lt;=I9,"Starter",IF(G9&gt;=LARGE(G:G,FlexOn*LeagueInfo!$F$2),"Starter","Bench"))</f>
        <v>Starter</v>
      </c>
      <c r="G9">
        <f t="shared" ca="1" si="3"/>
        <v>0</v>
      </c>
      <c r="H9">
        <f t="shared" ca="1" si="4"/>
        <v>7</v>
      </c>
      <c r="I9">
        <f>IF(C9="RB",LeagueInfo!$D$4*LeagueInfo!$F$2,IF(C9="WR",LeagueInfo!$D$5*LeagueInfo!$F$2,IF(C9="TE",LeagueInfo!$D$6*LeagueInfo!$F$2,LeagueInfo!$D$3*LeagueInfo!$F$2)))</f>
        <v>24</v>
      </c>
    </row>
    <row r="10" spans="1:10" x14ac:dyDescent="0.35">
      <c r="A10">
        <f t="shared" ca="1" si="0"/>
        <v>9</v>
      </c>
      <c r="B10" t="s">
        <v>510</v>
      </c>
      <c r="C10" t="s">
        <v>26</v>
      </c>
      <c r="D10">
        <f t="shared" ca="1" si="1"/>
        <v>304.01400000000007</v>
      </c>
      <c r="E10" s="5">
        <f t="shared" ca="1" si="2"/>
        <v>201.93400000000008</v>
      </c>
      <c r="F10" t="str">
        <f ca="1">IF(H10&lt;=I10,"Starter",IF(G10&gt;=LARGE(G:G,FlexOn*LeagueInfo!$F$2),"Starter","Bench"))</f>
        <v>Starter</v>
      </c>
      <c r="G10">
        <f t="shared" ca="1" si="3"/>
        <v>0</v>
      </c>
      <c r="H10">
        <f t="shared" ca="1" si="4"/>
        <v>8</v>
      </c>
      <c r="I10">
        <f>IF(C10="RB",LeagueInfo!$D$4*LeagueInfo!$F$2,IF(C10="WR",LeagueInfo!$D$5*LeagueInfo!$F$2,IF(C10="TE",LeagueInfo!$D$6*LeagueInfo!$F$2,LeagueInfo!$D$3*LeagueInfo!$F$2)))</f>
        <v>24</v>
      </c>
    </row>
    <row r="11" spans="1:10" x14ac:dyDescent="0.35">
      <c r="A11">
        <f t="shared" ca="1" si="0"/>
        <v>10</v>
      </c>
      <c r="B11" t="s">
        <v>412</v>
      </c>
      <c r="C11" t="s">
        <v>26</v>
      </c>
      <c r="D11">
        <f t="shared" ca="1" si="1"/>
        <v>302.60200000000003</v>
      </c>
      <c r="E11" s="5">
        <f t="shared" ca="1" si="2"/>
        <v>200.52200000000005</v>
      </c>
      <c r="F11" t="str">
        <f ca="1">IF(H11&lt;=I11,"Starter",IF(G11&gt;=LARGE(G:G,FlexOn*LeagueInfo!$F$2),"Starter","Bench"))</f>
        <v>Starter</v>
      </c>
      <c r="G11">
        <f t="shared" ca="1" si="3"/>
        <v>0</v>
      </c>
      <c r="H11">
        <f t="shared" ca="1" si="4"/>
        <v>9</v>
      </c>
      <c r="I11">
        <f>IF(C11="RB",LeagueInfo!$D$4*LeagueInfo!$F$2,IF(C11="WR",LeagueInfo!$D$5*LeagueInfo!$F$2,IF(C11="TE",LeagueInfo!$D$6*LeagueInfo!$F$2,LeagueInfo!$D$3*LeagueInfo!$F$2)))</f>
        <v>24</v>
      </c>
    </row>
    <row r="12" spans="1:10" x14ac:dyDescent="0.35">
      <c r="A12">
        <f t="shared" ca="1" si="0"/>
        <v>11</v>
      </c>
      <c r="B12" t="s">
        <v>514</v>
      </c>
      <c r="C12" t="s">
        <v>26</v>
      </c>
      <c r="D12">
        <f t="shared" ca="1" si="1"/>
        <v>294.03799999999995</v>
      </c>
      <c r="E12" s="5">
        <f t="shared" ca="1" si="2"/>
        <v>191.95799999999997</v>
      </c>
      <c r="F12" t="str">
        <f ca="1">IF(H12&lt;=I12,"Starter",IF(G12&gt;=LARGE(G:G,FlexOn*LeagueInfo!$F$2),"Starter","Bench"))</f>
        <v>Starter</v>
      </c>
      <c r="G12">
        <f t="shared" ca="1" si="3"/>
        <v>0</v>
      </c>
      <c r="H12">
        <f t="shared" ca="1" si="4"/>
        <v>10</v>
      </c>
      <c r="I12">
        <f>IF(C12="RB",LeagueInfo!$D$4*LeagueInfo!$F$2,IF(C12="WR",LeagueInfo!$D$5*LeagueInfo!$F$2,IF(C12="TE",LeagueInfo!$D$6*LeagueInfo!$F$2,LeagueInfo!$D$3*LeagueInfo!$F$2)))</f>
        <v>24</v>
      </c>
    </row>
    <row r="13" spans="1:10" x14ac:dyDescent="0.35">
      <c r="A13">
        <f t="shared" ca="1" si="0"/>
        <v>12</v>
      </c>
      <c r="B13" t="s">
        <v>764</v>
      </c>
      <c r="C13" t="s">
        <v>26</v>
      </c>
      <c r="D13">
        <f t="shared" ca="1" si="1"/>
        <v>293.12799999999999</v>
      </c>
      <c r="E13" s="5">
        <f t="shared" ca="1" si="2"/>
        <v>191.048</v>
      </c>
      <c r="F13" t="str">
        <f ca="1">IF(H13&lt;=I13,"Starter",IF(G13&gt;=LARGE(G:G,FlexOn*LeagueInfo!$F$2),"Starter","Bench"))</f>
        <v>Starter</v>
      </c>
      <c r="G13">
        <f t="shared" ca="1" si="3"/>
        <v>0</v>
      </c>
      <c r="H13">
        <f t="shared" ca="1" si="4"/>
        <v>11</v>
      </c>
      <c r="I13">
        <f>IF(C13="RB",LeagueInfo!$D$4*LeagueInfo!$F$2,IF(C13="WR",LeagueInfo!$D$5*LeagueInfo!$F$2,IF(C13="TE",LeagueInfo!$D$6*LeagueInfo!$F$2,LeagueInfo!$D$3*LeagueInfo!$F$2)))</f>
        <v>24</v>
      </c>
    </row>
    <row r="14" spans="1:10" x14ac:dyDescent="0.35">
      <c r="A14">
        <f t="shared" ca="1" si="0"/>
        <v>13</v>
      </c>
      <c r="B14" t="s">
        <v>851</v>
      </c>
      <c r="C14" t="s">
        <v>26</v>
      </c>
      <c r="D14">
        <f t="shared" ca="1" si="1"/>
        <v>290.15999999999997</v>
      </c>
      <c r="E14" s="5">
        <f t="shared" ca="1" si="2"/>
        <v>188.07999999999998</v>
      </c>
      <c r="F14" t="str">
        <f ca="1">IF(H14&lt;=I14,"Starter",IF(G14&gt;=LARGE(G:G,FlexOn*LeagueInfo!$F$2),"Starter","Bench"))</f>
        <v>Starter</v>
      </c>
      <c r="G14">
        <f t="shared" ca="1" si="3"/>
        <v>0</v>
      </c>
      <c r="H14">
        <f t="shared" ca="1" si="4"/>
        <v>12</v>
      </c>
      <c r="I14">
        <f>IF(C14="RB",LeagueInfo!$D$4*LeagueInfo!$F$2,IF(C14="WR",LeagueInfo!$D$5*LeagueInfo!$F$2,IF(C14="TE",LeagueInfo!$D$6*LeagueInfo!$F$2,LeagueInfo!$D$3*LeagueInfo!$F$2)))</f>
        <v>24</v>
      </c>
    </row>
    <row r="15" spans="1:10" x14ac:dyDescent="0.35">
      <c r="A15">
        <f t="shared" ca="1" si="0"/>
        <v>14</v>
      </c>
      <c r="B15" t="s">
        <v>852</v>
      </c>
      <c r="C15" t="s">
        <v>26</v>
      </c>
      <c r="D15">
        <f t="shared" ca="1" si="1"/>
        <v>286.7</v>
      </c>
      <c r="E15" s="5">
        <f t="shared" ca="1" si="2"/>
        <v>184.62</v>
      </c>
      <c r="F15" t="str">
        <f ca="1">IF(H15&lt;=I15,"Starter",IF(G15&gt;=LARGE(G:G,FlexOn*LeagueInfo!$F$2),"Starter","Bench"))</f>
        <v>Starter</v>
      </c>
      <c r="G15">
        <f t="shared" ca="1" si="3"/>
        <v>0</v>
      </c>
      <c r="H15">
        <f t="shared" ca="1" si="4"/>
        <v>13</v>
      </c>
      <c r="I15">
        <f>IF(C15="RB",LeagueInfo!$D$4*LeagueInfo!$F$2,IF(C15="WR",LeagueInfo!$D$5*LeagueInfo!$F$2,IF(C15="TE",LeagueInfo!$D$6*LeagueInfo!$F$2,LeagueInfo!$D$3*LeagueInfo!$F$2)))</f>
        <v>24</v>
      </c>
    </row>
    <row r="16" spans="1:10" x14ac:dyDescent="0.35">
      <c r="A16">
        <f t="shared" ca="1" si="0"/>
        <v>15</v>
      </c>
      <c r="B16" t="s">
        <v>532</v>
      </c>
      <c r="C16" t="s">
        <v>26</v>
      </c>
      <c r="D16">
        <f t="shared" ca="1" si="1"/>
        <v>286.48399999999998</v>
      </c>
      <c r="E16" s="5">
        <f t="shared" ca="1" si="2"/>
        <v>184.404</v>
      </c>
      <c r="F16" t="str">
        <f ca="1">IF(H16&lt;=I16,"Starter",IF(G16&gt;=LARGE(G:G,FlexOn*LeagueInfo!$F$2),"Starter","Bench"))</f>
        <v>Starter</v>
      </c>
      <c r="G16">
        <f t="shared" ca="1" si="3"/>
        <v>0</v>
      </c>
      <c r="H16">
        <f t="shared" ca="1" si="4"/>
        <v>14</v>
      </c>
      <c r="I16">
        <f>IF(C16="RB",LeagueInfo!$D$4*LeagueInfo!$F$2,IF(C16="WR",LeagueInfo!$D$5*LeagueInfo!$F$2,IF(C16="TE",LeagueInfo!$D$6*LeagueInfo!$F$2,LeagueInfo!$D$3*LeagueInfo!$F$2)))</f>
        <v>24</v>
      </c>
    </row>
    <row r="17" spans="1:9" x14ac:dyDescent="0.35">
      <c r="A17">
        <f t="shared" ca="1" si="0"/>
        <v>17</v>
      </c>
      <c r="B17" t="s">
        <v>512</v>
      </c>
      <c r="C17" t="s">
        <v>26</v>
      </c>
      <c r="D17">
        <f t="shared" ca="1" si="1"/>
        <v>278.596</v>
      </c>
      <c r="E17" s="5">
        <f t="shared" ca="1" si="2"/>
        <v>176.51600000000002</v>
      </c>
      <c r="F17" t="str">
        <f ca="1">IF(H17&lt;=I17,"Starter",IF(G17&gt;=LARGE(G:G,FlexOn*LeagueInfo!$F$2),"Starter","Bench"))</f>
        <v>Starter</v>
      </c>
      <c r="G17">
        <f t="shared" ca="1" si="3"/>
        <v>0</v>
      </c>
      <c r="H17">
        <f t="shared" ca="1" si="4"/>
        <v>16</v>
      </c>
      <c r="I17">
        <f>IF(C17="RB",LeagueInfo!$D$4*LeagueInfo!$F$2,IF(C17="WR",LeagueInfo!$D$5*LeagueInfo!$F$2,IF(C17="TE",LeagueInfo!$D$6*LeagueInfo!$F$2,LeagueInfo!$D$3*LeagueInfo!$F$2)))</f>
        <v>24</v>
      </c>
    </row>
    <row r="18" spans="1:9" x14ac:dyDescent="0.35">
      <c r="A18">
        <f t="shared" ca="1" si="0"/>
        <v>16</v>
      </c>
      <c r="B18" t="s">
        <v>137</v>
      </c>
      <c r="C18" t="s">
        <v>26</v>
      </c>
      <c r="D18">
        <f t="shared" ca="1" si="1"/>
        <v>278.80199999999996</v>
      </c>
      <c r="E18" s="5">
        <f t="shared" ca="1" si="2"/>
        <v>176.72199999999998</v>
      </c>
      <c r="F18" t="str">
        <f ca="1">IF(H18&lt;=I18,"Starter",IF(G18&gt;=LARGE(G:G,FlexOn*LeagueInfo!$F$2),"Starter","Bench"))</f>
        <v>Starter</v>
      </c>
      <c r="G18">
        <f t="shared" ca="1" si="3"/>
        <v>0</v>
      </c>
      <c r="H18">
        <f t="shared" ca="1" si="4"/>
        <v>15</v>
      </c>
      <c r="I18">
        <f>IF(C18="RB",LeagueInfo!$D$4*LeagueInfo!$F$2,IF(C18="WR",LeagueInfo!$D$5*LeagueInfo!$F$2,IF(C18="TE",LeagueInfo!$D$6*LeagueInfo!$F$2,LeagueInfo!$D$3*LeagueInfo!$F$2)))</f>
        <v>24</v>
      </c>
    </row>
    <row r="19" spans="1:9" x14ac:dyDescent="0.35">
      <c r="A19">
        <f t="shared" ca="1" si="0"/>
        <v>18</v>
      </c>
      <c r="B19" t="s">
        <v>215</v>
      </c>
      <c r="C19" t="s">
        <v>26</v>
      </c>
      <c r="D19">
        <f t="shared" ca="1" si="1"/>
        <v>276.87599999999998</v>
      </c>
      <c r="E19" s="5">
        <f t="shared" ca="1" si="2"/>
        <v>174.79599999999999</v>
      </c>
      <c r="F19" t="str">
        <f ca="1">IF(H19&lt;=I19,"Starter",IF(G19&gt;=LARGE(G:G,FlexOn*LeagueInfo!$F$2),"Starter","Bench"))</f>
        <v>Starter</v>
      </c>
      <c r="G19">
        <f t="shared" ca="1" si="3"/>
        <v>0</v>
      </c>
      <c r="H19">
        <f t="shared" ca="1" si="4"/>
        <v>17</v>
      </c>
      <c r="I19">
        <f>IF(C19="RB",LeagueInfo!$D$4*LeagueInfo!$F$2,IF(C19="WR",LeagueInfo!$D$5*LeagueInfo!$F$2,IF(C19="TE",LeagueInfo!$D$6*LeagueInfo!$F$2,LeagueInfo!$D$3*LeagueInfo!$F$2)))</f>
        <v>24</v>
      </c>
    </row>
    <row r="20" spans="1:9" x14ac:dyDescent="0.35">
      <c r="A20">
        <f t="shared" ca="1" si="0"/>
        <v>19</v>
      </c>
      <c r="B20" t="s">
        <v>488</v>
      </c>
      <c r="C20" t="s">
        <v>32</v>
      </c>
      <c r="D20">
        <f t="shared" ca="1" si="1"/>
        <v>274.55</v>
      </c>
      <c r="E20" s="5">
        <f t="shared" ca="1" si="2"/>
        <v>172.47000000000003</v>
      </c>
      <c r="F20" t="str">
        <f ca="1">IF(H20&lt;=I20,"Starter",IF(G20&gt;=LARGE(G:G,FlexOn*LeagueInfo!$F$2),"Starter","Bench"))</f>
        <v>Starter</v>
      </c>
      <c r="G20">
        <f t="shared" ca="1" si="3"/>
        <v>0</v>
      </c>
      <c r="H20">
        <f t="shared" ca="1" si="4"/>
        <v>1</v>
      </c>
      <c r="I20">
        <f>IF(C20="RB",LeagueInfo!$D$4*LeagueInfo!$F$2,IF(C20="WR",LeagueInfo!$D$5*LeagueInfo!$F$2,IF(C20="TE",LeagueInfo!$D$6*LeagueInfo!$F$2,LeagueInfo!$D$3*LeagueInfo!$F$2)))</f>
        <v>24</v>
      </c>
    </row>
    <row r="21" spans="1:9" x14ac:dyDescent="0.35">
      <c r="A21">
        <f t="shared" ca="1" si="0"/>
        <v>20</v>
      </c>
      <c r="B21" t="s">
        <v>511</v>
      </c>
      <c r="C21" t="s">
        <v>26</v>
      </c>
      <c r="D21">
        <f t="shared" ca="1" si="1"/>
        <v>272.35200000000003</v>
      </c>
      <c r="E21" s="5">
        <f t="shared" ca="1" si="2"/>
        <v>170.27200000000005</v>
      </c>
      <c r="F21" t="str">
        <f ca="1">IF(H21&lt;=I21,"Starter",IF(G21&gt;=LARGE(G:G,FlexOn*LeagueInfo!$F$2),"Starter","Bench"))</f>
        <v>Starter</v>
      </c>
      <c r="G21">
        <f t="shared" ca="1" si="3"/>
        <v>0</v>
      </c>
      <c r="H21">
        <f t="shared" ca="1" si="4"/>
        <v>18</v>
      </c>
      <c r="I21">
        <f>IF(C21="RB",LeagueInfo!$D$4*LeagueInfo!$F$2,IF(C21="WR",LeagueInfo!$D$5*LeagueInfo!$F$2,IF(C21="TE",LeagueInfo!$D$6*LeagueInfo!$F$2,LeagueInfo!$D$3*LeagueInfo!$F$2)))</f>
        <v>24</v>
      </c>
    </row>
    <row r="22" spans="1:9" x14ac:dyDescent="0.35">
      <c r="A22">
        <f t="shared" ca="1" si="0"/>
        <v>21</v>
      </c>
      <c r="B22" t="s">
        <v>102</v>
      </c>
      <c r="C22" t="s">
        <v>32</v>
      </c>
      <c r="D22">
        <f t="shared" ca="1" si="1"/>
        <v>270.54000000000002</v>
      </c>
      <c r="E22" s="5">
        <f t="shared" ca="1" si="2"/>
        <v>168.46000000000004</v>
      </c>
      <c r="F22" t="str">
        <f ca="1">IF(H22&lt;=I22,"Starter",IF(G22&gt;=LARGE(G:G,FlexOn*LeagueInfo!$F$2),"Starter","Bench"))</f>
        <v>Starter</v>
      </c>
      <c r="G22">
        <f t="shared" ca="1" si="3"/>
        <v>0</v>
      </c>
      <c r="H22">
        <f t="shared" ca="1" si="4"/>
        <v>2</v>
      </c>
      <c r="I22">
        <f>IF(C22="RB",LeagueInfo!$D$4*LeagueInfo!$F$2,IF(C22="WR",LeagueInfo!$D$5*LeagueInfo!$F$2,IF(C22="TE",LeagueInfo!$D$6*LeagueInfo!$F$2,LeagueInfo!$D$3*LeagueInfo!$F$2)))</f>
        <v>24</v>
      </c>
    </row>
    <row r="23" spans="1:9" x14ac:dyDescent="0.35">
      <c r="A23">
        <f t="shared" ca="1" si="0"/>
        <v>24</v>
      </c>
      <c r="B23" t="s">
        <v>119</v>
      </c>
      <c r="C23" t="s">
        <v>26</v>
      </c>
      <c r="D23">
        <f t="shared" ca="1" si="1"/>
        <v>267.55399999999997</v>
      </c>
      <c r="E23" s="5">
        <f t="shared" ca="1" si="2"/>
        <v>165.47399999999999</v>
      </c>
      <c r="F23" t="str">
        <f ca="1">IF(H23&lt;=I23,"Starter",IF(G23&gt;=LARGE(G:G,FlexOn*LeagueInfo!$F$2),"Starter","Bench"))</f>
        <v>Starter</v>
      </c>
      <c r="G23">
        <f t="shared" ca="1" si="3"/>
        <v>0</v>
      </c>
      <c r="H23">
        <f t="shared" ca="1" si="4"/>
        <v>20</v>
      </c>
      <c r="I23">
        <f>IF(C23="RB",LeagueInfo!$D$4*LeagueInfo!$F$2,IF(C23="WR",LeagueInfo!$D$5*LeagueInfo!$F$2,IF(C23="TE",LeagueInfo!$D$6*LeagueInfo!$F$2,LeagueInfo!$D$3*LeagueInfo!$F$2)))</f>
        <v>24</v>
      </c>
    </row>
    <row r="24" spans="1:9" x14ac:dyDescent="0.35">
      <c r="A24">
        <f t="shared" ca="1" si="0"/>
        <v>22</v>
      </c>
      <c r="B24" t="s">
        <v>613</v>
      </c>
      <c r="C24" t="s">
        <v>25</v>
      </c>
      <c r="D24">
        <f t="shared" ca="1" si="1"/>
        <v>267.93</v>
      </c>
      <c r="E24" s="5">
        <f t="shared" ca="1" si="2"/>
        <v>165.85000000000002</v>
      </c>
      <c r="F24" t="str">
        <f ca="1">IF(H24&lt;=I24,"Starter",IF(G24&gt;=LARGE(G:G,FlexOn*LeagueInfo!$F$2),"Starter","Bench"))</f>
        <v>Starter</v>
      </c>
      <c r="G24">
        <f t="shared" ca="1" si="3"/>
        <v>0</v>
      </c>
      <c r="H24">
        <f t="shared" ca="1" si="4"/>
        <v>2</v>
      </c>
      <c r="I24">
        <f>IF(C24="RB",LeagueInfo!$D$4*LeagueInfo!$F$2,IF(C24="WR",LeagueInfo!$D$5*LeagueInfo!$F$2,IF(C24="TE",LeagueInfo!$D$6*LeagueInfo!$F$2,LeagueInfo!$D$3*LeagueInfo!$F$2)))</f>
        <v>24</v>
      </c>
    </row>
    <row r="25" spans="1:9" x14ac:dyDescent="0.35">
      <c r="A25">
        <f t="shared" ca="1" si="0"/>
        <v>23</v>
      </c>
      <c r="B25" t="s">
        <v>344</v>
      </c>
      <c r="C25" t="s">
        <v>26</v>
      </c>
      <c r="D25">
        <f t="shared" ca="1" si="1"/>
        <v>267.55799999999994</v>
      </c>
      <c r="E25" s="5">
        <f t="shared" ca="1" si="2"/>
        <v>165.47799999999995</v>
      </c>
      <c r="F25" t="str">
        <f ca="1">IF(H25&lt;=I25,"Starter",IF(G25&gt;=LARGE(G:G,FlexOn*LeagueInfo!$F$2),"Starter","Bench"))</f>
        <v>Starter</v>
      </c>
      <c r="G25">
        <f t="shared" ca="1" si="3"/>
        <v>0</v>
      </c>
      <c r="H25">
        <f t="shared" ca="1" si="4"/>
        <v>19</v>
      </c>
      <c r="I25">
        <f>IF(C25="RB",LeagueInfo!$D$4*LeagueInfo!$F$2,IF(C25="WR",LeagueInfo!$D$5*LeagueInfo!$F$2,IF(C25="TE",LeagueInfo!$D$6*LeagueInfo!$F$2,LeagueInfo!$D$3*LeagueInfo!$F$2)))</f>
        <v>24</v>
      </c>
    </row>
    <row r="26" spans="1:9" x14ac:dyDescent="0.35">
      <c r="A26">
        <f t="shared" ca="1" si="0"/>
        <v>25</v>
      </c>
      <c r="B26" t="s">
        <v>129</v>
      </c>
      <c r="C26" t="s">
        <v>26</v>
      </c>
      <c r="D26">
        <f t="shared" ca="1" si="1"/>
        <v>265.96800000000007</v>
      </c>
      <c r="E26" s="5">
        <f t="shared" ca="1" si="2"/>
        <v>163.88800000000009</v>
      </c>
      <c r="F26" t="str">
        <f ca="1">IF(H26&lt;=I26,"Starter",IF(G26&gt;=LARGE(G:G,FlexOn*LeagueInfo!$F$2),"Starter","Bench"))</f>
        <v>Starter</v>
      </c>
      <c r="G26">
        <f t="shared" ca="1" si="3"/>
        <v>0</v>
      </c>
      <c r="H26">
        <f t="shared" ca="1" si="4"/>
        <v>21</v>
      </c>
      <c r="I26">
        <f>IF(C26="RB",LeagueInfo!$D$4*LeagueInfo!$F$2,IF(C26="WR",LeagueInfo!$D$5*LeagueInfo!$F$2,IF(C26="TE",LeagueInfo!$D$6*LeagueInfo!$F$2,LeagueInfo!$D$3*LeagueInfo!$F$2)))</f>
        <v>24</v>
      </c>
    </row>
    <row r="27" spans="1:9" x14ac:dyDescent="0.35">
      <c r="A27">
        <f t="shared" ca="1" si="0"/>
        <v>26</v>
      </c>
      <c r="B27" t="s">
        <v>710</v>
      </c>
      <c r="C27" t="s">
        <v>25</v>
      </c>
      <c r="D27">
        <f t="shared" ca="1" si="1"/>
        <v>263.27000000000004</v>
      </c>
      <c r="E27" s="5">
        <f t="shared" ca="1" si="2"/>
        <v>161.19000000000005</v>
      </c>
      <c r="F27" t="str">
        <f ca="1">IF(H27&lt;=I27,"Starter",IF(G27&gt;=LARGE(G:G,FlexOn*LeagueInfo!$F$2),"Starter","Bench"))</f>
        <v>Starter</v>
      </c>
      <c r="G27">
        <f t="shared" ca="1" si="3"/>
        <v>0</v>
      </c>
      <c r="H27">
        <f t="shared" ca="1" si="4"/>
        <v>3</v>
      </c>
      <c r="I27">
        <f>IF(C27="RB",LeagueInfo!$D$4*LeagueInfo!$F$2,IF(C27="WR",LeagueInfo!$D$5*LeagueInfo!$F$2,IF(C27="TE",LeagueInfo!$D$6*LeagueInfo!$F$2,LeagueInfo!$D$3*LeagueInfo!$F$2)))</f>
        <v>24</v>
      </c>
    </row>
    <row r="28" spans="1:9" x14ac:dyDescent="0.35">
      <c r="A28">
        <f t="shared" ca="1" si="0"/>
        <v>27</v>
      </c>
      <c r="B28" t="s">
        <v>95</v>
      </c>
      <c r="C28" t="s">
        <v>26</v>
      </c>
      <c r="D28">
        <f t="shared" ca="1" si="1"/>
        <v>262.58200000000005</v>
      </c>
      <c r="E28" s="5">
        <f t="shared" ca="1" si="2"/>
        <v>160.50200000000007</v>
      </c>
      <c r="F28" t="str">
        <f ca="1">IF(H28&lt;=I28,"Starter",IF(G28&gt;=LARGE(G:G,FlexOn*LeagueInfo!$F$2),"Starter","Bench"))</f>
        <v>Starter</v>
      </c>
      <c r="G28">
        <f t="shared" ca="1" si="3"/>
        <v>0</v>
      </c>
      <c r="H28">
        <f t="shared" ca="1" si="4"/>
        <v>22</v>
      </c>
      <c r="I28">
        <f>IF(C28="RB",LeagueInfo!$D$4*LeagueInfo!$F$2,IF(C28="WR",LeagueInfo!$D$5*LeagueInfo!$F$2,IF(C28="TE",LeagueInfo!$D$6*LeagueInfo!$F$2,LeagueInfo!$D$3*LeagueInfo!$F$2)))</f>
        <v>24</v>
      </c>
    </row>
    <row r="29" spans="1:9" x14ac:dyDescent="0.35">
      <c r="A29">
        <f t="shared" ca="1" si="0"/>
        <v>28</v>
      </c>
      <c r="B29" t="s">
        <v>222</v>
      </c>
      <c r="C29" t="s">
        <v>26</v>
      </c>
      <c r="D29">
        <f t="shared" ca="1" si="1"/>
        <v>259.09800000000001</v>
      </c>
      <c r="E29" s="5">
        <f t="shared" ca="1" si="2"/>
        <v>157.01800000000003</v>
      </c>
      <c r="F29" t="str">
        <f ca="1">IF(H29&lt;=I29,"Starter",IF(G29&gt;=LARGE(G:G,FlexOn*LeagueInfo!$F$2),"Starter","Bench"))</f>
        <v>Starter</v>
      </c>
      <c r="G29">
        <f t="shared" ca="1" si="3"/>
        <v>0</v>
      </c>
      <c r="H29">
        <f t="shared" ca="1" si="4"/>
        <v>23</v>
      </c>
      <c r="I29">
        <f>IF(C29="RB",LeagueInfo!$D$4*LeagueInfo!$F$2,IF(C29="WR",LeagueInfo!$D$5*LeagueInfo!$F$2,IF(C29="TE",LeagueInfo!$D$6*LeagueInfo!$F$2,LeagueInfo!$D$3*LeagueInfo!$F$2)))</f>
        <v>24</v>
      </c>
    </row>
    <row r="30" spans="1:9" x14ac:dyDescent="0.35">
      <c r="A30">
        <f t="shared" ca="1" si="0"/>
        <v>29</v>
      </c>
      <c r="B30" t="s">
        <v>774</v>
      </c>
      <c r="C30" t="s">
        <v>26</v>
      </c>
      <c r="D30">
        <f t="shared" ca="1" si="1"/>
        <v>248.87000000000003</v>
      </c>
      <c r="E30" s="5">
        <f t="shared" ca="1" si="2"/>
        <v>146.79000000000002</v>
      </c>
      <c r="F30" t="str">
        <f ca="1">IF(H30&lt;=I30,"Starter",IF(G30&gt;=LARGE(G:G,FlexOn*LeagueInfo!$F$2),"Starter","Bench"))</f>
        <v>Starter</v>
      </c>
      <c r="G30">
        <f t="shared" ca="1" si="3"/>
        <v>0</v>
      </c>
      <c r="H30">
        <f t="shared" ca="1" si="4"/>
        <v>24</v>
      </c>
      <c r="I30">
        <f>IF(C30="RB",LeagueInfo!$D$4*LeagueInfo!$F$2,IF(C30="WR",LeagueInfo!$D$5*LeagueInfo!$F$2,IF(C30="TE",LeagueInfo!$D$6*LeagueInfo!$F$2,LeagueInfo!$D$3*LeagueInfo!$F$2)))</f>
        <v>24</v>
      </c>
    </row>
    <row r="31" spans="1:9" x14ac:dyDescent="0.35">
      <c r="A31">
        <f t="shared" ca="1" si="0"/>
        <v>30</v>
      </c>
      <c r="B31" t="s">
        <v>414</v>
      </c>
      <c r="C31" t="s">
        <v>26</v>
      </c>
      <c r="D31">
        <f t="shared" ca="1" si="1"/>
        <v>245.61600000000004</v>
      </c>
      <c r="E31" s="5">
        <f t="shared" ca="1" si="2"/>
        <v>143.53600000000006</v>
      </c>
      <c r="F31" t="str">
        <f ca="1">IF(H31&lt;=I31,"Starter",IF(G31&gt;=LARGE(G:G,FlexOn*LeagueInfo!$F$2),"Starter","Bench"))</f>
        <v>Starter</v>
      </c>
      <c r="G31">
        <f t="shared" ca="1" si="3"/>
        <v>245.61600000000004</v>
      </c>
      <c r="H31">
        <f t="shared" ca="1" si="4"/>
        <v>25</v>
      </c>
      <c r="I31">
        <f>IF(C31="RB",LeagueInfo!$D$4*LeagueInfo!$F$2,IF(C31="WR",LeagueInfo!$D$5*LeagueInfo!$F$2,IF(C31="TE",LeagueInfo!$D$6*LeagueInfo!$F$2,LeagueInfo!$D$3*LeagueInfo!$F$2)))</f>
        <v>24</v>
      </c>
    </row>
    <row r="32" spans="1:9" x14ac:dyDescent="0.35">
      <c r="A32">
        <f t="shared" ca="1" si="0"/>
        <v>31</v>
      </c>
      <c r="B32" t="s">
        <v>117</v>
      </c>
      <c r="C32" t="s">
        <v>26</v>
      </c>
      <c r="D32">
        <f t="shared" ca="1" si="1"/>
        <v>244.38200000000001</v>
      </c>
      <c r="E32" s="5">
        <f t="shared" ca="1" si="2"/>
        <v>142.30200000000002</v>
      </c>
      <c r="F32" t="str">
        <f ca="1">IF(H32&lt;=I32,"Starter",IF(G32&gt;=LARGE(G:G,FlexOn*LeagueInfo!$F$2),"Starter","Bench"))</f>
        <v>Starter</v>
      </c>
      <c r="G32">
        <f t="shared" ca="1" si="3"/>
        <v>244.38200000000001</v>
      </c>
      <c r="H32">
        <f t="shared" ca="1" si="4"/>
        <v>26</v>
      </c>
      <c r="I32">
        <f>IF(C32="RB",LeagueInfo!$D$4*LeagueInfo!$F$2,IF(C32="WR",LeagueInfo!$D$5*LeagueInfo!$F$2,IF(C32="TE",LeagueInfo!$D$6*LeagueInfo!$F$2,LeagueInfo!$D$3*LeagueInfo!$F$2)))</f>
        <v>24</v>
      </c>
    </row>
    <row r="33" spans="1:9" x14ac:dyDescent="0.35">
      <c r="A33">
        <f t="shared" ca="1" si="0"/>
        <v>32</v>
      </c>
      <c r="B33" t="s">
        <v>550</v>
      </c>
      <c r="C33" t="s">
        <v>32</v>
      </c>
      <c r="D33">
        <f t="shared" ca="1" si="1"/>
        <v>244.05</v>
      </c>
      <c r="E33" s="5">
        <f t="shared" ca="1" si="2"/>
        <v>141.97000000000003</v>
      </c>
      <c r="F33" t="str">
        <f ca="1">IF(H33&lt;=I33,"Starter",IF(G33&gt;=LARGE(G:G,FlexOn*LeagueInfo!$F$2),"Starter","Bench"))</f>
        <v>Starter</v>
      </c>
      <c r="G33">
        <f t="shared" ca="1" si="3"/>
        <v>0</v>
      </c>
      <c r="H33">
        <f t="shared" ca="1" si="4"/>
        <v>3</v>
      </c>
      <c r="I33">
        <f>IF(C33="RB",LeagueInfo!$D$4*LeagueInfo!$F$2,IF(C33="WR",LeagueInfo!$D$5*LeagueInfo!$F$2,IF(C33="TE",LeagueInfo!$D$6*LeagueInfo!$F$2,LeagueInfo!$D$3*LeagueInfo!$F$2)))</f>
        <v>24</v>
      </c>
    </row>
    <row r="34" spans="1:9" x14ac:dyDescent="0.35">
      <c r="A34">
        <f t="shared" ca="1" si="0"/>
        <v>33</v>
      </c>
      <c r="B34" t="s">
        <v>343</v>
      </c>
      <c r="C34" t="s">
        <v>26</v>
      </c>
      <c r="D34">
        <f t="shared" ca="1" si="1"/>
        <v>243.78399999999999</v>
      </c>
      <c r="E34" s="5">
        <f t="shared" ca="1" si="2"/>
        <v>141.70400000000001</v>
      </c>
      <c r="F34" t="str">
        <f ca="1">IF(H34&lt;=I34,"Starter",IF(G34&gt;=LARGE(G:G,FlexOn*LeagueInfo!$F$2),"Starter","Bench"))</f>
        <v>Starter</v>
      </c>
      <c r="G34">
        <f t="shared" ca="1" si="3"/>
        <v>243.78399999999999</v>
      </c>
      <c r="H34">
        <f t="shared" ca="1" si="4"/>
        <v>27</v>
      </c>
      <c r="I34">
        <f>IF(C34="RB",LeagueInfo!$D$4*LeagueInfo!$F$2,IF(C34="WR",LeagueInfo!$D$5*LeagueInfo!$F$2,IF(C34="TE",LeagueInfo!$D$6*LeagueInfo!$F$2,LeagueInfo!$D$3*LeagueInfo!$F$2)))</f>
        <v>24</v>
      </c>
    </row>
    <row r="35" spans="1:9" x14ac:dyDescent="0.35">
      <c r="A35">
        <f t="shared" ca="1" si="0"/>
        <v>37</v>
      </c>
      <c r="B35" t="s">
        <v>490</v>
      </c>
      <c r="C35" t="s">
        <v>32</v>
      </c>
      <c r="D35">
        <f t="shared" ca="1" si="1"/>
        <v>240.29</v>
      </c>
      <c r="E35" s="5">
        <f t="shared" ca="1" si="2"/>
        <v>138.20999999999998</v>
      </c>
      <c r="F35" t="str">
        <f ca="1">IF(H35&lt;=I35,"Starter",IF(G35&gt;=LARGE(G:G,FlexOn*LeagueInfo!$F$2),"Starter","Bench"))</f>
        <v>Starter</v>
      </c>
      <c r="G35">
        <f t="shared" ca="1" si="3"/>
        <v>0</v>
      </c>
      <c r="H35">
        <f t="shared" ca="1" si="4"/>
        <v>5</v>
      </c>
      <c r="I35">
        <f>IF(C35="RB",LeagueInfo!$D$4*LeagueInfo!$F$2,IF(C35="WR",LeagueInfo!$D$5*LeagueInfo!$F$2,IF(C35="TE",LeagueInfo!$D$6*LeagueInfo!$F$2,LeagueInfo!$D$3*LeagueInfo!$F$2)))</f>
        <v>24</v>
      </c>
    </row>
    <row r="36" spans="1:9" x14ac:dyDescent="0.35">
      <c r="A36">
        <f t="shared" ca="1" si="0"/>
        <v>36</v>
      </c>
      <c r="B36" t="s">
        <v>516</v>
      </c>
      <c r="C36" t="s">
        <v>25</v>
      </c>
      <c r="D36">
        <f t="shared" ca="1" si="1"/>
        <v>241.04999999999998</v>
      </c>
      <c r="E36" s="5">
        <f t="shared" ca="1" si="2"/>
        <v>138.96999999999997</v>
      </c>
      <c r="F36" t="str">
        <f ca="1">IF(H36&lt;=I36,"Starter",IF(G36&gt;=LARGE(G:G,FlexOn*LeagueInfo!$F$2),"Starter","Bench"))</f>
        <v>Starter</v>
      </c>
      <c r="G36">
        <f t="shared" ca="1" si="3"/>
        <v>0</v>
      </c>
      <c r="H36">
        <f t="shared" ca="1" si="4"/>
        <v>5</v>
      </c>
      <c r="I36">
        <f>IF(C36="RB",LeagueInfo!$D$4*LeagueInfo!$F$2,IF(C36="WR",LeagueInfo!$D$5*LeagueInfo!$F$2,IF(C36="TE",LeagueInfo!$D$6*LeagueInfo!$F$2,LeagueInfo!$D$3*LeagueInfo!$F$2)))</f>
        <v>24</v>
      </c>
    </row>
    <row r="37" spans="1:9" x14ac:dyDescent="0.35">
      <c r="A37">
        <f t="shared" ca="1" si="0"/>
        <v>35</v>
      </c>
      <c r="B37" t="s">
        <v>351</v>
      </c>
      <c r="C37" t="s">
        <v>25</v>
      </c>
      <c r="D37">
        <f t="shared" ca="1" si="1"/>
        <v>241.67999999999998</v>
      </c>
      <c r="E37" s="5">
        <f t="shared" ca="1" si="2"/>
        <v>139.59999999999997</v>
      </c>
      <c r="F37" t="str">
        <f ca="1">IF(H37&lt;=I37,"Starter",IF(G37&gt;=LARGE(G:G,FlexOn*LeagueInfo!$F$2),"Starter","Bench"))</f>
        <v>Starter</v>
      </c>
      <c r="G37">
        <f t="shared" ca="1" si="3"/>
        <v>0</v>
      </c>
      <c r="H37">
        <f t="shared" ca="1" si="4"/>
        <v>4</v>
      </c>
      <c r="I37">
        <f>IF(C37="RB",LeagueInfo!$D$4*LeagueInfo!$F$2,IF(C37="WR",LeagueInfo!$D$5*LeagueInfo!$F$2,IF(C37="TE",LeagueInfo!$D$6*LeagueInfo!$F$2,LeagueInfo!$D$3*LeagueInfo!$F$2)))</f>
        <v>24</v>
      </c>
    </row>
    <row r="38" spans="1:9" x14ac:dyDescent="0.35">
      <c r="A38">
        <f t="shared" ca="1" si="0"/>
        <v>34</v>
      </c>
      <c r="B38" t="s">
        <v>557</v>
      </c>
      <c r="C38" t="s">
        <v>32</v>
      </c>
      <c r="D38">
        <f t="shared" ca="1" si="1"/>
        <v>241.72999999999996</v>
      </c>
      <c r="E38" s="5">
        <f t="shared" ca="1" si="2"/>
        <v>139.64999999999998</v>
      </c>
      <c r="F38" t="str">
        <f ca="1">IF(H38&lt;=I38,"Starter",IF(G38&gt;=LARGE(G:G,FlexOn*LeagueInfo!$F$2),"Starter","Bench"))</f>
        <v>Starter</v>
      </c>
      <c r="G38">
        <f t="shared" ca="1" si="3"/>
        <v>0</v>
      </c>
      <c r="H38">
        <f t="shared" ca="1" si="4"/>
        <v>4</v>
      </c>
      <c r="I38">
        <f>IF(C38="RB",LeagueInfo!$D$4*LeagueInfo!$F$2,IF(C38="WR",LeagueInfo!$D$5*LeagueInfo!$F$2,IF(C38="TE",LeagueInfo!$D$6*LeagueInfo!$F$2,LeagueInfo!$D$3*LeagueInfo!$F$2)))</f>
        <v>24</v>
      </c>
    </row>
    <row r="39" spans="1:9" x14ac:dyDescent="0.35">
      <c r="A39">
        <f t="shared" ca="1" si="0"/>
        <v>43</v>
      </c>
      <c r="B39" t="s">
        <v>626</v>
      </c>
      <c r="C39" t="s">
        <v>25</v>
      </c>
      <c r="D39">
        <f t="shared" ca="1" si="1"/>
        <v>222.9</v>
      </c>
      <c r="E39" s="5">
        <f t="shared" ca="1" si="2"/>
        <v>120.82000000000001</v>
      </c>
      <c r="F39" t="str">
        <f ca="1">IF(H39&lt;=I39,"Starter",IF(G39&gt;=LARGE(G:G,FlexOn*LeagueInfo!$F$2),"Starter","Bench"))</f>
        <v>Starter</v>
      </c>
      <c r="G39">
        <f t="shared" ca="1" si="3"/>
        <v>0</v>
      </c>
      <c r="H39">
        <f t="shared" ca="1" si="4"/>
        <v>7</v>
      </c>
      <c r="I39">
        <f>IF(C39="RB",LeagueInfo!$D$4*LeagueInfo!$F$2,IF(C39="WR",LeagueInfo!$D$5*LeagueInfo!$F$2,IF(C39="TE",LeagueInfo!$D$6*LeagueInfo!$F$2,LeagueInfo!$D$3*LeagueInfo!$F$2)))</f>
        <v>24</v>
      </c>
    </row>
    <row r="40" spans="1:9" x14ac:dyDescent="0.35">
      <c r="A40">
        <f t="shared" ca="1" si="0"/>
        <v>38</v>
      </c>
      <c r="B40" t="s">
        <v>854</v>
      </c>
      <c r="C40" t="s">
        <v>26</v>
      </c>
      <c r="D40">
        <f t="shared" ca="1" si="1"/>
        <v>227.65000000000003</v>
      </c>
      <c r="E40" s="5">
        <f t="shared" ca="1" si="2"/>
        <v>125.57000000000004</v>
      </c>
      <c r="F40" t="str">
        <f ca="1">IF(H40&lt;=I40,"Starter",IF(G40&gt;=LARGE(G:G,FlexOn*LeagueInfo!$F$2),"Starter","Bench"))</f>
        <v>Starter</v>
      </c>
      <c r="G40">
        <f t="shared" ca="1" si="3"/>
        <v>227.65000000000003</v>
      </c>
      <c r="H40">
        <f t="shared" ca="1" si="4"/>
        <v>28</v>
      </c>
      <c r="I40">
        <f>IF(C40="RB",LeagueInfo!$D$4*LeagueInfo!$F$2,IF(C40="WR",LeagueInfo!$D$5*LeagueInfo!$F$2,IF(C40="TE",LeagueInfo!$D$6*LeagueInfo!$F$2,LeagueInfo!$D$3*LeagueInfo!$F$2)))</f>
        <v>24</v>
      </c>
    </row>
    <row r="41" spans="1:9" x14ac:dyDescent="0.35">
      <c r="A41">
        <f t="shared" ca="1" si="0"/>
        <v>41</v>
      </c>
      <c r="B41" t="s">
        <v>434</v>
      </c>
      <c r="C41" t="s">
        <v>32</v>
      </c>
      <c r="D41">
        <f t="shared" ca="1" si="1"/>
        <v>225.01000000000002</v>
      </c>
      <c r="E41" s="5">
        <f t="shared" ca="1" si="2"/>
        <v>122.93000000000002</v>
      </c>
      <c r="F41" t="str">
        <f ca="1">IF(H41&lt;=I41,"Starter",IF(G41&gt;=LARGE(G:G,FlexOn*LeagueInfo!$F$2),"Starter","Bench"))</f>
        <v>Starter</v>
      </c>
      <c r="G41">
        <f t="shared" ca="1" si="3"/>
        <v>0</v>
      </c>
      <c r="H41">
        <f t="shared" ca="1" si="4"/>
        <v>7</v>
      </c>
      <c r="I41">
        <f>IF(C41="RB",LeagueInfo!$D$4*LeagueInfo!$F$2,IF(C41="WR",LeagueInfo!$D$5*LeagueInfo!$F$2,IF(C41="TE",LeagueInfo!$D$6*LeagueInfo!$F$2,LeagueInfo!$D$3*LeagueInfo!$F$2)))</f>
        <v>24</v>
      </c>
    </row>
    <row r="42" spans="1:9" x14ac:dyDescent="0.35">
      <c r="A42">
        <f t="shared" ca="1" si="0"/>
        <v>39</v>
      </c>
      <c r="B42" t="s">
        <v>713</v>
      </c>
      <c r="C42" t="s">
        <v>26</v>
      </c>
      <c r="D42">
        <f t="shared" ca="1" si="1"/>
        <v>226.67799999999997</v>
      </c>
      <c r="E42" s="5">
        <f t="shared" ca="1" si="2"/>
        <v>124.59799999999997</v>
      </c>
      <c r="F42" t="str">
        <f ca="1">IF(H42&lt;=I42,"Starter",IF(G42&gt;=LARGE(G:G,FlexOn*LeagueInfo!$F$2),"Starter","Bench"))</f>
        <v>Starter</v>
      </c>
      <c r="G42">
        <f t="shared" ca="1" si="3"/>
        <v>226.67799999999997</v>
      </c>
      <c r="H42">
        <f t="shared" ca="1" si="4"/>
        <v>29</v>
      </c>
      <c r="I42">
        <f>IF(C42="RB",LeagueInfo!$D$4*LeagueInfo!$F$2,IF(C42="WR",LeagueInfo!$D$5*LeagueInfo!$F$2,IF(C42="TE",LeagueInfo!$D$6*LeagueInfo!$F$2,LeagueInfo!$D$3*LeagueInfo!$F$2)))</f>
        <v>24</v>
      </c>
    </row>
    <row r="43" spans="1:9" x14ac:dyDescent="0.35">
      <c r="A43">
        <f t="shared" ca="1" si="0"/>
        <v>40</v>
      </c>
      <c r="B43" t="s">
        <v>789</v>
      </c>
      <c r="C43" t="s">
        <v>32</v>
      </c>
      <c r="D43">
        <f t="shared" ca="1" si="1"/>
        <v>225.78</v>
      </c>
      <c r="E43" s="5">
        <f t="shared" ca="1" si="2"/>
        <v>123.7</v>
      </c>
      <c r="F43" t="str">
        <f ca="1">IF(H43&lt;=I43,"Starter",IF(G43&gt;=LARGE(G:G,FlexOn*LeagueInfo!$F$2),"Starter","Bench"))</f>
        <v>Starter</v>
      </c>
      <c r="G43">
        <f t="shared" ca="1" si="3"/>
        <v>0</v>
      </c>
      <c r="H43">
        <f t="shared" ca="1" si="4"/>
        <v>6</v>
      </c>
      <c r="I43">
        <f>IF(C43="RB",LeagueInfo!$D$4*LeagueInfo!$F$2,IF(C43="WR",LeagueInfo!$D$5*LeagueInfo!$F$2,IF(C43="TE",LeagueInfo!$D$6*LeagueInfo!$F$2,LeagueInfo!$D$3*LeagueInfo!$F$2)))</f>
        <v>24</v>
      </c>
    </row>
    <row r="44" spans="1:9" x14ac:dyDescent="0.35">
      <c r="A44">
        <f t="shared" ca="1" si="0"/>
        <v>49</v>
      </c>
      <c r="B44" t="s">
        <v>629</v>
      </c>
      <c r="C44" t="s">
        <v>25</v>
      </c>
      <c r="D44">
        <f t="shared" ca="1" si="1"/>
        <v>211.42</v>
      </c>
      <c r="E44" s="5">
        <f t="shared" ca="1" si="2"/>
        <v>109.33999999999999</v>
      </c>
      <c r="F44" t="str">
        <f ca="1">IF(H44&lt;=I44,"Starter",IF(G44&gt;=LARGE(G:G,FlexOn*LeagueInfo!$F$2),"Starter","Bench"))</f>
        <v>Starter</v>
      </c>
      <c r="G44">
        <f t="shared" ca="1" si="3"/>
        <v>0</v>
      </c>
      <c r="H44">
        <f t="shared" ca="1" si="4"/>
        <v>11</v>
      </c>
      <c r="I44">
        <f>IF(C44="RB",LeagueInfo!$D$4*LeagueInfo!$F$2,IF(C44="WR",LeagueInfo!$D$5*LeagueInfo!$F$2,IF(C44="TE",LeagueInfo!$D$6*LeagueInfo!$F$2,LeagueInfo!$D$3*LeagueInfo!$F$2)))</f>
        <v>24</v>
      </c>
    </row>
    <row r="45" spans="1:9" x14ac:dyDescent="0.35">
      <c r="A45">
        <f t="shared" ca="1" si="0"/>
        <v>42</v>
      </c>
      <c r="B45" t="s">
        <v>107</v>
      </c>
      <c r="C45" t="s">
        <v>25</v>
      </c>
      <c r="D45">
        <f t="shared" ca="1" si="1"/>
        <v>223.28999999999996</v>
      </c>
      <c r="E45" s="5">
        <f t="shared" ca="1" si="2"/>
        <v>121.20999999999997</v>
      </c>
      <c r="F45" t="str">
        <f ca="1">IF(H45&lt;=I45,"Starter",IF(G45&gt;=LARGE(G:G,FlexOn*LeagueInfo!$F$2),"Starter","Bench"))</f>
        <v>Starter</v>
      </c>
      <c r="G45">
        <f t="shared" ca="1" si="3"/>
        <v>0</v>
      </c>
      <c r="H45">
        <f t="shared" ca="1" si="4"/>
        <v>6</v>
      </c>
      <c r="I45">
        <f>IF(C45="RB",LeagueInfo!$D$4*LeagueInfo!$F$2,IF(C45="WR",LeagueInfo!$D$5*LeagueInfo!$F$2,IF(C45="TE",LeagueInfo!$D$6*LeagueInfo!$F$2,LeagueInfo!$D$3*LeagueInfo!$F$2)))</f>
        <v>24</v>
      </c>
    </row>
    <row r="46" spans="1:9" x14ac:dyDescent="0.35">
      <c r="A46">
        <f t="shared" ca="1" si="0"/>
        <v>45</v>
      </c>
      <c r="B46" t="s">
        <v>106</v>
      </c>
      <c r="C46" t="s">
        <v>26</v>
      </c>
      <c r="D46">
        <f t="shared" ca="1" si="1"/>
        <v>219.61</v>
      </c>
      <c r="E46" s="5">
        <f t="shared" ca="1" si="2"/>
        <v>117.53000000000002</v>
      </c>
      <c r="F46" t="str">
        <f ca="1">IF(H46&lt;=I46,"Starter",IF(G46&gt;=LARGE(G:G,FlexOn*LeagueInfo!$F$2),"Starter","Bench"))</f>
        <v>Starter</v>
      </c>
      <c r="G46">
        <f t="shared" ca="1" si="3"/>
        <v>219.61</v>
      </c>
      <c r="H46">
        <f t="shared" ca="1" si="4"/>
        <v>30</v>
      </c>
      <c r="I46">
        <f>IF(C46="RB",LeagueInfo!$D$4*LeagueInfo!$F$2,IF(C46="WR",LeagueInfo!$D$5*LeagueInfo!$F$2,IF(C46="TE",LeagueInfo!$D$6*LeagueInfo!$F$2,LeagueInfo!$D$3*LeagueInfo!$F$2)))</f>
        <v>24</v>
      </c>
    </row>
    <row r="47" spans="1:9" x14ac:dyDescent="0.35">
      <c r="A47">
        <f t="shared" ca="1" si="0"/>
        <v>44</v>
      </c>
      <c r="B47" t="s">
        <v>724</v>
      </c>
      <c r="C47" t="s">
        <v>25</v>
      </c>
      <c r="D47">
        <f t="shared" ca="1" si="1"/>
        <v>221.12</v>
      </c>
      <c r="E47" s="5">
        <f t="shared" ca="1" si="2"/>
        <v>119.04</v>
      </c>
      <c r="F47" t="str">
        <f ca="1">IF(H47&lt;=I47,"Starter",IF(G47&gt;=LARGE(G:G,FlexOn*LeagueInfo!$F$2),"Starter","Bench"))</f>
        <v>Starter</v>
      </c>
      <c r="G47">
        <f t="shared" ca="1" si="3"/>
        <v>0</v>
      </c>
      <c r="H47">
        <f t="shared" ca="1" si="4"/>
        <v>8</v>
      </c>
      <c r="I47">
        <f>IF(C47="RB",LeagueInfo!$D$4*LeagueInfo!$F$2,IF(C47="WR",LeagueInfo!$D$5*LeagueInfo!$F$2,IF(C47="TE",LeagueInfo!$D$6*LeagueInfo!$F$2,LeagueInfo!$D$3*LeagueInfo!$F$2)))</f>
        <v>24</v>
      </c>
    </row>
    <row r="48" spans="1:9" x14ac:dyDescent="0.35">
      <c r="A48">
        <f t="shared" ca="1" si="0"/>
        <v>46</v>
      </c>
      <c r="B48" t="s">
        <v>590</v>
      </c>
      <c r="C48" t="s">
        <v>32</v>
      </c>
      <c r="D48">
        <f t="shared" ca="1" si="1"/>
        <v>215.74</v>
      </c>
      <c r="E48" s="5">
        <f t="shared" ca="1" si="2"/>
        <v>113.66000000000001</v>
      </c>
      <c r="F48" t="str">
        <f ca="1">IF(H48&lt;=I48,"Starter",IF(G48&gt;=LARGE(G:G,FlexOn*LeagueInfo!$F$2),"Starter","Bench"))</f>
        <v>Starter</v>
      </c>
      <c r="G48">
        <f t="shared" ca="1" si="3"/>
        <v>0</v>
      </c>
      <c r="H48">
        <f t="shared" ca="1" si="4"/>
        <v>8</v>
      </c>
      <c r="I48">
        <f>IF(C48="RB",LeagueInfo!$D$4*LeagueInfo!$F$2,IF(C48="WR",LeagueInfo!$D$5*LeagueInfo!$F$2,IF(C48="TE",LeagueInfo!$D$6*LeagueInfo!$F$2,LeagueInfo!$D$3*LeagueInfo!$F$2)))</f>
        <v>24</v>
      </c>
    </row>
    <row r="49" spans="1:9" x14ac:dyDescent="0.35">
      <c r="A49">
        <f t="shared" ca="1" si="0"/>
        <v>47</v>
      </c>
      <c r="B49" t="s">
        <v>614</v>
      </c>
      <c r="C49" t="s">
        <v>25</v>
      </c>
      <c r="D49">
        <f t="shared" ca="1" si="1"/>
        <v>215.13</v>
      </c>
      <c r="E49" s="5">
        <f t="shared" ca="1" si="2"/>
        <v>113.05</v>
      </c>
      <c r="F49" t="str">
        <f ca="1">IF(H49&lt;=I49,"Starter",IF(G49&gt;=LARGE(G:G,FlexOn*LeagueInfo!$F$2),"Starter","Bench"))</f>
        <v>Starter</v>
      </c>
      <c r="G49">
        <f t="shared" ca="1" si="3"/>
        <v>0</v>
      </c>
      <c r="H49">
        <f t="shared" ca="1" si="4"/>
        <v>9</v>
      </c>
      <c r="I49">
        <f>IF(C49="RB",LeagueInfo!$D$4*LeagueInfo!$F$2,IF(C49="WR",LeagueInfo!$D$5*LeagueInfo!$F$2,IF(C49="TE",LeagueInfo!$D$6*LeagueInfo!$F$2,LeagueInfo!$D$3*LeagueInfo!$F$2)))</f>
        <v>24</v>
      </c>
    </row>
    <row r="50" spans="1:9" x14ac:dyDescent="0.35">
      <c r="A50">
        <f t="shared" ca="1" si="0"/>
        <v>50</v>
      </c>
      <c r="B50" t="s">
        <v>615</v>
      </c>
      <c r="C50" t="s">
        <v>25</v>
      </c>
      <c r="D50">
        <f t="shared" ca="1" si="1"/>
        <v>208.68</v>
      </c>
      <c r="E50" s="5">
        <f t="shared" ca="1" si="2"/>
        <v>106.60000000000001</v>
      </c>
      <c r="F50" t="str">
        <f ca="1">IF(H50&lt;=I50,"Starter",IF(G50&gt;=LARGE(G:G,FlexOn*LeagueInfo!$F$2),"Starter","Bench"))</f>
        <v>Starter</v>
      </c>
      <c r="G50">
        <f t="shared" ca="1" si="3"/>
        <v>0</v>
      </c>
      <c r="H50">
        <f t="shared" ca="1" si="4"/>
        <v>12</v>
      </c>
      <c r="I50">
        <f>IF(C50="RB",LeagueInfo!$D$4*LeagueInfo!$F$2,IF(C50="WR",LeagueInfo!$D$5*LeagueInfo!$F$2,IF(C50="TE",LeagueInfo!$D$6*LeagueInfo!$F$2,LeagueInfo!$D$3*LeagueInfo!$F$2)))</f>
        <v>24</v>
      </c>
    </row>
    <row r="51" spans="1:9" x14ac:dyDescent="0.35">
      <c r="A51">
        <f t="shared" ca="1" si="0"/>
        <v>48</v>
      </c>
      <c r="B51" t="s">
        <v>421</v>
      </c>
      <c r="C51" t="s">
        <v>25</v>
      </c>
      <c r="D51">
        <f t="shared" ca="1" si="1"/>
        <v>211.60999999999999</v>
      </c>
      <c r="E51" s="5">
        <f t="shared" ca="1" si="2"/>
        <v>109.52999999999999</v>
      </c>
      <c r="F51" t="str">
        <f ca="1">IF(H51&lt;=I51,"Starter",IF(G51&gt;=LARGE(G:G,FlexOn*LeagueInfo!$F$2),"Starter","Bench"))</f>
        <v>Starter</v>
      </c>
      <c r="G51">
        <f t="shared" ca="1" si="3"/>
        <v>0</v>
      </c>
      <c r="H51">
        <f t="shared" ca="1" si="4"/>
        <v>10</v>
      </c>
      <c r="I51">
        <f>IF(C51="RB",LeagueInfo!$D$4*LeagueInfo!$F$2,IF(C51="WR",LeagueInfo!$D$5*LeagueInfo!$F$2,IF(C51="TE",LeagueInfo!$D$6*LeagueInfo!$F$2,LeagueInfo!$D$3*LeagueInfo!$F$2)))</f>
        <v>24</v>
      </c>
    </row>
    <row r="52" spans="1:9" x14ac:dyDescent="0.35">
      <c r="A52">
        <f t="shared" ca="1" si="0"/>
        <v>63</v>
      </c>
      <c r="B52" t="s">
        <v>779</v>
      </c>
      <c r="C52" t="s">
        <v>25</v>
      </c>
      <c r="D52">
        <f t="shared" ca="1" si="1"/>
        <v>195.64000000000001</v>
      </c>
      <c r="E52" s="5">
        <f t="shared" ca="1" si="2"/>
        <v>93.560000000000016</v>
      </c>
      <c r="F52" t="str">
        <f ca="1">IF(H52&lt;=I52,"Starter",IF(G52&gt;=LARGE(G:G,FlexOn*LeagueInfo!$F$2),"Starter","Bench"))</f>
        <v>Starter</v>
      </c>
      <c r="G52">
        <f t="shared" ca="1" si="3"/>
        <v>0</v>
      </c>
      <c r="H52">
        <f t="shared" ca="1" si="4"/>
        <v>17</v>
      </c>
      <c r="I52">
        <f>IF(C52="RB",LeagueInfo!$D$4*LeagueInfo!$F$2,IF(C52="WR",LeagueInfo!$D$5*LeagueInfo!$F$2,IF(C52="TE",LeagueInfo!$D$6*LeagueInfo!$F$2,LeagueInfo!$D$3*LeagueInfo!$F$2)))</f>
        <v>24</v>
      </c>
    </row>
    <row r="53" spans="1:9" x14ac:dyDescent="0.35">
      <c r="A53">
        <f t="shared" ca="1" si="0"/>
        <v>53</v>
      </c>
      <c r="B53" t="s">
        <v>617</v>
      </c>
      <c r="C53" t="s">
        <v>25</v>
      </c>
      <c r="D53">
        <f t="shared" ca="1" si="1"/>
        <v>207.3</v>
      </c>
      <c r="E53" s="5">
        <f t="shared" ca="1" si="2"/>
        <v>105.22000000000001</v>
      </c>
      <c r="F53" t="str">
        <f ca="1">IF(H53&lt;=I53,"Starter",IF(G53&gt;=LARGE(G:G,FlexOn*LeagueInfo!$F$2),"Starter","Bench"))</f>
        <v>Starter</v>
      </c>
      <c r="G53">
        <f t="shared" ca="1" si="3"/>
        <v>0</v>
      </c>
      <c r="H53">
        <f t="shared" ca="1" si="4"/>
        <v>15</v>
      </c>
      <c r="I53">
        <f>IF(C53="RB",LeagueInfo!$D$4*LeagueInfo!$F$2,IF(C53="WR",LeagueInfo!$D$5*LeagueInfo!$F$2,IF(C53="TE",LeagueInfo!$D$6*LeagueInfo!$F$2,LeagueInfo!$D$3*LeagueInfo!$F$2)))</f>
        <v>24</v>
      </c>
    </row>
    <row r="54" spans="1:9" x14ac:dyDescent="0.35">
      <c r="A54">
        <f t="shared" ca="1" si="0"/>
        <v>55</v>
      </c>
      <c r="B54" t="s">
        <v>98</v>
      </c>
      <c r="C54" t="s">
        <v>25</v>
      </c>
      <c r="D54">
        <f t="shared" ca="1" si="1"/>
        <v>203.67</v>
      </c>
      <c r="E54" s="5">
        <f t="shared" ca="1" si="2"/>
        <v>101.58999999999999</v>
      </c>
      <c r="F54" t="str">
        <f ca="1">IF(H54&lt;=I54,"Starter",IF(G54&gt;=LARGE(G:G,FlexOn*LeagueInfo!$F$2),"Starter","Bench"))</f>
        <v>Starter</v>
      </c>
      <c r="G54">
        <f t="shared" ca="1" si="3"/>
        <v>0</v>
      </c>
      <c r="H54">
        <f t="shared" ca="1" si="4"/>
        <v>16</v>
      </c>
      <c r="I54">
        <f>IF(C54="RB",LeagueInfo!$D$4*LeagueInfo!$F$2,IF(C54="WR",LeagueInfo!$D$5*LeagueInfo!$F$2,IF(C54="TE",LeagueInfo!$D$6*LeagueInfo!$F$2,LeagueInfo!$D$3*LeagueInfo!$F$2)))</f>
        <v>24</v>
      </c>
    </row>
    <row r="55" spans="1:9" x14ac:dyDescent="0.35">
      <c r="A55">
        <f t="shared" ca="1" si="0"/>
        <v>52</v>
      </c>
      <c r="B55" t="s">
        <v>780</v>
      </c>
      <c r="C55" t="s">
        <v>25</v>
      </c>
      <c r="D55">
        <f t="shared" ca="1" si="1"/>
        <v>207.67</v>
      </c>
      <c r="E55" s="5">
        <f t="shared" ca="1" si="2"/>
        <v>105.58999999999999</v>
      </c>
      <c r="F55" t="str">
        <f ca="1">IF(H55&lt;=I55,"Starter",IF(G55&gt;=LARGE(G:G,FlexOn*LeagueInfo!$F$2),"Starter","Bench"))</f>
        <v>Starter</v>
      </c>
      <c r="G55">
        <f t="shared" ca="1" si="3"/>
        <v>0</v>
      </c>
      <c r="H55">
        <f t="shared" ca="1" si="4"/>
        <v>14</v>
      </c>
      <c r="I55">
        <f>IF(C55="RB",LeagueInfo!$D$4*LeagueInfo!$F$2,IF(C55="WR",LeagueInfo!$D$5*LeagueInfo!$F$2,IF(C55="TE",LeagueInfo!$D$6*LeagueInfo!$F$2,LeagueInfo!$D$3*LeagueInfo!$F$2)))</f>
        <v>24</v>
      </c>
    </row>
    <row r="56" spans="1:9" x14ac:dyDescent="0.35">
      <c r="A56">
        <f t="shared" ca="1" si="0"/>
        <v>59</v>
      </c>
      <c r="B56" t="s">
        <v>906</v>
      </c>
      <c r="C56" t="s">
        <v>32</v>
      </c>
      <c r="D56">
        <f t="shared" ca="1" si="1"/>
        <v>198.92000000000002</v>
      </c>
      <c r="E56" s="5">
        <f t="shared" ca="1" si="2"/>
        <v>96.840000000000018</v>
      </c>
      <c r="F56" t="str">
        <f ca="1">IF(H56&lt;=I56,"Starter",IF(G56&gt;=LARGE(G:G,FlexOn*LeagueInfo!$F$2),"Starter","Bench"))</f>
        <v>Starter</v>
      </c>
      <c r="G56">
        <f t="shared" ca="1" si="3"/>
        <v>0</v>
      </c>
      <c r="H56">
        <f t="shared" ca="1" si="4"/>
        <v>12</v>
      </c>
      <c r="I56">
        <f>IF(C56="RB",LeagueInfo!$D$4*LeagueInfo!$F$2,IF(C56="WR",LeagueInfo!$D$5*LeagueInfo!$F$2,IF(C56="TE",LeagueInfo!$D$6*LeagueInfo!$F$2,LeagueInfo!$D$3*LeagueInfo!$F$2)))</f>
        <v>24</v>
      </c>
    </row>
    <row r="57" spans="1:9" x14ac:dyDescent="0.35">
      <c r="A57">
        <f t="shared" ca="1" si="0"/>
        <v>58</v>
      </c>
      <c r="B57" t="s">
        <v>90</v>
      </c>
      <c r="C57" t="s">
        <v>32</v>
      </c>
      <c r="D57">
        <f t="shared" ca="1" si="1"/>
        <v>199.36</v>
      </c>
      <c r="E57" s="5">
        <f t="shared" ca="1" si="2"/>
        <v>97.280000000000015</v>
      </c>
      <c r="F57" t="str">
        <f ca="1">IF(H57&lt;=I57,"Starter",IF(G57&gt;=LARGE(G:G,FlexOn*LeagueInfo!$F$2),"Starter","Bench"))</f>
        <v>Starter</v>
      </c>
      <c r="G57">
        <f t="shared" ca="1" si="3"/>
        <v>0</v>
      </c>
      <c r="H57">
        <f t="shared" ca="1" si="4"/>
        <v>11</v>
      </c>
      <c r="I57">
        <f>IF(C57="RB",LeagueInfo!$D$4*LeagueInfo!$F$2,IF(C57="WR",LeagueInfo!$D$5*LeagueInfo!$F$2,IF(C57="TE",LeagueInfo!$D$6*LeagueInfo!$F$2,LeagueInfo!$D$3*LeagueInfo!$F$2)))</f>
        <v>24</v>
      </c>
    </row>
    <row r="58" spans="1:9" x14ac:dyDescent="0.35">
      <c r="A58">
        <f t="shared" ca="1" si="0"/>
        <v>61</v>
      </c>
      <c r="B58" t="s">
        <v>559</v>
      </c>
      <c r="C58" t="s">
        <v>32</v>
      </c>
      <c r="D58">
        <f t="shared" ca="1" si="1"/>
        <v>198.71</v>
      </c>
      <c r="E58" s="5">
        <f t="shared" ca="1" si="2"/>
        <v>96.63000000000001</v>
      </c>
      <c r="F58" t="str">
        <f ca="1">IF(H58&lt;=I58,"Starter",IF(G58&gt;=LARGE(G:G,FlexOn*LeagueInfo!$F$2),"Starter","Bench"))</f>
        <v>Starter</v>
      </c>
      <c r="G58">
        <f t="shared" ca="1" si="3"/>
        <v>0</v>
      </c>
      <c r="H58">
        <f t="shared" ca="1" si="4"/>
        <v>14</v>
      </c>
      <c r="I58">
        <f>IF(C58="RB",LeagueInfo!$D$4*LeagueInfo!$F$2,IF(C58="WR",LeagueInfo!$D$5*LeagueInfo!$F$2,IF(C58="TE",LeagueInfo!$D$6*LeagueInfo!$F$2,LeagueInfo!$D$3*LeagueInfo!$F$2)))</f>
        <v>24</v>
      </c>
    </row>
    <row r="59" spans="1:9" x14ac:dyDescent="0.35">
      <c r="A59">
        <f t="shared" ca="1" si="0"/>
        <v>56</v>
      </c>
      <c r="B59" t="s">
        <v>589</v>
      </c>
      <c r="C59" t="s">
        <v>32</v>
      </c>
      <c r="D59">
        <f t="shared" ca="1" si="1"/>
        <v>203.34000000000003</v>
      </c>
      <c r="E59" s="5">
        <f t="shared" ca="1" si="2"/>
        <v>101.26000000000003</v>
      </c>
      <c r="F59" t="str">
        <f ca="1">IF(H59&lt;=I59,"Starter",IF(G59&gt;=LARGE(G:G,FlexOn*LeagueInfo!$F$2),"Starter","Bench"))</f>
        <v>Starter</v>
      </c>
      <c r="G59">
        <f t="shared" ca="1" si="3"/>
        <v>0</v>
      </c>
      <c r="H59">
        <f t="shared" ca="1" si="4"/>
        <v>9</v>
      </c>
      <c r="I59">
        <f>IF(C59="RB",LeagueInfo!$D$4*LeagueInfo!$F$2,IF(C59="WR",LeagueInfo!$D$5*LeagueInfo!$F$2,IF(C59="TE",LeagueInfo!$D$6*LeagueInfo!$F$2,LeagueInfo!$D$3*LeagueInfo!$F$2)))</f>
        <v>24</v>
      </c>
    </row>
    <row r="60" spans="1:9" x14ac:dyDescent="0.35">
      <c r="A60">
        <f t="shared" ca="1" si="0"/>
        <v>57</v>
      </c>
      <c r="B60" t="s">
        <v>907</v>
      </c>
      <c r="C60" t="s">
        <v>32</v>
      </c>
      <c r="D60">
        <f t="shared" ca="1" si="1"/>
        <v>199.93</v>
      </c>
      <c r="E60" s="5">
        <f t="shared" ca="1" si="2"/>
        <v>97.850000000000009</v>
      </c>
      <c r="F60" t="str">
        <f ca="1">IF(H60&lt;=I60,"Starter",IF(G60&gt;=LARGE(G:G,FlexOn*LeagueInfo!$F$2),"Starter","Bench"))</f>
        <v>Starter</v>
      </c>
      <c r="G60">
        <f t="shared" ca="1" si="3"/>
        <v>0</v>
      </c>
      <c r="H60">
        <f t="shared" ca="1" si="4"/>
        <v>10</v>
      </c>
      <c r="I60">
        <f>IF(C60="RB",LeagueInfo!$D$4*LeagueInfo!$F$2,IF(C60="WR",LeagueInfo!$D$5*LeagueInfo!$F$2,IF(C60="TE",LeagueInfo!$D$6*LeagueInfo!$F$2,LeagueInfo!$D$3*LeagueInfo!$F$2)))</f>
        <v>24</v>
      </c>
    </row>
    <row r="61" spans="1:9" x14ac:dyDescent="0.35">
      <c r="A61">
        <f t="shared" ca="1" si="0"/>
        <v>60</v>
      </c>
      <c r="B61" t="s">
        <v>588</v>
      </c>
      <c r="C61" t="s">
        <v>32</v>
      </c>
      <c r="D61">
        <f t="shared" ca="1" si="1"/>
        <v>198.76999999999998</v>
      </c>
      <c r="E61" s="5">
        <f t="shared" ca="1" si="2"/>
        <v>96.689999999999984</v>
      </c>
      <c r="F61" t="str">
        <f ca="1">IF(H61&lt;=I61,"Starter",IF(G61&gt;=LARGE(G:G,FlexOn*LeagueInfo!$F$2),"Starter","Bench"))</f>
        <v>Starter</v>
      </c>
      <c r="G61">
        <f t="shared" ca="1" si="3"/>
        <v>0</v>
      </c>
      <c r="H61">
        <f t="shared" ca="1" si="4"/>
        <v>13</v>
      </c>
      <c r="I61">
        <f>IF(C61="RB",LeagueInfo!$D$4*LeagueInfo!$F$2,IF(C61="WR",LeagueInfo!$D$5*LeagueInfo!$F$2,IF(C61="TE",LeagueInfo!$D$6*LeagueInfo!$F$2,LeagueInfo!$D$3*LeagueInfo!$F$2)))</f>
        <v>24</v>
      </c>
    </row>
    <row r="62" spans="1:9" x14ac:dyDescent="0.35">
      <c r="A62">
        <f t="shared" ca="1" si="0"/>
        <v>66</v>
      </c>
      <c r="B62" t="s">
        <v>586</v>
      </c>
      <c r="C62" t="s">
        <v>32</v>
      </c>
      <c r="D62">
        <f t="shared" ca="1" si="1"/>
        <v>191.42999999999998</v>
      </c>
      <c r="E62" s="5">
        <f t="shared" ca="1" si="2"/>
        <v>89.34999999999998</v>
      </c>
      <c r="F62" t="str">
        <f ca="1">IF(H62&lt;=I62,"Starter",IF(G62&gt;=LARGE(G:G,FlexOn*LeagueInfo!$F$2),"Starter","Bench"))</f>
        <v>Starter</v>
      </c>
      <c r="G62">
        <f t="shared" ca="1" si="3"/>
        <v>0</v>
      </c>
      <c r="H62">
        <f t="shared" ca="1" si="4"/>
        <v>18</v>
      </c>
      <c r="I62">
        <f>IF(C62="RB",LeagueInfo!$D$4*LeagueInfo!$F$2,IF(C62="WR",LeagueInfo!$D$5*LeagueInfo!$F$2,IF(C62="TE",LeagueInfo!$D$6*LeagueInfo!$F$2,LeagueInfo!$D$3*LeagueInfo!$F$2)))</f>
        <v>24</v>
      </c>
    </row>
    <row r="63" spans="1:9" x14ac:dyDescent="0.35">
      <c r="A63">
        <f t="shared" ca="1" si="0"/>
        <v>51</v>
      </c>
      <c r="B63" t="s">
        <v>229</v>
      </c>
      <c r="C63" t="s">
        <v>25</v>
      </c>
      <c r="D63">
        <f t="shared" ca="1" si="1"/>
        <v>208.59</v>
      </c>
      <c r="E63" s="5">
        <f t="shared" ca="1" si="2"/>
        <v>106.51</v>
      </c>
      <c r="F63" t="str">
        <f ca="1">IF(H63&lt;=I63,"Starter",IF(G63&gt;=LARGE(G:G,FlexOn*LeagueInfo!$F$2),"Starter","Bench"))</f>
        <v>Starter</v>
      </c>
      <c r="G63">
        <f t="shared" ca="1" si="3"/>
        <v>0</v>
      </c>
      <c r="H63">
        <f t="shared" ca="1" si="4"/>
        <v>13</v>
      </c>
      <c r="I63">
        <f>IF(C63="RB",LeagueInfo!$D$4*LeagueInfo!$F$2,IF(C63="WR",LeagueInfo!$D$5*LeagueInfo!$F$2,IF(C63="TE",LeagueInfo!$D$6*LeagueInfo!$F$2,LeagueInfo!$D$3*LeagueInfo!$F$2)))</f>
        <v>24</v>
      </c>
    </row>
    <row r="64" spans="1:9" x14ac:dyDescent="0.35">
      <c r="A64">
        <f t="shared" ca="1" si="0"/>
        <v>67</v>
      </c>
      <c r="B64" t="s">
        <v>492</v>
      </c>
      <c r="C64" t="s">
        <v>32</v>
      </c>
      <c r="D64">
        <f t="shared" ca="1" si="1"/>
        <v>190.1</v>
      </c>
      <c r="E64" s="5">
        <f t="shared" ca="1" si="2"/>
        <v>88.02</v>
      </c>
      <c r="F64" t="str">
        <f ca="1">IF(H64&lt;=I64,"Starter",IF(G64&gt;=LARGE(G:G,FlexOn*LeagueInfo!$F$2),"Starter","Bench"))</f>
        <v>Starter</v>
      </c>
      <c r="G64">
        <f t="shared" ca="1" si="3"/>
        <v>0</v>
      </c>
      <c r="H64">
        <f t="shared" ca="1" si="4"/>
        <v>19</v>
      </c>
      <c r="I64">
        <f>IF(C64="RB",LeagueInfo!$D$4*LeagueInfo!$F$2,IF(C64="WR",LeagueInfo!$D$5*LeagueInfo!$F$2,IF(C64="TE",LeagueInfo!$D$6*LeagueInfo!$F$2,LeagueInfo!$D$3*LeagueInfo!$F$2)))</f>
        <v>24</v>
      </c>
    </row>
    <row r="65" spans="1:9" x14ac:dyDescent="0.35">
      <c r="A65">
        <f t="shared" ca="1" si="0"/>
        <v>62</v>
      </c>
      <c r="B65" t="s">
        <v>100</v>
      </c>
      <c r="C65" t="s">
        <v>32</v>
      </c>
      <c r="D65">
        <f t="shared" ca="1" si="1"/>
        <v>197.62</v>
      </c>
      <c r="E65" s="5">
        <f t="shared" ca="1" si="2"/>
        <v>95.54</v>
      </c>
      <c r="F65" t="str">
        <f ca="1">IF(H65&lt;=I65,"Starter",IF(G65&gt;=LARGE(G:G,FlexOn*LeagueInfo!$F$2),"Starter","Bench"))</f>
        <v>Starter</v>
      </c>
      <c r="G65">
        <f t="shared" ca="1" si="3"/>
        <v>0</v>
      </c>
      <c r="H65">
        <f t="shared" ca="1" si="4"/>
        <v>15</v>
      </c>
      <c r="I65">
        <f>IF(C65="RB",LeagueInfo!$D$4*LeagueInfo!$F$2,IF(C65="WR",LeagueInfo!$D$5*LeagueInfo!$F$2,IF(C65="TE",LeagueInfo!$D$6*LeagueInfo!$F$2,LeagueInfo!$D$3*LeagueInfo!$F$2)))</f>
        <v>24</v>
      </c>
    </row>
    <row r="66" spans="1:9" x14ac:dyDescent="0.35">
      <c r="A66">
        <f t="shared" ref="A66:A129" ca="1" si="5">RANK(E66,E:E)</f>
        <v>64</v>
      </c>
      <c r="B66" t="s">
        <v>239</v>
      </c>
      <c r="C66" t="s">
        <v>32</v>
      </c>
      <c r="D66">
        <f t="shared" ref="D66:D128" ca="1" si="6">INDEX(INDIRECT($C66&amp;"!P:P"),MATCH($B66,INDIRECT($C66&amp;"!B:B"),0))</f>
        <v>194.21000000000004</v>
      </c>
      <c r="E66" s="5">
        <f t="shared" ref="E66:E129" ca="1" si="7">D66-LARGE(D:D,RBCount+WRCount+TECount+QBCount)</f>
        <v>92.130000000000038</v>
      </c>
      <c r="F66" t="str">
        <f ca="1">IF(H66&lt;=I66,"Starter",IF(G66&gt;=LARGE(G:G,FlexOn*LeagueInfo!$F$2),"Starter","Bench"))</f>
        <v>Starter</v>
      </c>
      <c r="G66">
        <f t="shared" ref="G66:G128" ca="1" si="8">IF(H66&gt;I66,D66,0)</f>
        <v>0</v>
      </c>
      <c r="H66">
        <f t="shared" ref="H66:H128" ca="1" si="9">INDEX(INDIRECT(""&amp;C66&amp;"!A2:A489"),MATCH(B66,INDIRECT(""&amp;C66&amp;"!B2:B489"),0))</f>
        <v>16</v>
      </c>
      <c r="I66">
        <f>IF(C66="RB",LeagueInfo!$D$4*LeagueInfo!$F$2,IF(C66="WR",LeagueInfo!$D$5*LeagueInfo!$F$2,IF(C66="TE",LeagueInfo!$D$6*LeagueInfo!$F$2,LeagueInfo!$D$3*LeagueInfo!$F$2)))</f>
        <v>24</v>
      </c>
    </row>
    <row r="67" spans="1:9" x14ac:dyDescent="0.35">
      <c r="A67">
        <f t="shared" ca="1" si="5"/>
        <v>65</v>
      </c>
      <c r="B67" t="s">
        <v>551</v>
      </c>
      <c r="C67" t="s">
        <v>32</v>
      </c>
      <c r="D67">
        <f t="shared" ca="1" si="6"/>
        <v>191.54999999999998</v>
      </c>
      <c r="E67" s="5">
        <f t="shared" ca="1" si="7"/>
        <v>89.469999999999985</v>
      </c>
      <c r="F67" t="str">
        <f ca="1">IF(H67&lt;=I67,"Starter",IF(G67&gt;=LARGE(G:G,FlexOn*LeagueInfo!$F$2),"Starter","Bench"))</f>
        <v>Starter</v>
      </c>
      <c r="G67">
        <f t="shared" ca="1" si="8"/>
        <v>0</v>
      </c>
      <c r="H67">
        <f t="shared" ca="1" si="9"/>
        <v>17</v>
      </c>
      <c r="I67">
        <f>IF(C67="RB",LeagueInfo!$D$4*LeagueInfo!$F$2,IF(C67="WR",LeagueInfo!$D$5*LeagueInfo!$F$2,IF(C67="TE",LeagueInfo!$D$6*LeagueInfo!$F$2,LeagueInfo!$D$3*LeagueInfo!$F$2)))</f>
        <v>24</v>
      </c>
    </row>
    <row r="68" spans="1:9" x14ac:dyDescent="0.35">
      <c r="A68">
        <f t="shared" ca="1" si="5"/>
        <v>68</v>
      </c>
      <c r="B68" t="s">
        <v>552</v>
      </c>
      <c r="C68" t="s">
        <v>32</v>
      </c>
      <c r="D68">
        <f t="shared" ca="1" si="6"/>
        <v>189.19</v>
      </c>
      <c r="E68" s="5">
        <f t="shared" ca="1" si="7"/>
        <v>87.11</v>
      </c>
      <c r="F68" t="str">
        <f ca="1">IF(H68&lt;=I68,"Starter",IF(G68&gt;=LARGE(G:G,FlexOn*LeagueInfo!$F$2),"Starter","Bench"))</f>
        <v>Starter</v>
      </c>
      <c r="G68">
        <f t="shared" ca="1" si="8"/>
        <v>0</v>
      </c>
      <c r="H68">
        <f t="shared" ca="1" si="9"/>
        <v>20</v>
      </c>
      <c r="I68">
        <f>IF(C68="RB",LeagueInfo!$D$4*LeagueInfo!$F$2,IF(C68="WR",LeagueInfo!$D$5*LeagueInfo!$F$2,IF(C68="TE",LeagueInfo!$D$6*LeagueInfo!$F$2,LeagueInfo!$D$3*LeagueInfo!$F$2)))</f>
        <v>24</v>
      </c>
    </row>
    <row r="69" spans="1:9" x14ac:dyDescent="0.35">
      <c r="A69">
        <f t="shared" ca="1" si="5"/>
        <v>71</v>
      </c>
      <c r="B69" t="s">
        <v>99</v>
      </c>
      <c r="C69" t="s">
        <v>40</v>
      </c>
      <c r="D69">
        <f t="shared" ca="1" si="6"/>
        <v>183.99</v>
      </c>
      <c r="E69" s="5">
        <f t="shared" ca="1" si="7"/>
        <v>81.910000000000011</v>
      </c>
      <c r="F69" t="str">
        <f ca="1">IF(H69&lt;=I69,"Starter",IF(G69&gt;=LARGE(G:G,FlexOn*LeagueInfo!$F$2),"Starter","Bench"))</f>
        <v>Starter</v>
      </c>
      <c r="G69">
        <f t="shared" ca="1" si="8"/>
        <v>0</v>
      </c>
      <c r="H69">
        <f t="shared" ca="1" si="9"/>
        <v>1</v>
      </c>
      <c r="I69">
        <f>IF(C69="RB",LeagueInfo!$D$4*LeagueInfo!$F$2,IF(C69="WR",LeagueInfo!$D$5*LeagueInfo!$F$2,IF(C69="TE",LeagueInfo!$D$6*LeagueInfo!$F$2,LeagueInfo!$D$3*LeagueInfo!$F$2)))</f>
        <v>12</v>
      </c>
    </row>
    <row r="70" spans="1:9" x14ac:dyDescent="0.35">
      <c r="A70">
        <f t="shared" ca="1" si="5"/>
        <v>70</v>
      </c>
      <c r="B70" t="s">
        <v>585</v>
      </c>
      <c r="C70" t="s">
        <v>32</v>
      </c>
      <c r="D70">
        <f t="shared" ca="1" si="6"/>
        <v>184.46</v>
      </c>
      <c r="E70" s="5">
        <f t="shared" ca="1" si="7"/>
        <v>82.38000000000001</v>
      </c>
      <c r="F70" t="str">
        <f ca="1">IF(H70&lt;=I70,"Starter",IF(G70&gt;=LARGE(G:G,FlexOn*LeagueInfo!$F$2),"Starter","Bench"))</f>
        <v>Starter</v>
      </c>
      <c r="G70">
        <f t="shared" ca="1" si="8"/>
        <v>0</v>
      </c>
      <c r="H70">
        <f t="shared" ca="1" si="9"/>
        <v>22</v>
      </c>
      <c r="I70">
        <f>IF(C70="RB",LeagueInfo!$D$4*LeagueInfo!$F$2,IF(C70="WR",LeagueInfo!$D$5*LeagueInfo!$F$2,IF(C70="TE",LeagueInfo!$D$6*LeagueInfo!$F$2,LeagueInfo!$D$3*LeagueInfo!$F$2)))</f>
        <v>24</v>
      </c>
    </row>
    <row r="71" spans="1:9" x14ac:dyDescent="0.35">
      <c r="A71">
        <f t="shared" ca="1" si="5"/>
        <v>72</v>
      </c>
      <c r="B71" t="s">
        <v>92</v>
      </c>
      <c r="C71" t="s">
        <v>32</v>
      </c>
      <c r="D71">
        <f t="shared" ca="1" si="6"/>
        <v>183.40999999999997</v>
      </c>
      <c r="E71" s="5">
        <f t="shared" ca="1" si="7"/>
        <v>81.32999999999997</v>
      </c>
      <c r="F71" t="str">
        <f ca="1">IF(H71&lt;=I71,"Starter",IF(G71&gt;=LARGE(G:G,FlexOn*LeagueInfo!$F$2),"Starter","Bench"))</f>
        <v>Starter</v>
      </c>
      <c r="G71">
        <f t="shared" ca="1" si="8"/>
        <v>0</v>
      </c>
      <c r="H71">
        <f t="shared" ca="1" si="9"/>
        <v>23</v>
      </c>
      <c r="I71">
        <f>IF(C71="RB",LeagueInfo!$D$4*LeagueInfo!$F$2,IF(C71="WR",LeagueInfo!$D$5*LeagueInfo!$F$2,IF(C71="TE",LeagueInfo!$D$6*LeagueInfo!$F$2,LeagueInfo!$D$3*LeagueInfo!$F$2)))</f>
        <v>24</v>
      </c>
    </row>
    <row r="72" spans="1:9" x14ac:dyDescent="0.35">
      <c r="A72">
        <f t="shared" ca="1" si="5"/>
        <v>79</v>
      </c>
      <c r="B72" t="s">
        <v>597</v>
      </c>
      <c r="C72" t="s">
        <v>32</v>
      </c>
      <c r="D72">
        <f t="shared" ca="1" si="6"/>
        <v>180.14999999999998</v>
      </c>
      <c r="E72" s="5">
        <f t="shared" ca="1" si="7"/>
        <v>78.069999999999979</v>
      </c>
      <c r="F72" t="str">
        <f ca="1">IF(H72&lt;=I72,"Starter",IF(G72&gt;=LARGE(G:G,FlexOn*LeagueInfo!$F$2),"Starter","Bench"))</f>
        <v>Starter</v>
      </c>
      <c r="G72">
        <f t="shared" ca="1" si="8"/>
        <v>180.14999999999998</v>
      </c>
      <c r="H72">
        <f t="shared" ca="1" si="9"/>
        <v>27</v>
      </c>
      <c r="I72">
        <f>IF(C72="RB",LeagueInfo!$D$4*LeagueInfo!$F$2,IF(C72="WR",LeagueInfo!$D$5*LeagueInfo!$F$2,IF(C72="TE",LeagueInfo!$D$6*LeagueInfo!$F$2,LeagueInfo!$D$3*LeagueInfo!$F$2)))</f>
        <v>24</v>
      </c>
    </row>
    <row r="73" spans="1:9" x14ac:dyDescent="0.35">
      <c r="A73">
        <f t="shared" ca="1" si="5"/>
        <v>75</v>
      </c>
      <c r="B73" t="s">
        <v>493</v>
      </c>
      <c r="C73" t="s">
        <v>32</v>
      </c>
      <c r="D73">
        <f t="shared" ca="1" si="6"/>
        <v>182.53</v>
      </c>
      <c r="E73" s="5">
        <f t="shared" ca="1" si="7"/>
        <v>80.45</v>
      </c>
      <c r="F73" t="str">
        <f ca="1">IF(H73&lt;=I73,"Starter",IF(G73&gt;=LARGE(G:G,FlexOn*LeagueInfo!$F$2),"Starter","Bench"))</f>
        <v>Starter</v>
      </c>
      <c r="G73">
        <f t="shared" ca="1" si="8"/>
        <v>182.53</v>
      </c>
      <c r="H73">
        <f t="shared" ca="1" si="9"/>
        <v>25</v>
      </c>
      <c r="I73">
        <f>IF(C73="RB",LeagueInfo!$D$4*LeagueInfo!$F$2,IF(C73="WR",LeagueInfo!$D$5*LeagueInfo!$F$2,IF(C73="TE",LeagueInfo!$D$6*LeagueInfo!$F$2,LeagueInfo!$D$3*LeagueInfo!$F$2)))</f>
        <v>24</v>
      </c>
    </row>
    <row r="74" spans="1:9" x14ac:dyDescent="0.35">
      <c r="A74">
        <f t="shared" ca="1" si="5"/>
        <v>73</v>
      </c>
      <c r="B74" t="s">
        <v>509</v>
      </c>
      <c r="C74" t="s">
        <v>26</v>
      </c>
      <c r="D74">
        <f t="shared" ca="1" si="6"/>
        <v>182.81</v>
      </c>
      <c r="E74" s="5">
        <f t="shared" ca="1" si="7"/>
        <v>80.73</v>
      </c>
      <c r="F74" t="str">
        <f ca="1">IF(H74&lt;=I74,"Starter",IF(G74&gt;=LARGE(G:G,FlexOn*LeagueInfo!$F$2),"Starter","Bench"))</f>
        <v>Starter</v>
      </c>
      <c r="G74">
        <f t="shared" ca="1" si="8"/>
        <v>182.81</v>
      </c>
      <c r="H74">
        <f t="shared" ca="1" si="9"/>
        <v>32</v>
      </c>
      <c r="I74">
        <f>IF(C74="RB",LeagueInfo!$D$4*LeagueInfo!$F$2,IF(C74="WR",LeagueInfo!$D$5*LeagueInfo!$F$2,IF(C74="TE",LeagueInfo!$D$6*LeagueInfo!$F$2,LeagueInfo!$D$3*LeagueInfo!$F$2)))</f>
        <v>24</v>
      </c>
    </row>
    <row r="75" spans="1:9" x14ac:dyDescent="0.35">
      <c r="A75">
        <f t="shared" ca="1" si="5"/>
        <v>78</v>
      </c>
      <c r="B75" t="s">
        <v>422</v>
      </c>
      <c r="C75" t="s">
        <v>25</v>
      </c>
      <c r="D75">
        <f t="shared" ca="1" si="6"/>
        <v>180.53</v>
      </c>
      <c r="E75" s="5">
        <f t="shared" ca="1" si="7"/>
        <v>78.45</v>
      </c>
      <c r="F75" t="str">
        <f ca="1">IF(H75&lt;=I75,"Starter",IF(G75&gt;=LARGE(G:G,FlexOn*LeagueInfo!$F$2),"Starter","Bench"))</f>
        <v>Starter</v>
      </c>
      <c r="G75">
        <f t="shared" ca="1" si="8"/>
        <v>0</v>
      </c>
      <c r="H75">
        <f t="shared" ca="1" si="9"/>
        <v>19</v>
      </c>
      <c r="I75">
        <f>IF(C75="RB",LeagueInfo!$D$4*LeagueInfo!$F$2,IF(C75="WR",LeagueInfo!$D$5*LeagueInfo!$F$2,IF(C75="TE",LeagueInfo!$D$6*LeagueInfo!$F$2,LeagueInfo!$D$3*LeagueInfo!$F$2)))</f>
        <v>24</v>
      </c>
    </row>
    <row r="76" spans="1:9" x14ac:dyDescent="0.35">
      <c r="A76">
        <f t="shared" ca="1" si="5"/>
        <v>54</v>
      </c>
      <c r="B76" t="s">
        <v>855</v>
      </c>
      <c r="C76" t="s">
        <v>26</v>
      </c>
      <c r="D76">
        <f t="shared" ca="1" si="6"/>
        <v>204.01200000000003</v>
      </c>
      <c r="E76" s="5">
        <f t="shared" ca="1" si="7"/>
        <v>101.93200000000003</v>
      </c>
      <c r="F76" t="str">
        <f ca="1">IF(H76&lt;=I76,"Starter",IF(G76&gt;=LARGE(G:G,FlexOn*LeagueInfo!$F$2),"Starter","Bench"))</f>
        <v>Starter</v>
      </c>
      <c r="G76">
        <f t="shared" ca="1" si="8"/>
        <v>204.01200000000003</v>
      </c>
      <c r="H76">
        <f t="shared" ca="1" si="9"/>
        <v>31</v>
      </c>
      <c r="I76">
        <f>IF(C76="RB",LeagueInfo!$D$4*LeagueInfo!$F$2,IF(C76="WR",LeagueInfo!$D$5*LeagueInfo!$F$2,IF(C76="TE",LeagueInfo!$D$6*LeagueInfo!$F$2,LeagueInfo!$D$3*LeagueInfo!$F$2)))</f>
        <v>24</v>
      </c>
    </row>
    <row r="77" spans="1:9" x14ac:dyDescent="0.35">
      <c r="A77">
        <f t="shared" ca="1" si="5"/>
        <v>69</v>
      </c>
      <c r="B77" t="s">
        <v>120</v>
      </c>
      <c r="C77" t="s">
        <v>32</v>
      </c>
      <c r="D77">
        <f t="shared" ca="1" si="6"/>
        <v>184.84</v>
      </c>
      <c r="E77" s="5">
        <f t="shared" ca="1" si="7"/>
        <v>82.76</v>
      </c>
      <c r="F77" t="str">
        <f ca="1">IF(H77&lt;=I77,"Starter",IF(G77&gt;=LARGE(G:G,FlexOn*LeagueInfo!$F$2),"Starter","Bench"))</f>
        <v>Starter</v>
      </c>
      <c r="G77">
        <f t="shared" ca="1" si="8"/>
        <v>0</v>
      </c>
      <c r="H77">
        <f t="shared" ca="1" si="9"/>
        <v>21</v>
      </c>
      <c r="I77">
        <f>IF(C77="RB",LeagueInfo!$D$4*LeagueInfo!$F$2,IF(C77="WR",LeagueInfo!$D$5*LeagueInfo!$F$2,IF(C77="TE",LeagueInfo!$D$6*LeagueInfo!$F$2,LeagueInfo!$D$3*LeagueInfo!$F$2)))</f>
        <v>24</v>
      </c>
    </row>
    <row r="78" spans="1:9" x14ac:dyDescent="0.35">
      <c r="A78">
        <f t="shared" ca="1" si="5"/>
        <v>81</v>
      </c>
      <c r="B78" t="s">
        <v>790</v>
      </c>
      <c r="C78" t="s">
        <v>32</v>
      </c>
      <c r="D78">
        <f t="shared" ca="1" si="6"/>
        <v>178.60000000000002</v>
      </c>
      <c r="E78" s="5">
        <f t="shared" ca="1" si="7"/>
        <v>76.520000000000024</v>
      </c>
      <c r="F78" t="str">
        <f ca="1">IF(H78&lt;=I78,"Starter",IF(G78&gt;=LARGE(G:G,FlexOn*LeagueInfo!$F$2),"Starter","Bench"))</f>
        <v>Bench</v>
      </c>
      <c r="G78">
        <f t="shared" ca="1" si="8"/>
        <v>178.60000000000002</v>
      </c>
      <c r="H78">
        <f t="shared" ca="1" si="9"/>
        <v>29</v>
      </c>
      <c r="I78">
        <f>IF(C78="RB",LeagueInfo!$D$4*LeagueInfo!$F$2,IF(C78="WR",LeagueInfo!$D$5*LeagueInfo!$F$2,IF(C78="TE",LeagueInfo!$D$6*LeagueInfo!$F$2,LeagueInfo!$D$3*LeagueInfo!$F$2)))</f>
        <v>24</v>
      </c>
    </row>
    <row r="79" spans="1:9" x14ac:dyDescent="0.35">
      <c r="A79">
        <f t="shared" ca="1" si="5"/>
        <v>77</v>
      </c>
      <c r="B79" t="s">
        <v>908</v>
      </c>
      <c r="C79" t="s">
        <v>32</v>
      </c>
      <c r="D79">
        <f t="shared" ca="1" si="6"/>
        <v>181.76</v>
      </c>
      <c r="E79" s="5">
        <f t="shared" ca="1" si="7"/>
        <v>79.679999999999993</v>
      </c>
      <c r="F79" t="str">
        <f ca="1">IF(H79&lt;=I79,"Starter",IF(G79&gt;=LARGE(G:G,FlexOn*LeagueInfo!$F$2),"Starter","Bench"))</f>
        <v>Starter</v>
      </c>
      <c r="G79">
        <f t="shared" ca="1" si="8"/>
        <v>181.76</v>
      </c>
      <c r="H79">
        <f t="shared" ca="1" si="9"/>
        <v>26</v>
      </c>
      <c r="I79">
        <f>IF(C79="RB",LeagueInfo!$D$4*LeagueInfo!$F$2,IF(C79="WR",LeagueInfo!$D$5*LeagueInfo!$F$2,IF(C79="TE",LeagueInfo!$D$6*LeagueInfo!$F$2,LeagueInfo!$D$3*LeagueInfo!$F$2)))</f>
        <v>24</v>
      </c>
    </row>
    <row r="80" spans="1:9" x14ac:dyDescent="0.35">
      <c r="A80">
        <f t="shared" ca="1" si="5"/>
        <v>80</v>
      </c>
      <c r="B80" t="s">
        <v>711</v>
      </c>
      <c r="C80" t="s">
        <v>32</v>
      </c>
      <c r="D80">
        <f t="shared" ca="1" si="6"/>
        <v>179.56</v>
      </c>
      <c r="E80" s="5">
        <f t="shared" ca="1" si="7"/>
        <v>77.48</v>
      </c>
      <c r="F80" t="str">
        <f ca="1">IF(H80&lt;=I80,"Starter",IF(G80&gt;=LARGE(G:G,FlexOn*LeagueInfo!$F$2),"Starter","Bench"))</f>
        <v>Starter</v>
      </c>
      <c r="G80">
        <f t="shared" ca="1" si="8"/>
        <v>179.56</v>
      </c>
      <c r="H80">
        <f t="shared" ca="1" si="9"/>
        <v>28</v>
      </c>
      <c r="I80">
        <f>IF(C80="RB",LeagueInfo!$D$4*LeagueInfo!$F$2,IF(C80="WR",LeagueInfo!$D$5*LeagueInfo!$F$2,IF(C80="TE",LeagueInfo!$D$6*LeagueInfo!$F$2,LeagueInfo!$D$3*LeagueInfo!$F$2)))</f>
        <v>24</v>
      </c>
    </row>
    <row r="81" spans="1:9" x14ac:dyDescent="0.35">
      <c r="A81">
        <f t="shared" ca="1" si="5"/>
        <v>76</v>
      </c>
      <c r="B81" t="s">
        <v>232</v>
      </c>
      <c r="C81" t="s">
        <v>25</v>
      </c>
      <c r="D81">
        <f t="shared" ca="1" si="6"/>
        <v>182.06</v>
      </c>
      <c r="E81" s="5">
        <f t="shared" ca="1" si="7"/>
        <v>79.98</v>
      </c>
      <c r="F81" t="str">
        <f ca="1">IF(H81&lt;=I81,"Starter",IF(G81&gt;=LARGE(G:G,FlexOn*LeagueInfo!$F$2),"Starter","Bench"))</f>
        <v>Starter</v>
      </c>
      <c r="G81">
        <f t="shared" ca="1" si="8"/>
        <v>0</v>
      </c>
      <c r="H81">
        <f t="shared" ca="1" si="9"/>
        <v>18</v>
      </c>
      <c r="I81">
        <f>IF(C81="RB",LeagueInfo!$D$4*LeagueInfo!$F$2,IF(C81="WR",LeagueInfo!$D$5*LeagueInfo!$F$2,IF(C81="TE",LeagueInfo!$D$6*LeagueInfo!$F$2,LeagueInfo!$D$3*LeagueInfo!$F$2)))</f>
        <v>24</v>
      </c>
    </row>
    <row r="82" spans="1:9" x14ac:dyDescent="0.35">
      <c r="A82">
        <f t="shared" ca="1" si="5"/>
        <v>82</v>
      </c>
      <c r="B82" t="s">
        <v>725</v>
      </c>
      <c r="C82" t="s">
        <v>40</v>
      </c>
      <c r="D82">
        <f t="shared" ca="1" si="6"/>
        <v>177.68</v>
      </c>
      <c r="E82" s="5">
        <f t="shared" ca="1" si="7"/>
        <v>75.600000000000009</v>
      </c>
      <c r="F82" t="str">
        <f ca="1">IF(H82&lt;=I82,"Starter",IF(G82&gt;=LARGE(G:G,FlexOn*LeagueInfo!$F$2),"Starter","Bench"))</f>
        <v>Starter</v>
      </c>
      <c r="G82">
        <f t="shared" ca="1" si="8"/>
        <v>0</v>
      </c>
      <c r="H82">
        <f t="shared" ca="1" si="9"/>
        <v>2</v>
      </c>
      <c r="I82">
        <f>IF(C82="RB",LeagueInfo!$D$4*LeagueInfo!$F$2,IF(C82="WR",LeagueInfo!$D$5*LeagueInfo!$F$2,IF(C82="TE",LeagueInfo!$D$6*LeagueInfo!$F$2,LeagueInfo!$D$3*LeagueInfo!$F$2)))</f>
        <v>12</v>
      </c>
    </row>
    <row r="83" spans="1:9" x14ac:dyDescent="0.35">
      <c r="A83">
        <f t="shared" ca="1" si="5"/>
        <v>85</v>
      </c>
      <c r="B83" t="s">
        <v>359</v>
      </c>
      <c r="C83" t="s">
        <v>32</v>
      </c>
      <c r="D83">
        <f t="shared" ca="1" si="6"/>
        <v>175.06</v>
      </c>
      <c r="E83" s="5">
        <f t="shared" ca="1" si="7"/>
        <v>72.98</v>
      </c>
      <c r="F83" t="str">
        <f ca="1">IF(H83&lt;=I83,"Starter",IF(G83&gt;=LARGE(G:G,FlexOn*LeagueInfo!$F$2),"Starter","Bench"))</f>
        <v>Bench</v>
      </c>
      <c r="G83">
        <f t="shared" ca="1" si="8"/>
        <v>175.06</v>
      </c>
      <c r="H83">
        <f t="shared" ca="1" si="9"/>
        <v>31</v>
      </c>
      <c r="I83">
        <f>IF(C83="RB",LeagueInfo!$D$4*LeagueInfo!$F$2,IF(C83="WR",LeagueInfo!$D$5*LeagueInfo!$F$2,IF(C83="TE",LeagueInfo!$D$6*LeagueInfo!$F$2,LeagueInfo!$D$3*LeagueInfo!$F$2)))</f>
        <v>24</v>
      </c>
    </row>
    <row r="84" spans="1:9" x14ac:dyDescent="0.35">
      <c r="A84">
        <f t="shared" ca="1" si="5"/>
        <v>86</v>
      </c>
      <c r="B84" t="s">
        <v>621</v>
      </c>
      <c r="C84" t="s">
        <v>25</v>
      </c>
      <c r="D84">
        <f t="shared" ca="1" si="6"/>
        <v>174.61</v>
      </c>
      <c r="E84" s="5">
        <f t="shared" ca="1" si="7"/>
        <v>72.530000000000015</v>
      </c>
      <c r="F84" t="str">
        <f ca="1">IF(H84&lt;=I84,"Starter",IF(G84&gt;=LARGE(G:G,FlexOn*LeagueInfo!$F$2),"Starter","Bench"))</f>
        <v>Starter</v>
      </c>
      <c r="G84">
        <f t="shared" ca="1" si="8"/>
        <v>0</v>
      </c>
      <c r="H84">
        <f t="shared" ca="1" si="9"/>
        <v>21</v>
      </c>
      <c r="I84">
        <f>IF(C84="RB",LeagueInfo!$D$4*LeagueInfo!$F$2,IF(C84="WR",LeagueInfo!$D$5*LeagueInfo!$F$2,IF(C84="TE",LeagueInfo!$D$6*LeagueInfo!$F$2,LeagueInfo!$D$3*LeagueInfo!$F$2)))</f>
        <v>24</v>
      </c>
    </row>
    <row r="85" spans="1:9" x14ac:dyDescent="0.35">
      <c r="A85">
        <f t="shared" ca="1" si="5"/>
        <v>89</v>
      </c>
      <c r="B85" t="s">
        <v>540</v>
      </c>
      <c r="C85" t="s">
        <v>25</v>
      </c>
      <c r="D85">
        <f t="shared" ca="1" si="6"/>
        <v>172.45999999999998</v>
      </c>
      <c r="E85" s="5">
        <f t="shared" ca="1" si="7"/>
        <v>70.379999999999981</v>
      </c>
      <c r="F85" t="str">
        <f ca="1">IF(H85&lt;=I85,"Starter",IF(G85&gt;=LARGE(G:G,FlexOn*LeagueInfo!$F$2),"Starter","Bench"))</f>
        <v>Starter</v>
      </c>
      <c r="G85">
        <f t="shared" ca="1" si="8"/>
        <v>0</v>
      </c>
      <c r="H85">
        <f t="shared" ca="1" si="9"/>
        <v>23</v>
      </c>
      <c r="I85">
        <f>IF(C85="RB",LeagueInfo!$D$4*LeagueInfo!$F$2,IF(C85="WR",LeagueInfo!$D$5*LeagueInfo!$F$2,IF(C85="TE",LeagueInfo!$D$6*LeagueInfo!$F$2,LeagueInfo!$D$3*LeagueInfo!$F$2)))</f>
        <v>24</v>
      </c>
    </row>
    <row r="86" spans="1:9" x14ac:dyDescent="0.35">
      <c r="A86">
        <f t="shared" ca="1" si="5"/>
        <v>84</v>
      </c>
      <c r="B86" t="s">
        <v>240</v>
      </c>
      <c r="C86" t="s">
        <v>32</v>
      </c>
      <c r="D86">
        <f t="shared" ca="1" si="6"/>
        <v>175.10000000000002</v>
      </c>
      <c r="E86" s="5">
        <f t="shared" ca="1" si="7"/>
        <v>73.020000000000024</v>
      </c>
      <c r="F86" t="str">
        <f ca="1">IF(H86&lt;=I86,"Starter",IF(G86&gt;=LARGE(G:G,FlexOn*LeagueInfo!$F$2),"Starter","Bench"))</f>
        <v>Bench</v>
      </c>
      <c r="G86">
        <f t="shared" ca="1" si="8"/>
        <v>175.10000000000002</v>
      </c>
      <c r="H86">
        <f t="shared" ca="1" si="9"/>
        <v>30</v>
      </c>
      <c r="I86">
        <f>IF(C86="RB",LeagueInfo!$D$4*LeagueInfo!$F$2,IF(C86="WR",LeagueInfo!$D$5*LeagueInfo!$F$2,IF(C86="TE",LeagueInfo!$D$6*LeagueInfo!$F$2,LeagueInfo!$D$3*LeagueInfo!$F$2)))</f>
        <v>24</v>
      </c>
    </row>
    <row r="87" spans="1:9" x14ac:dyDescent="0.35">
      <c r="A87">
        <f t="shared" ca="1" si="5"/>
        <v>87</v>
      </c>
      <c r="B87" t="s">
        <v>230</v>
      </c>
      <c r="C87" t="s">
        <v>25</v>
      </c>
      <c r="D87">
        <f t="shared" ca="1" si="6"/>
        <v>173.70000000000002</v>
      </c>
      <c r="E87" s="5">
        <f t="shared" ca="1" si="7"/>
        <v>71.620000000000019</v>
      </c>
      <c r="F87" t="str">
        <f ca="1">IF(H87&lt;=I87,"Starter",IF(G87&gt;=LARGE(G:G,FlexOn*LeagueInfo!$F$2),"Starter","Bench"))</f>
        <v>Starter</v>
      </c>
      <c r="G87">
        <f t="shared" ca="1" si="8"/>
        <v>0</v>
      </c>
      <c r="H87">
        <f t="shared" ca="1" si="9"/>
        <v>22</v>
      </c>
      <c r="I87">
        <f>IF(C87="RB",LeagueInfo!$D$4*LeagueInfo!$F$2,IF(C87="WR",LeagueInfo!$D$5*LeagueInfo!$F$2,IF(C87="TE",LeagueInfo!$D$6*LeagueInfo!$F$2,LeagueInfo!$D$3*LeagueInfo!$F$2)))</f>
        <v>24</v>
      </c>
    </row>
    <row r="88" spans="1:9" x14ac:dyDescent="0.35">
      <c r="A88">
        <f t="shared" ca="1" si="5"/>
        <v>92</v>
      </c>
      <c r="B88" t="s">
        <v>233</v>
      </c>
      <c r="C88" t="s">
        <v>25</v>
      </c>
      <c r="D88">
        <f t="shared" ca="1" si="6"/>
        <v>167.85999999999999</v>
      </c>
      <c r="E88" s="5">
        <f t="shared" ca="1" si="7"/>
        <v>65.779999999999987</v>
      </c>
      <c r="F88" t="str">
        <f ca="1">IF(H88&lt;=I88,"Starter",IF(G88&gt;=LARGE(G:G,FlexOn*LeagueInfo!$F$2),"Starter","Bench"))</f>
        <v>Starter</v>
      </c>
      <c r="G88">
        <f t="shared" ca="1" si="8"/>
        <v>0</v>
      </c>
      <c r="H88">
        <f t="shared" ca="1" si="9"/>
        <v>24</v>
      </c>
      <c r="I88">
        <f>IF(C88="RB",LeagueInfo!$D$4*LeagueInfo!$F$2,IF(C88="WR",LeagueInfo!$D$5*LeagueInfo!$F$2,IF(C88="TE",LeagueInfo!$D$6*LeagueInfo!$F$2,LeagueInfo!$D$3*LeagueInfo!$F$2)))</f>
        <v>24</v>
      </c>
    </row>
    <row r="89" spans="1:9" x14ac:dyDescent="0.35">
      <c r="A89">
        <f t="shared" ca="1" si="5"/>
        <v>88</v>
      </c>
      <c r="B89" t="s">
        <v>743</v>
      </c>
      <c r="C89" t="s">
        <v>32</v>
      </c>
      <c r="D89">
        <f t="shared" ca="1" si="6"/>
        <v>172.64000000000001</v>
      </c>
      <c r="E89" s="5">
        <f t="shared" ca="1" si="7"/>
        <v>70.560000000000016</v>
      </c>
      <c r="F89" t="str">
        <f ca="1">IF(H89&lt;=I89,"Starter",IF(G89&gt;=LARGE(G:G,FlexOn*LeagueInfo!$F$2),"Starter","Bench"))</f>
        <v>Bench</v>
      </c>
      <c r="G89">
        <f t="shared" ca="1" si="8"/>
        <v>172.64000000000001</v>
      </c>
      <c r="H89">
        <f t="shared" ca="1" si="9"/>
        <v>32</v>
      </c>
      <c r="I89">
        <f>IF(C89="RB",LeagueInfo!$D$4*LeagueInfo!$F$2,IF(C89="WR",LeagueInfo!$D$5*LeagueInfo!$F$2,IF(C89="TE",LeagueInfo!$D$6*LeagueInfo!$F$2,LeagueInfo!$D$3*LeagueInfo!$F$2)))</f>
        <v>24</v>
      </c>
    </row>
    <row r="90" spans="1:9" x14ac:dyDescent="0.35">
      <c r="A90">
        <f t="shared" ca="1" si="5"/>
        <v>74</v>
      </c>
      <c r="B90" t="s">
        <v>491</v>
      </c>
      <c r="C90" t="s">
        <v>32</v>
      </c>
      <c r="D90">
        <f t="shared" ca="1" si="6"/>
        <v>182.72</v>
      </c>
      <c r="E90" s="5">
        <f t="shared" ca="1" si="7"/>
        <v>80.64</v>
      </c>
      <c r="F90" t="str">
        <f ca="1">IF(H90&lt;=I90,"Starter",IF(G90&gt;=LARGE(G:G,FlexOn*LeagueInfo!$F$2),"Starter","Bench"))</f>
        <v>Starter</v>
      </c>
      <c r="G90">
        <f t="shared" ca="1" si="8"/>
        <v>0</v>
      </c>
      <c r="H90">
        <f t="shared" ca="1" si="9"/>
        <v>24</v>
      </c>
      <c r="I90">
        <f>IF(C90="RB",LeagueInfo!$D$4*LeagueInfo!$F$2,IF(C90="WR",LeagueInfo!$D$5*LeagueInfo!$F$2,IF(C90="TE",LeagueInfo!$D$6*LeagueInfo!$F$2,LeagueInfo!$D$3*LeagueInfo!$F$2)))</f>
        <v>24</v>
      </c>
    </row>
    <row r="91" spans="1:9" x14ac:dyDescent="0.35">
      <c r="A91">
        <f t="shared" ca="1" si="5"/>
        <v>90</v>
      </c>
      <c r="B91" t="s">
        <v>362</v>
      </c>
      <c r="C91" t="s">
        <v>32</v>
      </c>
      <c r="D91">
        <f t="shared" ca="1" si="6"/>
        <v>171.73000000000002</v>
      </c>
      <c r="E91" s="5">
        <f t="shared" ca="1" si="7"/>
        <v>69.65000000000002</v>
      </c>
      <c r="F91" t="str">
        <f ca="1">IF(H91&lt;=I91,"Starter",IF(G91&gt;=LARGE(G:G,FlexOn*LeagueInfo!$F$2),"Starter","Bench"))</f>
        <v>Bench</v>
      </c>
      <c r="G91">
        <f t="shared" ca="1" si="8"/>
        <v>171.73000000000002</v>
      </c>
      <c r="H91">
        <f t="shared" ca="1" si="9"/>
        <v>33</v>
      </c>
      <c r="I91">
        <f>IF(C91="RB",LeagueInfo!$D$4*LeagueInfo!$F$2,IF(C91="WR",LeagueInfo!$D$5*LeagueInfo!$F$2,IF(C91="TE",LeagueInfo!$D$6*LeagueInfo!$F$2,LeagueInfo!$D$3*LeagueInfo!$F$2)))</f>
        <v>24</v>
      </c>
    </row>
    <row r="92" spans="1:9" x14ac:dyDescent="0.35">
      <c r="A92">
        <f t="shared" ca="1" si="5"/>
        <v>91</v>
      </c>
      <c r="B92" t="s">
        <v>371</v>
      </c>
      <c r="C92" t="s">
        <v>40</v>
      </c>
      <c r="D92">
        <f t="shared" ca="1" si="6"/>
        <v>169.29000000000002</v>
      </c>
      <c r="E92" s="5">
        <f t="shared" ca="1" si="7"/>
        <v>67.210000000000022</v>
      </c>
      <c r="F92" t="str">
        <f ca="1">IF(H92&lt;=I92,"Starter",IF(G92&gt;=LARGE(G:G,FlexOn*LeagueInfo!$F$2),"Starter","Bench"))</f>
        <v>Starter</v>
      </c>
      <c r="G92">
        <f t="shared" ca="1" si="8"/>
        <v>0</v>
      </c>
      <c r="H92">
        <f t="shared" ca="1" si="9"/>
        <v>3</v>
      </c>
      <c r="I92">
        <f>IF(C92="RB",LeagueInfo!$D$4*LeagueInfo!$F$2,IF(C92="WR",LeagueInfo!$D$5*LeagueInfo!$F$2,IF(C92="TE",LeagueInfo!$D$6*LeagueInfo!$F$2,LeagueInfo!$D$3*LeagueInfo!$F$2)))</f>
        <v>12</v>
      </c>
    </row>
    <row r="93" spans="1:9" x14ac:dyDescent="0.35">
      <c r="A93">
        <f t="shared" ca="1" si="5"/>
        <v>111</v>
      </c>
      <c r="B93" t="s">
        <v>595</v>
      </c>
      <c r="C93" t="s">
        <v>32</v>
      </c>
      <c r="D93">
        <f t="shared" ca="1" si="6"/>
        <v>150.15</v>
      </c>
      <c r="E93" s="5">
        <f t="shared" ca="1" si="7"/>
        <v>48.070000000000007</v>
      </c>
      <c r="F93" t="str">
        <f ca="1">IF(H93&lt;=I93,"Starter",IF(G93&gt;=LARGE(G:G,FlexOn*LeagueInfo!$F$2),"Starter","Bench"))</f>
        <v>Bench</v>
      </c>
      <c r="G93">
        <f t="shared" ca="1" si="8"/>
        <v>150.15</v>
      </c>
      <c r="H93">
        <f t="shared" ca="1" si="9"/>
        <v>41</v>
      </c>
      <c r="I93">
        <f>IF(C93="RB",LeagueInfo!$D$4*LeagueInfo!$F$2,IF(C93="WR",LeagueInfo!$D$5*LeagueInfo!$F$2,IF(C93="TE",LeagueInfo!$D$6*LeagueInfo!$F$2,LeagueInfo!$D$3*LeagueInfo!$F$2)))</f>
        <v>24</v>
      </c>
    </row>
    <row r="94" spans="1:9" x14ac:dyDescent="0.35">
      <c r="A94">
        <f t="shared" ca="1" si="5"/>
        <v>83</v>
      </c>
      <c r="B94" t="s">
        <v>545</v>
      </c>
      <c r="C94" t="s">
        <v>25</v>
      </c>
      <c r="D94">
        <f t="shared" ca="1" si="6"/>
        <v>175.12000000000003</v>
      </c>
      <c r="E94" s="5">
        <f t="shared" ca="1" si="7"/>
        <v>73.040000000000035</v>
      </c>
      <c r="F94" t="str">
        <f ca="1">IF(H94&lt;=I94,"Starter",IF(G94&gt;=LARGE(G:G,FlexOn*LeagueInfo!$F$2),"Starter","Bench"))</f>
        <v>Starter</v>
      </c>
      <c r="G94">
        <f t="shared" ca="1" si="8"/>
        <v>0</v>
      </c>
      <c r="H94">
        <f t="shared" ca="1" si="9"/>
        <v>20</v>
      </c>
      <c r="I94">
        <f>IF(C94="RB",LeagueInfo!$D$4*LeagueInfo!$F$2,IF(C94="WR",LeagueInfo!$D$5*LeagueInfo!$F$2,IF(C94="TE",LeagueInfo!$D$6*LeagueInfo!$F$2,LeagueInfo!$D$3*LeagueInfo!$F$2)))</f>
        <v>24</v>
      </c>
    </row>
    <row r="95" spans="1:9" x14ac:dyDescent="0.35">
      <c r="A95">
        <f t="shared" ca="1" si="5"/>
        <v>95</v>
      </c>
      <c r="B95" t="s">
        <v>517</v>
      </c>
      <c r="C95" t="s">
        <v>25</v>
      </c>
      <c r="D95">
        <f t="shared" ca="1" si="6"/>
        <v>163.26000000000002</v>
      </c>
      <c r="E95" s="5">
        <f t="shared" ca="1" si="7"/>
        <v>61.180000000000021</v>
      </c>
      <c r="F95" t="str">
        <f ca="1">IF(H95&lt;=I95,"Starter",IF(G95&gt;=LARGE(G:G,FlexOn*LeagueInfo!$F$2),"Starter","Bench"))</f>
        <v>Bench</v>
      </c>
      <c r="G95">
        <f t="shared" ca="1" si="8"/>
        <v>163.26000000000002</v>
      </c>
      <c r="H95">
        <f t="shared" ca="1" si="9"/>
        <v>26</v>
      </c>
      <c r="I95">
        <f>IF(C95="RB",LeagueInfo!$D$4*LeagueInfo!$F$2,IF(C95="WR",LeagueInfo!$D$5*LeagueInfo!$F$2,IF(C95="TE",LeagueInfo!$D$6*LeagueInfo!$F$2,LeagueInfo!$D$3*LeagueInfo!$F$2)))</f>
        <v>24</v>
      </c>
    </row>
    <row r="96" spans="1:9" x14ac:dyDescent="0.35">
      <c r="A96">
        <f t="shared" ca="1" si="5"/>
        <v>98</v>
      </c>
      <c r="B96" t="s">
        <v>437</v>
      </c>
      <c r="C96" t="s">
        <v>32</v>
      </c>
      <c r="D96">
        <f t="shared" ca="1" si="6"/>
        <v>160.71000000000004</v>
      </c>
      <c r="E96" s="5">
        <f t="shared" ca="1" si="7"/>
        <v>58.630000000000038</v>
      </c>
      <c r="F96" t="str">
        <f ca="1">IF(H96&lt;=I96,"Starter",IF(G96&gt;=LARGE(G:G,FlexOn*LeagueInfo!$F$2),"Starter","Bench"))</f>
        <v>Bench</v>
      </c>
      <c r="G96">
        <f t="shared" ca="1" si="8"/>
        <v>160.71000000000004</v>
      </c>
      <c r="H96">
        <f t="shared" ca="1" si="9"/>
        <v>36</v>
      </c>
      <c r="I96">
        <f>IF(C96="RB",LeagueInfo!$D$4*LeagueInfo!$F$2,IF(C96="WR",LeagueInfo!$D$5*LeagueInfo!$F$2,IF(C96="TE",LeagueInfo!$D$6*LeagueInfo!$F$2,LeagueInfo!$D$3*LeagueInfo!$F$2)))</f>
        <v>24</v>
      </c>
    </row>
    <row r="97" spans="1:9" x14ac:dyDescent="0.35">
      <c r="A97">
        <f t="shared" ca="1" si="5"/>
        <v>101</v>
      </c>
      <c r="B97" t="s">
        <v>257</v>
      </c>
      <c r="C97" t="s">
        <v>40</v>
      </c>
      <c r="D97">
        <f t="shared" ca="1" si="6"/>
        <v>156.11000000000001</v>
      </c>
      <c r="E97" s="5">
        <f t="shared" ca="1" si="7"/>
        <v>54.030000000000015</v>
      </c>
      <c r="F97" t="str">
        <f ca="1">IF(H97&lt;=I97,"Starter",IF(G97&gt;=LARGE(G:G,FlexOn*LeagueInfo!$F$2),"Starter","Bench"))</f>
        <v>Starter</v>
      </c>
      <c r="G97">
        <f t="shared" ca="1" si="8"/>
        <v>0</v>
      </c>
      <c r="H97">
        <f t="shared" ca="1" si="9"/>
        <v>5</v>
      </c>
      <c r="I97">
        <f>IF(C97="RB",LeagueInfo!$D$4*LeagueInfo!$F$2,IF(C97="WR",LeagueInfo!$D$5*LeagueInfo!$F$2,IF(C97="TE",LeagueInfo!$D$6*LeagueInfo!$F$2,LeagueInfo!$D$3*LeagueInfo!$F$2)))</f>
        <v>12</v>
      </c>
    </row>
    <row r="98" spans="1:9" x14ac:dyDescent="0.35">
      <c r="A98">
        <f t="shared" ca="1" si="5"/>
        <v>100</v>
      </c>
      <c r="B98" t="s">
        <v>727</v>
      </c>
      <c r="C98" t="s">
        <v>32</v>
      </c>
      <c r="D98">
        <f t="shared" ca="1" si="6"/>
        <v>160.50000000000003</v>
      </c>
      <c r="E98" s="5">
        <f t="shared" ca="1" si="7"/>
        <v>58.42000000000003</v>
      </c>
      <c r="F98" t="str">
        <f ca="1">IF(H98&lt;=I98,"Starter",IF(G98&gt;=LARGE(G:G,FlexOn*LeagueInfo!$F$2),"Starter","Bench"))</f>
        <v>Bench</v>
      </c>
      <c r="G98">
        <f t="shared" ca="1" si="8"/>
        <v>160.50000000000003</v>
      </c>
      <c r="H98">
        <f t="shared" ca="1" si="9"/>
        <v>37</v>
      </c>
      <c r="I98">
        <f>IF(C98="RB",LeagueInfo!$D$4*LeagueInfo!$F$2,IF(C98="WR",LeagueInfo!$D$5*LeagueInfo!$F$2,IF(C98="TE",LeagueInfo!$D$6*LeagueInfo!$F$2,LeagueInfo!$D$3*LeagueInfo!$F$2)))</f>
        <v>24</v>
      </c>
    </row>
    <row r="99" spans="1:9" x14ac:dyDescent="0.35">
      <c r="A99">
        <f t="shared" ca="1" si="5"/>
        <v>96</v>
      </c>
      <c r="B99" t="s">
        <v>427</v>
      </c>
      <c r="C99" t="s">
        <v>25</v>
      </c>
      <c r="D99">
        <f t="shared" ca="1" si="6"/>
        <v>163.19000000000003</v>
      </c>
      <c r="E99" s="5">
        <f t="shared" ca="1" si="7"/>
        <v>61.110000000000028</v>
      </c>
      <c r="F99" t="str">
        <f ca="1">IF(H99&lt;=I99,"Starter",IF(G99&gt;=LARGE(G:G,FlexOn*LeagueInfo!$F$2),"Starter","Bench"))</f>
        <v>Bench</v>
      </c>
      <c r="G99">
        <f t="shared" ca="1" si="8"/>
        <v>163.19000000000003</v>
      </c>
      <c r="H99">
        <f t="shared" ca="1" si="9"/>
        <v>27</v>
      </c>
      <c r="I99">
        <f>IF(C99="RB",LeagueInfo!$D$4*LeagueInfo!$F$2,IF(C99="WR",LeagueInfo!$D$5*LeagueInfo!$F$2,IF(C99="TE",LeagueInfo!$D$6*LeagueInfo!$F$2,LeagueInfo!$D$3*LeagueInfo!$F$2)))</f>
        <v>24</v>
      </c>
    </row>
    <row r="100" spans="1:9" x14ac:dyDescent="0.35">
      <c r="A100">
        <f t="shared" ca="1" si="5"/>
        <v>93</v>
      </c>
      <c r="B100" t="s">
        <v>435</v>
      </c>
      <c r="C100" t="s">
        <v>32</v>
      </c>
      <c r="D100">
        <f t="shared" ca="1" si="6"/>
        <v>165.96</v>
      </c>
      <c r="E100" s="5">
        <f t="shared" ca="1" si="7"/>
        <v>63.88000000000001</v>
      </c>
      <c r="F100" t="str">
        <f ca="1">IF(H100&lt;=I100,"Starter",IF(G100&gt;=LARGE(G:G,FlexOn*LeagueInfo!$F$2),"Starter","Bench"))</f>
        <v>Bench</v>
      </c>
      <c r="G100">
        <f t="shared" ca="1" si="8"/>
        <v>165.96</v>
      </c>
      <c r="H100">
        <f t="shared" ca="1" si="9"/>
        <v>34</v>
      </c>
      <c r="I100">
        <f>IF(C100="RB",LeagueInfo!$D$4*LeagueInfo!$F$2,IF(C100="WR",LeagueInfo!$D$5*LeagueInfo!$F$2,IF(C100="TE",LeagueInfo!$D$6*LeagueInfo!$F$2,LeagueInfo!$D$3*LeagueInfo!$F$2)))</f>
        <v>24</v>
      </c>
    </row>
    <row r="101" spans="1:9" x14ac:dyDescent="0.35">
      <c r="A101">
        <f t="shared" ca="1" si="5"/>
        <v>103</v>
      </c>
      <c r="B101" t="s">
        <v>620</v>
      </c>
      <c r="C101" t="s">
        <v>25</v>
      </c>
      <c r="D101">
        <f t="shared" ca="1" si="6"/>
        <v>155.73000000000002</v>
      </c>
      <c r="E101" s="5">
        <f t="shared" ca="1" si="7"/>
        <v>53.65000000000002</v>
      </c>
      <c r="F101" t="str">
        <f ca="1">IF(H101&lt;=I101,"Starter",IF(G101&gt;=LARGE(G:G,FlexOn*LeagueInfo!$F$2),"Starter","Bench"))</f>
        <v>Bench</v>
      </c>
      <c r="G101">
        <f t="shared" ca="1" si="8"/>
        <v>155.73000000000002</v>
      </c>
      <c r="H101">
        <f t="shared" ca="1" si="9"/>
        <v>29</v>
      </c>
      <c r="I101">
        <f>IF(C101="RB",LeagueInfo!$D$4*LeagueInfo!$F$2,IF(C101="WR",LeagueInfo!$D$5*LeagueInfo!$F$2,IF(C101="TE",LeagueInfo!$D$6*LeagueInfo!$F$2,LeagueInfo!$D$3*LeagueInfo!$F$2)))</f>
        <v>24</v>
      </c>
    </row>
    <row r="102" spans="1:9" x14ac:dyDescent="0.35">
      <c r="A102">
        <f t="shared" ca="1" si="5"/>
        <v>115</v>
      </c>
      <c r="B102" t="s">
        <v>775</v>
      </c>
      <c r="C102" t="s">
        <v>25</v>
      </c>
      <c r="D102">
        <f t="shared" ca="1" si="6"/>
        <v>146.76</v>
      </c>
      <c r="E102" s="5">
        <f t="shared" ca="1" si="7"/>
        <v>44.679999999999993</v>
      </c>
      <c r="F102" t="str">
        <f ca="1">IF(H102&lt;=I102,"Starter",IF(G102&gt;=LARGE(G:G,FlexOn*LeagueInfo!$F$2),"Starter","Bench"))</f>
        <v>Bench</v>
      </c>
      <c r="G102">
        <f t="shared" ca="1" si="8"/>
        <v>146.76</v>
      </c>
      <c r="H102">
        <f t="shared" ca="1" si="9"/>
        <v>32</v>
      </c>
      <c r="I102">
        <f>IF(C102="RB",LeagueInfo!$D$4*LeagueInfo!$F$2,IF(C102="WR",LeagueInfo!$D$5*LeagueInfo!$F$2,IF(C102="TE",LeagueInfo!$D$6*LeagueInfo!$F$2,LeagueInfo!$D$3*LeagueInfo!$F$2)))</f>
        <v>24</v>
      </c>
    </row>
    <row r="103" spans="1:9" x14ac:dyDescent="0.35">
      <c r="A103">
        <f t="shared" ca="1" si="5"/>
        <v>107</v>
      </c>
      <c r="B103" t="s">
        <v>567</v>
      </c>
      <c r="C103" t="s">
        <v>40</v>
      </c>
      <c r="D103">
        <f t="shared" ca="1" si="6"/>
        <v>151.76</v>
      </c>
      <c r="E103" s="5">
        <f t="shared" ca="1" si="7"/>
        <v>49.679999999999993</v>
      </c>
      <c r="F103" t="str">
        <f ca="1">IF(H103&lt;=I103,"Starter",IF(G103&gt;=LARGE(G:G,FlexOn*LeagueInfo!$F$2),"Starter","Bench"))</f>
        <v>Starter</v>
      </c>
      <c r="G103">
        <f t="shared" ca="1" si="8"/>
        <v>0</v>
      </c>
      <c r="H103">
        <f t="shared" ca="1" si="9"/>
        <v>7</v>
      </c>
      <c r="I103">
        <f>IF(C103="RB",LeagueInfo!$D$4*LeagueInfo!$F$2,IF(C103="WR",LeagueInfo!$D$5*LeagueInfo!$F$2,IF(C103="TE",LeagueInfo!$D$6*LeagueInfo!$F$2,LeagueInfo!$D$3*LeagueInfo!$F$2)))</f>
        <v>12</v>
      </c>
    </row>
    <row r="104" spans="1:9" x14ac:dyDescent="0.35">
      <c r="A104">
        <f t="shared" ca="1" si="5"/>
        <v>104</v>
      </c>
      <c r="B104" t="s">
        <v>426</v>
      </c>
      <c r="C104" t="s">
        <v>25</v>
      </c>
      <c r="D104">
        <f t="shared" ca="1" si="6"/>
        <v>154.72999999999999</v>
      </c>
      <c r="E104" s="5">
        <f t="shared" ca="1" si="7"/>
        <v>52.649999999999991</v>
      </c>
      <c r="F104" t="str">
        <f ca="1">IF(H104&lt;=I104,"Starter",IF(G104&gt;=LARGE(G:G,FlexOn*LeagueInfo!$F$2),"Starter","Bench"))</f>
        <v>Bench</v>
      </c>
      <c r="G104">
        <f t="shared" ca="1" si="8"/>
        <v>154.72999999999999</v>
      </c>
      <c r="H104">
        <f t="shared" ca="1" si="9"/>
        <v>30</v>
      </c>
      <c r="I104">
        <f>IF(C104="RB",LeagueInfo!$D$4*LeagueInfo!$F$2,IF(C104="WR",LeagueInfo!$D$5*LeagueInfo!$F$2,IF(C104="TE",LeagueInfo!$D$6*LeagueInfo!$F$2,LeagueInfo!$D$3*LeagueInfo!$F$2)))</f>
        <v>24</v>
      </c>
    </row>
    <row r="105" spans="1:9" x14ac:dyDescent="0.35">
      <c r="A105">
        <f t="shared" ca="1" si="5"/>
        <v>99</v>
      </c>
      <c r="B105" t="s">
        <v>634</v>
      </c>
      <c r="C105" t="s">
        <v>40</v>
      </c>
      <c r="D105">
        <f t="shared" ca="1" si="6"/>
        <v>160.64000000000001</v>
      </c>
      <c r="E105" s="5">
        <f t="shared" ca="1" si="7"/>
        <v>58.560000000000016</v>
      </c>
      <c r="F105" t="str">
        <f ca="1">IF(H105&lt;=I105,"Starter",IF(G105&gt;=LARGE(G:G,FlexOn*LeagueInfo!$F$2),"Starter","Bench"))</f>
        <v>Starter</v>
      </c>
      <c r="G105">
        <f t="shared" ca="1" si="8"/>
        <v>0</v>
      </c>
      <c r="H105">
        <f t="shared" ca="1" si="9"/>
        <v>4</v>
      </c>
      <c r="I105">
        <f>IF(C105="RB",LeagueInfo!$D$4*LeagueInfo!$F$2,IF(C105="WR",LeagueInfo!$D$5*LeagueInfo!$F$2,IF(C105="TE",LeagueInfo!$D$6*LeagueInfo!$F$2,LeagueInfo!$D$3*LeagueInfo!$F$2)))</f>
        <v>12</v>
      </c>
    </row>
    <row r="106" spans="1:9" x14ac:dyDescent="0.35">
      <c r="A106">
        <f t="shared" ca="1" si="5"/>
        <v>109</v>
      </c>
      <c r="B106" t="s">
        <v>520</v>
      </c>
      <c r="C106" t="s">
        <v>25</v>
      </c>
      <c r="D106">
        <f t="shared" ca="1" si="6"/>
        <v>151.25</v>
      </c>
      <c r="E106" s="5">
        <f t="shared" ca="1" si="7"/>
        <v>49.17</v>
      </c>
      <c r="F106" t="str">
        <f ca="1">IF(H106&lt;=I106,"Starter",IF(G106&gt;=LARGE(G:G,FlexOn*LeagueInfo!$F$2),"Starter","Bench"))</f>
        <v>Bench</v>
      </c>
      <c r="G106">
        <f t="shared" ca="1" si="8"/>
        <v>151.25</v>
      </c>
      <c r="H106">
        <f t="shared" ca="1" si="9"/>
        <v>31</v>
      </c>
      <c r="I106">
        <f>IF(C106="RB",LeagueInfo!$D$4*LeagueInfo!$F$2,IF(C106="WR",LeagueInfo!$D$5*LeagueInfo!$F$2,IF(C106="TE",LeagueInfo!$D$6*LeagueInfo!$F$2,LeagueInfo!$D$3*LeagueInfo!$F$2)))</f>
        <v>24</v>
      </c>
    </row>
    <row r="107" spans="1:9" x14ac:dyDescent="0.35">
      <c r="A107">
        <f t="shared" ca="1" si="5"/>
        <v>112</v>
      </c>
      <c r="B107" t="s">
        <v>753</v>
      </c>
      <c r="C107" t="s">
        <v>32</v>
      </c>
      <c r="D107">
        <f t="shared" ca="1" si="6"/>
        <v>149.97000000000003</v>
      </c>
      <c r="E107" s="5">
        <f t="shared" ca="1" si="7"/>
        <v>47.890000000000029</v>
      </c>
      <c r="F107" t="str">
        <f ca="1">IF(H107&lt;=I107,"Starter",IF(G107&gt;=LARGE(G:G,FlexOn*LeagueInfo!$F$2),"Starter","Bench"))</f>
        <v>Bench</v>
      </c>
      <c r="G107">
        <f t="shared" ca="1" si="8"/>
        <v>149.97000000000003</v>
      </c>
      <c r="H107">
        <f t="shared" ca="1" si="9"/>
        <v>42</v>
      </c>
      <c r="I107">
        <f>IF(C107="RB",LeagueInfo!$D$4*LeagueInfo!$F$2,IF(C107="WR",LeagueInfo!$D$5*LeagueInfo!$F$2,IF(C107="TE",LeagueInfo!$D$6*LeagueInfo!$F$2,LeagueInfo!$D$3*LeagueInfo!$F$2)))</f>
        <v>24</v>
      </c>
    </row>
    <row r="108" spans="1:9" x14ac:dyDescent="0.35">
      <c r="A108">
        <f t="shared" ca="1" si="5"/>
        <v>105</v>
      </c>
      <c r="B108" t="s">
        <v>712</v>
      </c>
      <c r="C108" t="s">
        <v>40</v>
      </c>
      <c r="D108">
        <f t="shared" ca="1" si="6"/>
        <v>154.14000000000001</v>
      </c>
      <c r="E108" s="5">
        <f t="shared" ca="1" si="7"/>
        <v>52.060000000000016</v>
      </c>
      <c r="F108" t="str">
        <f ca="1">IF(H108&lt;=I108,"Starter",IF(G108&gt;=LARGE(G:G,FlexOn*LeagueInfo!$F$2),"Starter","Bench"))</f>
        <v>Starter</v>
      </c>
      <c r="G108">
        <f t="shared" ca="1" si="8"/>
        <v>0</v>
      </c>
      <c r="H108">
        <f t="shared" ca="1" si="9"/>
        <v>6</v>
      </c>
      <c r="I108">
        <f>IF(C108="RB",LeagueInfo!$D$4*LeagueInfo!$F$2,IF(C108="WR",LeagueInfo!$D$5*LeagueInfo!$F$2,IF(C108="TE",LeagueInfo!$D$6*LeagueInfo!$F$2,LeagueInfo!$D$3*LeagueInfo!$F$2)))</f>
        <v>12</v>
      </c>
    </row>
    <row r="109" spans="1:9" x14ac:dyDescent="0.35">
      <c r="A109">
        <f t="shared" ca="1" si="5"/>
        <v>94</v>
      </c>
      <c r="B109" t="s">
        <v>541</v>
      </c>
      <c r="C109" t="s">
        <v>25</v>
      </c>
      <c r="D109">
        <f t="shared" ca="1" si="6"/>
        <v>164.16000000000003</v>
      </c>
      <c r="E109" s="5">
        <f t="shared" ca="1" si="7"/>
        <v>62.080000000000027</v>
      </c>
      <c r="F109" t="str">
        <f ca="1">IF(H109&lt;=I109,"Starter",IF(G109&gt;=LARGE(G:G,FlexOn*LeagueInfo!$F$2),"Starter","Bench"))</f>
        <v>Bench</v>
      </c>
      <c r="G109">
        <f t="shared" ca="1" si="8"/>
        <v>164.16000000000003</v>
      </c>
      <c r="H109">
        <f t="shared" ca="1" si="9"/>
        <v>25</v>
      </c>
      <c r="I109">
        <f>IF(C109="RB",LeagueInfo!$D$4*LeagueInfo!$F$2,IF(C109="WR",LeagueInfo!$D$5*LeagueInfo!$F$2,IF(C109="TE",LeagueInfo!$D$6*LeagueInfo!$F$2,LeagueInfo!$D$3*LeagueInfo!$F$2)))</f>
        <v>24</v>
      </c>
    </row>
    <row r="110" spans="1:9" x14ac:dyDescent="0.35">
      <c r="A110">
        <f t="shared" ca="1" si="5"/>
        <v>110</v>
      </c>
      <c r="B110" t="s">
        <v>93</v>
      </c>
      <c r="C110" t="s">
        <v>32</v>
      </c>
      <c r="D110">
        <f t="shared" ca="1" si="6"/>
        <v>150.95999999999998</v>
      </c>
      <c r="E110" s="5">
        <f t="shared" ca="1" si="7"/>
        <v>48.879999999999981</v>
      </c>
      <c r="F110" t="str">
        <f ca="1">IF(H110&lt;=I110,"Starter",IF(G110&gt;=LARGE(G:G,FlexOn*LeagueInfo!$F$2),"Starter","Bench"))</f>
        <v>Bench</v>
      </c>
      <c r="G110">
        <f t="shared" ca="1" si="8"/>
        <v>150.95999999999998</v>
      </c>
      <c r="H110">
        <f t="shared" ca="1" si="9"/>
        <v>40</v>
      </c>
      <c r="I110">
        <f>IF(C110="RB",LeagueInfo!$D$4*LeagueInfo!$F$2,IF(C110="WR",LeagueInfo!$D$5*LeagueInfo!$F$2,IF(C110="TE",LeagueInfo!$D$6*LeagueInfo!$F$2,LeagueInfo!$D$3*LeagueInfo!$F$2)))</f>
        <v>24</v>
      </c>
    </row>
    <row r="111" spans="1:9" x14ac:dyDescent="0.35">
      <c r="A111">
        <f t="shared" ca="1" si="5"/>
        <v>113</v>
      </c>
      <c r="B111" t="s">
        <v>910</v>
      </c>
      <c r="C111" t="s">
        <v>32</v>
      </c>
      <c r="D111">
        <f t="shared" ca="1" si="6"/>
        <v>148.91</v>
      </c>
      <c r="E111" s="5">
        <f t="shared" ca="1" si="7"/>
        <v>46.83</v>
      </c>
      <c r="F111" t="str">
        <f ca="1">IF(H111&lt;=I111,"Starter",IF(G111&gt;=LARGE(G:G,FlexOn*LeagueInfo!$F$2),"Starter","Bench"))</f>
        <v>Bench</v>
      </c>
      <c r="G111">
        <f t="shared" ca="1" si="8"/>
        <v>148.91</v>
      </c>
      <c r="H111">
        <f t="shared" ca="1" si="9"/>
        <v>43</v>
      </c>
      <c r="I111">
        <f>IF(C111="RB",LeagueInfo!$D$4*LeagueInfo!$F$2,IF(C111="WR",LeagueInfo!$D$5*LeagueInfo!$F$2,IF(C111="TE",LeagueInfo!$D$6*LeagueInfo!$F$2,LeagueInfo!$D$3*LeagueInfo!$F$2)))</f>
        <v>24</v>
      </c>
    </row>
    <row r="112" spans="1:9" x14ac:dyDescent="0.35">
      <c r="A112">
        <f t="shared" ca="1" si="5"/>
        <v>97</v>
      </c>
      <c r="B112" t="s">
        <v>101</v>
      </c>
      <c r="C112" t="s">
        <v>32</v>
      </c>
      <c r="D112">
        <f t="shared" ca="1" si="6"/>
        <v>161.6</v>
      </c>
      <c r="E112" s="5">
        <f t="shared" ca="1" si="7"/>
        <v>59.519999999999996</v>
      </c>
      <c r="F112" t="str">
        <f ca="1">IF(H112&lt;=I112,"Starter",IF(G112&gt;=LARGE(G:G,FlexOn*LeagueInfo!$F$2),"Starter","Bench"))</f>
        <v>Bench</v>
      </c>
      <c r="G112">
        <f t="shared" ca="1" si="8"/>
        <v>161.6</v>
      </c>
      <c r="H112">
        <f t="shared" ca="1" si="9"/>
        <v>35</v>
      </c>
      <c r="I112">
        <f>IF(C112="RB",LeagueInfo!$D$4*LeagueInfo!$F$2,IF(C112="WR",LeagueInfo!$D$5*LeagueInfo!$F$2,IF(C112="TE",LeagueInfo!$D$6*LeagueInfo!$F$2,LeagueInfo!$D$3*LeagueInfo!$F$2)))</f>
        <v>24</v>
      </c>
    </row>
    <row r="113" spans="1:9" x14ac:dyDescent="0.35">
      <c r="A113">
        <f t="shared" ca="1" si="5"/>
        <v>118</v>
      </c>
      <c r="B113" t="s">
        <v>717</v>
      </c>
      <c r="C113" t="s">
        <v>25</v>
      </c>
      <c r="D113">
        <f t="shared" ca="1" si="6"/>
        <v>145.16000000000005</v>
      </c>
      <c r="E113" s="5">
        <f t="shared" ca="1" si="7"/>
        <v>43.080000000000055</v>
      </c>
      <c r="F113" t="str">
        <f ca="1">IF(H113&lt;=I113,"Starter",IF(G113&gt;=LARGE(G:G,FlexOn*LeagueInfo!$F$2),"Starter","Bench"))</f>
        <v>Bench</v>
      </c>
      <c r="G113">
        <f t="shared" ca="1" si="8"/>
        <v>145.16000000000005</v>
      </c>
      <c r="H113">
        <f t="shared" ca="1" si="9"/>
        <v>34</v>
      </c>
      <c r="I113">
        <f>IF(C113="RB",LeagueInfo!$D$4*LeagueInfo!$F$2,IF(C113="WR",LeagueInfo!$D$5*LeagueInfo!$F$2,IF(C113="TE",LeagueInfo!$D$6*LeagueInfo!$F$2,LeagueInfo!$D$3*LeagueInfo!$F$2)))</f>
        <v>24</v>
      </c>
    </row>
    <row r="114" spans="1:9" x14ac:dyDescent="0.35">
      <c r="A114">
        <f t="shared" ca="1" si="5"/>
        <v>114</v>
      </c>
      <c r="B114" t="s">
        <v>912</v>
      </c>
      <c r="C114" t="s">
        <v>32</v>
      </c>
      <c r="D114">
        <f t="shared" ca="1" si="6"/>
        <v>147.33000000000004</v>
      </c>
      <c r="E114" s="5">
        <f t="shared" ca="1" si="7"/>
        <v>45.250000000000043</v>
      </c>
      <c r="F114" t="str">
        <f ca="1">IF(H114&lt;=I114,"Starter",IF(G114&gt;=LARGE(G:G,FlexOn*LeagueInfo!$F$2),"Starter","Bench"))</f>
        <v>Bench</v>
      </c>
      <c r="G114">
        <f t="shared" ca="1" si="8"/>
        <v>147.33000000000004</v>
      </c>
      <c r="H114">
        <f t="shared" ca="1" si="9"/>
        <v>44</v>
      </c>
      <c r="I114">
        <f>IF(C114="RB",LeagueInfo!$D$4*LeagueInfo!$F$2,IF(C114="WR",LeagueInfo!$D$5*LeagueInfo!$F$2,IF(C114="TE",LeagueInfo!$D$6*LeagueInfo!$F$2,LeagueInfo!$D$3*LeagueInfo!$F$2)))</f>
        <v>24</v>
      </c>
    </row>
    <row r="115" spans="1:9" x14ac:dyDescent="0.35">
      <c r="A115">
        <f t="shared" ca="1" si="5"/>
        <v>106</v>
      </c>
      <c r="B115" t="s">
        <v>360</v>
      </c>
      <c r="C115" t="s">
        <v>32</v>
      </c>
      <c r="D115">
        <f t="shared" ca="1" si="6"/>
        <v>152.02000000000001</v>
      </c>
      <c r="E115" s="5">
        <f t="shared" ca="1" si="7"/>
        <v>49.940000000000012</v>
      </c>
      <c r="F115" t="str">
        <f ca="1">IF(H115&lt;=I115,"Starter",IF(G115&gt;=LARGE(G:G,FlexOn*LeagueInfo!$F$2),"Starter","Bench"))</f>
        <v>Bench</v>
      </c>
      <c r="G115">
        <f t="shared" ca="1" si="8"/>
        <v>152.02000000000001</v>
      </c>
      <c r="H115">
        <f t="shared" ca="1" si="9"/>
        <v>38</v>
      </c>
      <c r="I115">
        <f>IF(C115="RB",LeagueInfo!$D$4*LeagueInfo!$F$2,IF(C115="WR",LeagueInfo!$D$5*LeagueInfo!$F$2,IF(C115="TE",LeagueInfo!$D$6*LeagueInfo!$F$2,LeagueInfo!$D$3*LeagueInfo!$F$2)))</f>
        <v>24</v>
      </c>
    </row>
    <row r="116" spans="1:9" x14ac:dyDescent="0.35">
      <c r="A116">
        <f t="shared" ca="1" si="5"/>
        <v>121</v>
      </c>
      <c r="B116" t="s">
        <v>638</v>
      </c>
      <c r="C116" t="s">
        <v>40</v>
      </c>
      <c r="D116">
        <f t="shared" ca="1" si="6"/>
        <v>143.6</v>
      </c>
      <c r="E116" s="5">
        <f t="shared" ca="1" si="7"/>
        <v>41.519999999999996</v>
      </c>
      <c r="F116" t="str">
        <f ca="1">IF(H116&lt;=I116,"Starter",IF(G116&gt;=LARGE(G:G,FlexOn*LeagueInfo!$F$2),"Starter","Bench"))</f>
        <v>Starter</v>
      </c>
      <c r="G116">
        <f t="shared" ca="1" si="8"/>
        <v>0</v>
      </c>
      <c r="H116">
        <f t="shared" ca="1" si="9"/>
        <v>9</v>
      </c>
      <c r="I116">
        <f>IF(C116="RB",LeagueInfo!$D$4*LeagueInfo!$F$2,IF(C116="WR",LeagueInfo!$D$5*LeagueInfo!$F$2,IF(C116="TE",LeagueInfo!$D$6*LeagueInfo!$F$2,LeagueInfo!$D$3*LeagueInfo!$F$2)))</f>
        <v>12</v>
      </c>
    </row>
    <row r="117" spans="1:9" x14ac:dyDescent="0.35">
      <c r="A117">
        <f t="shared" ca="1" si="5"/>
        <v>126</v>
      </c>
      <c r="B117" t="s">
        <v>88</v>
      </c>
      <c r="C117" t="s">
        <v>25</v>
      </c>
      <c r="D117">
        <f t="shared" ca="1" si="6"/>
        <v>140.30000000000001</v>
      </c>
      <c r="E117" s="5">
        <f t="shared" ca="1" si="7"/>
        <v>38.220000000000013</v>
      </c>
      <c r="F117" t="str">
        <f ca="1">IF(H117&lt;=I117,"Starter",IF(G117&gt;=LARGE(G:G,FlexOn*LeagueInfo!$F$2),"Starter","Bench"))</f>
        <v>Bench</v>
      </c>
      <c r="G117">
        <f t="shared" ca="1" si="8"/>
        <v>140.30000000000001</v>
      </c>
      <c r="H117">
        <f t="shared" ca="1" si="9"/>
        <v>36</v>
      </c>
      <c r="I117">
        <f>IF(C117="RB",LeagueInfo!$D$4*LeagueInfo!$F$2,IF(C117="WR",LeagueInfo!$D$5*LeagueInfo!$F$2,IF(C117="TE",LeagueInfo!$D$6*LeagueInfo!$F$2,LeagueInfo!$D$3*LeagueInfo!$F$2)))</f>
        <v>24</v>
      </c>
    </row>
    <row r="118" spans="1:9" x14ac:dyDescent="0.35">
      <c r="A118">
        <f t="shared" ca="1" si="5"/>
        <v>119</v>
      </c>
      <c r="B118" t="s">
        <v>914</v>
      </c>
      <c r="C118" t="s">
        <v>32</v>
      </c>
      <c r="D118">
        <f t="shared" ca="1" si="6"/>
        <v>144.48000000000002</v>
      </c>
      <c r="E118" s="5">
        <f t="shared" ca="1" si="7"/>
        <v>42.40000000000002</v>
      </c>
      <c r="F118" t="str">
        <f ca="1">IF(H118&lt;=I118,"Starter",IF(G118&gt;=LARGE(G:G,FlexOn*LeagueInfo!$F$2),"Starter","Bench"))</f>
        <v>Bench</v>
      </c>
      <c r="G118">
        <f t="shared" ca="1" si="8"/>
        <v>144.48000000000002</v>
      </c>
      <c r="H118">
        <f t="shared" ca="1" si="9"/>
        <v>45</v>
      </c>
      <c r="I118">
        <f>IF(C118="RB",LeagueInfo!$D$4*LeagueInfo!$F$2,IF(C118="WR",LeagueInfo!$D$5*LeagueInfo!$F$2,IF(C118="TE",LeagueInfo!$D$6*LeagueInfo!$F$2,LeagueInfo!$D$3*LeagueInfo!$F$2)))</f>
        <v>24</v>
      </c>
    </row>
    <row r="119" spans="1:9" x14ac:dyDescent="0.35">
      <c r="A119">
        <f t="shared" ca="1" si="5"/>
        <v>140</v>
      </c>
      <c r="B119" t="s">
        <v>354</v>
      </c>
      <c r="C119" t="s">
        <v>25</v>
      </c>
      <c r="D119">
        <f t="shared" ca="1" si="6"/>
        <v>127.62</v>
      </c>
      <c r="E119" s="5">
        <f t="shared" ca="1" si="7"/>
        <v>25.540000000000006</v>
      </c>
      <c r="F119" t="str">
        <f ca="1">IF(H119&lt;=I119,"Starter",IF(G119&gt;=LARGE(G:G,FlexOn*LeagueInfo!$F$2),"Starter","Bench"))</f>
        <v>Bench</v>
      </c>
      <c r="G119">
        <f t="shared" ca="1" si="8"/>
        <v>127.62</v>
      </c>
      <c r="H119">
        <f t="shared" ca="1" si="9"/>
        <v>38</v>
      </c>
      <c r="I119">
        <f>IF(C119="RB",LeagueInfo!$D$4*LeagueInfo!$F$2,IF(C119="WR",LeagueInfo!$D$5*LeagueInfo!$F$2,IF(C119="TE",LeagueInfo!$D$6*LeagueInfo!$F$2,LeagueInfo!$D$3*LeagueInfo!$F$2)))</f>
        <v>24</v>
      </c>
    </row>
    <row r="120" spans="1:9" x14ac:dyDescent="0.35">
      <c r="A120">
        <f t="shared" ca="1" si="5"/>
        <v>120</v>
      </c>
      <c r="B120" t="s">
        <v>911</v>
      </c>
      <c r="C120" t="s">
        <v>32</v>
      </c>
      <c r="D120">
        <f t="shared" ca="1" si="6"/>
        <v>144.28000000000003</v>
      </c>
      <c r="E120" s="5">
        <f t="shared" ca="1" si="7"/>
        <v>42.200000000000031</v>
      </c>
      <c r="F120" t="str">
        <f ca="1">IF(H120&lt;=I120,"Starter",IF(G120&gt;=LARGE(G:G,FlexOn*LeagueInfo!$F$2),"Starter","Bench"))</f>
        <v>Bench</v>
      </c>
      <c r="G120">
        <f t="shared" ca="1" si="8"/>
        <v>144.28000000000003</v>
      </c>
      <c r="H120">
        <f t="shared" ca="1" si="9"/>
        <v>46</v>
      </c>
      <c r="I120">
        <f>IF(C120="RB",LeagueInfo!$D$4*LeagueInfo!$F$2,IF(C120="WR",LeagueInfo!$D$5*LeagueInfo!$F$2,IF(C120="TE",LeagueInfo!$D$6*LeagueInfo!$F$2,LeagueInfo!$D$3*LeagueInfo!$F$2)))</f>
        <v>24</v>
      </c>
    </row>
    <row r="121" spans="1:9" x14ac:dyDescent="0.35">
      <c r="A121">
        <f t="shared" ca="1" si="5"/>
        <v>122</v>
      </c>
      <c r="B121" t="s">
        <v>142</v>
      </c>
      <c r="C121" t="s">
        <v>40</v>
      </c>
      <c r="D121">
        <f t="shared" ca="1" si="6"/>
        <v>142.78</v>
      </c>
      <c r="E121" s="5">
        <f t="shared" ca="1" si="7"/>
        <v>40.700000000000003</v>
      </c>
      <c r="F121" t="str">
        <f ca="1">IF(H121&lt;=I121,"Starter",IF(G121&gt;=LARGE(G:G,FlexOn*LeagueInfo!$F$2),"Starter","Bench"))</f>
        <v>Starter</v>
      </c>
      <c r="G121">
        <f t="shared" ca="1" si="8"/>
        <v>0</v>
      </c>
      <c r="H121">
        <f t="shared" ca="1" si="9"/>
        <v>10</v>
      </c>
      <c r="I121">
        <f>IF(C121="RB",LeagueInfo!$D$4*LeagueInfo!$F$2,IF(C121="WR",LeagueInfo!$D$5*LeagueInfo!$F$2,IF(C121="TE",LeagueInfo!$D$6*LeagueInfo!$F$2,LeagueInfo!$D$3*LeagueInfo!$F$2)))</f>
        <v>12</v>
      </c>
    </row>
    <row r="122" spans="1:9" x14ac:dyDescent="0.35">
      <c r="A122">
        <f t="shared" ca="1" si="5"/>
        <v>124</v>
      </c>
      <c r="B122" t="s">
        <v>596</v>
      </c>
      <c r="C122" t="s">
        <v>32</v>
      </c>
      <c r="D122">
        <f t="shared" ca="1" si="6"/>
        <v>141.13</v>
      </c>
      <c r="E122" s="5">
        <f t="shared" ca="1" si="7"/>
        <v>39.049999999999997</v>
      </c>
      <c r="F122" t="str">
        <f ca="1">IF(H122&lt;=I122,"Starter",IF(G122&gt;=LARGE(G:G,FlexOn*LeagueInfo!$F$2),"Starter","Bench"))</f>
        <v>Bench</v>
      </c>
      <c r="G122">
        <f t="shared" ca="1" si="8"/>
        <v>141.13</v>
      </c>
      <c r="H122">
        <f t="shared" ca="1" si="9"/>
        <v>48</v>
      </c>
      <c r="I122">
        <f>IF(C122="RB",LeagueInfo!$D$4*LeagueInfo!$F$2,IF(C122="WR",LeagueInfo!$D$5*LeagueInfo!$F$2,IF(C122="TE",LeagueInfo!$D$6*LeagueInfo!$F$2,LeagueInfo!$D$3*LeagueInfo!$F$2)))</f>
        <v>24</v>
      </c>
    </row>
    <row r="123" spans="1:9" x14ac:dyDescent="0.35">
      <c r="A123">
        <f t="shared" ca="1" si="5"/>
        <v>125</v>
      </c>
      <c r="B123" t="s">
        <v>406</v>
      </c>
      <c r="C123" t="s">
        <v>25</v>
      </c>
      <c r="D123">
        <f t="shared" ca="1" si="6"/>
        <v>140.43</v>
      </c>
      <c r="E123" s="5">
        <f t="shared" ca="1" si="7"/>
        <v>38.350000000000009</v>
      </c>
      <c r="F123" t="str">
        <f ca="1">IF(H123&lt;=I123,"Starter",IF(G123&gt;=LARGE(G:G,FlexOn*LeagueInfo!$F$2),"Starter","Bench"))</f>
        <v>Bench</v>
      </c>
      <c r="G123">
        <f t="shared" ca="1" si="8"/>
        <v>140.43</v>
      </c>
      <c r="H123">
        <f t="shared" ca="1" si="9"/>
        <v>35</v>
      </c>
      <c r="I123">
        <f>IF(C123="RB",LeagueInfo!$D$4*LeagueInfo!$F$2,IF(C123="WR",LeagueInfo!$D$5*LeagueInfo!$F$2,IF(C123="TE",LeagueInfo!$D$6*LeagueInfo!$F$2,LeagueInfo!$D$3*LeagueInfo!$F$2)))</f>
        <v>24</v>
      </c>
    </row>
    <row r="124" spans="1:9" x14ac:dyDescent="0.35">
      <c r="A124">
        <f t="shared" ca="1" si="5"/>
        <v>117</v>
      </c>
      <c r="B124" t="s">
        <v>145</v>
      </c>
      <c r="C124" t="s">
        <v>40</v>
      </c>
      <c r="D124">
        <f t="shared" ca="1" si="6"/>
        <v>145.94999999999999</v>
      </c>
      <c r="E124" s="5">
        <f t="shared" ca="1" si="7"/>
        <v>43.86999999999999</v>
      </c>
      <c r="F124" t="str">
        <f ca="1">IF(H124&lt;=I124,"Starter",IF(G124&gt;=LARGE(G:G,FlexOn*LeagueInfo!$F$2),"Starter","Bench"))</f>
        <v>Starter</v>
      </c>
      <c r="G124">
        <f t="shared" ca="1" si="8"/>
        <v>0</v>
      </c>
      <c r="H124">
        <f t="shared" ca="1" si="9"/>
        <v>8</v>
      </c>
      <c r="I124">
        <f>IF(C124="RB",LeagueInfo!$D$4*LeagueInfo!$F$2,IF(C124="WR",LeagueInfo!$D$5*LeagueInfo!$F$2,IF(C124="TE",LeagueInfo!$D$6*LeagueInfo!$F$2,LeagueInfo!$D$3*LeagueInfo!$F$2)))</f>
        <v>12</v>
      </c>
    </row>
    <row r="125" spans="1:9" x14ac:dyDescent="0.35">
      <c r="A125">
        <f t="shared" ca="1" si="5"/>
        <v>116</v>
      </c>
      <c r="B125" t="s">
        <v>355</v>
      </c>
      <c r="C125" t="s">
        <v>25</v>
      </c>
      <c r="D125">
        <f t="shared" ca="1" si="6"/>
        <v>146.03</v>
      </c>
      <c r="E125" s="5">
        <f t="shared" ca="1" si="7"/>
        <v>43.95</v>
      </c>
      <c r="F125" t="str">
        <f ca="1">IF(H125&lt;=I125,"Starter",IF(G125&gt;=LARGE(G:G,FlexOn*LeagueInfo!$F$2),"Starter","Bench"))</f>
        <v>Bench</v>
      </c>
      <c r="G125">
        <f t="shared" ca="1" si="8"/>
        <v>146.03</v>
      </c>
      <c r="H125">
        <f t="shared" ca="1" si="9"/>
        <v>33</v>
      </c>
      <c r="I125">
        <f>IF(C125="RB",LeagueInfo!$D$4*LeagueInfo!$F$2,IF(C125="WR",LeagueInfo!$D$5*LeagueInfo!$F$2,IF(C125="TE",LeagueInfo!$D$6*LeagueInfo!$F$2,LeagueInfo!$D$3*LeagueInfo!$F$2)))</f>
        <v>24</v>
      </c>
    </row>
    <row r="126" spans="1:9" x14ac:dyDescent="0.35">
      <c r="A126">
        <f t="shared" ca="1" si="5"/>
        <v>123</v>
      </c>
      <c r="B126" t="s">
        <v>489</v>
      </c>
      <c r="C126" t="s">
        <v>32</v>
      </c>
      <c r="D126">
        <f t="shared" ca="1" si="6"/>
        <v>141.19000000000003</v>
      </c>
      <c r="E126" s="5">
        <f t="shared" ca="1" si="7"/>
        <v>39.110000000000028</v>
      </c>
      <c r="F126" t="str">
        <f ca="1">IF(H126&lt;=I126,"Starter",IF(G126&gt;=LARGE(G:G,FlexOn*LeagueInfo!$F$2),"Starter","Bench"))</f>
        <v>Bench</v>
      </c>
      <c r="G126">
        <f t="shared" ca="1" si="8"/>
        <v>141.19000000000003</v>
      </c>
      <c r="H126">
        <f t="shared" ca="1" si="9"/>
        <v>47</v>
      </c>
      <c r="I126">
        <f>IF(C126="RB",LeagueInfo!$D$4*LeagueInfo!$F$2,IF(C126="WR",LeagueInfo!$D$5*LeagueInfo!$F$2,IF(C126="TE",LeagueInfo!$D$6*LeagueInfo!$F$2,LeagueInfo!$D$3*LeagueInfo!$F$2)))</f>
        <v>24</v>
      </c>
    </row>
    <row r="127" spans="1:9" x14ac:dyDescent="0.35">
      <c r="A127">
        <f t="shared" ca="1" si="5"/>
        <v>108</v>
      </c>
      <c r="B127" t="s">
        <v>769</v>
      </c>
      <c r="C127" t="s">
        <v>32</v>
      </c>
      <c r="D127">
        <f t="shared" ca="1" si="6"/>
        <v>151.70000000000005</v>
      </c>
      <c r="E127" s="5">
        <f t="shared" ca="1" si="7"/>
        <v>49.620000000000047</v>
      </c>
      <c r="F127" t="str">
        <f ca="1">IF(H127&lt;=I127,"Starter",IF(G127&gt;=LARGE(G:G,FlexOn*LeagueInfo!$F$2),"Starter","Bench"))</f>
        <v>Bench</v>
      </c>
      <c r="G127">
        <f t="shared" ca="1" si="8"/>
        <v>151.70000000000005</v>
      </c>
      <c r="H127">
        <f t="shared" ca="1" si="9"/>
        <v>39</v>
      </c>
      <c r="I127">
        <f>IF(C127="RB",LeagueInfo!$D$4*LeagueInfo!$F$2,IF(C127="WR",LeagueInfo!$D$5*LeagueInfo!$F$2,IF(C127="TE",LeagueInfo!$D$6*LeagueInfo!$F$2,LeagueInfo!$D$3*LeagueInfo!$F$2)))</f>
        <v>24</v>
      </c>
    </row>
    <row r="128" spans="1:9" x14ac:dyDescent="0.35">
      <c r="A128">
        <f t="shared" ca="1" si="5"/>
        <v>127</v>
      </c>
      <c r="B128" t="s">
        <v>139</v>
      </c>
      <c r="C128" t="s">
        <v>32</v>
      </c>
      <c r="D128">
        <f t="shared" ca="1" si="6"/>
        <v>139.79000000000002</v>
      </c>
      <c r="E128" s="5">
        <f t="shared" ca="1" si="7"/>
        <v>37.710000000000022</v>
      </c>
      <c r="F128" t="str">
        <f ca="1">IF(H128&lt;=I128,"Starter",IF(G128&gt;=LARGE(G:G,FlexOn*LeagueInfo!$F$2),"Starter","Bench"))</f>
        <v>Bench</v>
      </c>
      <c r="G128">
        <f t="shared" ca="1" si="8"/>
        <v>139.79000000000002</v>
      </c>
      <c r="H128">
        <f t="shared" ca="1" si="9"/>
        <v>49</v>
      </c>
      <c r="I128">
        <f>IF(C128="RB",LeagueInfo!$D$4*LeagueInfo!$F$2,IF(C128="WR",LeagueInfo!$D$5*LeagueInfo!$F$2,IF(C128="TE",LeagueInfo!$D$6*LeagueInfo!$F$2,LeagueInfo!$D$3*LeagueInfo!$F$2)))</f>
        <v>24</v>
      </c>
    </row>
    <row r="129" spans="1:9" x14ac:dyDescent="0.35">
      <c r="A129">
        <f t="shared" ca="1" si="5"/>
        <v>129</v>
      </c>
      <c r="B129" t="s">
        <v>578</v>
      </c>
      <c r="C129" t="s">
        <v>32</v>
      </c>
      <c r="D129">
        <f t="shared" ref="D129:D192" ca="1" si="10">INDEX(INDIRECT($C129&amp;"!P:P"),MATCH($B129,INDIRECT($C129&amp;"!B:B"),0))</f>
        <v>136.45999999999998</v>
      </c>
      <c r="E129" s="5">
        <f t="shared" ca="1" si="7"/>
        <v>34.379999999999981</v>
      </c>
      <c r="F129" t="str">
        <f ca="1">IF(H129&lt;=I129,"Starter",IF(G129&gt;=LARGE(G:G,FlexOn*LeagueInfo!$F$2),"Starter","Bench"))</f>
        <v>Bench</v>
      </c>
      <c r="G129">
        <f t="shared" ref="G129:G192" ca="1" si="11">IF(H129&gt;I129,D129,0)</f>
        <v>136.45999999999998</v>
      </c>
      <c r="H129">
        <f t="shared" ref="H129:H192" ca="1" si="12">INDEX(INDIRECT(""&amp;C129&amp;"!A2:A489"),MATCH(B129,INDIRECT(""&amp;C129&amp;"!B2:B489"),0))</f>
        <v>51</v>
      </c>
      <c r="I129">
        <f>IF(C129="RB",LeagueInfo!$D$4*LeagueInfo!$F$2,IF(C129="WR",LeagueInfo!$D$5*LeagueInfo!$F$2,IF(C129="TE",LeagueInfo!$D$6*LeagueInfo!$F$2,LeagueInfo!$D$3*LeagueInfo!$F$2)))</f>
        <v>24</v>
      </c>
    </row>
    <row r="130" spans="1:9" x14ac:dyDescent="0.35">
      <c r="A130">
        <f t="shared" ref="A130:A193" ca="1" si="13">RANK(E130,E:E)</f>
        <v>130</v>
      </c>
      <c r="B130" t="s">
        <v>236</v>
      </c>
      <c r="C130" t="s">
        <v>32</v>
      </c>
      <c r="D130">
        <f t="shared" ca="1" si="10"/>
        <v>136.07</v>
      </c>
      <c r="E130" s="5">
        <f t="shared" ref="E130:E193" ca="1" si="14">D130-LARGE(D:D,RBCount+WRCount+TECount+QBCount)</f>
        <v>33.989999999999995</v>
      </c>
      <c r="F130" t="str">
        <f ca="1">IF(H130&lt;=I130,"Starter",IF(G130&gt;=LARGE(G:G,FlexOn*LeagueInfo!$F$2),"Starter","Bench"))</f>
        <v>Bench</v>
      </c>
      <c r="G130">
        <f t="shared" ca="1" si="11"/>
        <v>136.07</v>
      </c>
      <c r="H130">
        <f t="shared" ca="1" si="12"/>
        <v>52</v>
      </c>
      <c r="I130">
        <f>IF(C130="RB",LeagueInfo!$D$4*LeagueInfo!$F$2,IF(C130="WR",LeagueInfo!$D$5*LeagueInfo!$F$2,IF(C130="TE",LeagueInfo!$D$6*LeagueInfo!$F$2,LeagueInfo!$D$3*LeagueInfo!$F$2)))</f>
        <v>24</v>
      </c>
    </row>
    <row r="131" spans="1:9" x14ac:dyDescent="0.35">
      <c r="A131">
        <f t="shared" ca="1" si="13"/>
        <v>134</v>
      </c>
      <c r="B131" t="s">
        <v>127</v>
      </c>
      <c r="C131" t="s">
        <v>32</v>
      </c>
      <c r="D131">
        <f t="shared" ca="1" si="10"/>
        <v>132.62</v>
      </c>
      <c r="E131" s="5">
        <f t="shared" ca="1" si="14"/>
        <v>30.540000000000006</v>
      </c>
      <c r="F131" t="str">
        <f ca="1">IF(H131&lt;=I131,"Starter",IF(G131&gt;=LARGE(G:G,FlexOn*LeagueInfo!$F$2),"Starter","Bench"))</f>
        <v>Bench</v>
      </c>
      <c r="G131">
        <f t="shared" ca="1" si="11"/>
        <v>132.62</v>
      </c>
      <c r="H131">
        <f t="shared" ca="1" si="12"/>
        <v>56</v>
      </c>
      <c r="I131">
        <f>IF(C131="RB",LeagueInfo!$D$4*LeagueInfo!$F$2,IF(C131="WR",LeagueInfo!$D$5*LeagueInfo!$F$2,IF(C131="TE",LeagueInfo!$D$6*LeagueInfo!$F$2,LeagueInfo!$D$3*LeagueInfo!$F$2)))</f>
        <v>24</v>
      </c>
    </row>
    <row r="132" spans="1:9" x14ac:dyDescent="0.35">
      <c r="A132">
        <f t="shared" ca="1" si="13"/>
        <v>102</v>
      </c>
      <c r="B132" t="s">
        <v>688</v>
      </c>
      <c r="C132" t="s">
        <v>25</v>
      </c>
      <c r="D132">
        <f t="shared" ca="1" si="10"/>
        <v>156.07999999999998</v>
      </c>
      <c r="E132" s="5">
        <f t="shared" ca="1" si="14"/>
        <v>53.999999999999986</v>
      </c>
      <c r="F132" t="str">
        <f ca="1">IF(H132&lt;=I132,"Starter",IF(G132&gt;=LARGE(G:G,FlexOn*LeagueInfo!$F$2),"Starter","Bench"))</f>
        <v>Bench</v>
      </c>
      <c r="G132">
        <f t="shared" ca="1" si="11"/>
        <v>156.07999999999998</v>
      </c>
      <c r="H132">
        <f t="shared" ca="1" si="12"/>
        <v>28</v>
      </c>
      <c r="I132">
        <f>IF(C132="RB",LeagueInfo!$D$4*LeagueInfo!$F$2,IF(C132="WR",LeagueInfo!$D$5*LeagueInfo!$F$2,IF(C132="TE",LeagueInfo!$D$6*LeagueInfo!$F$2,LeagueInfo!$D$3*LeagueInfo!$F$2)))</f>
        <v>24</v>
      </c>
    </row>
    <row r="133" spans="1:9" x14ac:dyDescent="0.35">
      <c r="A133">
        <f t="shared" ca="1" si="13"/>
        <v>133</v>
      </c>
      <c r="B133" t="s">
        <v>96</v>
      </c>
      <c r="C133" t="s">
        <v>32</v>
      </c>
      <c r="D133">
        <f t="shared" ca="1" si="10"/>
        <v>132.79000000000002</v>
      </c>
      <c r="E133" s="5">
        <f t="shared" ca="1" si="14"/>
        <v>30.710000000000022</v>
      </c>
      <c r="F133" t="str">
        <f ca="1">IF(H133&lt;=I133,"Starter",IF(G133&gt;=LARGE(G:G,FlexOn*LeagueInfo!$F$2),"Starter","Bench"))</f>
        <v>Bench</v>
      </c>
      <c r="G133">
        <f t="shared" ca="1" si="11"/>
        <v>132.79000000000002</v>
      </c>
      <c r="H133">
        <f t="shared" ca="1" si="12"/>
        <v>55</v>
      </c>
      <c r="I133">
        <f>IF(C133="RB",LeagueInfo!$D$4*LeagueInfo!$F$2,IF(C133="WR",LeagueInfo!$D$5*LeagueInfo!$F$2,IF(C133="TE",LeagueInfo!$D$6*LeagueInfo!$F$2,LeagueInfo!$D$3*LeagueInfo!$F$2)))</f>
        <v>24</v>
      </c>
    </row>
    <row r="134" spans="1:9" x14ac:dyDescent="0.35">
      <c r="A134">
        <f t="shared" ca="1" si="13"/>
        <v>132</v>
      </c>
      <c r="B134" t="s">
        <v>607</v>
      </c>
      <c r="C134" t="s">
        <v>32</v>
      </c>
      <c r="D134">
        <f t="shared" ca="1" si="10"/>
        <v>134.1</v>
      </c>
      <c r="E134" s="5">
        <f t="shared" ca="1" si="14"/>
        <v>32.019999999999996</v>
      </c>
      <c r="F134" t="str">
        <f ca="1">IF(H134&lt;=I134,"Starter",IF(G134&gt;=LARGE(G:G,FlexOn*LeagueInfo!$F$2),"Starter","Bench"))</f>
        <v>Bench</v>
      </c>
      <c r="G134">
        <f t="shared" ca="1" si="11"/>
        <v>134.1</v>
      </c>
      <c r="H134">
        <f t="shared" ca="1" si="12"/>
        <v>54</v>
      </c>
      <c r="I134">
        <f>IF(C134="RB",LeagueInfo!$D$4*LeagueInfo!$F$2,IF(C134="WR",LeagueInfo!$D$5*LeagueInfo!$F$2,IF(C134="TE",LeagueInfo!$D$6*LeagueInfo!$F$2,LeagueInfo!$D$3*LeagueInfo!$F$2)))</f>
        <v>24</v>
      </c>
    </row>
    <row r="135" spans="1:9" x14ac:dyDescent="0.35">
      <c r="A135">
        <f t="shared" ca="1" si="13"/>
        <v>131</v>
      </c>
      <c r="B135" t="s">
        <v>466</v>
      </c>
      <c r="C135" t="s">
        <v>32</v>
      </c>
      <c r="D135">
        <f t="shared" ca="1" si="10"/>
        <v>135.18</v>
      </c>
      <c r="E135" s="5">
        <f t="shared" ca="1" si="14"/>
        <v>33.100000000000009</v>
      </c>
      <c r="F135" t="str">
        <f ca="1">IF(H135&lt;=I135,"Starter",IF(G135&gt;=LARGE(G:G,FlexOn*LeagueInfo!$F$2),"Starter","Bench"))</f>
        <v>Bench</v>
      </c>
      <c r="G135">
        <f t="shared" ca="1" si="11"/>
        <v>135.18</v>
      </c>
      <c r="H135">
        <f t="shared" ca="1" si="12"/>
        <v>53</v>
      </c>
      <c r="I135">
        <f>IF(C135="RB",LeagueInfo!$D$4*LeagueInfo!$F$2,IF(C135="WR",LeagueInfo!$D$5*LeagueInfo!$F$2,IF(C135="TE",LeagueInfo!$D$6*LeagueInfo!$F$2,LeagueInfo!$D$3*LeagueInfo!$F$2)))</f>
        <v>24</v>
      </c>
    </row>
    <row r="136" spans="1:9" x14ac:dyDescent="0.35">
      <c r="A136">
        <f t="shared" ca="1" si="13"/>
        <v>137</v>
      </c>
      <c r="B136" t="s">
        <v>785</v>
      </c>
      <c r="C136" t="s">
        <v>32</v>
      </c>
      <c r="D136">
        <f t="shared" ca="1" si="10"/>
        <v>130.22999999999999</v>
      </c>
      <c r="E136" s="5">
        <f t="shared" ca="1" si="14"/>
        <v>28.149999999999991</v>
      </c>
      <c r="F136" t="str">
        <f ca="1">IF(H136&lt;=I136,"Starter",IF(G136&gt;=LARGE(G:G,FlexOn*LeagueInfo!$F$2),"Starter","Bench"))</f>
        <v>Bench</v>
      </c>
      <c r="G136">
        <f t="shared" ca="1" si="11"/>
        <v>130.22999999999999</v>
      </c>
      <c r="H136">
        <f t="shared" ca="1" si="12"/>
        <v>59</v>
      </c>
      <c r="I136">
        <f>IF(C136="RB",LeagueInfo!$D$4*LeagueInfo!$F$2,IF(C136="WR",LeagueInfo!$D$5*LeagueInfo!$F$2,IF(C136="TE",LeagueInfo!$D$6*LeagueInfo!$F$2,LeagueInfo!$D$3*LeagueInfo!$F$2)))</f>
        <v>24</v>
      </c>
    </row>
    <row r="137" spans="1:9" x14ac:dyDescent="0.35">
      <c r="A137">
        <f t="shared" ca="1" si="13"/>
        <v>136</v>
      </c>
      <c r="B137" t="s">
        <v>138</v>
      </c>
      <c r="C137" t="s">
        <v>32</v>
      </c>
      <c r="D137">
        <f t="shared" ca="1" si="10"/>
        <v>130.27000000000001</v>
      </c>
      <c r="E137" s="5">
        <f t="shared" ca="1" si="14"/>
        <v>28.190000000000012</v>
      </c>
      <c r="F137" t="str">
        <f ca="1">IF(H137&lt;=I137,"Starter",IF(G137&gt;=LARGE(G:G,FlexOn*LeagueInfo!$F$2),"Starter","Bench"))</f>
        <v>Bench</v>
      </c>
      <c r="G137">
        <f t="shared" ca="1" si="11"/>
        <v>130.27000000000001</v>
      </c>
      <c r="H137">
        <f t="shared" ca="1" si="12"/>
        <v>58</v>
      </c>
      <c r="I137">
        <f>IF(C137="RB",LeagueInfo!$D$4*LeagueInfo!$F$2,IF(C137="WR",LeagueInfo!$D$5*LeagueInfo!$F$2,IF(C137="TE",LeagueInfo!$D$6*LeagueInfo!$F$2,LeagueInfo!$D$3*LeagueInfo!$F$2)))</f>
        <v>24</v>
      </c>
    </row>
    <row r="138" spans="1:9" x14ac:dyDescent="0.35">
      <c r="A138">
        <f t="shared" ca="1" si="13"/>
        <v>144</v>
      </c>
      <c r="B138" t="s">
        <v>861</v>
      </c>
      <c r="C138" t="s">
        <v>25</v>
      </c>
      <c r="D138">
        <f t="shared" ca="1" si="10"/>
        <v>124.36000000000001</v>
      </c>
      <c r="E138" s="5">
        <f t="shared" ca="1" si="14"/>
        <v>22.280000000000015</v>
      </c>
      <c r="F138" t="str">
        <f ca="1">IF(H138&lt;=I138,"Starter",IF(G138&gt;=LARGE(G:G,FlexOn*LeagueInfo!$F$2),"Starter","Bench"))</f>
        <v>Bench</v>
      </c>
      <c r="G138">
        <f t="shared" ca="1" si="11"/>
        <v>124.36000000000001</v>
      </c>
      <c r="H138">
        <f t="shared" ca="1" si="12"/>
        <v>39</v>
      </c>
      <c r="I138">
        <f>IF(C138="RB",LeagueInfo!$D$4*LeagueInfo!$F$2,IF(C138="WR",LeagueInfo!$D$5*LeagueInfo!$F$2,IF(C138="TE",LeagueInfo!$D$6*LeagueInfo!$F$2,LeagueInfo!$D$3*LeagueInfo!$F$2)))</f>
        <v>24</v>
      </c>
    </row>
    <row r="139" spans="1:9" x14ac:dyDescent="0.35">
      <c r="A139">
        <f t="shared" ca="1" si="13"/>
        <v>138</v>
      </c>
      <c r="B139" t="s">
        <v>604</v>
      </c>
      <c r="C139" t="s">
        <v>32</v>
      </c>
      <c r="D139">
        <f t="shared" ca="1" si="10"/>
        <v>129.30000000000001</v>
      </c>
      <c r="E139" s="5">
        <f t="shared" ca="1" si="14"/>
        <v>27.220000000000013</v>
      </c>
      <c r="F139" t="str">
        <f ca="1">IF(H139&lt;=I139,"Starter",IF(G139&gt;=LARGE(G:G,FlexOn*LeagueInfo!$F$2),"Starter","Bench"))</f>
        <v>Bench</v>
      </c>
      <c r="G139">
        <f t="shared" ca="1" si="11"/>
        <v>129.30000000000001</v>
      </c>
      <c r="H139">
        <f t="shared" ca="1" si="12"/>
        <v>60</v>
      </c>
      <c r="I139">
        <f>IF(C139="RB",LeagueInfo!$D$4*LeagueInfo!$F$2,IF(C139="WR",LeagueInfo!$D$5*LeagueInfo!$F$2,IF(C139="TE",LeagueInfo!$D$6*LeagueInfo!$F$2,LeagueInfo!$D$3*LeagueInfo!$F$2)))</f>
        <v>24</v>
      </c>
    </row>
    <row r="140" spans="1:9" x14ac:dyDescent="0.35">
      <c r="A140">
        <f t="shared" ca="1" si="13"/>
        <v>143</v>
      </c>
      <c r="B140" t="s">
        <v>759</v>
      </c>
      <c r="C140" t="s">
        <v>32</v>
      </c>
      <c r="D140">
        <f t="shared" ca="1" si="10"/>
        <v>124.75</v>
      </c>
      <c r="E140" s="5">
        <f t="shared" ca="1" si="14"/>
        <v>22.67</v>
      </c>
      <c r="F140" t="str">
        <f ca="1">IF(H140&lt;=I140,"Starter",IF(G140&gt;=LARGE(G:G,FlexOn*LeagueInfo!$F$2),"Starter","Bench"))</f>
        <v>Bench</v>
      </c>
      <c r="G140">
        <f t="shared" ca="1" si="11"/>
        <v>124.75</v>
      </c>
      <c r="H140">
        <f t="shared" ca="1" si="12"/>
        <v>62</v>
      </c>
      <c r="I140">
        <f>IF(C140="RB",LeagueInfo!$D$4*LeagueInfo!$F$2,IF(C140="WR",LeagueInfo!$D$5*LeagueInfo!$F$2,IF(C140="TE",LeagueInfo!$D$6*LeagueInfo!$F$2,LeagueInfo!$D$3*LeagueInfo!$F$2)))</f>
        <v>24</v>
      </c>
    </row>
    <row r="141" spans="1:9" x14ac:dyDescent="0.35">
      <c r="A141">
        <f t="shared" ca="1" si="13"/>
        <v>135</v>
      </c>
      <c r="B141" t="s">
        <v>913</v>
      </c>
      <c r="C141" t="s">
        <v>32</v>
      </c>
      <c r="D141">
        <f t="shared" ca="1" si="10"/>
        <v>130.71</v>
      </c>
      <c r="E141" s="5">
        <f t="shared" ca="1" si="14"/>
        <v>28.63000000000001</v>
      </c>
      <c r="F141" t="str">
        <f ca="1">IF(H141&lt;=I141,"Starter",IF(G141&gt;=LARGE(G:G,FlexOn*LeagueInfo!$F$2),"Starter","Bench"))</f>
        <v>Bench</v>
      </c>
      <c r="G141">
        <f t="shared" ca="1" si="11"/>
        <v>130.71</v>
      </c>
      <c r="H141">
        <f t="shared" ca="1" si="12"/>
        <v>57</v>
      </c>
      <c r="I141">
        <f>IF(C141="RB",LeagueInfo!$D$4*LeagueInfo!$F$2,IF(C141="WR",LeagueInfo!$D$5*LeagueInfo!$F$2,IF(C141="TE",LeagueInfo!$D$6*LeagueInfo!$F$2,LeagueInfo!$D$3*LeagueInfo!$F$2)))</f>
        <v>24</v>
      </c>
    </row>
    <row r="142" spans="1:9" x14ac:dyDescent="0.35">
      <c r="A142">
        <f t="shared" ca="1" si="13"/>
        <v>142</v>
      </c>
      <c r="B142" t="s">
        <v>370</v>
      </c>
      <c r="C142" t="s">
        <v>40</v>
      </c>
      <c r="D142">
        <f t="shared" ca="1" si="10"/>
        <v>124.81</v>
      </c>
      <c r="E142" s="5">
        <f t="shared" ca="1" si="14"/>
        <v>22.730000000000004</v>
      </c>
      <c r="F142" t="str">
        <f ca="1">IF(H142&lt;=I142,"Starter",IF(G142&gt;=LARGE(G:G,FlexOn*LeagueInfo!$F$2),"Starter","Bench"))</f>
        <v>Starter</v>
      </c>
      <c r="G142">
        <f t="shared" ca="1" si="11"/>
        <v>0</v>
      </c>
      <c r="H142">
        <f t="shared" ca="1" si="12"/>
        <v>12</v>
      </c>
      <c r="I142">
        <f>IF(C142="RB",LeagueInfo!$D$4*LeagueInfo!$F$2,IF(C142="WR",LeagueInfo!$D$5*LeagueInfo!$F$2,IF(C142="TE",LeagueInfo!$D$6*LeagueInfo!$F$2,LeagueInfo!$D$3*LeagueInfo!$F$2)))</f>
        <v>12</v>
      </c>
    </row>
    <row r="143" spans="1:9" x14ac:dyDescent="0.35">
      <c r="A143">
        <f t="shared" ca="1" si="13"/>
        <v>128</v>
      </c>
      <c r="B143" t="s">
        <v>627</v>
      </c>
      <c r="C143" t="s">
        <v>25</v>
      </c>
      <c r="D143">
        <f t="shared" ca="1" si="10"/>
        <v>138.13000000000002</v>
      </c>
      <c r="E143" s="5">
        <f t="shared" ca="1" si="14"/>
        <v>36.050000000000026</v>
      </c>
      <c r="F143" t="str">
        <f ca="1">IF(H143&lt;=I143,"Starter",IF(G143&gt;=LARGE(G:G,FlexOn*LeagueInfo!$F$2),"Starter","Bench"))</f>
        <v>Bench</v>
      </c>
      <c r="G143">
        <f t="shared" ca="1" si="11"/>
        <v>138.13000000000002</v>
      </c>
      <c r="H143">
        <f t="shared" ca="1" si="12"/>
        <v>37</v>
      </c>
      <c r="I143">
        <f>IF(C143="RB",LeagueInfo!$D$4*LeagueInfo!$F$2,IF(C143="WR",LeagueInfo!$D$5*LeagueInfo!$F$2,IF(C143="TE",LeagueInfo!$D$6*LeagueInfo!$F$2,LeagueInfo!$D$3*LeagueInfo!$F$2)))</f>
        <v>24</v>
      </c>
    </row>
    <row r="144" spans="1:9" x14ac:dyDescent="0.35">
      <c r="A144">
        <f t="shared" ca="1" si="13"/>
        <v>141</v>
      </c>
      <c r="B144" t="s">
        <v>936</v>
      </c>
      <c r="C144" t="s">
        <v>40</v>
      </c>
      <c r="D144">
        <f t="shared" ca="1" si="10"/>
        <v>126.36</v>
      </c>
      <c r="E144" s="5">
        <f t="shared" ca="1" si="14"/>
        <v>24.28</v>
      </c>
      <c r="F144" t="str">
        <f ca="1">IF(H144&lt;=I144,"Starter",IF(G144&gt;=LARGE(G:G,FlexOn*LeagueInfo!$F$2),"Starter","Bench"))</f>
        <v>Starter</v>
      </c>
      <c r="G144">
        <f t="shared" ca="1" si="11"/>
        <v>0</v>
      </c>
      <c r="H144">
        <f t="shared" ca="1" si="12"/>
        <v>11</v>
      </c>
      <c r="I144">
        <f>IF(C144="RB",LeagueInfo!$D$4*LeagueInfo!$F$2,IF(C144="WR",LeagueInfo!$D$5*LeagueInfo!$F$2,IF(C144="TE",LeagueInfo!$D$6*LeagueInfo!$F$2,LeagueInfo!$D$3*LeagueInfo!$F$2)))</f>
        <v>12</v>
      </c>
    </row>
    <row r="145" spans="1:9" x14ac:dyDescent="0.35">
      <c r="A145">
        <f t="shared" ca="1" si="13"/>
        <v>139</v>
      </c>
      <c r="B145" t="s">
        <v>915</v>
      </c>
      <c r="C145" t="s">
        <v>32</v>
      </c>
      <c r="D145">
        <f t="shared" ca="1" si="10"/>
        <v>127.62000000000002</v>
      </c>
      <c r="E145" s="5">
        <f t="shared" ca="1" si="14"/>
        <v>25.54000000000002</v>
      </c>
      <c r="F145" t="str">
        <f ca="1">IF(H145&lt;=I145,"Starter",IF(G145&gt;=LARGE(G:G,FlexOn*LeagueInfo!$F$2),"Starter","Bench"))</f>
        <v>Bench</v>
      </c>
      <c r="G145">
        <f t="shared" ca="1" si="11"/>
        <v>127.62000000000002</v>
      </c>
      <c r="H145">
        <f t="shared" ca="1" si="12"/>
        <v>61</v>
      </c>
      <c r="I145">
        <f>IF(C145="RB",LeagueInfo!$D$4*LeagueInfo!$F$2,IF(C145="WR",LeagueInfo!$D$5*LeagueInfo!$F$2,IF(C145="TE",LeagueInfo!$D$6*LeagueInfo!$F$2,LeagueInfo!$D$3*LeagueInfo!$F$2)))</f>
        <v>24</v>
      </c>
    </row>
    <row r="146" spans="1:9" x14ac:dyDescent="0.35">
      <c r="A146">
        <f t="shared" ca="1" si="13"/>
        <v>145</v>
      </c>
      <c r="B146" t="s">
        <v>502</v>
      </c>
      <c r="C146" t="s">
        <v>32</v>
      </c>
      <c r="D146">
        <f t="shared" ca="1" si="10"/>
        <v>122.07</v>
      </c>
      <c r="E146" s="5">
        <f t="shared" ca="1" si="14"/>
        <v>19.989999999999995</v>
      </c>
      <c r="F146" t="str">
        <f ca="1">IF(H146&lt;=I146,"Starter",IF(G146&gt;=LARGE(G:G,FlexOn*LeagueInfo!$F$2),"Starter","Bench"))</f>
        <v>Bench</v>
      </c>
      <c r="G146">
        <f t="shared" ca="1" si="11"/>
        <v>122.07</v>
      </c>
      <c r="H146">
        <f t="shared" ca="1" si="12"/>
        <v>63</v>
      </c>
      <c r="I146">
        <f>IF(C146="RB",LeagueInfo!$D$4*LeagueInfo!$F$2,IF(C146="WR",LeagueInfo!$D$5*LeagueInfo!$F$2,IF(C146="TE",LeagueInfo!$D$6*LeagueInfo!$F$2,LeagueInfo!$D$3*LeagueInfo!$F$2)))</f>
        <v>24</v>
      </c>
    </row>
    <row r="147" spans="1:9" x14ac:dyDescent="0.35">
      <c r="A147">
        <f t="shared" ca="1" si="13"/>
        <v>149</v>
      </c>
      <c r="B147" t="s">
        <v>376</v>
      </c>
      <c r="C147" t="s">
        <v>40</v>
      </c>
      <c r="D147">
        <f t="shared" ca="1" si="10"/>
        <v>117.02000000000002</v>
      </c>
      <c r="E147" s="5">
        <f t="shared" ca="1" si="14"/>
        <v>14.940000000000026</v>
      </c>
      <c r="F147" t="str">
        <f ca="1">IF(H147&lt;=I147,"Starter",IF(G147&gt;=LARGE(G:G,FlexOn*LeagueInfo!$F$2),"Starter","Bench"))</f>
        <v>Bench</v>
      </c>
      <c r="G147">
        <f t="shared" ca="1" si="11"/>
        <v>117.02000000000002</v>
      </c>
      <c r="H147">
        <f t="shared" ca="1" si="12"/>
        <v>13</v>
      </c>
      <c r="I147">
        <f>IF(C147="RB",LeagueInfo!$D$4*LeagueInfo!$F$2,IF(C147="WR",LeagueInfo!$D$5*LeagueInfo!$F$2,IF(C147="TE",LeagueInfo!$D$6*LeagueInfo!$F$2,LeagueInfo!$D$3*LeagueInfo!$F$2)))</f>
        <v>12</v>
      </c>
    </row>
    <row r="148" spans="1:9" x14ac:dyDescent="0.35">
      <c r="A148">
        <f t="shared" ca="1" si="13"/>
        <v>150</v>
      </c>
      <c r="B148" t="s">
        <v>628</v>
      </c>
      <c r="C148" t="s">
        <v>25</v>
      </c>
      <c r="D148">
        <f t="shared" ca="1" si="10"/>
        <v>113.66999999999999</v>
      </c>
      <c r="E148" s="5">
        <f t="shared" ca="1" si="14"/>
        <v>11.589999999999989</v>
      </c>
      <c r="F148" t="str">
        <f ca="1">IF(H148&lt;=I148,"Starter",IF(G148&gt;=LARGE(G:G,FlexOn*LeagueInfo!$F$2),"Starter","Bench"))</f>
        <v>Bench</v>
      </c>
      <c r="G148">
        <f t="shared" ca="1" si="11"/>
        <v>113.66999999999999</v>
      </c>
      <c r="H148">
        <f t="shared" ca="1" si="12"/>
        <v>42</v>
      </c>
      <c r="I148">
        <f>IF(C148="RB",LeagueInfo!$D$4*LeagueInfo!$F$2,IF(C148="WR",LeagueInfo!$D$5*LeagueInfo!$F$2,IF(C148="TE",LeagueInfo!$D$6*LeagueInfo!$F$2,LeagueInfo!$D$3*LeagueInfo!$F$2)))</f>
        <v>24</v>
      </c>
    </row>
    <row r="149" spans="1:9" x14ac:dyDescent="0.35">
      <c r="A149">
        <f t="shared" ca="1" si="13"/>
        <v>151</v>
      </c>
      <c r="B149" t="s">
        <v>728</v>
      </c>
      <c r="C149" t="s">
        <v>32</v>
      </c>
      <c r="D149">
        <f t="shared" ca="1" si="10"/>
        <v>112.76</v>
      </c>
      <c r="E149" s="5">
        <f t="shared" ca="1" si="14"/>
        <v>10.680000000000007</v>
      </c>
      <c r="F149" t="str">
        <f ca="1">IF(H149&lt;=I149,"Starter",IF(G149&gt;=LARGE(G:G,FlexOn*LeagueInfo!$F$2),"Starter","Bench"))</f>
        <v>Bench</v>
      </c>
      <c r="G149">
        <f t="shared" ca="1" si="11"/>
        <v>112.76</v>
      </c>
      <c r="H149">
        <f t="shared" ca="1" si="12"/>
        <v>66</v>
      </c>
      <c r="I149">
        <f>IF(C149="RB",LeagueInfo!$D$4*LeagueInfo!$F$2,IF(C149="WR",LeagueInfo!$D$5*LeagueInfo!$F$2,IF(C149="TE",LeagueInfo!$D$6*LeagueInfo!$F$2,LeagueInfo!$D$3*LeagueInfo!$F$2)))</f>
        <v>24</v>
      </c>
    </row>
    <row r="150" spans="1:9" x14ac:dyDescent="0.35">
      <c r="A150">
        <f t="shared" ca="1" si="13"/>
        <v>161</v>
      </c>
      <c r="B150" t="s">
        <v>569</v>
      </c>
      <c r="C150" t="s">
        <v>40</v>
      </c>
      <c r="D150">
        <f t="shared" ca="1" si="10"/>
        <v>108.22999999999999</v>
      </c>
      <c r="E150" s="5">
        <f t="shared" ca="1" si="14"/>
        <v>6.1499999999999915</v>
      </c>
      <c r="F150" t="str">
        <f ca="1">IF(H150&lt;=I150,"Starter",IF(G150&gt;=LARGE(G:G,FlexOn*LeagueInfo!$F$2),"Starter","Bench"))</f>
        <v>Bench</v>
      </c>
      <c r="G150">
        <f t="shared" ca="1" si="11"/>
        <v>108.22999999999999</v>
      </c>
      <c r="H150">
        <f t="shared" ca="1" si="12"/>
        <v>14</v>
      </c>
      <c r="I150">
        <f>IF(C150="RB",LeagueInfo!$D$4*LeagueInfo!$F$2,IF(C150="WR",LeagueInfo!$D$5*LeagueInfo!$F$2,IF(C150="TE",LeagueInfo!$D$6*LeagueInfo!$F$2,LeagueInfo!$D$3*LeagueInfo!$F$2)))</f>
        <v>12</v>
      </c>
    </row>
    <row r="151" spans="1:9" x14ac:dyDescent="0.35">
      <c r="A151">
        <f t="shared" ca="1" si="13"/>
        <v>148</v>
      </c>
      <c r="B151" t="s">
        <v>519</v>
      </c>
      <c r="C151" t="s">
        <v>25</v>
      </c>
      <c r="D151">
        <f t="shared" ca="1" si="10"/>
        <v>118.18000000000002</v>
      </c>
      <c r="E151" s="5">
        <f t="shared" ca="1" si="14"/>
        <v>16.100000000000023</v>
      </c>
      <c r="F151" t="str">
        <f ca="1">IF(H151&lt;=I151,"Starter",IF(G151&gt;=LARGE(G:G,FlexOn*LeagueInfo!$F$2),"Starter","Bench"))</f>
        <v>Bench</v>
      </c>
      <c r="G151">
        <f t="shared" ca="1" si="11"/>
        <v>118.18000000000002</v>
      </c>
      <c r="H151">
        <f t="shared" ca="1" si="12"/>
        <v>41</v>
      </c>
      <c r="I151">
        <f>IF(C151="RB",LeagueInfo!$D$4*LeagueInfo!$F$2,IF(C151="WR",LeagueInfo!$D$5*LeagueInfo!$F$2,IF(C151="TE",LeagueInfo!$D$6*LeagueInfo!$F$2,LeagueInfo!$D$3*LeagueInfo!$F$2)))</f>
        <v>24</v>
      </c>
    </row>
    <row r="152" spans="1:9" x14ac:dyDescent="0.35">
      <c r="A152">
        <f t="shared" ca="1" si="13"/>
        <v>152</v>
      </c>
      <c r="B152" t="s">
        <v>529</v>
      </c>
      <c r="C152" t="s">
        <v>25</v>
      </c>
      <c r="D152">
        <f t="shared" ca="1" si="10"/>
        <v>112.36000000000001</v>
      </c>
      <c r="E152" s="5">
        <f t="shared" ca="1" si="14"/>
        <v>10.280000000000015</v>
      </c>
      <c r="F152" t="str">
        <f ca="1">IF(H152&lt;=I152,"Starter",IF(G152&gt;=LARGE(G:G,FlexOn*LeagueInfo!$F$2),"Starter","Bench"))</f>
        <v>Bench</v>
      </c>
      <c r="G152">
        <f t="shared" ca="1" si="11"/>
        <v>112.36000000000001</v>
      </c>
      <c r="H152">
        <f t="shared" ca="1" si="12"/>
        <v>43</v>
      </c>
      <c r="I152">
        <f>IF(C152="RB",LeagueInfo!$D$4*LeagueInfo!$F$2,IF(C152="WR",LeagueInfo!$D$5*LeagueInfo!$F$2,IF(C152="TE",LeagueInfo!$D$6*LeagueInfo!$F$2,LeagueInfo!$D$3*LeagueInfo!$F$2)))</f>
        <v>24</v>
      </c>
    </row>
    <row r="153" spans="1:9" x14ac:dyDescent="0.35">
      <c r="A153">
        <f t="shared" ca="1" si="13"/>
        <v>155</v>
      </c>
      <c r="B153" t="s">
        <v>917</v>
      </c>
      <c r="C153" t="s">
        <v>32</v>
      </c>
      <c r="D153">
        <f t="shared" ca="1" si="10"/>
        <v>111.62</v>
      </c>
      <c r="E153" s="5">
        <f t="shared" ca="1" si="14"/>
        <v>9.5400000000000063</v>
      </c>
      <c r="F153" t="str">
        <f ca="1">IF(H153&lt;=I153,"Starter",IF(G153&gt;=LARGE(G:G,FlexOn*LeagueInfo!$F$2),"Starter","Bench"))</f>
        <v>Bench</v>
      </c>
      <c r="G153">
        <f t="shared" ca="1" si="11"/>
        <v>111.62</v>
      </c>
      <c r="H153">
        <f t="shared" ca="1" si="12"/>
        <v>69</v>
      </c>
      <c r="I153">
        <f>IF(C153="RB",LeagueInfo!$D$4*LeagueInfo!$F$2,IF(C153="WR",LeagueInfo!$D$5*LeagueInfo!$F$2,IF(C153="TE",LeagueInfo!$D$6*LeagueInfo!$F$2,LeagueInfo!$D$3*LeagueInfo!$F$2)))</f>
        <v>24</v>
      </c>
    </row>
    <row r="154" spans="1:9" x14ac:dyDescent="0.35">
      <c r="A154">
        <f t="shared" ca="1" si="13"/>
        <v>167</v>
      </c>
      <c r="B154" t="s">
        <v>591</v>
      </c>
      <c r="C154" t="s">
        <v>32</v>
      </c>
      <c r="D154">
        <f t="shared" ca="1" si="10"/>
        <v>102.98</v>
      </c>
      <c r="E154" s="5">
        <f t="shared" ca="1" si="14"/>
        <v>0.90000000000000568</v>
      </c>
      <c r="F154" t="str">
        <f ca="1">IF(H154&lt;=I154,"Starter",IF(G154&gt;=LARGE(G:G,FlexOn*LeagueInfo!$F$2),"Starter","Bench"))</f>
        <v>Bench</v>
      </c>
      <c r="G154">
        <f t="shared" ca="1" si="11"/>
        <v>102.98</v>
      </c>
      <c r="H154">
        <f t="shared" ca="1" si="12"/>
        <v>73</v>
      </c>
      <c r="I154">
        <f>IF(C154="RB",LeagueInfo!$D$4*LeagueInfo!$F$2,IF(C154="WR",LeagueInfo!$D$5*LeagueInfo!$F$2,IF(C154="TE",LeagueInfo!$D$6*LeagueInfo!$F$2,LeagueInfo!$D$3*LeagueInfo!$F$2)))</f>
        <v>24</v>
      </c>
    </row>
    <row r="155" spans="1:9" x14ac:dyDescent="0.35">
      <c r="A155">
        <f t="shared" ca="1" si="13"/>
        <v>162</v>
      </c>
      <c r="B155" t="s">
        <v>245</v>
      </c>
      <c r="C155" t="s">
        <v>32</v>
      </c>
      <c r="D155">
        <f t="shared" ca="1" si="10"/>
        <v>107.62</v>
      </c>
      <c r="E155" s="5">
        <f t="shared" ca="1" si="14"/>
        <v>5.5400000000000063</v>
      </c>
      <c r="F155" t="str">
        <f ca="1">IF(H155&lt;=I155,"Starter",IF(G155&gt;=LARGE(G:G,FlexOn*LeagueInfo!$F$2),"Starter","Bench"))</f>
        <v>Bench</v>
      </c>
      <c r="G155">
        <f t="shared" ca="1" si="11"/>
        <v>107.62</v>
      </c>
      <c r="H155">
        <f t="shared" ca="1" si="12"/>
        <v>71</v>
      </c>
      <c r="I155">
        <f>IF(C155="RB",LeagueInfo!$D$4*LeagueInfo!$F$2,IF(C155="WR",LeagueInfo!$D$5*LeagueInfo!$F$2,IF(C155="TE",LeagueInfo!$D$6*LeagueInfo!$F$2,LeagueInfo!$D$3*LeagueInfo!$F$2)))</f>
        <v>24</v>
      </c>
    </row>
    <row r="156" spans="1:9" x14ac:dyDescent="0.35">
      <c r="A156">
        <f t="shared" ca="1" si="13"/>
        <v>160</v>
      </c>
      <c r="B156" t="s">
        <v>736</v>
      </c>
      <c r="C156" t="s">
        <v>32</v>
      </c>
      <c r="D156">
        <f t="shared" ca="1" si="10"/>
        <v>109.36</v>
      </c>
      <c r="E156" s="5">
        <f t="shared" ca="1" si="14"/>
        <v>7.2800000000000011</v>
      </c>
      <c r="F156" t="str">
        <f ca="1">IF(H156&lt;=I156,"Starter",IF(G156&gt;=LARGE(G:G,FlexOn*LeagueInfo!$F$2),"Starter","Bench"))</f>
        <v>Bench</v>
      </c>
      <c r="G156">
        <f t="shared" ca="1" si="11"/>
        <v>109.36</v>
      </c>
      <c r="H156">
        <f t="shared" ca="1" si="12"/>
        <v>70</v>
      </c>
      <c r="I156">
        <f>IF(C156="RB",LeagueInfo!$D$4*LeagueInfo!$F$2,IF(C156="WR",LeagueInfo!$D$5*LeagueInfo!$F$2,IF(C156="TE",LeagueInfo!$D$6*LeagueInfo!$F$2,LeagueInfo!$D$3*LeagueInfo!$F$2)))</f>
        <v>24</v>
      </c>
    </row>
    <row r="157" spans="1:9" x14ac:dyDescent="0.35">
      <c r="A157">
        <f t="shared" ca="1" si="13"/>
        <v>157</v>
      </c>
      <c r="B157" t="s">
        <v>619</v>
      </c>
      <c r="C157" t="s">
        <v>25</v>
      </c>
      <c r="D157">
        <f t="shared" ca="1" si="10"/>
        <v>110.66000000000001</v>
      </c>
      <c r="E157" s="5">
        <f t="shared" ca="1" si="14"/>
        <v>8.5800000000000125</v>
      </c>
      <c r="F157" t="str">
        <f ca="1">IF(H157&lt;=I157,"Starter",IF(G157&gt;=LARGE(G:G,FlexOn*LeagueInfo!$F$2),"Starter","Bench"))</f>
        <v>Bench</v>
      </c>
      <c r="G157">
        <f t="shared" ca="1" si="11"/>
        <v>110.66000000000001</v>
      </c>
      <c r="H157">
        <f t="shared" ca="1" si="12"/>
        <v>45</v>
      </c>
      <c r="I157">
        <f>IF(C157="RB",LeagueInfo!$D$4*LeagueInfo!$F$2,IF(C157="WR",LeagueInfo!$D$5*LeagueInfo!$F$2,IF(C157="TE",LeagueInfo!$D$6*LeagueInfo!$F$2,LeagueInfo!$D$3*LeagueInfo!$F$2)))</f>
        <v>24</v>
      </c>
    </row>
    <row r="158" spans="1:9" x14ac:dyDescent="0.35">
      <c r="A158">
        <f t="shared" ca="1" si="13"/>
        <v>146</v>
      </c>
      <c r="B158" t="s">
        <v>544</v>
      </c>
      <c r="C158" t="s">
        <v>25</v>
      </c>
      <c r="D158">
        <f t="shared" ca="1" si="10"/>
        <v>120.5</v>
      </c>
      <c r="E158" s="5">
        <f t="shared" ca="1" si="14"/>
        <v>18.420000000000002</v>
      </c>
      <c r="F158" t="str">
        <f ca="1">IF(H158&lt;=I158,"Starter",IF(G158&gt;=LARGE(G:G,FlexOn*LeagueInfo!$F$2),"Starter","Bench"))</f>
        <v>Bench</v>
      </c>
      <c r="G158">
        <f t="shared" ca="1" si="11"/>
        <v>120.5</v>
      </c>
      <c r="H158">
        <f t="shared" ca="1" si="12"/>
        <v>40</v>
      </c>
      <c r="I158">
        <f>IF(C158="RB",LeagueInfo!$D$4*LeagueInfo!$F$2,IF(C158="WR",LeagueInfo!$D$5*LeagueInfo!$F$2,IF(C158="TE",LeagueInfo!$D$6*LeagueInfo!$F$2,LeagueInfo!$D$3*LeagueInfo!$F$2)))</f>
        <v>24</v>
      </c>
    </row>
    <row r="159" spans="1:9" x14ac:dyDescent="0.35">
      <c r="A159">
        <f t="shared" ca="1" si="13"/>
        <v>156</v>
      </c>
      <c r="B159" t="s">
        <v>863</v>
      </c>
      <c r="C159" t="s">
        <v>25</v>
      </c>
      <c r="D159">
        <f t="shared" ca="1" si="10"/>
        <v>110.90999999999998</v>
      </c>
      <c r="E159" s="5">
        <f t="shared" ca="1" si="14"/>
        <v>8.8299999999999841</v>
      </c>
      <c r="F159" t="str">
        <f ca="1">IF(H159&lt;=I159,"Starter",IF(G159&gt;=LARGE(G:G,FlexOn*LeagueInfo!$F$2),"Starter","Bench"))</f>
        <v>Bench</v>
      </c>
      <c r="G159">
        <f t="shared" ca="1" si="11"/>
        <v>110.90999999999998</v>
      </c>
      <c r="H159">
        <f t="shared" ca="1" si="12"/>
        <v>44</v>
      </c>
      <c r="I159">
        <f>IF(C159="RB",LeagueInfo!$D$4*LeagueInfo!$F$2,IF(C159="WR",LeagueInfo!$D$5*LeagueInfo!$F$2,IF(C159="TE",LeagueInfo!$D$6*LeagueInfo!$F$2,LeagueInfo!$D$3*LeagueInfo!$F$2)))</f>
        <v>24</v>
      </c>
    </row>
    <row r="160" spans="1:9" x14ac:dyDescent="0.35">
      <c r="A160">
        <f t="shared" ca="1" si="13"/>
        <v>163</v>
      </c>
      <c r="B160" t="s">
        <v>862</v>
      </c>
      <c r="C160" t="s">
        <v>25</v>
      </c>
      <c r="D160">
        <f t="shared" ca="1" si="10"/>
        <v>107.21000000000001</v>
      </c>
      <c r="E160" s="5">
        <f t="shared" ca="1" si="14"/>
        <v>5.1300000000000097</v>
      </c>
      <c r="F160" t="str">
        <f ca="1">IF(H160&lt;=I160,"Starter",IF(G160&gt;=LARGE(G:G,FlexOn*LeagueInfo!$F$2),"Starter","Bench"))</f>
        <v>Bench</v>
      </c>
      <c r="G160">
        <f t="shared" ca="1" si="11"/>
        <v>107.21000000000001</v>
      </c>
      <c r="H160">
        <f t="shared" ca="1" si="12"/>
        <v>48</v>
      </c>
      <c r="I160">
        <f>IF(C160="RB",LeagueInfo!$D$4*LeagueInfo!$F$2,IF(C160="WR",LeagueInfo!$D$5*LeagueInfo!$F$2,IF(C160="TE",LeagueInfo!$D$6*LeagueInfo!$F$2,LeagueInfo!$D$3*LeagueInfo!$F$2)))</f>
        <v>24</v>
      </c>
    </row>
    <row r="161" spans="1:9" x14ac:dyDescent="0.35">
      <c r="A161">
        <f t="shared" ca="1" si="13"/>
        <v>168</v>
      </c>
      <c r="B161" t="s">
        <v>438</v>
      </c>
      <c r="C161" t="s">
        <v>32</v>
      </c>
      <c r="D161">
        <f t="shared" ca="1" si="10"/>
        <v>102.08</v>
      </c>
      <c r="E161" s="5">
        <f t="shared" ca="1" si="14"/>
        <v>0</v>
      </c>
      <c r="F161" t="str">
        <f ca="1">IF(H161&lt;=I161,"Starter",IF(G161&gt;=LARGE(G:G,FlexOn*LeagueInfo!$F$2),"Starter","Bench"))</f>
        <v>Bench</v>
      </c>
      <c r="G161">
        <f t="shared" ca="1" si="11"/>
        <v>102.08</v>
      </c>
      <c r="H161">
        <f t="shared" ca="1" si="12"/>
        <v>74</v>
      </c>
      <c r="I161">
        <f>IF(C161="RB",LeagueInfo!$D$4*LeagueInfo!$F$2,IF(C161="WR",LeagueInfo!$D$5*LeagueInfo!$F$2,IF(C161="TE",LeagueInfo!$D$6*LeagueInfo!$F$2,LeagueInfo!$D$3*LeagueInfo!$F$2)))</f>
        <v>24</v>
      </c>
    </row>
    <row r="162" spans="1:9" x14ac:dyDescent="0.35">
      <c r="A162">
        <f t="shared" ca="1" si="13"/>
        <v>165</v>
      </c>
      <c r="B162" t="s">
        <v>553</v>
      </c>
      <c r="C162" t="s">
        <v>32</v>
      </c>
      <c r="D162">
        <f t="shared" ca="1" si="10"/>
        <v>104.62</v>
      </c>
      <c r="E162" s="5">
        <f t="shared" ca="1" si="14"/>
        <v>2.5400000000000063</v>
      </c>
      <c r="F162" t="str">
        <f ca="1">IF(H162&lt;=I162,"Starter",IF(G162&gt;=LARGE(G:G,FlexOn*LeagueInfo!$F$2),"Starter","Bench"))</f>
        <v>Bench</v>
      </c>
      <c r="G162">
        <f t="shared" ca="1" si="11"/>
        <v>104.62</v>
      </c>
      <c r="H162">
        <f t="shared" ca="1" si="12"/>
        <v>72</v>
      </c>
      <c r="I162">
        <f>IF(C162="RB",LeagueInfo!$D$4*LeagueInfo!$F$2,IF(C162="WR",LeagueInfo!$D$5*LeagueInfo!$F$2,IF(C162="TE",LeagueInfo!$D$6*LeagueInfo!$F$2,LeagueInfo!$D$3*LeagueInfo!$F$2)))</f>
        <v>24</v>
      </c>
    </row>
    <row r="163" spans="1:9" x14ac:dyDescent="0.35">
      <c r="A163">
        <f t="shared" ca="1" si="13"/>
        <v>223</v>
      </c>
      <c r="B163" t="s">
        <v>938</v>
      </c>
      <c r="C163" t="s">
        <v>40</v>
      </c>
      <c r="D163">
        <f t="shared" ca="1" si="10"/>
        <v>64.97</v>
      </c>
      <c r="E163" s="5">
        <f t="shared" ca="1" si="14"/>
        <v>-37.11</v>
      </c>
      <c r="F163" t="str">
        <f ca="1">IF(H163&lt;=I163,"Starter",IF(G163&gt;=LARGE(G:G,FlexOn*LeagueInfo!$F$2),"Starter","Bench"))</f>
        <v>Bench</v>
      </c>
      <c r="G163">
        <f t="shared" ca="1" si="11"/>
        <v>64.97</v>
      </c>
      <c r="H163">
        <f t="shared" ca="1" si="12"/>
        <v>32</v>
      </c>
      <c r="I163">
        <f>IF(C163="RB",LeagueInfo!$D$4*LeagueInfo!$F$2,IF(C163="WR",LeagueInfo!$D$5*LeagueInfo!$F$2,IF(C163="TE",LeagueInfo!$D$6*LeagueInfo!$F$2,LeagueInfo!$D$3*LeagueInfo!$F$2)))</f>
        <v>12</v>
      </c>
    </row>
    <row r="164" spans="1:9" x14ac:dyDescent="0.35">
      <c r="A164">
        <f t="shared" ca="1" si="13"/>
        <v>166</v>
      </c>
      <c r="B164" t="s">
        <v>548</v>
      </c>
      <c r="C164" t="s">
        <v>25</v>
      </c>
      <c r="D164">
        <f t="shared" ca="1" si="10"/>
        <v>103.68</v>
      </c>
      <c r="E164" s="5">
        <f t="shared" ca="1" si="14"/>
        <v>1.6000000000000085</v>
      </c>
      <c r="F164" t="str">
        <f ca="1">IF(H164&lt;=I164,"Starter",IF(G164&gt;=LARGE(G:G,FlexOn*LeagueInfo!$F$2),"Starter","Bench"))</f>
        <v>Bench</v>
      </c>
      <c r="G164">
        <f t="shared" ca="1" si="11"/>
        <v>103.68</v>
      </c>
      <c r="H164">
        <f t="shared" ca="1" si="12"/>
        <v>50</v>
      </c>
      <c r="I164">
        <f>IF(C164="RB",LeagueInfo!$D$4*LeagueInfo!$F$2,IF(C164="WR",LeagueInfo!$D$5*LeagueInfo!$F$2,IF(C164="TE",LeagueInfo!$D$6*LeagueInfo!$F$2,LeagueInfo!$D$3*LeagueInfo!$F$2)))</f>
        <v>24</v>
      </c>
    </row>
    <row r="165" spans="1:9" x14ac:dyDescent="0.35">
      <c r="A165">
        <f t="shared" ca="1" si="13"/>
        <v>147</v>
      </c>
      <c r="B165" t="s">
        <v>919</v>
      </c>
      <c r="C165" t="s">
        <v>32</v>
      </c>
      <c r="D165">
        <f t="shared" ca="1" si="10"/>
        <v>119.53000000000002</v>
      </c>
      <c r="E165" s="5">
        <f t="shared" ca="1" si="14"/>
        <v>17.450000000000017</v>
      </c>
      <c r="F165" t="str">
        <f ca="1">IF(H165&lt;=I165,"Starter",IF(G165&gt;=LARGE(G:G,FlexOn*LeagueInfo!$F$2),"Starter","Bench"))</f>
        <v>Bench</v>
      </c>
      <c r="G165">
        <f t="shared" ca="1" si="11"/>
        <v>119.53000000000002</v>
      </c>
      <c r="H165">
        <f t="shared" ca="1" si="12"/>
        <v>64</v>
      </c>
      <c r="I165">
        <f>IF(C165="RB",LeagueInfo!$D$4*LeagueInfo!$F$2,IF(C165="WR",LeagueInfo!$D$5*LeagueInfo!$F$2,IF(C165="TE",LeagueInfo!$D$6*LeagueInfo!$F$2,LeagueInfo!$D$3*LeagueInfo!$F$2)))</f>
        <v>24</v>
      </c>
    </row>
    <row r="166" spans="1:9" x14ac:dyDescent="0.35">
      <c r="A166">
        <f t="shared" ca="1" si="13"/>
        <v>158</v>
      </c>
      <c r="B166" t="s">
        <v>499</v>
      </c>
      <c r="C166" t="s">
        <v>25</v>
      </c>
      <c r="D166">
        <f t="shared" ca="1" si="10"/>
        <v>110.09</v>
      </c>
      <c r="E166" s="5">
        <f t="shared" ca="1" si="14"/>
        <v>8.0100000000000051</v>
      </c>
      <c r="F166" t="str">
        <f ca="1">IF(H166&lt;=I166,"Starter",IF(G166&gt;=LARGE(G:G,FlexOn*LeagueInfo!$F$2),"Starter","Bench"))</f>
        <v>Bench</v>
      </c>
      <c r="G166">
        <f t="shared" ca="1" si="11"/>
        <v>110.09</v>
      </c>
      <c r="H166">
        <f t="shared" ca="1" si="12"/>
        <v>46</v>
      </c>
      <c r="I166">
        <f>IF(C166="RB",LeagueInfo!$D$4*LeagueInfo!$F$2,IF(C166="WR",LeagueInfo!$D$5*LeagueInfo!$F$2,IF(C166="TE",LeagueInfo!$D$6*LeagueInfo!$F$2,LeagueInfo!$D$3*LeagueInfo!$F$2)))</f>
        <v>24</v>
      </c>
    </row>
    <row r="167" spans="1:9" x14ac:dyDescent="0.35">
      <c r="A167">
        <f t="shared" ca="1" si="13"/>
        <v>164</v>
      </c>
      <c r="B167" t="s">
        <v>767</v>
      </c>
      <c r="C167" t="s">
        <v>25</v>
      </c>
      <c r="D167">
        <f t="shared" ca="1" si="10"/>
        <v>106.46000000000001</v>
      </c>
      <c r="E167" s="5">
        <f t="shared" ca="1" si="14"/>
        <v>4.3800000000000097</v>
      </c>
      <c r="F167" t="str">
        <f ca="1">IF(H167&lt;=I167,"Starter",IF(G167&gt;=LARGE(G:G,FlexOn*LeagueInfo!$F$2),"Starter","Bench"))</f>
        <v>Bench</v>
      </c>
      <c r="G167">
        <f t="shared" ca="1" si="11"/>
        <v>106.46000000000001</v>
      </c>
      <c r="H167">
        <f t="shared" ca="1" si="12"/>
        <v>49</v>
      </c>
      <c r="I167">
        <f>IF(C167="RB",LeagueInfo!$D$4*LeagueInfo!$F$2,IF(C167="WR",LeagueInfo!$D$5*LeagueInfo!$F$2,IF(C167="TE",LeagueInfo!$D$6*LeagueInfo!$F$2,LeagueInfo!$D$3*LeagueInfo!$F$2)))</f>
        <v>24</v>
      </c>
    </row>
    <row r="168" spans="1:9" x14ac:dyDescent="0.35">
      <c r="A168">
        <f t="shared" ca="1" si="13"/>
        <v>170</v>
      </c>
      <c r="B168" t="s">
        <v>916</v>
      </c>
      <c r="C168" t="s">
        <v>32</v>
      </c>
      <c r="D168">
        <f t="shared" ca="1" si="10"/>
        <v>101.67</v>
      </c>
      <c r="E168" s="5">
        <f t="shared" ca="1" si="14"/>
        <v>-0.40999999999999659</v>
      </c>
      <c r="F168" t="str">
        <f ca="1">IF(H168&lt;=I168,"Starter",IF(G168&gt;=LARGE(G:G,FlexOn*LeagueInfo!$F$2),"Starter","Bench"))</f>
        <v>Bench</v>
      </c>
      <c r="G168">
        <f t="shared" ca="1" si="11"/>
        <v>101.67</v>
      </c>
      <c r="H168">
        <f t="shared" ca="1" si="12"/>
        <v>75</v>
      </c>
      <c r="I168">
        <f>IF(C168="RB",LeagueInfo!$D$4*LeagueInfo!$F$2,IF(C168="WR",LeagueInfo!$D$5*LeagueInfo!$F$2,IF(C168="TE",LeagueInfo!$D$6*LeagueInfo!$F$2,LeagueInfo!$D$3*LeagueInfo!$F$2)))</f>
        <v>24</v>
      </c>
    </row>
    <row r="169" spans="1:9" x14ac:dyDescent="0.35">
      <c r="A169">
        <f t="shared" ca="1" si="13"/>
        <v>153</v>
      </c>
      <c r="B169" t="s">
        <v>709</v>
      </c>
      <c r="C169" t="s">
        <v>32</v>
      </c>
      <c r="D169">
        <f t="shared" ca="1" si="10"/>
        <v>111.99000000000001</v>
      </c>
      <c r="E169" s="5">
        <f t="shared" ca="1" si="14"/>
        <v>9.9100000000000108</v>
      </c>
      <c r="F169" t="str">
        <f ca="1">IF(H169&lt;=I169,"Starter",IF(G169&gt;=LARGE(G:G,FlexOn*LeagueInfo!$F$2),"Starter","Bench"))</f>
        <v>Bench</v>
      </c>
      <c r="G169">
        <f t="shared" ca="1" si="11"/>
        <v>111.99000000000001</v>
      </c>
      <c r="H169">
        <f t="shared" ca="1" si="12"/>
        <v>67</v>
      </c>
      <c r="I169">
        <f>IF(C169="RB",LeagueInfo!$D$4*LeagueInfo!$F$2,IF(C169="WR",LeagueInfo!$D$5*LeagueInfo!$F$2,IF(C169="TE",LeagueInfo!$D$6*LeagueInfo!$F$2,LeagueInfo!$D$3*LeagueInfo!$F$2)))</f>
        <v>24</v>
      </c>
    </row>
    <row r="170" spans="1:9" x14ac:dyDescent="0.35">
      <c r="A170">
        <f t="shared" ca="1" si="13"/>
        <v>187</v>
      </c>
      <c r="B170" t="s">
        <v>364</v>
      </c>
      <c r="C170" t="s">
        <v>32</v>
      </c>
      <c r="D170">
        <f t="shared" ca="1" si="10"/>
        <v>85.990000000000009</v>
      </c>
      <c r="E170" s="5">
        <f t="shared" ca="1" si="14"/>
        <v>-16.089999999999989</v>
      </c>
      <c r="F170" t="str">
        <f ca="1">IF(H170&lt;=I170,"Starter",IF(G170&gt;=LARGE(G:G,FlexOn*LeagueInfo!$F$2),"Starter","Bench"))</f>
        <v>Bench</v>
      </c>
      <c r="G170">
        <f t="shared" ca="1" si="11"/>
        <v>85.990000000000009</v>
      </c>
      <c r="H170">
        <f t="shared" ca="1" si="12"/>
        <v>83</v>
      </c>
      <c r="I170">
        <f>IF(C170="RB",LeagueInfo!$D$4*LeagueInfo!$F$2,IF(C170="WR",LeagueInfo!$D$5*LeagueInfo!$F$2,IF(C170="TE",LeagueInfo!$D$6*LeagueInfo!$F$2,LeagueInfo!$D$3*LeagueInfo!$F$2)))</f>
        <v>24</v>
      </c>
    </row>
    <row r="171" spans="1:9" x14ac:dyDescent="0.35">
      <c r="A171">
        <f t="shared" ca="1" si="13"/>
        <v>173</v>
      </c>
      <c r="B171" t="s">
        <v>377</v>
      </c>
      <c r="C171" t="s">
        <v>40</v>
      </c>
      <c r="D171">
        <f t="shared" ca="1" si="10"/>
        <v>99.49</v>
      </c>
      <c r="E171" s="5">
        <f t="shared" ca="1" si="14"/>
        <v>-2.5900000000000034</v>
      </c>
      <c r="F171" t="str">
        <f ca="1">IF(H171&lt;=I171,"Starter",IF(G171&gt;=LARGE(G:G,FlexOn*LeagueInfo!$F$2),"Starter","Bench"))</f>
        <v>Bench</v>
      </c>
      <c r="G171">
        <f t="shared" ca="1" si="11"/>
        <v>99.49</v>
      </c>
      <c r="H171">
        <f t="shared" ca="1" si="12"/>
        <v>18</v>
      </c>
      <c r="I171">
        <f>IF(C171="RB",LeagueInfo!$D$4*LeagueInfo!$F$2,IF(C171="WR",LeagueInfo!$D$5*LeagueInfo!$F$2,IF(C171="TE",LeagueInfo!$D$6*LeagueInfo!$F$2,LeagueInfo!$D$3*LeagueInfo!$F$2)))</f>
        <v>12</v>
      </c>
    </row>
    <row r="172" spans="1:9" x14ac:dyDescent="0.35">
      <c r="A172">
        <f t="shared" ca="1" si="13"/>
        <v>159</v>
      </c>
      <c r="B172" t="s">
        <v>830</v>
      </c>
      <c r="C172" t="s">
        <v>25</v>
      </c>
      <c r="D172">
        <f t="shared" ca="1" si="10"/>
        <v>109.56000000000003</v>
      </c>
      <c r="E172" s="5">
        <f t="shared" ca="1" si="14"/>
        <v>7.4800000000000324</v>
      </c>
      <c r="F172" t="str">
        <f ca="1">IF(H172&lt;=I172,"Starter",IF(G172&gt;=LARGE(G:G,FlexOn*LeagueInfo!$F$2),"Starter","Bench"))</f>
        <v>Bench</v>
      </c>
      <c r="G172">
        <f t="shared" ca="1" si="11"/>
        <v>109.56000000000003</v>
      </c>
      <c r="H172">
        <f t="shared" ca="1" si="12"/>
        <v>47</v>
      </c>
      <c r="I172">
        <f>IF(C172="RB",LeagueInfo!$D$4*LeagueInfo!$F$2,IF(C172="WR",LeagueInfo!$D$5*LeagueInfo!$F$2,IF(C172="TE",LeagueInfo!$D$6*LeagueInfo!$F$2,LeagueInfo!$D$3*LeagueInfo!$F$2)))</f>
        <v>24</v>
      </c>
    </row>
    <row r="173" spans="1:9" x14ac:dyDescent="0.35">
      <c r="A173">
        <f t="shared" ca="1" si="13"/>
        <v>172</v>
      </c>
      <c r="B173" t="s">
        <v>446</v>
      </c>
      <c r="C173" t="s">
        <v>40</v>
      </c>
      <c r="D173">
        <f t="shared" ca="1" si="10"/>
        <v>99.61999999999999</v>
      </c>
      <c r="E173" s="5">
        <f t="shared" ca="1" si="14"/>
        <v>-2.460000000000008</v>
      </c>
      <c r="F173" t="str">
        <f ca="1">IF(H173&lt;=I173,"Starter",IF(G173&gt;=LARGE(G:G,FlexOn*LeagueInfo!$F$2),"Starter","Bench"))</f>
        <v>Bench</v>
      </c>
      <c r="G173">
        <f t="shared" ca="1" si="11"/>
        <v>99.61999999999999</v>
      </c>
      <c r="H173">
        <f t="shared" ca="1" si="12"/>
        <v>17</v>
      </c>
      <c r="I173">
        <f>IF(C173="RB",LeagueInfo!$D$4*LeagueInfo!$F$2,IF(C173="WR",LeagueInfo!$D$5*LeagueInfo!$F$2,IF(C173="TE",LeagueInfo!$D$6*LeagueInfo!$F$2,LeagueInfo!$D$3*LeagueInfo!$F$2)))</f>
        <v>12</v>
      </c>
    </row>
    <row r="174" spans="1:9" x14ac:dyDescent="0.35">
      <c r="A174">
        <f t="shared" ca="1" si="13"/>
        <v>169</v>
      </c>
      <c r="B174" t="s">
        <v>448</v>
      </c>
      <c r="C174" t="s">
        <v>40</v>
      </c>
      <c r="D174">
        <f t="shared" ca="1" si="10"/>
        <v>101.77000000000001</v>
      </c>
      <c r="E174" s="5">
        <f t="shared" ca="1" si="14"/>
        <v>-0.30999999999998806</v>
      </c>
      <c r="F174" t="str">
        <f ca="1">IF(H174&lt;=I174,"Starter",IF(G174&gt;=LARGE(G:G,FlexOn*LeagueInfo!$F$2),"Starter","Bench"))</f>
        <v>Bench</v>
      </c>
      <c r="G174">
        <f t="shared" ca="1" si="11"/>
        <v>101.77000000000001</v>
      </c>
      <c r="H174">
        <f t="shared" ca="1" si="12"/>
        <v>15</v>
      </c>
      <c r="I174">
        <f>IF(C174="RB",LeagueInfo!$D$4*LeagueInfo!$F$2,IF(C174="WR",LeagueInfo!$D$5*LeagueInfo!$F$2,IF(C174="TE",LeagueInfo!$D$6*LeagueInfo!$F$2,LeagueInfo!$D$3*LeagueInfo!$F$2)))</f>
        <v>12</v>
      </c>
    </row>
    <row r="175" spans="1:9" x14ac:dyDescent="0.35">
      <c r="A175">
        <f t="shared" ca="1" si="13"/>
        <v>154</v>
      </c>
      <c r="B175" t="s">
        <v>602</v>
      </c>
      <c r="C175" t="s">
        <v>32</v>
      </c>
      <c r="D175">
        <f t="shared" ca="1" si="10"/>
        <v>111.92</v>
      </c>
      <c r="E175" s="5">
        <f t="shared" ca="1" si="14"/>
        <v>9.8400000000000034</v>
      </c>
      <c r="F175" t="str">
        <f ca="1">IF(H175&lt;=I175,"Starter",IF(G175&gt;=LARGE(G:G,FlexOn*LeagueInfo!$F$2),"Starter","Bench"))</f>
        <v>Bench</v>
      </c>
      <c r="G175">
        <f t="shared" ca="1" si="11"/>
        <v>111.92</v>
      </c>
      <c r="H175">
        <f t="shared" ca="1" si="12"/>
        <v>68</v>
      </c>
      <c r="I175">
        <f>IF(C175="RB",LeagueInfo!$D$4*LeagueInfo!$F$2,IF(C175="WR",LeagueInfo!$D$5*LeagueInfo!$F$2,IF(C175="TE",LeagueInfo!$D$6*LeagueInfo!$F$2,LeagueInfo!$D$3*LeagueInfo!$F$2)))</f>
        <v>24</v>
      </c>
    </row>
    <row r="176" spans="1:9" x14ac:dyDescent="0.35">
      <c r="A176">
        <f t="shared" ca="1" si="13"/>
        <v>171</v>
      </c>
      <c r="B176" t="s">
        <v>480</v>
      </c>
      <c r="C176" t="s">
        <v>40</v>
      </c>
      <c r="D176">
        <f t="shared" ca="1" si="10"/>
        <v>99.990000000000009</v>
      </c>
      <c r="E176" s="5">
        <f t="shared" ca="1" si="14"/>
        <v>-2.0899999999999892</v>
      </c>
      <c r="F176" t="str">
        <f ca="1">IF(H176&lt;=I176,"Starter",IF(G176&gt;=LARGE(G:G,FlexOn*LeagueInfo!$F$2),"Starter","Bench"))</f>
        <v>Bench</v>
      </c>
      <c r="G176">
        <f t="shared" ca="1" si="11"/>
        <v>99.990000000000009</v>
      </c>
      <c r="H176">
        <f t="shared" ca="1" si="12"/>
        <v>16</v>
      </c>
      <c r="I176">
        <f>IF(C176="RB",LeagueInfo!$D$4*LeagueInfo!$F$2,IF(C176="WR",LeagueInfo!$D$5*LeagueInfo!$F$2,IF(C176="TE",LeagueInfo!$D$6*LeagueInfo!$F$2,LeagueInfo!$D$3*LeagueInfo!$F$2)))</f>
        <v>12</v>
      </c>
    </row>
    <row r="177" spans="1:9" x14ac:dyDescent="0.35">
      <c r="A177">
        <f t="shared" ca="1" si="13"/>
        <v>188</v>
      </c>
      <c r="B177" t="s">
        <v>408</v>
      </c>
      <c r="C177" t="s">
        <v>32</v>
      </c>
      <c r="D177">
        <f t="shared" ca="1" si="10"/>
        <v>84.6</v>
      </c>
      <c r="E177" s="5">
        <f t="shared" ca="1" si="14"/>
        <v>-17.480000000000004</v>
      </c>
      <c r="F177" t="str">
        <f ca="1">IF(H177&lt;=I177,"Starter",IF(G177&gt;=LARGE(G:G,FlexOn*LeagueInfo!$F$2),"Starter","Bench"))</f>
        <v>Bench</v>
      </c>
      <c r="G177">
        <f t="shared" ca="1" si="11"/>
        <v>84.6</v>
      </c>
      <c r="H177">
        <f t="shared" ca="1" si="12"/>
        <v>84</v>
      </c>
      <c r="I177">
        <f>IF(C177="RB",LeagueInfo!$D$4*LeagueInfo!$F$2,IF(C177="WR",LeagueInfo!$D$5*LeagueInfo!$F$2,IF(C177="TE",LeagueInfo!$D$6*LeagueInfo!$F$2,LeagueInfo!$D$3*LeagueInfo!$F$2)))</f>
        <v>24</v>
      </c>
    </row>
    <row r="178" spans="1:9" x14ac:dyDescent="0.35">
      <c r="A178">
        <f t="shared" ca="1" si="13"/>
        <v>210</v>
      </c>
      <c r="B178" t="s">
        <v>921</v>
      </c>
      <c r="C178" t="s">
        <v>32</v>
      </c>
      <c r="D178">
        <f t="shared" ca="1" si="10"/>
        <v>74.67</v>
      </c>
      <c r="E178" s="5">
        <f t="shared" ca="1" si="14"/>
        <v>-27.409999999999997</v>
      </c>
      <c r="F178" t="str">
        <f ca="1">IF(H178&lt;=I178,"Starter",IF(G178&gt;=LARGE(G:G,FlexOn*LeagueInfo!$F$2),"Starter","Bench"))</f>
        <v>Bench</v>
      </c>
      <c r="G178">
        <f t="shared" ca="1" si="11"/>
        <v>74.67</v>
      </c>
      <c r="H178">
        <f t="shared" ca="1" si="12"/>
        <v>96</v>
      </c>
      <c r="I178">
        <f>IF(C178="RB",LeagueInfo!$D$4*LeagueInfo!$F$2,IF(C178="WR",LeagueInfo!$D$5*LeagueInfo!$F$2,IF(C178="TE",LeagueInfo!$D$6*LeagueInfo!$F$2,LeagueInfo!$D$3*LeagueInfo!$F$2)))</f>
        <v>24</v>
      </c>
    </row>
    <row r="179" spans="1:9" x14ac:dyDescent="0.35">
      <c r="A179">
        <f t="shared" ca="1" si="13"/>
        <v>178</v>
      </c>
      <c r="B179" t="s">
        <v>729</v>
      </c>
      <c r="C179" t="s">
        <v>40</v>
      </c>
      <c r="D179">
        <f t="shared" ca="1" si="10"/>
        <v>92.470000000000013</v>
      </c>
      <c r="E179" s="5">
        <f t="shared" ca="1" si="14"/>
        <v>-9.6099999999999852</v>
      </c>
      <c r="F179" t="str">
        <f ca="1">IF(H179&lt;=I179,"Starter",IF(G179&gt;=LARGE(G:G,FlexOn*LeagueInfo!$F$2),"Starter","Bench"))</f>
        <v>Bench</v>
      </c>
      <c r="G179">
        <f t="shared" ca="1" si="11"/>
        <v>92.470000000000013</v>
      </c>
      <c r="H179">
        <f t="shared" ca="1" si="12"/>
        <v>20</v>
      </c>
      <c r="I179">
        <f>IF(C179="RB",LeagueInfo!$D$4*LeagueInfo!$F$2,IF(C179="WR",LeagueInfo!$D$5*LeagueInfo!$F$2,IF(C179="TE",LeagueInfo!$D$6*LeagueInfo!$F$2,LeagueInfo!$D$3*LeagueInfo!$F$2)))</f>
        <v>12</v>
      </c>
    </row>
    <row r="180" spans="1:9" x14ac:dyDescent="0.35">
      <c r="A180">
        <f t="shared" ca="1" si="13"/>
        <v>174</v>
      </c>
      <c r="B180" t="s">
        <v>633</v>
      </c>
      <c r="C180" t="s">
        <v>40</v>
      </c>
      <c r="D180">
        <f t="shared" ca="1" si="10"/>
        <v>94.97</v>
      </c>
      <c r="E180" s="5">
        <f t="shared" ca="1" si="14"/>
        <v>-7.1099999999999994</v>
      </c>
      <c r="F180" t="str">
        <f ca="1">IF(H180&lt;=I180,"Starter",IF(G180&gt;=LARGE(G:G,FlexOn*LeagueInfo!$F$2),"Starter","Bench"))</f>
        <v>Bench</v>
      </c>
      <c r="G180">
        <f t="shared" ca="1" si="11"/>
        <v>94.97</v>
      </c>
      <c r="H180">
        <f t="shared" ca="1" si="12"/>
        <v>19</v>
      </c>
      <c r="I180">
        <f>IF(C180="RB",LeagueInfo!$D$4*LeagueInfo!$F$2,IF(C180="WR",LeagueInfo!$D$5*LeagueInfo!$F$2,IF(C180="TE",LeagueInfo!$D$6*LeagueInfo!$F$2,LeagueInfo!$D$3*LeagueInfo!$F$2)))</f>
        <v>12</v>
      </c>
    </row>
    <row r="181" spans="1:9" x14ac:dyDescent="0.35">
      <c r="A181">
        <f t="shared" ca="1" si="13"/>
        <v>219</v>
      </c>
      <c r="B181" t="s">
        <v>89</v>
      </c>
      <c r="C181" t="s">
        <v>32</v>
      </c>
      <c r="D181">
        <f t="shared" ca="1" si="10"/>
        <v>66.900000000000006</v>
      </c>
      <c r="E181" s="5">
        <f t="shared" ca="1" si="14"/>
        <v>-35.179999999999993</v>
      </c>
      <c r="F181" t="str">
        <f ca="1">IF(H181&lt;=I181,"Starter",IF(G181&gt;=LARGE(G:G,FlexOn*LeagueInfo!$F$2),"Starter","Bench"))</f>
        <v>Bench</v>
      </c>
      <c r="G181">
        <f t="shared" ca="1" si="11"/>
        <v>66.900000000000006</v>
      </c>
      <c r="H181">
        <f t="shared" ca="1" si="12"/>
        <v>100</v>
      </c>
      <c r="I181">
        <f>IF(C181="RB",LeagueInfo!$D$4*LeagueInfo!$F$2,IF(C181="WR",LeagueInfo!$D$5*LeagueInfo!$F$2,IF(C181="TE",LeagueInfo!$D$6*LeagueInfo!$F$2,LeagueInfo!$D$3*LeagueInfo!$F$2)))</f>
        <v>24</v>
      </c>
    </row>
    <row r="182" spans="1:9" x14ac:dyDescent="0.35">
      <c r="A182">
        <f t="shared" ca="1" si="13"/>
        <v>213</v>
      </c>
      <c r="B182" t="s">
        <v>924</v>
      </c>
      <c r="C182" t="s">
        <v>32</v>
      </c>
      <c r="D182">
        <f t="shared" ca="1" si="10"/>
        <v>72.530000000000015</v>
      </c>
      <c r="E182" s="5">
        <f t="shared" ca="1" si="14"/>
        <v>-29.549999999999983</v>
      </c>
      <c r="F182" t="str">
        <f ca="1">IF(H182&lt;=I182,"Starter",IF(G182&gt;=LARGE(G:G,FlexOn*LeagueInfo!$F$2),"Starter","Bench"))</f>
        <v>Bench</v>
      </c>
      <c r="G182">
        <f t="shared" ca="1" si="11"/>
        <v>72.530000000000015</v>
      </c>
      <c r="H182">
        <f t="shared" ca="1" si="12"/>
        <v>98</v>
      </c>
      <c r="I182">
        <f>IF(C182="RB",LeagueInfo!$D$4*LeagueInfo!$F$2,IF(C182="WR",LeagueInfo!$D$5*LeagueInfo!$F$2,IF(C182="TE",LeagueInfo!$D$6*LeagueInfo!$F$2,LeagueInfo!$D$3*LeagueInfo!$F$2)))</f>
        <v>24</v>
      </c>
    </row>
    <row r="183" spans="1:9" x14ac:dyDescent="0.35">
      <c r="A183">
        <f t="shared" ca="1" si="13"/>
        <v>177</v>
      </c>
      <c r="B183" t="s">
        <v>722</v>
      </c>
      <c r="C183" t="s">
        <v>32</v>
      </c>
      <c r="D183">
        <f t="shared" ca="1" si="10"/>
        <v>92.670000000000016</v>
      </c>
      <c r="E183" s="5">
        <f t="shared" ca="1" si="14"/>
        <v>-9.4099999999999824</v>
      </c>
      <c r="F183" t="str">
        <f ca="1">IF(H183&lt;=I183,"Starter",IF(G183&gt;=LARGE(G:G,FlexOn*LeagueInfo!$F$2),"Starter","Bench"))</f>
        <v>Bench</v>
      </c>
      <c r="G183">
        <f t="shared" ca="1" si="11"/>
        <v>92.670000000000016</v>
      </c>
      <c r="H183">
        <f t="shared" ca="1" si="12"/>
        <v>78</v>
      </c>
      <c r="I183">
        <f>IF(C183="RB",LeagueInfo!$D$4*LeagueInfo!$F$2,IF(C183="WR",LeagueInfo!$D$5*LeagueInfo!$F$2,IF(C183="TE",LeagueInfo!$D$6*LeagueInfo!$F$2,LeagueInfo!$D$3*LeagueInfo!$F$2)))</f>
        <v>24</v>
      </c>
    </row>
    <row r="184" spans="1:9" x14ac:dyDescent="0.35">
      <c r="A184">
        <f t="shared" ca="1" si="13"/>
        <v>180</v>
      </c>
      <c r="B184" t="s">
        <v>562</v>
      </c>
      <c r="C184" t="s">
        <v>40</v>
      </c>
      <c r="D184">
        <f t="shared" ca="1" si="10"/>
        <v>90.77</v>
      </c>
      <c r="E184" s="5">
        <f t="shared" ca="1" si="14"/>
        <v>-11.310000000000002</v>
      </c>
      <c r="F184" t="str">
        <f ca="1">IF(H184&lt;=I184,"Starter",IF(G184&gt;=LARGE(G:G,FlexOn*LeagueInfo!$F$2),"Starter","Bench"))</f>
        <v>Bench</v>
      </c>
      <c r="G184">
        <f t="shared" ca="1" si="11"/>
        <v>90.77</v>
      </c>
      <c r="H184">
        <f t="shared" ca="1" si="12"/>
        <v>22</v>
      </c>
      <c r="I184">
        <f>IF(C184="RB",LeagueInfo!$D$4*LeagueInfo!$F$2,IF(C184="WR",LeagueInfo!$D$5*LeagueInfo!$F$2,IF(C184="TE",LeagueInfo!$D$6*LeagueInfo!$F$2,LeagueInfo!$D$3*LeagueInfo!$F$2)))</f>
        <v>12</v>
      </c>
    </row>
    <row r="185" spans="1:9" x14ac:dyDescent="0.35">
      <c r="A185">
        <f t="shared" ca="1" si="13"/>
        <v>179</v>
      </c>
      <c r="B185" t="s">
        <v>647</v>
      </c>
      <c r="C185" t="s">
        <v>40</v>
      </c>
      <c r="D185">
        <f t="shared" ca="1" si="10"/>
        <v>90.830000000000013</v>
      </c>
      <c r="E185" s="5">
        <f t="shared" ca="1" si="14"/>
        <v>-11.249999999999986</v>
      </c>
      <c r="F185" t="str">
        <f ca="1">IF(H185&lt;=I185,"Starter",IF(G185&gt;=LARGE(G:G,FlexOn*LeagueInfo!$F$2),"Starter","Bench"))</f>
        <v>Bench</v>
      </c>
      <c r="G185">
        <f t="shared" ca="1" si="11"/>
        <v>90.830000000000013</v>
      </c>
      <c r="H185">
        <f t="shared" ca="1" si="12"/>
        <v>21</v>
      </c>
      <c r="I185">
        <f>IF(C185="RB",LeagueInfo!$D$4*LeagueInfo!$F$2,IF(C185="WR",LeagueInfo!$D$5*LeagueInfo!$F$2,IF(C185="TE",LeagueInfo!$D$6*LeagueInfo!$F$2,LeagueInfo!$D$3*LeagueInfo!$F$2)))</f>
        <v>12</v>
      </c>
    </row>
    <row r="186" spans="1:9" x14ac:dyDescent="0.35">
      <c r="A186">
        <f t="shared" ca="1" si="13"/>
        <v>186</v>
      </c>
      <c r="B186" t="s">
        <v>923</v>
      </c>
      <c r="C186" t="s">
        <v>32</v>
      </c>
      <c r="D186">
        <f t="shared" ca="1" si="10"/>
        <v>87.929999999999993</v>
      </c>
      <c r="E186" s="5">
        <f t="shared" ca="1" si="14"/>
        <v>-14.150000000000006</v>
      </c>
      <c r="F186" t="str">
        <f ca="1">IF(H186&lt;=I186,"Starter",IF(G186&gt;=LARGE(G:G,FlexOn*LeagueInfo!$F$2),"Starter","Bench"))</f>
        <v>Bench</v>
      </c>
      <c r="G186">
        <f t="shared" ca="1" si="11"/>
        <v>87.929999999999993</v>
      </c>
      <c r="H186">
        <f t="shared" ca="1" si="12"/>
        <v>82</v>
      </c>
      <c r="I186">
        <f>IF(C186="RB",LeagueInfo!$D$4*LeagueInfo!$F$2,IF(C186="WR",LeagueInfo!$D$5*LeagueInfo!$F$2,IF(C186="TE",LeagueInfo!$D$6*LeagueInfo!$F$2,LeagueInfo!$D$3*LeagueInfo!$F$2)))</f>
        <v>24</v>
      </c>
    </row>
    <row r="187" spans="1:9" x14ac:dyDescent="0.35">
      <c r="A187">
        <f t="shared" ca="1" si="13"/>
        <v>182</v>
      </c>
      <c r="B187" t="s">
        <v>746</v>
      </c>
      <c r="C187" t="s">
        <v>32</v>
      </c>
      <c r="D187">
        <f t="shared" ca="1" si="10"/>
        <v>90.43</v>
      </c>
      <c r="E187" s="5">
        <f t="shared" ca="1" si="14"/>
        <v>-11.649999999999991</v>
      </c>
      <c r="F187" t="str">
        <f ca="1">IF(H187&lt;=I187,"Starter",IF(G187&gt;=LARGE(G:G,FlexOn*LeagueInfo!$F$2),"Starter","Bench"))</f>
        <v>Bench</v>
      </c>
      <c r="G187">
        <f t="shared" ca="1" si="11"/>
        <v>90.43</v>
      </c>
      <c r="H187">
        <f t="shared" ca="1" si="12"/>
        <v>79</v>
      </c>
      <c r="I187">
        <f>IF(C187="RB",LeagueInfo!$D$4*LeagueInfo!$F$2,IF(C187="WR",LeagueInfo!$D$5*LeagueInfo!$F$2,IF(C187="TE",LeagueInfo!$D$6*LeagueInfo!$F$2,LeagueInfo!$D$3*LeagueInfo!$F$2)))</f>
        <v>24</v>
      </c>
    </row>
    <row r="188" spans="1:9" x14ac:dyDescent="0.35">
      <c r="A188">
        <f t="shared" ca="1" si="13"/>
        <v>201</v>
      </c>
      <c r="B188" t="s">
        <v>918</v>
      </c>
      <c r="C188" t="s">
        <v>32</v>
      </c>
      <c r="D188">
        <f t="shared" ca="1" si="10"/>
        <v>78.199999999999989</v>
      </c>
      <c r="E188" s="5">
        <f t="shared" ca="1" si="14"/>
        <v>-23.88000000000001</v>
      </c>
      <c r="F188" t="str">
        <f ca="1">IF(H188&lt;=I188,"Starter",IF(G188&gt;=LARGE(G:G,FlexOn*LeagueInfo!$F$2),"Starter","Bench"))</f>
        <v>Bench</v>
      </c>
      <c r="G188">
        <f t="shared" ca="1" si="11"/>
        <v>78.199999999999989</v>
      </c>
      <c r="H188">
        <f t="shared" ca="1" si="12"/>
        <v>91</v>
      </c>
      <c r="I188">
        <f>IF(C188="RB",LeagueInfo!$D$4*LeagueInfo!$F$2,IF(C188="WR",LeagueInfo!$D$5*LeagueInfo!$F$2,IF(C188="TE",LeagueInfo!$D$6*LeagueInfo!$F$2,LeagueInfo!$D$3*LeagueInfo!$F$2)))</f>
        <v>24</v>
      </c>
    </row>
    <row r="189" spans="1:9" x14ac:dyDescent="0.35">
      <c r="A189">
        <f t="shared" ca="1" si="13"/>
        <v>183</v>
      </c>
      <c r="B189" t="s">
        <v>787</v>
      </c>
      <c r="C189" t="s">
        <v>32</v>
      </c>
      <c r="D189">
        <f t="shared" ca="1" si="10"/>
        <v>90.070000000000022</v>
      </c>
      <c r="E189" s="5">
        <f t="shared" ca="1" si="14"/>
        <v>-12.009999999999977</v>
      </c>
      <c r="F189" t="str">
        <f ca="1">IF(H189&lt;=I189,"Starter",IF(G189&gt;=LARGE(G:G,FlexOn*LeagueInfo!$F$2),"Starter","Bench"))</f>
        <v>Bench</v>
      </c>
      <c r="G189">
        <f t="shared" ca="1" si="11"/>
        <v>90.070000000000022</v>
      </c>
      <c r="H189">
        <f t="shared" ca="1" si="12"/>
        <v>80</v>
      </c>
      <c r="I189">
        <f>IF(C189="RB",LeagueInfo!$D$4*LeagueInfo!$F$2,IF(C189="WR",LeagueInfo!$D$5*LeagueInfo!$F$2,IF(C189="TE",LeagueInfo!$D$6*LeagueInfo!$F$2,LeagueInfo!$D$3*LeagueInfo!$F$2)))</f>
        <v>24</v>
      </c>
    </row>
    <row r="190" spans="1:9" x14ac:dyDescent="0.35">
      <c r="A190">
        <f t="shared" ca="1" si="13"/>
        <v>176</v>
      </c>
      <c r="B190" t="s">
        <v>925</v>
      </c>
      <c r="C190" t="s">
        <v>32</v>
      </c>
      <c r="D190">
        <f t="shared" ca="1" si="10"/>
        <v>93.220000000000013</v>
      </c>
      <c r="E190" s="5">
        <f t="shared" ca="1" si="14"/>
        <v>-8.8599999999999852</v>
      </c>
      <c r="F190" t="str">
        <f ca="1">IF(H190&lt;=I190,"Starter",IF(G190&gt;=LARGE(G:G,FlexOn*LeagueInfo!$F$2),"Starter","Bench"))</f>
        <v>Bench</v>
      </c>
      <c r="G190">
        <f t="shared" ca="1" si="11"/>
        <v>93.220000000000013</v>
      </c>
      <c r="H190">
        <f t="shared" ca="1" si="12"/>
        <v>77</v>
      </c>
      <c r="I190">
        <f>IF(C190="RB",LeagueInfo!$D$4*LeagueInfo!$F$2,IF(C190="WR",LeagueInfo!$D$5*LeagueInfo!$F$2,IF(C190="TE",LeagueInfo!$D$6*LeagueInfo!$F$2,LeagueInfo!$D$3*LeagueInfo!$F$2)))</f>
        <v>24</v>
      </c>
    </row>
    <row r="191" spans="1:9" x14ac:dyDescent="0.35">
      <c r="A191">
        <f t="shared" ca="1" si="13"/>
        <v>190</v>
      </c>
      <c r="B191" t="s">
        <v>864</v>
      </c>
      <c r="C191" t="s">
        <v>25</v>
      </c>
      <c r="D191">
        <f t="shared" ca="1" si="10"/>
        <v>83.890000000000015</v>
      </c>
      <c r="E191" s="5">
        <f t="shared" ca="1" si="14"/>
        <v>-18.189999999999984</v>
      </c>
      <c r="F191" t="str">
        <f ca="1">IF(H191&lt;=I191,"Starter",IF(G191&gt;=LARGE(G:G,FlexOn*LeagueInfo!$F$2),"Starter","Bench"))</f>
        <v>Bench</v>
      </c>
      <c r="G191">
        <f t="shared" ca="1" si="11"/>
        <v>83.890000000000015</v>
      </c>
      <c r="H191">
        <f t="shared" ca="1" si="12"/>
        <v>52</v>
      </c>
      <c r="I191">
        <f>IF(C191="RB",LeagueInfo!$D$4*LeagueInfo!$F$2,IF(C191="WR",LeagueInfo!$D$5*LeagueInfo!$F$2,IF(C191="TE",LeagueInfo!$D$6*LeagueInfo!$F$2,LeagueInfo!$D$3*LeagueInfo!$F$2)))</f>
        <v>24</v>
      </c>
    </row>
    <row r="192" spans="1:9" x14ac:dyDescent="0.35">
      <c r="A192">
        <f t="shared" ca="1" si="13"/>
        <v>191</v>
      </c>
      <c r="B192" t="s">
        <v>920</v>
      </c>
      <c r="C192" t="s">
        <v>32</v>
      </c>
      <c r="D192">
        <f t="shared" ca="1" si="10"/>
        <v>83.490000000000009</v>
      </c>
      <c r="E192" s="5">
        <f t="shared" ca="1" si="14"/>
        <v>-18.589999999999989</v>
      </c>
      <c r="F192" t="str">
        <f ca="1">IF(H192&lt;=I192,"Starter",IF(G192&gt;=LARGE(G:G,FlexOn*LeagueInfo!$F$2),"Starter","Bench"))</f>
        <v>Bench</v>
      </c>
      <c r="G192">
        <f t="shared" ca="1" si="11"/>
        <v>83.490000000000009</v>
      </c>
      <c r="H192">
        <f t="shared" ca="1" si="12"/>
        <v>85</v>
      </c>
      <c r="I192">
        <f>IF(C192="RB",LeagueInfo!$D$4*LeagueInfo!$F$2,IF(C192="WR",LeagueInfo!$D$5*LeagueInfo!$F$2,IF(C192="TE",LeagueInfo!$D$6*LeagueInfo!$F$2,LeagueInfo!$D$3*LeagueInfo!$F$2)))</f>
        <v>24</v>
      </c>
    </row>
    <row r="193" spans="1:9" x14ac:dyDescent="0.35">
      <c r="A193">
        <f t="shared" ca="1" si="13"/>
        <v>184</v>
      </c>
      <c r="B193" t="s">
        <v>238</v>
      </c>
      <c r="C193" t="s">
        <v>32</v>
      </c>
      <c r="D193">
        <f t="shared" ref="D193:D254" ca="1" si="15">INDEX(INDIRECT($C193&amp;"!P:P"),MATCH($B193,INDIRECT($C193&amp;"!B:B"),0))</f>
        <v>89.68</v>
      </c>
      <c r="E193" s="5">
        <f t="shared" ca="1" si="14"/>
        <v>-12.399999999999991</v>
      </c>
      <c r="F193" t="str">
        <f ca="1">IF(H193&lt;=I193,"Starter",IF(G193&gt;=LARGE(G:G,FlexOn*LeagueInfo!$F$2),"Starter","Bench"))</f>
        <v>Bench</v>
      </c>
      <c r="G193">
        <f t="shared" ref="G193:G254" ca="1" si="16">IF(H193&gt;I193,D193,0)</f>
        <v>89.68</v>
      </c>
      <c r="H193">
        <f t="shared" ref="H193:H254" ca="1" si="17">INDEX(INDIRECT(""&amp;C193&amp;"!A2:A489"),MATCH(B193,INDIRECT(""&amp;C193&amp;"!B2:B489"),0))</f>
        <v>81</v>
      </c>
      <c r="I193">
        <f>IF(C193="RB",LeagueInfo!$D$4*LeagueInfo!$F$2,IF(C193="WR",LeagueInfo!$D$5*LeagueInfo!$F$2,IF(C193="TE",LeagueInfo!$D$6*LeagueInfo!$F$2,LeagueInfo!$D$3*LeagueInfo!$F$2)))</f>
        <v>24</v>
      </c>
    </row>
    <row r="194" spans="1:9" x14ac:dyDescent="0.35">
      <c r="A194">
        <f t="shared" ref="A194:A257" ca="1" si="18">RANK(E194,E:E)</f>
        <v>192</v>
      </c>
      <c r="B194" t="s">
        <v>592</v>
      </c>
      <c r="C194" t="s">
        <v>32</v>
      </c>
      <c r="D194">
        <f t="shared" ca="1" si="15"/>
        <v>83.02</v>
      </c>
      <c r="E194" s="5">
        <f t="shared" ref="E194:E257" ca="1" si="19">D194-LARGE(D:D,RBCount+WRCount+TECount+QBCount)</f>
        <v>-19.060000000000002</v>
      </c>
      <c r="F194" t="str">
        <f ca="1">IF(H194&lt;=I194,"Starter",IF(G194&gt;=LARGE(G:G,FlexOn*LeagueInfo!$F$2),"Starter","Bench"))</f>
        <v>Bench</v>
      </c>
      <c r="G194">
        <f t="shared" ca="1" si="16"/>
        <v>83.02</v>
      </c>
      <c r="H194">
        <f t="shared" ca="1" si="17"/>
        <v>86</v>
      </c>
      <c r="I194">
        <f>IF(C194="RB",LeagueInfo!$D$4*LeagueInfo!$F$2,IF(C194="WR",LeagueInfo!$D$5*LeagueInfo!$F$2,IF(C194="TE",LeagueInfo!$D$6*LeagueInfo!$F$2,LeagueInfo!$D$3*LeagueInfo!$F$2)))</f>
        <v>24</v>
      </c>
    </row>
    <row r="195" spans="1:9" x14ac:dyDescent="0.35">
      <c r="A195">
        <f t="shared" ca="1" si="18"/>
        <v>185</v>
      </c>
      <c r="B195" t="s">
        <v>447</v>
      </c>
      <c r="C195" t="s">
        <v>40</v>
      </c>
      <c r="D195">
        <f t="shared" ca="1" si="15"/>
        <v>88.53</v>
      </c>
      <c r="E195" s="5">
        <f t="shared" ca="1" si="19"/>
        <v>-13.549999999999997</v>
      </c>
      <c r="F195" t="str">
        <f ca="1">IF(H195&lt;=I195,"Starter",IF(G195&gt;=LARGE(G:G,FlexOn*LeagueInfo!$F$2),"Starter","Bench"))</f>
        <v>Bench</v>
      </c>
      <c r="G195">
        <f t="shared" ca="1" si="16"/>
        <v>88.53</v>
      </c>
      <c r="H195">
        <f t="shared" ca="1" si="17"/>
        <v>23</v>
      </c>
      <c r="I195">
        <f>IF(C195="RB",LeagueInfo!$D$4*LeagueInfo!$F$2,IF(C195="WR",LeagueInfo!$D$5*LeagueInfo!$F$2,IF(C195="TE",LeagueInfo!$D$6*LeagueInfo!$F$2,LeagueInfo!$D$3*LeagueInfo!$F$2)))</f>
        <v>12</v>
      </c>
    </row>
    <row r="196" spans="1:9" x14ac:dyDescent="0.35">
      <c r="A196">
        <f t="shared" ca="1" si="18"/>
        <v>200</v>
      </c>
      <c r="B196" t="s">
        <v>744</v>
      </c>
      <c r="C196" t="s">
        <v>32</v>
      </c>
      <c r="D196">
        <f t="shared" ca="1" si="15"/>
        <v>78.980000000000018</v>
      </c>
      <c r="E196" s="5">
        <f t="shared" ca="1" si="19"/>
        <v>-23.09999999999998</v>
      </c>
      <c r="F196" t="str">
        <f ca="1">IF(H196&lt;=I196,"Starter",IF(G196&gt;=LARGE(G:G,FlexOn*LeagueInfo!$F$2),"Starter","Bench"))</f>
        <v>Bench</v>
      </c>
      <c r="G196">
        <f t="shared" ca="1" si="16"/>
        <v>78.980000000000018</v>
      </c>
      <c r="H196">
        <f t="shared" ca="1" si="17"/>
        <v>90</v>
      </c>
      <c r="I196">
        <f>IF(C196="RB",LeagueInfo!$D$4*LeagueInfo!$F$2,IF(C196="WR",LeagueInfo!$D$5*LeagueInfo!$F$2,IF(C196="TE",LeagueInfo!$D$6*LeagueInfo!$F$2,LeagueInfo!$D$3*LeagueInfo!$F$2)))</f>
        <v>24</v>
      </c>
    </row>
    <row r="197" spans="1:9" x14ac:dyDescent="0.35">
      <c r="A197">
        <f t="shared" ca="1" si="18"/>
        <v>198</v>
      </c>
      <c r="B197" t="s">
        <v>424</v>
      </c>
      <c r="C197" t="s">
        <v>25</v>
      </c>
      <c r="D197">
        <f t="shared" ca="1" si="15"/>
        <v>79.220000000000013</v>
      </c>
      <c r="E197" s="5">
        <f t="shared" ca="1" si="19"/>
        <v>-22.859999999999985</v>
      </c>
      <c r="F197" t="str">
        <f ca="1">IF(H197&lt;=I197,"Starter",IF(G197&gt;=LARGE(G:G,FlexOn*LeagueInfo!$F$2),"Starter","Bench"))</f>
        <v>Bench</v>
      </c>
      <c r="G197">
        <f t="shared" ca="1" si="16"/>
        <v>79.220000000000013</v>
      </c>
      <c r="H197">
        <f t="shared" ca="1" si="17"/>
        <v>55</v>
      </c>
      <c r="I197">
        <f>IF(C197="RB",LeagueInfo!$D$4*LeagueInfo!$F$2,IF(C197="WR",LeagueInfo!$D$5*LeagueInfo!$F$2,IF(C197="TE",LeagueInfo!$D$6*LeagueInfo!$F$2,LeagueInfo!$D$3*LeagueInfo!$F$2)))</f>
        <v>24</v>
      </c>
    </row>
    <row r="198" spans="1:9" x14ac:dyDescent="0.35">
      <c r="A198">
        <f t="shared" ca="1" si="18"/>
        <v>206</v>
      </c>
      <c r="B198" t="s">
        <v>922</v>
      </c>
      <c r="C198" t="s">
        <v>32</v>
      </c>
      <c r="D198">
        <f t="shared" ca="1" si="15"/>
        <v>77.180000000000007</v>
      </c>
      <c r="E198" s="5">
        <f t="shared" ca="1" si="19"/>
        <v>-24.899999999999991</v>
      </c>
      <c r="F198" t="str">
        <f ca="1">IF(H198&lt;=I198,"Starter",IF(G198&gt;=LARGE(G:G,FlexOn*LeagueInfo!$F$2),"Starter","Bench"))</f>
        <v>Bench</v>
      </c>
      <c r="G198">
        <f t="shared" ca="1" si="16"/>
        <v>77.180000000000007</v>
      </c>
      <c r="H198">
        <f t="shared" ca="1" si="17"/>
        <v>93</v>
      </c>
      <c r="I198">
        <f>IF(C198="RB",LeagueInfo!$D$4*LeagueInfo!$F$2,IF(C198="WR",LeagueInfo!$D$5*LeagueInfo!$F$2,IF(C198="TE",LeagueInfo!$D$6*LeagueInfo!$F$2,LeagueInfo!$D$3*LeagueInfo!$F$2)))</f>
        <v>24</v>
      </c>
    </row>
    <row r="199" spans="1:9" x14ac:dyDescent="0.35">
      <c r="A199">
        <f t="shared" ca="1" si="18"/>
        <v>205</v>
      </c>
      <c r="B199" t="s">
        <v>258</v>
      </c>
      <c r="C199" t="s">
        <v>40</v>
      </c>
      <c r="D199">
        <f t="shared" ca="1" si="15"/>
        <v>77.210000000000008</v>
      </c>
      <c r="E199" s="5">
        <f t="shared" ca="1" si="19"/>
        <v>-24.86999999999999</v>
      </c>
      <c r="F199" t="str">
        <f ca="1">IF(H199&lt;=I199,"Starter",IF(G199&gt;=LARGE(G:G,FlexOn*LeagueInfo!$F$2),"Starter","Bench"))</f>
        <v>Bench</v>
      </c>
      <c r="G199">
        <f t="shared" ca="1" si="16"/>
        <v>77.210000000000008</v>
      </c>
      <c r="H199">
        <f t="shared" ca="1" si="17"/>
        <v>25</v>
      </c>
      <c r="I199">
        <f>IF(C199="RB",LeagueInfo!$D$4*LeagueInfo!$F$2,IF(C199="WR",LeagueInfo!$D$5*LeagueInfo!$F$2,IF(C199="TE",LeagueInfo!$D$6*LeagueInfo!$F$2,LeagueInfo!$D$3*LeagueInfo!$F$2)))</f>
        <v>12</v>
      </c>
    </row>
    <row r="200" spans="1:9" x14ac:dyDescent="0.35">
      <c r="A200">
        <f t="shared" ca="1" si="18"/>
        <v>194</v>
      </c>
      <c r="B200" t="s">
        <v>594</v>
      </c>
      <c r="C200" t="s">
        <v>32</v>
      </c>
      <c r="D200">
        <f t="shared" ca="1" si="15"/>
        <v>81.78</v>
      </c>
      <c r="E200" s="5">
        <f t="shared" ca="1" si="19"/>
        <v>-20.299999999999997</v>
      </c>
      <c r="F200" t="str">
        <f ca="1">IF(H200&lt;=I200,"Starter",IF(G200&gt;=LARGE(G:G,FlexOn*LeagueInfo!$F$2),"Starter","Bench"))</f>
        <v>Bench</v>
      </c>
      <c r="G200">
        <f t="shared" ca="1" si="16"/>
        <v>81.78</v>
      </c>
      <c r="H200">
        <f t="shared" ca="1" si="17"/>
        <v>87</v>
      </c>
      <c r="I200">
        <f>IF(C200="RB",LeagueInfo!$D$4*LeagueInfo!$F$2,IF(C200="WR",LeagueInfo!$D$5*LeagueInfo!$F$2,IF(C200="TE",LeagueInfo!$D$6*LeagueInfo!$F$2,LeagueInfo!$D$3*LeagueInfo!$F$2)))</f>
        <v>24</v>
      </c>
    </row>
    <row r="201" spans="1:9" x14ac:dyDescent="0.35">
      <c r="A201">
        <f t="shared" ca="1" si="18"/>
        <v>189</v>
      </c>
      <c r="B201" t="s">
        <v>643</v>
      </c>
      <c r="C201" t="s">
        <v>40</v>
      </c>
      <c r="D201">
        <f t="shared" ca="1" si="15"/>
        <v>84.33</v>
      </c>
      <c r="E201" s="5">
        <f t="shared" ca="1" si="19"/>
        <v>-17.75</v>
      </c>
      <c r="F201" t="str">
        <f ca="1">IF(H201&lt;=I201,"Starter",IF(G201&gt;=LARGE(G:G,FlexOn*LeagueInfo!$F$2),"Starter","Bench"))</f>
        <v>Bench</v>
      </c>
      <c r="G201">
        <f t="shared" ca="1" si="16"/>
        <v>84.33</v>
      </c>
      <c r="H201">
        <f t="shared" ca="1" si="17"/>
        <v>24</v>
      </c>
      <c r="I201">
        <f>IF(C201="RB",LeagueInfo!$D$4*LeagueInfo!$F$2,IF(C201="WR",LeagueInfo!$D$5*LeagueInfo!$F$2,IF(C201="TE",LeagueInfo!$D$6*LeagueInfo!$F$2,LeagueInfo!$D$3*LeagueInfo!$F$2)))</f>
        <v>12</v>
      </c>
    </row>
    <row r="202" spans="1:9" x14ac:dyDescent="0.35">
      <c r="A202">
        <f t="shared" ca="1" si="18"/>
        <v>175</v>
      </c>
      <c r="B202" t="s">
        <v>243</v>
      </c>
      <c r="C202" t="s">
        <v>32</v>
      </c>
      <c r="D202">
        <f t="shared" ca="1" si="15"/>
        <v>94.5</v>
      </c>
      <c r="E202" s="5">
        <f t="shared" ca="1" si="19"/>
        <v>-7.5799999999999983</v>
      </c>
      <c r="F202" t="str">
        <f ca="1">IF(H202&lt;=I202,"Starter",IF(G202&gt;=LARGE(G:G,FlexOn*LeagueInfo!$F$2),"Starter","Bench"))</f>
        <v>Bench</v>
      </c>
      <c r="G202">
        <f t="shared" ca="1" si="16"/>
        <v>94.5</v>
      </c>
      <c r="H202">
        <f t="shared" ca="1" si="17"/>
        <v>76</v>
      </c>
      <c r="I202">
        <f>IF(C202="RB",LeagueInfo!$D$4*LeagueInfo!$F$2,IF(C202="WR",LeagueInfo!$D$5*LeagueInfo!$F$2,IF(C202="TE",LeagueInfo!$D$6*LeagueInfo!$F$2,LeagueInfo!$D$3*LeagueInfo!$F$2)))</f>
        <v>24</v>
      </c>
    </row>
    <row r="203" spans="1:9" x14ac:dyDescent="0.35">
      <c r="A203">
        <f t="shared" ca="1" si="18"/>
        <v>214</v>
      </c>
      <c r="B203" t="s">
        <v>534</v>
      </c>
      <c r="C203" t="s">
        <v>26</v>
      </c>
      <c r="D203">
        <f t="shared" ca="1" si="15"/>
        <v>71.683999999999997</v>
      </c>
      <c r="E203" s="5">
        <f t="shared" ca="1" si="19"/>
        <v>-30.396000000000001</v>
      </c>
      <c r="F203" t="str">
        <f ca="1">IF(H203&lt;=I203,"Starter",IF(G203&gt;=LARGE(G:G,FlexOn*LeagueInfo!$F$2),"Starter","Bench"))</f>
        <v>Bench</v>
      </c>
      <c r="G203">
        <f t="shared" ca="1" si="16"/>
        <v>71.683999999999997</v>
      </c>
      <c r="H203">
        <f t="shared" ca="1" si="17"/>
        <v>35</v>
      </c>
      <c r="I203">
        <f>IF(C203="RB",LeagueInfo!$D$4*LeagueInfo!$F$2,IF(C203="WR",LeagueInfo!$D$5*LeagueInfo!$F$2,IF(C203="TE",LeagueInfo!$D$6*LeagueInfo!$F$2,LeagueInfo!$D$3*LeagueInfo!$F$2)))</f>
        <v>24</v>
      </c>
    </row>
    <row r="204" spans="1:9" x14ac:dyDescent="0.35">
      <c r="A204">
        <f t="shared" ca="1" si="18"/>
        <v>199</v>
      </c>
      <c r="B204" t="s">
        <v>126</v>
      </c>
      <c r="C204" t="s">
        <v>25</v>
      </c>
      <c r="D204">
        <f t="shared" ca="1" si="15"/>
        <v>79.03</v>
      </c>
      <c r="E204" s="5">
        <f t="shared" ca="1" si="19"/>
        <v>-23.049999999999997</v>
      </c>
      <c r="F204" t="str">
        <f ca="1">IF(H204&lt;=I204,"Starter",IF(G204&gt;=LARGE(G:G,FlexOn*LeagueInfo!$F$2),"Starter","Bench"))</f>
        <v>Bench</v>
      </c>
      <c r="G204">
        <f t="shared" ca="1" si="16"/>
        <v>79.03</v>
      </c>
      <c r="H204">
        <f t="shared" ca="1" si="17"/>
        <v>56</v>
      </c>
      <c r="I204">
        <f>IF(C204="RB",LeagueInfo!$D$4*LeagueInfo!$F$2,IF(C204="WR",LeagueInfo!$D$5*LeagueInfo!$F$2,IF(C204="TE",LeagueInfo!$D$6*LeagueInfo!$F$2,LeagueInfo!$D$3*LeagueInfo!$F$2)))</f>
        <v>24</v>
      </c>
    </row>
    <row r="205" spans="1:9" x14ac:dyDescent="0.35">
      <c r="A205">
        <f t="shared" ca="1" si="18"/>
        <v>209</v>
      </c>
      <c r="B205" t="s">
        <v>350</v>
      </c>
      <c r="C205" t="s">
        <v>26</v>
      </c>
      <c r="D205">
        <f t="shared" ca="1" si="15"/>
        <v>75.820000000000007</v>
      </c>
      <c r="E205" s="5">
        <f t="shared" ca="1" si="19"/>
        <v>-26.259999999999991</v>
      </c>
      <c r="F205" t="str">
        <f ca="1">IF(H205&lt;=I205,"Starter",IF(G205&gt;=LARGE(G:G,FlexOn*LeagueInfo!$F$2),"Starter","Bench"))</f>
        <v>Bench</v>
      </c>
      <c r="G205">
        <f t="shared" ca="1" si="16"/>
        <v>75.820000000000007</v>
      </c>
      <c r="H205">
        <f t="shared" ca="1" si="17"/>
        <v>33</v>
      </c>
      <c r="I205">
        <f>IF(C205="RB",LeagueInfo!$D$4*LeagueInfo!$F$2,IF(C205="WR",LeagueInfo!$D$5*LeagueInfo!$F$2,IF(C205="TE",LeagueInfo!$D$6*LeagueInfo!$F$2,LeagueInfo!$D$3*LeagueInfo!$F$2)))</f>
        <v>24</v>
      </c>
    </row>
    <row r="206" spans="1:9" x14ac:dyDescent="0.35">
      <c r="A206">
        <f t="shared" ca="1" si="18"/>
        <v>197</v>
      </c>
      <c r="B206" t="s">
        <v>796</v>
      </c>
      <c r="C206" t="s">
        <v>32</v>
      </c>
      <c r="D206">
        <f t="shared" ca="1" si="15"/>
        <v>79.8</v>
      </c>
      <c r="E206" s="5">
        <f t="shared" ca="1" si="19"/>
        <v>-22.28</v>
      </c>
      <c r="F206" t="str">
        <f ca="1">IF(H206&lt;=I206,"Starter",IF(G206&gt;=LARGE(G:G,FlexOn*LeagueInfo!$F$2),"Starter","Bench"))</f>
        <v>Bench</v>
      </c>
      <c r="G206">
        <f t="shared" ca="1" si="16"/>
        <v>79.8</v>
      </c>
      <c r="H206">
        <f t="shared" ca="1" si="17"/>
        <v>89</v>
      </c>
      <c r="I206">
        <f>IF(C206="RB",LeagueInfo!$D$4*LeagueInfo!$F$2,IF(C206="WR",LeagueInfo!$D$5*LeagueInfo!$F$2,IF(C206="TE",LeagueInfo!$D$6*LeagueInfo!$F$2,LeagueInfo!$D$3*LeagueInfo!$F$2)))</f>
        <v>24</v>
      </c>
    </row>
    <row r="207" spans="1:9" x14ac:dyDescent="0.35">
      <c r="A207">
        <f t="shared" ca="1" si="18"/>
        <v>255</v>
      </c>
      <c r="B207" t="s">
        <v>143</v>
      </c>
      <c r="C207" t="s">
        <v>32</v>
      </c>
      <c r="D207">
        <f t="shared" ca="1" si="15"/>
        <v>52.37</v>
      </c>
      <c r="E207" s="5">
        <f t="shared" ca="1" si="19"/>
        <v>-49.71</v>
      </c>
      <c r="F207" t="str">
        <f ca="1">IF(H207&lt;=I207,"Starter",IF(G207&gt;=LARGE(G:G,FlexOn*LeagueInfo!$F$2),"Starter","Bench"))</f>
        <v>Bench</v>
      </c>
      <c r="G207">
        <f t="shared" ca="1" si="16"/>
        <v>52.37</v>
      </c>
      <c r="H207">
        <f t="shared" ca="1" si="17"/>
        <v>114</v>
      </c>
      <c r="I207">
        <f>IF(C207="RB",LeagueInfo!$D$4*LeagueInfo!$F$2,IF(C207="WR",LeagueInfo!$D$5*LeagueInfo!$F$2,IF(C207="TE",LeagueInfo!$D$6*LeagueInfo!$F$2,LeagueInfo!$D$3*LeagueInfo!$F$2)))</f>
        <v>24</v>
      </c>
    </row>
    <row r="208" spans="1:9" x14ac:dyDescent="0.35">
      <c r="A208">
        <f t="shared" ca="1" si="18"/>
        <v>181</v>
      </c>
      <c r="B208" t="s">
        <v>869</v>
      </c>
      <c r="C208" t="s">
        <v>25</v>
      </c>
      <c r="D208">
        <f t="shared" ca="1" si="15"/>
        <v>90.490000000000009</v>
      </c>
      <c r="E208" s="5">
        <f t="shared" ca="1" si="19"/>
        <v>-11.589999999999989</v>
      </c>
      <c r="F208" t="str">
        <f ca="1">IF(H208&lt;=I208,"Starter",IF(G208&gt;=LARGE(G:G,FlexOn*LeagueInfo!$F$2),"Starter","Bench"))</f>
        <v>Bench</v>
      </c>
      <c r="G208">
        <f t="shared" ca="1" si="16"/>
        <v>90.490000000000009</v>
      </c>
      <c r="H208">
        <f t="shared" ca="1" si="17"/>
        <v>51</v>
      </c>
      <c r="I208">
        <f>IF(C208="RB",LeagueInfo!$D$4*LeagueInfo!$F$2,IF(C208="WR",LeagueInfo!$D$5*LeagueInfo!$F$2,IF(C208="TE",LeagueInfo!$D$6*LeagueInfo!$F$2,LeagueInfo!$D$3*LeagueInfo!$F$2)))</f>
        <v>24</v>
      </c>
    </row>
    <row r="209" spans="1:9" x14ac:dyDescent="0.35">
      <c r="A209">
        <f t="shared" ca="1" si="18"/>
        <v>196</v>
      </c>
      <c r="B209" t="s">
        <v>445</v>
      </c>
      <c r="C209" t="s">
        <v>32</v>
      </c>
      <c r="D209">
        <f t="shared" ca="1" si="15"/>
        <v>80.06</v>
      </c>
      <c r="E209" s="5">
        <f t="shared" ca="1" si="19"/>
        <v>-22.019999999999996</v>
      </c>
      <c r="F209" t="str">
        <f ca="1">IF(H209&lt;=I209,"Starter",IF(G209&gt;=LARGE(G:G,FlexOn*LeagueInfo!$F$2),"Starter","Bench"))</f>
        <v>Bench</v>
      </c>
      <c r="G209">
        <f t="shared" ca="1" si="16"/>
        <v>80.06</v>
      </c>
      <c r="H209">
        <f t="shared" ca="1" si="17"/>
        <v>88</v>
      </c>
      <c r="I209">
        <f>IF(C209="RB",LeagueInfo!$D$4*LeagueInfo!$F$2,IF(C209="WR",LeagueInfo!$D$5*LeagueInfo!$F$2,IF(C209="TE",LeagueInfo!$D$6*LeagueInfo!$F$2,LeagueInfo!$D$3*LeagueInfo!$F$2)))</f>
        <v>24</v>
      </c>
    </row>
    <row r="210" spans="1:9" x14ac:dyDescent="0.35">
      <c r="A210">
        <f t="shared" ca="1" si="18"/>
        <v>211</v>
      </c>
      <c r="B210" t="s">
        <v>777</v>
      </c>
      <c r="C210" t="s">
        <v>26</v>
      </c>
      <c r="D210">
        <f t="shared" ca="1" si="15"/>
        <v>74.22</v>
      </c>
      <c r="E210" s="5">
        <f t="shared" ca="1" si="19"/>
        <v>-27.86</v>
      </c>
      <c r="F210" t="str">
        <f ca="1">IF(H210&lt;=I210,"Starter",IF(G210&gt;=LARGE(G:G,FlexOn*LeagueInfo!$F$2),"Starter","Bench"))</f>
        <v>Bench</v>
      </c>
      <c r="G210">
        <f t="shared" ca="1" si="16"/>
        <v>74.22</v>
      </c>
      <c r="H210">
        <f t="shared" ca="1" si="17"/>
        <v>34</v>
      </c>
      <c r="I210">
        <f>IF(C210="RB",LeagueInfo!$D$4*LeagueInfo!$F$2,IF(C210="WR",LeagueInfo!$D$5*LeagueInfo!$F$2,IF(C210="TE",LeagueInfo!$D$6*LeagueInfo!$F$2,LeagueInfo!$D$3*LeagueInfo!$F$2)))</f>
        <v>24</v>
      </c>
    </row>
    <row r="211" spans="1:9" x14ac:dyDescent="0.35">
      <c r="A211">
        <f t="shared" ca="1" si="18"/>
        <v>204</v>
      </c>
      <c r="B211" t="s">
        <v>866</v>
      </c>
      <c r="C211" t="s">
        <v>25</v>
      </c>
      <c r="D211">
        <f t="shared" ca="1" si="15"/>
        <v>77.33</v>
      </c>
      <c r="E211" s="5">
        <f t="shared" ca="1" si="19"/>
        <v>-24.75</v>
      </c>
      <c r="F211" t="str">
        <f ca="1">IF(H211&lt;=I211,"Starter",IF(G211&gt;=LARGE(G:G,FlexOn*LeagueInfo!$F$2),"Starter","Bench"))</f>
        <v>Bench</v>
      </c>
      <c r="G211">
        <f t="shared" ca="1" si="16"/>
        <v>77.33</v>
      </c>
      <c r="H211">
        <f t="shared" ca="1" si="17"/>
        <v>58</v>
      </c>
      <c r="I211">
        <f>IF(C211="RB",LeagueInfo!$D$4*LeagueInfo!$F$2,IF(C211="WR",LeagueInfo!$D$5*LeagueInfo!$F$2,IF(C211="TE",LeagueInfo!$D$6*LeagueInfo!$F$2,LeagueInfo!$D$3*LeagueInfo!$F$2)))</f>
        <v>24</v>
      </c>
    </row>
    <row r="212" spans="1:9" x14ac:dyDescent="0.35">
      <c r="A212">
        <f t="shared" ca="1" si="18"/>
        <v>202</v>
      </c>
      <c r="B212" t="s">
        <v>674</v>
      </c>
      <c r="C212" t="s">
        <v>32</v>
      </c>
      <c r="D212">
        <f t="shared" ca="1" si="15"/>
        <v>78.14</v>
      </c>
      <c r="E212" s="5">
        <f t="shared" ca="1" si="19"/>
        <v>-23.939999999999998</v>
      </c>
      <c r="F212" t="str">
        <f ca="1">IF(H212&lt;=I212,"Starter",IF(G212&gt;=LARGE(G:G,FlexOn*LeagueInfo!$F$2),"Starter","Bench"))</f>
        <v>Bench</v>
      </c>
      <c r="G212">
        <f t="shared" ca="1" si="16"/>
        <v>78.14</v>
      </c>
      <c r="H212">
        <f t="shared" ca="1" si="17"/>
        <v>92</v>
      </c>
      <c r="I212">
        <f>IF(C212="RB",LeagueInfo!$D$4*LeagueInfo!$F$2,IF(C212="WR",LeagueInfo!$D$5*LeagueInfo!$F$2,IF(C212="TE",LeagueInfo!$D$6*LeagueInfo!$F$2,LeagueInfo!$D$3*LeagueInfo!$F$2)))</f>
        <v>24</v>
      </c>
    </row>
    <row r="213" spans="1:9" x14ac:dyDescent="0.35">
      <c r="A213">
        <f t="shared" ca="1" si="18"/>
        <v>203</v>
      </c>
      <c r="B213" t="s">
        <v>867</v>
      </c>
      <c r="C213" t="s">
        <v>25</v>
      </c>
      <c r="D213">
        <f t="shared" ca="1" si="15"/>
        <v>78.11</v>
      </c>
      <c r="E213" s="5">
        <f t="shared" ca="1" si="19"/>
        <v>-23.97</v>
      </c>
      <c r="F213" t="str">
        <f ca="1">IF(H213&lt;=I213,"Starter",IF(G213&gt;=LARGE(G:G,FlexOn*LeagueInfo!$F$2),"Starter","Bench"))</f>
        <v>Bench</v>
      </c>
      <c r="G213">
        <f t="shared" ca="1" si="16"/>
        <v>78.11</v>
      </c>
      <c r="H213">
        <f t="shared" ca="1" si="17"/>
        <v>57</v>
      </c>
      <c r="I213">
        <f>IF(C213="RB",LeagueInfo!$D$4*LeagueInfo!$F$2,IF(C213="WR",LeagueInfo!$D$5*LeagueInfo!$F$2,IF(C213="TE",LeagueInfo!$D$6*LeagueInfo!$F$2,LeagueInfo!$D$3*LeagueInfo!$F$2)))</f>
        <v>24</v>
      </c>
    </row>
    <row r="214" spans="1:9" x14ac:dyDescent="0.35">
      <c r="A214">
        <f t="shared" ca="1" si="18"/>
        <v>195</v>
      </c>
      <c r="B214" t="s">
        <v>868</v>
      </c>
      <c r="C214" t="s">
        <v>25</v>
      </c>
      <c r="D214">
        <f t="shared" ca="1" si="15"/>
        <v>80.099999999999994</v>
      </c>
      <c r="E214" s="5">
        <f t="shared" ca="1" si="19"/>
        <v>-21.980000000000004</v>
      </c>
      <c r="F214" t="str">
        <f ca="1">IF(H214&lt;=I214,"Starter",IF(G214&gt;=LARGE(G:G,FlexOn*LeagueInfo!$F$2),"Starter","Bench"))</f>
        <v>Bench</v>
      </c>
      <c r="G214">
        <f t="shared" ca="1" si="16"/>
        <v>80.099999999999994</v>
      </c>
      <c r="H214">
        <f t="shared" ca="1" si="17"/>
        <v>54</v>
      </c>
      <c r="I214">
        <f>IF(C214="RB",LeagueInfo!$D$4*LeagueInfo!$F$2,IF(C214="WR",LeagueInfo!$D$5*LeagueInfo!$F$2,IF(C214="TE",LeagueInfo!$D$6*LeagueInfo!$F$2,LeagueInfo!$D$3*LeagueInfo!$F$2)))</f>
        <v>24</v>
      </c>
    </row>
    <row r="215" spans="1:9" x14ac:dyDescent="0.35">
      <c r="A215">
        <f t="shared" ca="1" si="18"/>
        <v>207</v>
      </c>
      <c r="B215" t="s">
        <v>554</v>
      </c>
      <c r="C215" t="s">
        <v>32</v>
      </c>
      <c r="D215">
        <f t="shared" ca="1" si="15"/>
        <v>77.14</v>
      </c>
      <c r="E215" s="5">
        <f t="shared" ca="1" si="19"/>
        <v>-24.939999999999998</v>
      </c>
      <c r="F215" t="str">
        <f ca="1">IF(H215&lt;=I215,"Starter",IF(G215&gt;=LARGE(G:G,FlexOn*LeagueInfo!$F$2),"Starter","Bench"))</f>
        <v>Bench</v>
      </c>
      <c r="G215">
        <f t="shared" ca="1" si="16"/>
        <v>77.14</v>
      </c>
      <c r="H215">
        <f t="shared" ca="1" si="17"/>
        <v>94</v>
      </c>
      <c r="I215">
        <f>IF(C215="RB",LeagueInfo!$D$4*LeagueInfo!$F$2,IF(C215="WR",LeagueInfo!$D$5*LeagueInfo!$F$2,IF(C215="TE",LeagueInfo!$D$6*LeagueInfo!$F$2,LeagueInfo!$D$3*LeagueInfo!$F$2)))</f>
        <v>24</v>
      </c>
    </row>
    <row r="216" spans="1:9" x14ac:dyDescent="0.35">
      <c r="A216">
        <f t="shared" ca="1" si="18"/>
        <v>221</v>
      </c>
      <c r="B216" t="s">
        <v>515</v>
      </c>
      <c r="C216" t="s">
        <v>25</v>
      </c>
      <c r="D216">
        <f t="shared" ca="1" si="15"/>
        <v>66.279999999999987</v>
      </c>
      <c r="E216" s="5">
        <f t="shared" ca="1" si="19"/>
        <v>-35.800000000000011</v>
      </c>
      <c r="F216" t="str">
        <f ca="1">IF(H216&lt;=I216,"Starter",IF(G216&gt;=LARGE(G:G,FlexOn*LeagueInfo!$F$2),"Starter","Bench"))</f>
        <v>Bench</v>
      </c>
      <c r="G216">
        <f t="shared" ca="1" si="16"/>
        <v>66.279999999999987</v>
      </c>
      <c r="H216">
        <f t="shared" ca="1" si="17"/>
        <v>59</v>
      </c>
      <c r="I216">
        <f>IF(C216="RB",LeagueInfo!$D$4*LeagueInfo!$F$2,IF(C216="WR",LeagueInfo!$D$5*LeagueInfo!$F$2,IF(C216="TE",LeagueInfo!$D$6*LeagueInfo!$F$2,LeagueInfo!$D$3*LeagueInfo!$F$2)))</f>
        <v>24</v>
      </c>
    </row>
    <row r="217" spans="1:9" x14ac:dyDescent="0.35">
      <c r="A217">
        <f t="shared" ca="1" si="18"/>
        <v>208</v>
      </c>
      <c r="B217" t="s">
        <v>369</v>
      </c>
      <c r="C217" t="s">
        <v>40</v>
      </c>
      <c r="D217">
        <f t="shared" ca="1" si="15"/>
        <v>76.58</v>
      </c>
      <c r="E217" s="5">
        <f t="shared" ca="1" si="19"/>
        <v>-25.5</v>
      </c>
      <c r="F217" t="str">
        <f ca="1">IF(H217&lt;=I217,"Starter",IF(G217&gt;=LARGE(G:G,FlexOn*LeagueInfo!$F$2),"Starter","Bench"))</f>
        <v>Bench</v>
      </c>
      <c r="G217">
        <f t="shared" ca="1" si="16"/>
        <v>76.58</v>
      </c>
      <c r="H217">
        <f t="shared" ca="1" si="17"/>
        <v>26</v>
      </c>
      <c r="I217">
        <f>IF(C217="RB",LeagueInfo!$D$4*LeagueInfo!$F$2,IF(C217="WR",LeagueInfo!$D$5*LeagueInfo!$F$2,IF(C217="TE",LeagueInfo!$D$6*LeagueInfo!$F$2,LeagueInfo!$D$3*LeagueInfo!$F$2)))</f>
        <v>12</v>
      </c>
    </row>
    <row r="218" spans="1:9" x14ac:dyDescent="0.35">
      <c r="A218">
        <f t="shared" ca="1" si="18"/>
        <v>215</v>
      </c>
      <c r="B218" t="s">
        <v>368</v>
      </c>
      <c r="C218" t="s">
        <v>40</v>
      </c>
      <c r="D218">
        <f t="shared" ca="1" si="15"/>
        <v>71.61999999999999</v>
      </c>
      <c r="E218" s="5">
        <f t="shared" ca="1" si="19"/>
        <v>-30.460000000000008</v>
      </c>
      <c r="F218" t="str">
        <f ca="1">IF(H218&lt;=I218,"Starter",IF(G218&gt;=LARGE(G:G,FlexOn*LeagueInfo!$F$2),"Starter","Bench"))</f>
        <v>Bench</v>
      </c>
      <c r="G218">
        <f t="shared" ca="1" si="16"/>
        <v>71.61999999999999</v>
      </c>
      <c r="H218">
        <f t="shared" ca="1" si="17"/>
        <v>27</v>
      </c>
      <c r="I218">
        <f>IF(C218="RB",LeagueInfo!$D$4*LeagueInfo!$F$2,IF(C218="WR",LeagueInfo!$D$5*LeagueInfo!$F$2,IF(C218="TE",LeagueInfo!$D$6*LeagueInfo!$F$2,LeagueInfo!$D$3*LeagueInfo!$F$2)))</f>
        <v>12</v>
      </c>
    </row>
    <row r="219" spans="1:9" x14ac:dyDescent="0.35">
      <c r="A219">
        <f t="shared" ca="1" si="18"/>
        <v>256</v>
      </c>
      <c r="B219" t="s">
        <v>758</v>
      </c>
      <c r="C219" t="s">
        <v>25</v>
      </c>
      <c r="D219">
        <f t="shared" ca="1" si="15"/>
        <v>52.17</v>
      </c>
      <c r="E219" s="5">
        <f t="shared" ca="1" si="19"/>
        <v>-49.91</v>
      </c>
      <c r="F219" t="str">
        <f ca="1">IF(H219&lt;=I219,"Starter",IF(G219&gt;=LARGE(G:G,FlexOn*LeagueInfo!$F$2),"Starter","Bench"))</f>
        <v>Bench</v>
      </c>
      <c r="G219">
        <f t="shared" ca="1" si="16"/>
        <v>52.17</v>
      </c>
      <c r="H219">
        <f t="shared" ca="1" si="17"/>
        <v>69</v>
      </c>
      <c r="I219">
        <f>IF(C219="RB",LeagueInfo!$D$4*LeagueInfo!$F$2,IF(C219="WR",LeagueInfo!$D$5*LeagueInfo!$F$2,IF(C219="TE",LeagueInfo!$D$6*LeagueInfo!$F$2,LeagueInfo!$D$3*LeagueInfo!$F$2)))</f>
        <v>24</v>
      </c>
    </row>
    <row r="220" spans="1:9" x14ac:dyDescent="0.35">
      <c r="A220">
        <f t="shared" ca="1" si="18"/>
        <v>216</v>
      </c>
      <c r="B220" t="s">
        <v>128</v>
      </c>
      <c r="C220" t="s">
        <v>40</v>
      </c>
      <c r="D220">
        <f t="shared" ca="1" si="15"/>
        <v>69.87</v>
      </c>
      <c r="E220" s="5">
        <f t="shared" ca="1" si="19"/>
        <v>-32.209999999999994</v>
      </c>
      <c r="F220" t="str">
        <f ca="1">IF(H220&lt;=I220,"Starter",IF(G220&gt;=LARGE(G:G,FlexOn*LeagueInfo!$F$2),"Starter","Bench"))</f>
        <v>Bench</v>
      </c>
      <c r="G220">
        <f t="shared" ca="1" si="16"/>
        <v>69.87</v>
      </c>
      <c r="H220">
        <f t="shared" ca="1" si="17"/>
        <v>28</v>
      </c>
      <c r="I220">
        <f>IF(C220="RB",LeagueInfo!$D$4*LeagueInfo!$F$2,IF(C220="WR",LeagueInfo!$D$5*LeagueInfo!$F$2,IF(C220="TE",LeagueInfo!$D$6*LeagueInfo!$F$2,LeagueInfo!$D$3*LeagueInfo!$F$2)))</f>
        <v>12</v>
      </c>
    </row>
    <row r="221" spans="1:9" x14ac:dyDescent="0.35">
      <c r="A221">
        <f t="shared" ca="1" si="18"/>
        <v>212</v>
      </c>
      <c r="B221" t="s">
        <v>715</v>
      </c>
      <c r="C221" t="s">
        <v>32</v>
      </c>
      <c r="D221">
        <f t="shared" ca="1" si="15"/>
        <v>72.98</v>
      </c>
      <c r="E221" s="5">
        <f t="shared" ca="1" si="19"/>
        <v>-29.099999999999994</v>
      </c>
      <c r="F221" t="str">
        <f ca="1">IF(H221&lt;=I221,"Starter",IF(G221&gt;=LARGE(G:G,FlexOn*LeagueInfo!$F$2),"Starter","Bench"))</f>
        <v>Bench</v>
      </c>
      <c r="G221">
        <f t="shared" ca="1" si="16"/>
        <v>72.98</v>
      </c>
      <c r="H221">
        <f t="shared" ca="1" si="17"/>
        <v>97</v>
      </c>
      <c r="I221">
        <f>IF(C221="RB",LeagueInfo!$D$4*LeagueInfo!$F$2,IF(C221="WR",LeagueInfo!$D$5*LeagueInfo!$F$2,IF(C221="TE",LeagueInfo!$D$6*LeagueInfo!$F$2,LeagueInfo!$D$3*LeagueInfo!$F$2)))</f>
        <v>24</v>
      </c>
    </row>
    <row r="222" spans="1:9" x14ac:dyDescent="0.35">
      <c r="A222">
        <f t="shared" ca="1" si="18"/>
        <v>265</v>
      </c>
      <c r="B222" t="s">
        <v>346</v>
      </c>
      <c r="C222" t="s">
        <v>26</v>
      </c>
      <c r="D222">
        <f t="shared" ca="1" si="15"/>
        <v>46.500000000000007</v>
      </c>
      <c r="E222" s="5">
        <f t="shared" ca="1" si="19"/>
        <v>-55.579999999999991</v>
      </c>
      <c r="F222" t="str">
        <f ca="1">IF(H222&lt;=I222,"Starter",IF(G222&gt;=LARGE(G:G,FlexOn*LeagueInfo!$F$2),"Starter","Bench"))</f>
        <v>Bench</v>
      </c>
      <c r="G222">
        <f t="shared" ca="1" si="16"/>
        <v>46.500000000000007</v>
      </c>
      <c r="H222">
        <f t="shared" ca="1" si="17"/>
        <v>36</v>
      </c>
      <c r="I222">
        <f>IF(C222="RB",LeagueInfo!$D$4*LeagueInfo!$F$2,IF(C222="WR",LeagueInfo!$D$5*LeagueInfo!$F$2,IF(C222="TE",LeagueInfo!$D$6*LeagueInfo!$F$2,LeagueInfo!$D$3*LeagueInfo!$F$2)))</f>
        <v>24</v>
      </c>
    </row>
    <row r="223" spans="1:9" x14ac:dyDescent="0.35">
      <c r="A223">
        <f t="shared" ca="1" si="18"/>
        <v>222</v>
      </c>
      <c r="B223" t="s">
        <v>635</v>
      </c>
      <c r="C223" t="s">
        <v>40</v>
      </c>
      <c r="D223">
        <f t="shared" ca="1" si="15"/>
        <v>65.649999999999991</v>
      </c>
      <c r="E223" s="5">
        <f t="shared" ca="1" si="19"/>
        <v>-36.430000000000007</v>
      </c>
      <c r="F223" t="str">
        <f ca="1">IF(H223&lt;=I223,"Starter",IF(G223&gt;=LARGE(G:G,FlexOn*LeagueInfo!$F$2),"Starter","Bench"))</f>
        <v>Bench</v>
      </c>
      <c r="G223">
        <f t="shared" ca="1" si="16"/>
        <v>65.649999999999991</v>
      </c>
      <c r="H223">
        <f t="shared" ca="1" si="17"/>
        <v>31</v>
      </c>
      <c r="I223">
        <f>IF(C223="RB",LeagueInfo!$D$4*LeagueInfo!$F$2,IF(C223="WR",LeagueInfo!$D$5*LeagueInfo!$F$2,IF(C223="TE",LeagueInfo!$D$6*LeagueInfo!$F$2,LeagueInfo!$D$3*LeagueInfo!$F$2)))</f>
        <v>12</v>
      </c>
    </row>
    <row r="224" spans="1:9" x14ac:dyDescent="0.35">
      <c r="A224">
        <f t="shared" ca="1" si="18"/>
        <v>226</v>
      </c>
      <c r="B224" t="s">
        <v>423</v>
      </c>
      <c r="C224" t="s">
        <v>25</v>
      </c>
      <c r="D224">
        <f t="shared" ca="1" si="15"/>
        <v>63.269999999999989</v>
      </c>
      <c r="E224" s="5">
        <f t="shared" ca="1" si="19"/>
        <v>-38.810000000000009</v>
      </c>
      <c r="F224" t="str">
        <f ca="1">IF(H224&lt;=I224,"Starter",IF(G224&gt;=LARGE(G:G,FlexOn*LeagueInfo!$F$2),"Starter","Bench"))</f>
        <v>Bench</v>
      </c>
      <c r="G224">
        <f t="shared" ca="1" si="16"/>
        <v>63.269999999999989</v>
      </c>
      <c r="H224">
        <f t="shared" ca="1" si="17"/>
        <v>60</v>
      </c>
      <c r="I224">
        <f>IF(C224="RB",LeagueInfo!$D$4*LeagueInfo!$F$2,IF(C224="WR",LeagueInfo!$D$5*LeagueInfo!$F$2,IF(C224="TE",LeagueInfo!$D$6*LeagueInfo!$F$2,LeagueInfo!$D$3*LeagueInfo!$F$2)))</f>
        <v>24</v>
      </c>
    </row>
    <row r="225" spans="1:9" x14ac:dyDescent="0.35">
      <c r="A225">
        <f t="shared" ca="1" si="18"/>
        <v>218</v>
      </c>
      <c r="B225" t="s">
        <v>937</v>
      </c>
      <c r="C225" t="s">
        <v>40</v>
      </c>
      <c r="D225">
        <f t="shared" ca="1" si="15"/>
        <v>69.36</v>
      </c>
      <c r="E225" s="5">
        <f t="shared" ca="1" si="19"/>
        <v>-32.72</v>
      </c>
      <c r="F225" t="str">
        <f ca="1">IF(H225&lt;=I225,"Starter",IF(G225&gt;=LARGE(G:G,FlexOn*LeagueInfo!$F$2),"Starter","Bench"))</f>
        <v>Bench</v>
      </c>
      <c r="G225">
        <f t="shared" ca="1" si="16"/>
        <v>69.36</v>
      </c>
      <c r="H225">
        <f t="shared" ca="1" si="17"/>
        <v>29</v>
      </c>
      <c r="I225">
        <f>IF(C225="RB",LeagueInfo!$D$4*LeagueInfo!$F$2,IF(C225="WR",LeagueInfo!$D$5*LeagueInfo!$F$2,IF(C225="TE",LeagueInfo!$D$6*LeagueInfo!$F$2,LeagueInfo!$D$3*LeagueInfo!$F$2)))</f>
        <v>12</v>
      </c>
    </row>
    <row r="226" spans="1:9" x14ac:dyDescent="0.35">
      <c r="A226">
        <f t="shared" ca="1" si="18"/>
        <v>225</v>
      </c>
      <c r="B226" t="s">
        <v>452</v>
      </c>
      <c r="C226" t="s">
        <v>40</v>
      </c>
      <c r="D226">
        <f t="shared" ca="1" si="15"/>
        <v>63.489999999999995</v>
      </c>
      <c r="E226" s="5">
        <f t="shared" ca="1" si="19"/>
        <v>-38.590000000000003</v>
      </c>
      <c r="F226" t="str">
        <f ca="1">IF(H226&lt;=I226,"Starter",IF(G226&gt;=LARGE(G:G,FlexOn*LeagueInfo!$F$2),"Starter","Bench"))</f>
        <v>Bench</v>
      </c>
      <c r="G226">
        <f t="shared" ca="1" si="16"/>
        <v>63.489999999999995</v>
      </c>
      <c r="H226">
        <f t="shared" ca="1" si="17"/>
        <v>33</v>
      </c>
      <c r="I226">
        <f>IF(C226="RB",LeagueInfo!$D$4*LeagueInfo!$F$2,IF(C226="WR",LeagueInfo!$D$5*LeagueInfo!$F$2,IF(C226="TE",LeagueInfo!$D$6*LeagueInfo!$F$2,LeagueInfo!$D$3*LeagueInfo!$F$2)))</f>
        <v>12</v>
      </c>
    </row>
    <row r="227" spans="1:9" x14ac:dyDescent="0.35">
      <c r="A227">
        <f t="shared" ca="1" si="18"/>
        <v>217</v>
      </c>
      <c r="B227" t="s">
        <v>560</v>
      </c>
      <c r="C227" t="s">
        <v>32</v>
      </c>
      <c r="D227">
        <f t="shared" ca="1" si="15"/>
        <v>69.44</v>
      </c>
      <c r="E227" s="5">
        <f t="shared" ca="1" si="19"/>
        <v>-32.64</v>
      </c>
      <c r="F227" t="str">
        <f ca="1">IF(H227&lt;=I227,"Starter",IF(G227&gt;=LARGE(G:G,FlexOn*LeagueInfo!$F$2),"Starter","Bench"))</f>
        <v>Bench</v>
      </c>
      <c r="G227">
        <f t="shared" ca="1" si="16"/>
        <v>69.44</v>
      </c>
      <c r="H227">
        <f t="shared" ca="1" si="17"/>
        <v>99</v>
      </c>
      <c r="I227">
        <f>IF(C227="RB",LeagueInfo!$D$4*LeagueInfo!$F$2,IF(C227="WR",LeagueInfo!$D$5*LeagueInfo!$F$2,IF(C227="TE",LeagueInfo!$D$6*LeagueInfo!$F$2,LeagueInfo!$D$3*LeagueInfo!$F$2)))</f>
        <v>24</v>
      </c>
    </row>
    <row r="228" spans="1:9" x14ac:dyDescent="0.35">
      <c r="A228">
        <f t="shared" ca="1" si="18"/>
        <v>220</v>
      </c>
      <c r="B228" t="s">
        <v>730</v>
      </c>
      <c r="C228" t="s">
        <v>40</v>
      </c>
      <c r="D228">
        <f t="shared" ca="1" si="15"/>
        <v>66.52</v>
      </c>
      <c r="E228" s="5">
        <f t="shared" ca="1" si="19"/>
        <v>-35.56</v>
      </c>
      <c r="F228" t="str">
        <f ca="1">IF(H228&lt;=I228,"Starter",IF(G228&gt;=LARGE(G:G,FlexOn*LeagueInfo!$F$2),"Starter","Bench"))</f>
        <v>Bench</v>
      </c>
      <c r="G228">
        <f t="shared" ca="1" si="16"/>
        <v>66.52</v>
      </c>
      <c r="H228">
        <f t="shared" ca="1" si="17"/>
        <v>30</v>
      </c>
      <c r="I228">
        <f>IF(C228="RB",LeagueInfo!$D$4*LeagueInfo!$F$2,IF(C228="WR",LeagueInfo!$D$5*LeagueInfo!$F$2,IF(C228="TE",LeagueInfo!$D$6*LeagueInfo!$F$2,LeagueInfo!$D$3*LeagueInfo!$F$2)))</f>
        <v>12</v>
      </c>
    </row>
    <row r="229" spans="1:9" x14ac:dyDescent="0.35">
      <c r="A229">
        <f t="shared" ca="1" si="18"/>
        <v>247</v>
      </c>
      <c r="B229" t="s">
        <v>487</v>
      </c>
      <c r="C229" t="s">
        <v>40</v>
      </c>
      <c r="D229">
        <f t="shared" ca="1" si="15"/>
        <v>55.330000000000005</v>
      </c>
      <c r="E229" s="5">
        <f t="shared" ca="1" si="19"/>
        <v>-46.749999999999993</v>
      </c>
      <c r="F229" t="str">
        <f ca="1">IF(H229&lt;=I229,"Starter",IF(G229&gt;=LARGE(G:G,FlexOn*LeagueInfo!$F$2),"Starter","Bench"))</f>
        <v>Bench</v>
      </c>
      <c r="G229">
        <f t="shared" ca="1" si="16"/>
        <v>55.330000000000005</v>
      </c>
      <c r="H229">
        <f t="shared" ca="1" si="17"/>
        <v>40</v>
      </c>
      <c r="I229">
        <f>IF(C229="RB",LeagueInfo!$D$4*LeagueInfo!$F$2,IF(C229="WR",LeagueInfo!$D$5*LeagueInfo!$F$2,IF(C229="TE",LeagueInfo!$D$6*LeagueInfo!$F$2,LeagueInfo!$D$3*LeagueInfo!$F$2)))</f>
        <v>12</v>
      </c>
    </row>
    <row r="230" spans="1:9" x14ac:dyDescent="0.35">
      <c r="A230">
        <f t="shared" ca="1" si="18"/>
        <v>228</v>
      </c>
      <c r="B230" t="s">
        <v>599</v>
      </c>
      <c r="C230" t="s">
        <v>32</v>
      </c>
      <c r="D230">
        <f t="shared" ca="1" si="15"/>
        <v>61.78</v>
      </c>
      <c r="E230" s="5">
        <f t="shared" ca="1" si="19"/>
        <v>-40.299999999999997</v>
      </c>
      <c r="F230" t="str">
        <f ca="1">IF(H230&lt;=I230,"Starter",IF(G230&gt;=LARGE(G:G,FlexOn*LeagueInfo!$F$2),"Starter","Bench"))</f>
        <v>Bench</v>
      </c>
      <c r="G230">
        <f t="shared" ca="1" si="16"/>
        <v>61.78</v>
      </c>
      <c r="H230">
        <f t="shared" ca="1" si="17"/>
        <v>102</v>
      </c>
      <c r="I230">
        <f>IF(C230="RB",LeagueInfo!$D$4*LeagueInfo!$F$2,IF(C230="WR",LeagueInfo!$D$5*LeagueInfo!$F$2,IF(C230="TE",LeagueInfo!$D$6*LeagueInfo!$F$2,LeagueInfo!$D$3*LeagueInfo!$F$2)))</f>
        <v>24</v>
      </c>
    </row>
    <row r="231" spans="1:9" x14ac:dyDescent="0.35">
      <c r="A231">
        <f t="shared" ca="1" si="18"/>
        <v>237</v>
      </c>
      <c r="B231" t="s">
        <v>255</v>
      </c>
      <c r="C231" t="s">
        <v>40</v>
      </c>
      <c r="D231">
        <f t="shared" ca="1" si="15"/>
        <v>59.25</v>
      </c>
      <c r="E231" s="5">
        <f t="shared" ca="1" si="19"/>
        <v>-42.83</v>
      </c>
      <c r="F231" t="str">
        <f ca="1">IF(H231&lt;=I231,"Starter",IF(G231&gt;=LARGE(G:G,FlexOn*LeagueInfo!$F$2),"Starter","Bench"))</f>
        <v>Bench</v>
      </c>
      <c r="G231">
        <f t="shared" ca="1" si="16"/>
        <v>59.25</v>
      </c>
      <c r="H231">
        <f t="shared" ca="1" si="17"/>
        <v>37</v>
      </c>
      <c r="I231">
        <f>IF(C231="RB",LeagueInfo!$D$4*LeagueInfo!$F$2,IF(C231="WR",LeagueInfo!$D$5*LeagueInfo!$F$2,IF(C231="TE",LeagueInfo!$D$6*LeagueInfo!$F$2,LeagueInfo!$D$3*LeagueInfo!$F$2)))</f>
        <v>12</v>
      </c>
    </row>
    <row r="232" spans="1:9" x14ac:dyDescent="0.35">
      <c r="A232">
        <f t="shared" ca="1" si="18"/>
        <v>229</v>
      </c>
      <c r="B232" t="s">
        <v>587</v>
      </c>
      <c r="C232" t="s">
        <v>32</v>
      </c>
      <c r="D232">
        <f t="shared" ca="1" si="15"/>
        <v>61.34</v>
      </c>
      <c r="E232" s="5">
        <f t="shared" ca="1" si="19"/>
        <v>-40.739999999999995</v>
      </c>
      <c r="F232" t="str">
        <f ca="1">IF(H232&lt;=I232,"Starter",IF(G232&gt;=LARGE(G:G,FlexOn*LeagueInfo!$F$2),"Starter","Bench"))</f>
        <v>Bench</v>
      </c>
      <c r="G232">
        <f t="shared" ca="1" si="16"/>
        <v>61.34</v>
      </c>
      <c r="H232">
        <f t="shared" ca="1" si="17"/>
        <v>103</v>
      </c>
      <c r="I232">
        <f>IF(C232="RB",LeagueInfo!$D$4*LeagueInfo!$F$2,IF(C232="WR",LeagueInfo!$D$5*LeagueInfo!$F$2,IF(C232="TE",LeagueInfo!$D$6*LeagueInfo!$F$2,LeagueInfo!$D$3*LeagueInfo!$F$2)))</f>
        <v>24</v>
      </c>
    </row>
    <row r="233" spans="1:9" x14ac:dyDescent="0.35">
      <c r="A233">
        <f t="shared" ca="1" si="18"/>
        <v>230</v>
      </c>
      <c r="B233" t="s">
        <v>739</v>
      </c>
      <c r="C233" t="s">
        <v>25</v>
      </c>
      <c r="D233">
        <f t="shared" ca="1" si="15"/>
        <v>61.339999999999996</v>
      </c>
      <c r="E233" s="5">
        <f t="shared" ca="1" si="19"/>
        <v>-40.74</v>
      </c>
      <c r="F233" t="str">
        <f ca="1">IF(H233&lt;=I233,"Starter",IF(G233&gt;=LARGE(G:G,FlexOn*LeagueInfo!$F$2),"Starter","Bench"))</f>
        <v>Bench</v>
      </c>
      <c r="G233">
        <f t="shared" ca="1" si="16"/>
        <v>61.339999999999996</v>
      </c>
      <c r="H233">
        <f t="shared" ca="1" si="17"/>
        <v>61</v>
      </c>
      <c r="I233">
        <f>IF(C233="RB",LeagueInfo!$D$4*LeagueInfo!$F$2,IF(C233="WR",LeagueInfo!$D$5*LeagueInfo!$F$2,IF(C233="TE",LeagueInfo!$D$6*LeagueInfo!$F$2,LeagueInfo!$D$3*LeagueInfo!$F$2)))</f>
        <v>24</v>
      </c>
    </row>
    <row r="234" spans="1:9" x14ac:dyDescent="0.35">
      <c r="A234">
        <f t="shared" ca="1" si="18"/>
        <v>243</v>
      </c>
      <c r="B234" t="s">
        <v>498</v>
      </c>
      <c r="C234" t="s">
        <v>32</v>
      </c>
      <c r="D234">
        <f t="shared" ca="1" si="15"/>
        <v>56.36</v>
      </c>
      <c r="E234" s="5">
        <f t="shared" ca="1" si="19"/>
        <v>-45.72</v>
      </c>
      <c r="F234" t="str">
        <f ca="1">IF(H234&lt;=I234,"Starter",IF(G234&gt;=LARGE(G:G,FlexOn*LeagueInfo!$F$2),"Starter","Bench"))</f>
        <v>Bench</v>
      </c>
      <c r="G234">
        <f t="shared" ca="1" si="16"/>
        <v>56.36</v>
      </c>
      <c r="H234">
        <f t="shared" ca="1" si="17"/>
        <v>107</v>
      </c>
      <c r="I234">
        <f>IF(C234="RB",LeagueInfo!$D$4*LeagueInfo!$F$2,IF(C234="WR",LeagueInfo!$D$5*LeagueInfo!$F$2,IF(C234="TE",LeagueInfo!$D$6*LeagueInfo!$F$2,LeagueInfo!$D$3*LeagueInfo!$F$2)))</f>
        <v>24</v>
      </c>
    </row>
    <row r="235" spans="1:9" x14ac:dyDescent="0.35">
      <c r="A235">
        <f t="shared" ca="1" si="18"/>
        <v>235</v>
      </c>
      <c r="B235" t="s">
        <v>716</v>
      </c>
      <c r="C235" t="s">
        <v>25</v>
      </c>
      <c r="D235">
        <f t="shared" ca="1" si="15"/>
        <v>59.889999999999993</v>
      </c>
      <c r="E235" s="5">
        <f t="shared" ca="1" si="19"/>
        <v>-42.190000000000005</v>
      </c>
      <c r="F235" t="str">
        <f ca="1">IF(H235&lt;=I235,"Starter",IF(G235&gt;=LARGE(G:G,FlexOn*LeagueInfo!$F$2),"Starter","Bench"))</f>
        <v>Bench</v>
      </c>
      <c r="G235">
        <f t="shared" ca="1" si="16"/>
        <v>59.889999999999993</v>
      </c>
      <c r="H235">
        <f t="shared" ca="1" si="17"/>
        <v>62</v>
      </c>
      <c r="I235">
        <f>IF(C235="RB",LeagueInfo!$D$4*LeagueInfo!$F$2,IF(C235="WR",LeagueInfo!$D$5*LeagueInfo!$F$2,IF(C235="TE",LeagueInfo!$D$6*LeagueInfo!$F$2,LeagueInfo!$D$3*LeagueInfo!$F$2)))</f>
        <v>24</v>
      </c>
    </row>
    <row r="236" spans="1:9" x14ac:dyDescent="0.35">
      <c r="A236">
        <f t="shared" ca="1" si="18"/>
        <v>238</v>
      </c>
      <c r="B236" t="s">
        <v>865</v>
      </c>
      <c r="C236" t="s">
        <v>25</v>
      </c>
      <c r="D236">
        <f t="shared" ca="1" si="15"/>
        <v>59.140000000000008</v>
      </c>
      <c r="E236" s="5">
        <f t="shared" ca="1" si="19"/>
        <v>-42.939999999999991</v>
      </c>
      <c r="F236" t="str">
        <f ca="1">IF(H236&lt;=I236,"Starter",IF(G236&gt;=LARGE(G:G,FlexOn*LeagueInfo!$F$2),"Starter","Bench"))</f>
        <v>Bench</v>
      </c>
      <c r="G236">
        <f t="shared" ca="1" si="16"/>
        <v>59.140000000000008</v>
      </c>
      <c r="H236">
        <f t="shared" ca="1" si="17"/>
        <v>64</v>
      </c>
      <c r="I236">
        <f>IF(C236="RB",LeagueInfo!$D$4*LeagueInfo!$F$2,IF(C236="WR",LeagueInfo!$D$5*LeagueInfo!$F$2,IF(C236="TE",LeagueInfo!$D$6*LeagueInfo!$F$2,LeagueInfo!$D$3*LeagueInfo!$F$2)))</f>
        <v>24</v>
      </c>
    </row>
    <row r="237" spans="1:9" x14ac:dyDescent="0.35">
      <c r="A237">
        <f t="shared" ca="1" si="18"/>
        <v>227</v>
      </c>
      <c r="B237" t="s">
        <v>256</v>
      </c>
      <c r="C237" t="s">
        <v>40</v>
      </c>
      <c r="D237">
        <f t="shared" ca="1" si="15"/>
        <v>61.85</v>
      </c>
      <c r="E237" s="5">
        <f t="shared" ca="1" si="19"/>
        <v>-40.229999999999997</v>
      </c>
      <c r="F237" t="str">
        <f ca="1">IF(H237&lt;=I237,"Starter",IF(G237&gt;=LARGE(G:G,FlexOn*LeagueInfo!$F$2),"Starter","Bench"))</f>
        <v>Bench</v>
      </c>
      <c r="G237">
        <f t="shared" ca="1" si="16"/>
        <v>61.85</v>
      </c>
      <c r="H237">
        <f t="shared" ca="1" si="17"/>
        <v>34</v>
      </c>
      <c r="I237">
        <f>IF(C237="RB",LeagueInfo!$D$4*LeagueInfo!$F$2,IF(C237="WR",LeagueInfo!$D$5*LeagueInfo!$F$2,IF(C237="TE",LeagueInfo!$D$6*LeagueInfo!$F$2,LeagueInfo!$D$3*LeagueInfo!$F$2)))</f>
        <v>12</v>
      </c>
    </row>
    <row r="238" spans="1:9" x14ac:dyDescent="0.35">
      <c r="A238">
        <f t="shared" ca="1" si="18"/>
        <v>244</v>
      </c>
      <c r="B238" t="s">
        <v>637</v>
      </c>
      <c r="C238" t="s">
        <v>40</v>
      </c>
      <c r="D238">
        <f t="shared" ca="1" si="15"/>
        <v>56.05</v>
      </c>
      <c r="E238" s="5">
        <f t="shared" ca="1" si="19"/>
        <v>-46.03</v>
      </c>
      <c r="F238" t="str">
        <f ca="1">IF(H238&lt;=I238,"Starter",IF(G238&gt;=LARGE(G:G,FlexOn*LeagueInfo!$F$2),"Starter","Bench"))</f>
        <v>Bench</v>
      </c>
      <c r="G238">
        <f t="shared" ca="1" si="16"/>
        <v>56.05</v>
      </c>
      <c r="H238">
        <f t="shared" ca="1" si="17"/>
        <v>39</v>
      </c>
      <c r="I238">
        <f>IF(C238="RB",LeagueInfo!$D$4*LeagueInfo!$F$2,IF(C238="WR",LeagueInfo!$D$5*LeagueInfo!$F$2,IF(C238="TE",LeagueInfo!$D$6*LeagueInfo!$F$2,LeagueInfo!$D$3*LeagueInfo!$F$2)))</f>
        <v>12</v>
      </c>
    </row>
    <row r="239" spans="1:9" x14ac:dyDescent="0.35">
      <c r="A239">
        <f t="shared" ca="1" si="18"/>
        <v>239</v>
      </c>
      <c r="B239" t="s">
        <v>543</v>
      </c>
      <c r="C239" t="s">
        <v>25</v>
      </c>
      <c r="D239">
        <f t="shared" ca="1" si="15"/>
        <v>58.09</v>
      </c>
      <c r="E239" s="5">
        <f t="shared" ca="1" si="19"/>
        <v>-43.989999999999995</v>
      </c>
      <c r="F239" t="str">
        <f ca="1">IF(H239&lt;=I239,"Starter",IF(G239&gt;=LARGE(G:G,FlexOn*LeagueInfo!$F$2),"Starter","Bench"))</f>
        <v>Bench</v>
      </c>
      <c r="G239">
        <f t="shared" ca="1" si="16"/>
        <v>58.09</v>
      </c>
      <c r="H239">
        <f t="shared" ca="1" si="17"/>
        <v>65</v>
      </c>
      <c r="I239">
        <f>IF(C239="RB",LeagueInfo!$D$4*LeagueInfo!$F$2,IF(C239="WR",LeagueInfo!$D$5*LeagueInfo!$F$2,IF(C239="TE",LeagueInfo!$D$6*LeagueInfo!$F$2,LeagueInfo!$D$3*LeagueInfo!$F$2)))</f>
        <v>24</v>
      </c>
    </row>
    <row r="240" spans="1:9" x14ac:dyDescent="0.35">
      <c r="A240">
        <f t="shared" ca="1" si="18"/>
        <v>232</v>
      </c>
      <c r="B240" t="s">
        <v>939</v>
      </c>
      <c r="C240" t="s">
        <v>40</v>
      </c>
      <c r="D240">
        <f t="shared" ca="1" si="15"/>
        <v>61.07</v>
      </c>
      <c r="E240" s="5">
        <f t="shared" ca="1" si="19"/>
        <v>-41.01</v>
      </c>
      <c r="F240" t="str">
        <f ca="1">IF(H240&lt;=I240,"Starter",IF(G240&gt;=LARGE(G:G,FlexOn*LeagueInfo!$F$2),"Starter","Bench"))</f>
        <v>Bench</v>
      </c>
      <c r="G240">
        <f t="shared" ca="1" si="16"/>
        <v>61.07</v>
      </c>
      <c r="H240">
        <f t="shared" ca="1" si="17"/>
        <v>36</v>
      </c>
      <c r="I240">
        <f>IF(C240="RB",LeagueInfo!$D$4*LeagueInfo!$F$2,IF(C240="WR",LeagueInfo!$D$5*LeagueInfo!$F$2,IF(C240="TE",LeagueInfo!$D$6*LeagueInfo!$F$2,LeagueInfo!$D$3*LeagueInfo!$F$2)))</f>
        <v>12</v>
      </c>
    </row>
    <row r="241" spans="1:9" x14ac:dyDescent="0.35">
      <c r="A241">
        <f t="shared" ca="1" si="18"/>
        <v>241</v>
      </c>
      <c r="B241" t="s">
        <v>745</v>
      </c>
      <c r="C241" t="s">
        <v>40</v>
      </c>
      <c r="D241">
        <f t="shared" ca="1" si="15"/>
        <v>57.67</v>
      </c>
      <c r="E241" s="5">
        <f t="shared" ca="1" si="19"/>
        <v>-44.41</v>
      </c>
      <c r="F241" t="str">
        <f ca="1">IF(H241&lt;=I241,"Starter",IF(G241&gt;=LARGE(G:G,FlexOn*LeagueInfo!$F$2),"Starter","Bench"))</f>
        <v>Bench</v>
      </c>
      <c r="G241">
        <f t="shared" ca="1" si="16"/>
        <v>57.67</v>
      </c>
      <c r="H241">
        <f t="shared" ca="1" si="17"/>
        <v>38</v>
      </c>
      <c r="I241">
        <f>IF(C241="RB",LeagueInfo!$D$4*LeagueInfo!$F$2,IF(C241="WR",LeagueInfo!$D$5*LeagueInfo!$F$2,IF(C241="TE",LeagueInfo!$D$6*LeagueInfo!$F$2,LeagueInfo!$D$3*LeagueInfo!$F$2)))</f>
        <v>12</v>
      </c>
    </row>
    <row r="242" spans="1:9" x14ac:dyDescent="0.35">
      <c r="A242">
        <f t="shared" ca="1" si="18"/>
        <v>242</v>
      </c>
      <c r="B242" t="s">
        <v>616</v>
      </c>
      <c r="C242" t="s">
        <v>25</v>
      </c>
      <c r="D242">
        <f t="shared" ca="1" si="15"/>
        <v>56.940000000000005</v>
      </c>
      <c r="E242" s="5">
        <f t="shared" ca="1" si="19"/>
        <v>-45.139999999999993</v>
      </c>
      <c r="F242" t="str">
        <f ca="1">IF(H242&lt;=I242,"Starter",IF(G242&gt;=LARGE(G:G,FlexOn*LeagueInfo!$F$2),"Starter","Bench"))</f>
        <v>Bench</v>
      </c>
      <c r="G242">
        <f t="shared" ca="1" si="16"/>
        <v>56.940000000000005</v>
      </c>
      <c r="H242">
        <f t="shared" ca="1" si="17"/>
        <v>66</v>
      </c>
      <c r="I242">
        <f>IF(C242="RB",LeagueInfo!$D$4*LeagueInfo!$F$2,IF(C242="WR",LeagueInfo!$D$5*LeagueInfo!$F$2,IF(C242="TE",LeagueInfo!$D$6*LeagueInfo!$F$2,LeagueInfo!$D$3*LeagueInfo!$F$2)))</f>
        <v>24</v>
      </c>
    </row>
    <row r="243" spans="1:9" x14ac:dyDescent="0.35">
      <c r="A243">
        <f t="shared" ca="1" si="18"/>
        <v>233</v>
      </c>
      <c r="B243" t="s">
        <v>794</v>
      </c>
      <c r="C243" t="s">
        <v>32</v>
      </c>
      <c r="D243">
        <f t="shared" ca="1" si="15"/>
        <v>60.809999999999995</v>
      </c>
      <c r="E243" s="5">
        <f t="shared" ca="1" si="19"/>
        <v>-41.27</v>
      </c>
      <c r="F243" t="str">
        <f ca="1">IF(H243&lt;=I243,"Starter",IF(G243&gt;=LARGE(G:G,FlexOn*LeagueInfo!$F$2),"Starter","Bench"))</f>
        <v>Bench</v>
      </c>
      <c r="G243">
        <f t="shared" ca="1" si="16"/>
        <v>60.809999999999995</v>
      </c>
      <c r="H243">
        <f t="shared" ca="1" si="17"/>
        <v>104</v>
      </c>
      <c r="I243">
        <f>IF(C243="RB",LeagueInfo!$D$4*LeagueInfo!$F$2,IF(C243="WR",LeagueInfo!$D$5*LeagueInfo!$F$2,IF(C243="TE",LeagueInfo!$D$6*LeagueInfo!$F$2,LeagueInfo!$D$3*LeagueInfo!$F$2)))</f>
        <v>24</v>
      </c>
    </row>
    <row r="244" spans="1:9" x14ac:dyDescent="0.35">
      <c r="A244">
        <f t="shared" ca="1" si="18"/>
        <v>258</v>
      </c>
      <c r="B244" t="s">
        <v>926</v>
      </c>
      <c r="C244" t="s">
        <v>32</v>
      </c>
      <c r="D244">
        <f t="shared" ca="1" si="15"/>
        <v>50.81</v>
      </c>
      <c r="E244" s="5">
        <f t="shared" ca="1" si="19"/>
        <v>-51.269999999999996</v>
      </c>
      <c r="F244" t="str">
        <f ca="1">IF(H244&lt;=I244,"Starter",IF(G244&gt;=LARGE(G:G,FlexOn*LeagueInfo!$F$2),"Starter","Bench"))</f>
        <v>Bench</v>
      </c>
      <c r="G244">
        <f t="shared" ca="1" si="16"/>
        <v>50.81</v>
      </c>
      <c r="H244">
        <f t="shared" ca="1" si="17"/>
        <v>115</v>
      </c>
      <c r="I244">
        <f>IF(C244="RB",LeagueInfo!$D$4*LeagueInfo!$F$2,IF(C244="WR",LeagueInfo!$D$5*LeagueInfo!$F$2,IF(C244="TE",LeagueInfo!$D$6*LeagueInfo!$F$2,LeagueInfo!$D$3*LeagueInfo!$F$2)))</f>
        <v>24</v>
      </c>
    </row>
    <row r="245" spans="1:9" x14ac:dyDescent="0.35">
      <c r="A245">
        <f t="shared" ca="1" si="18"/>
        <v>266</v>
      </c>
      <c r="B245" t="s">
        <v>782</v>
      </c>
      <c r="C245" t="s">
        <v>25</v>
      </c>
      <c r="D245">
        <f t="shared" ca="1" si="15"/>
        <v>46.140000000000008</v>
      </c>
      <c r="E245" s="5">
        <f t="shared" ca="1" si="19"/>
        <v>-55.939999999999991</v>
      </c>
      <c r="F245" t="str">
        <f ca="1">IF(H245&lt;=I245,"Starter",IF(G245&gt;=LARGE(G:G,FlexOn*LeagueInfo!$F$2),"Starter","Bench"))</f>
        <v>Bench</v>
      </c>
      <c r="G245">
        <f t="shared" ca="1" si="16"/>
        <v>46.140000000000008</v>
      </c>
      <c r="H245">
        <f t="shared" ca="1" si="17"/>
        <v>73</v>
      </c>
      <c r="I245">
        <f>IF(C245="RB",LeagueInfo!$D$4*LeagueInfo!$F$2,IF(C245="WR",LeagueInfo!$D$5*LeagueInfo!$F$2,IF(C245="TE",LeagueInfo!$D$6*LeagueInfo!$F$2,LeagueInfo!$D$3*LeagueInfo!$F$2)))</f>
        <v>24</v>
      </c>
    </row>
    <row r="246" spans="1:9" x14ac:dyDescent="0.35">
      <c r="A246">
        <f t="shared" ca="1" si="18"/>
        <v>245</v>
      </c>
      <c r="B246" t="s">
        <v>703</v>
      </c>
      <c r="C246" t="s">
        <v>32</v>
      </c>
      <c r="D246">
        <f t="shared" ca="1" si="15"/>
        <v>55.870000000000005</v>
      </c>
      <c r="E246" s="5">
        <f t="shared" ca="1" si="19"/>
        <v>-46.209999999999994</v>
      </c>
      <c r="F246" t="str">
        <f ca="1">IF(H246&lt;=I246,"Starter",IF(G246&gt;=LARGE(G:G,FlexOn*LeagueInfo!$F$2),"Starter","Bench"))</f>
        <v>Bench</v>
      </c>
      <c r="G246">
        <f t="shared" ca="1" si="16"/>
        <v>55.870000000000005</v>
      </c>
      <c r="H246">
        <f t="shared" ca="1" si="17"/>
        <v>108</v>
      </c>
      <c r="I246">
        <f>IF(C246="RB",LeagueInfo!$D$4*LeagueInfo!$F$2,IF(C246="WR",LeagueInfo!$D$5*LeagueInfo!$F$2,IF(C246="TE",LeagueInfo!$D$6*LeagueInfo!$F$2,LeagueInfo!$D$3*LeagueInfo!$F$2)))</f>
        <v>24</v>
      </c>
    </row>
    <row r="247" spans="1:9" x14ac:dyDescent="0.35">
      <c r="A247">
        <f t="shared" ca="1" si="18"/>
        <v>253</v>
      </c>
      <c r="B247" t="s">
        <v>242</v>
      </c>
      <c r="C247" t="s">
        <v>32</v>
      </c>
      <c r="D247">
        <f t="shared" ca="1" si="15"/>
        <v>53.42</v>
      </c>
      <c r="E247" s="5">
        <f t="shared" ca="1" si="19"/>
        <v>-48.66</v>
      </c>
      <c r="F247" t="str">
        <f ca="1">IF(H247&lt;=I247,"Starter",IF(G247&gt;=LARGE(G:G,FlexOn*LeagueInfo!$F$2),"Starter","Bench"))</f>
        <v>Bench</v>
      </c>
      <c r="G247">
        <f t="shared" ca="1" si="16"/>
        <v>53.42</v>
      </c>
      <c r="H247">
        <f t="shared" ca="1" si="17"/>
        <v>112</v>
      </c>
      <c r="I247">
        <f>IF(C247="RB",LeagueInfo!$D$4*LeagueInfo!$F$2,IF(C247="WR",LeagueInfo!$D$5*LeagueInfo!$F$2,IF(C247="TE",LeagueInfo!$D$6*LeagueInfo!$F$2,LeagueInfo!$D$3*LeagueInfo!$F$2)))</f>
        <v>24</v>
      </c>
    </row>
    <row r="248" spans="1:9" x14ac:dyDescent="0.35">
      <c r="A248">
        <f t="shared" ca="1" si="18"/>
        <v>251</v>
      </c>
      <c r="B248" t="s">
        <v>792</v>
      </c>
      <c r="C248" t="s">
        <v>32</v>
      </c>
      <c r="D248">
        <f t="shared" ca="1" si="15"/>
        <v>54.019999999999996</v>
      </c>
      <c r="E248" s="5">
        <f t="shared" ca="1" si="19"/>
        <v>-48.06</v>
      </c>
      <c r="F248" t="str">
        <f ca="1">IF(H248&lt;=I248,"Starter",IF(G248&gt;=LARGE(G:G,FlexOn*LeagueInfo!$F$2),"Starter","Bench"))</f>
        <v>Bench</v>
      </c>
      <c r="G248">
        <f t="shared" ca="1" si="16"/>
        <v>54.019999999999996</v>
      </c>
      <c r="H248">
        <f t="shared" ca="1" si="17"/>
        <v>111</v>
      </c>
      <c r="I248">
        <f>IF(C248="RB",LeagueInfo!$D$4*LeagueInfo!$F$2,IF(C248="WR",LeagueInfo!$D$5*LeagueInfo!$F$2,IF(C248="TE",LeagueInfo!$D$6*LeagueInfo!$F$2,LeagueInfo!$D$3*LeagueInfo!$F$2)))</f>
        <v>24</v>
      </c>
    </row>
    <row r="249" spans="1:9" x14ac:dyDescent="0.35">
      <c r="A249">
        <f t="shared" ca="1" si="18"/>
        <v>246</v>
      </c>
      <c r="B249" t="s">
        <v>605</v>
      </c>
      <c r="C249" t="s">
        <v>32</v>
      </c>
      <c r="D249">
        <f t="shared" ca="1" si="15"/>
        <v>55.6</v>
      </c>
      <c r="E249" s="5">
        <f t="shared" ca="1" si="19"/>
        <v>-46.48</v>
      </c>
      <c r="F249" t="str">
        <f ca="1">IF(H249&lt;=I249,"Starter",IF(G249&gt;=LARGE(G:G,FlexOn*LeagueInfo!$F$2),"Starter","Bench"))</f>
        <v>Bench</v>
      </c>
      <c r="G249">
        <f t="shared" ca="1" si="16"/>
        <v>55.6</v>
      </c>
      <c r="H249">
        <f t="shared" ca="1" si="17"/>
        <v>109</v>
      </c>
      <c r="I249">
        <f>IF(C249="RB",LeagueInfo!$D$4*LeagueInfo!$F$2,IF(C249="WR",LeagueInfo!$D$5*LeagueInfo!$F$2,IF(C249="TE",LeagueInfo!$D$6*LeagueInfo!$F$2,LeagueInfo!$D$3*LeagueInfo!$F$2)))</f>
        <v>24</v>
      </c>
    </row>
    <row r="250" spans="1:9" x14ac:dyDescent="0.35">
      <c r="A250">
        <f t="shared" ca="1" si="18"/>
        <v>231</v>
      </c>
      <c r="B250" t="s">
        <v>577</v>
      </c>
      <c r="C250" t="s">
        <v>40</v>
      </c>
      <c r="D250">
        <f t="shared" ca="1" si="15"/>
        <v>61.230000000000004</v>
      </c>
      <c r="E250" s="5">
        <f t="shared" ca="1" si="19"/>
        <v>-40.849999999999994</v>
      </c>
      <c r="F250" t="str">
        <f ca="1">IF(H250&lt;=I250,"Starter",IF(G250&gt;=LARGE(G:G,FlexOn*LeagueInfo!$F$2),"Starter","Bench"))</f>
        <v>Bench</v>
      </c>
      <c r="G250">
        <f t="shared" ca="1" si="16"/>
        <v>61.230000000000004</v>
      </c>
      <c r="H250">
        <f t="shared" ca="1" si="17"/>
        <v>35</v>
      </c>
      <c r="I250">
        <f>IF(C250="RB",LeagueInfo!$D$4*LeagueInfo!$F$2,IF(C250="WR",LeagueInfo!$D$5*LeagueInfo!$F$2,IF(C250="TE",LeagueInfo!$D$6*LeagueInfo!$F$2,LeagueInfo!$D$3*LeagueInfo!$F$2)))</f>
        <v>12</v>
      </c>
    </row>
    <row r="251" spans="1:9" x14ac:dyDescent="0.35">
      <c r="A251">
        <f t="shared" ca="1" si="18"/>
        <v>250</v>
      </c>
      <c r="B251" t="s">
        <v>719</v>
      </c>
      <c r="C251" t="s">
        <v>32</v>
      </c>
      <c r="D251">
        <f t="shared" ca="1" si="15"/>
        <v>54.660000000000004</v>
      </c>
      <c r="E251" s="5">
        <f t="shared" ca="1" si="19"/>
        <v>-47.419999999999995</v>
      </c>
      <c r="F251" t="str">
        <f ca="1">IF(H251&lt;=I251,"Starter",IF(G251&gt;=LARGE(G:G,FlexOn*LeagueInfo!$F$2),"Starter","Bench"))</f>
        <v>Bench</v>
      </c>
      <c r="G251">
        <f t="shared" ca="1" si="16"/>
        <v>54.660000000000004</v>
      </c>
      <c r="H251">
        <f t="shared" ca="1" si="17"/>
        <v>110</v>
      </c>
      <c r="I251">
        <f>IF(C251="RB",LeagueInfo!$D$4*LeagueInfo!$F$2,IF(C251="WR",LeagueInfo!$D$5*LeagueInfo!$F$2,IF(C251="TE",LeagueInfo!$D$6*LeagueInfo!$F$2,LeagueInfo!$D$3*LeagueInfo!$F$2)))</f>
        <v>24</v>
      </c>
    </row>
    <row r="252" spans="1:9" x14ac:dyDescent="0.35">
      <c r="A252">
        <f t="shared" ca="1" si="18"/>
        <v>234</v>
      </c>
      <c r="B252" t="s">
        <v>598</v>
      </c>
      <c r="C252" t="s">
        <v>32</v>
      </c>
      <c r="D252">
        <f t="shared" ca="1" si="15"/>
        <v>60.23</v>
      </c>
      <c r="E252" s="5">
        <f t="shared" ca="1" si="19"/>
        <v>-41.85</v>
      </c>
      <c r="F252" t="str">
        <f ca="1">IF(H252&lt;=I252,"Starter",IF(G252&gt;=LARGE(G:G,FlexOn*LeagueInfo!$F$2),"Starter","Bench"))</f>
        <v>Bench</v>
      </c>
      <c r="G252">
        <f t="shared" ca="1" si="16"/>
        <v>60.23</v>
      </c>
      <c r="H252">
        <f t="shared" ca="1" si="17"/>
        <v>105</v>
      </c>
      <c r="I252">
        <f>IF(C252="RB",LeagueInfo!$D$4*LeagueInfo!$F$2,IF(C252="WR",LeagueInfo!$D$5*LeagueInfo!$F$2,IF(C252="TE",LeagueInfo!$D$6*LeagueInfo!$F$2,LeagueInfo!$D$3*LeagueInfo!$F$2)))</f>
        <v>24</v>
      </c>
    </row>
    <row r="253" spans="1:9" x14ac:dyDescent="0.35">
      <c r="A253">
        <f t="shared" ca="1" si="18"/>
        <v>276</v>
      </c>
      <c r="B253" t="s">
        <v>740</v>
      </c>
      <c r="C253" t="s">
        <v>32</v>
      </c>
      <c r="D253">
        <f t="shared" ca="1" si="15"/>
        <v>41.910000000000004</v>
      </c>
      <c r="E253" s="5">
        <f t="shared" ca="1" si="19"/>
        <v>-60.169999999999995</v>
      </c>
      <c r="F253" t="str">
        <f ca="1">IF(H253&lt;=I253,"Starter",IF(G253&gt;=LARGE(G:G,FlexOn*LeagueInfo!$F$2),"Starter","Bench"))</f>
        <v>Bench</v>
      </c>
      <c r="G253">
        <f t="shared" ca="1" si="16"/>
        <v>41.910000000000004</v>
      </c>
      <c r="H253">
        <f t="shared" ca="1" si="17"/>
        <v>124</v>
      </c>
      <c r="I253">
        <f>IF(C253="RB",LeagueInfo!$D$4*LeagueInfo!$F$2,IF(C253="WR",LeagueInfo!$D$5*LeagueInfo!$F$2,IF(C253="TE",LeagueInfo!$D$6*LeagueInfo!$F$2,LeagueInfo!$D$3*LeagueInfo!$F$2)))</f>
        <v>24</v>
      </c>
    </row>
    <row r="254" spans="1:9" x14ac:dyDescent="0.35">
      <c r="A254">
        <f t="shared" ca="1" si="18"/>
        <v>249</v>
      </c>
      <c r="B254" t="s">
        <v>575</v>
      </c>
      <c r="C254" t="s">
        <v>40</v>
      </c>
      <c r="D254">
        <f t="shared" ca="1" si="15"/>
        <v>54.7</v>
      </c>
      <c r="E254" s="5">
        <f t="shared" ca="1" si="19"/>
        <v>-47.379999999999995</v>
      </c>
      <c r="F254" t="str">
        <f ca="1">IF(H254&lt;=I254,"Starter",IF(G254&gt;=LARGE(G:G,FlexOn*LeagueInfo!$F$2),"Starter","Bench"))</f>
        <v>Bench</v>
      </c>
      <c r="G254">
        <f t="shared" ca="1" si="16"/>
        <v>54.7</v>
      </c>
      <c r="H254">
        <f t="shared" ca="1" si="17"/>
        <v>41</v>
      </c>
      <c r="I254">
        <f>IF(C254="RB",LeagueInfo!$D$4*LeagueInfo!$F$2,IF(C254="WR",LeagueInfo!$D$5*LeagueInfo!$F$2,IF(C254="TE",LeagueInfo!$D$6*LeagueInfo!$F$2,LeagueInfo!$D$3*LeagueInfo!$F$2)))</f>
        <v>12</v>
      </c>
    </row>
    <row r="255" spans="1:9" x14ac:dyDescent="0.35">
      <c r="A255">
        <f t="shared" ca="1" si="18"/>
        <v>240</v>
      </c>
      <c r="B255" t="s">
        <v>611</v>
      </c>
      <c r="C255" t="s">
        <v>32</v>
      </c>
      <c r="D255">
        <f t="shared" ref="D255:D307" ca="1" si="20">INDEX(INDIRECT($C255&amp;"!P:P"),MATCH($B255,INDIRECT($C255&amp;"!B:B"),0))</f>
        <v>57.929999999999993</v>
      </c>
      <c r="E255" s="5">
        <f t="shared" ca="1" si="19"/>
        <v>-44.150000000000006</v>
      </c>
      <c r="F255" t="str">
        <f ca="1">IF(H255&lt;=I255,"Starter",IF(G255&gt;=LARGE(G:G,FlexOn*LeagueInfo!$F$2),"Starter","Bench"))</f>
        <v>Bench</v>
      </c>
      <c r="G255">
        <f t="shared" ref="G255:G307" ca="1" si="21">IF(H255&gt;I255,D255,0)</f>
        <v>57.929999999999993</v>
      </c>
      <c r="H255">
        <f t="shared" ref="H255:H307" ca="1" si="22">INDEX(INDIRECT(""&amp;C255&amp;"!A2:A489"),MATCH(B255,INDIRECT(""&amp;C255&amp;"!B2:B489"),0))</f>
        <v>106</v>
      </c>
      <c r="I255">
        <f>IF(C255="RB",LeagueInfo!$D$4*LeagueInfo!$F$2,IF(C255="WR",LeagueInfo!$D$5*LeagueInfo!$F$2,IF(C255="TE",LeagueInfo!$D$6*LeagueInfo!$F$2,LeagueInfo!$D$3*LeagueInfo!$F$2)))</f>
        <v>24</v>
      </c>
    </row>
    <row r="256" spans="1:9" x14ac:dyDescent="0.35">
      <c r="A256">
        <f t="shared" ca="1" si="18"/>
        <v>261</v>
      </c>
      <c r="B256" t="s">
        <v>880</v>
      </c>
      <c r="C256" t="s">
        <v>25</v>
      </c>
      <c r="D256">
        <f t="shared" ca="1" si="20"/>
        <v>47.429999999999993</v>
      </c>
      <c r="E256" s="5">
        <f t="shared" ca="1" si="19"/>
        <v>-54.650000000000006</v>
      </c>
      <c r="F256" t="str">
        <f ca="1">IF(H256&lt;=I256,"Starter",IF(G256&gt;=LARGE(G:G,FlexOn*LeagueInfo!$F$2),"Starter","Bench"))</f>
        <v>Bench</v>
      </c>
      <c r="G256">
        <f t="shared" ca="1" si="21"/>
        <v>47.429999999999993</v>
      </c>
      <c r="H256">
        <f t="shared" ca="1" si="22"/>
        <v>72</v>
      </c>
      <c r="I256">
        <f>IF(C256="RB",LeagueInfo!$D$4*LeagueInfo!$F$2,IF(C256="WR",LeagueInfo!$D$5*LeagueInfo!$F$2,IF(C256="TE",LeagueInfo!$D$6*LeagueInfo!$F$2,LeagueInfo!$D$3*LeagueInfo!$F$2)))</f>
        <v>24</v>
      </c>
    </row>
    <row r="257" spans="1:9" x14ac:dyDescent="0.35">
      <c r="A257">
        <f t="shared" ca="1" si="18"/>
        <v>257</v>
      </c>
      <c r="B257" t="s">
        <v>425</v>
      </c>
      <c r="C257" t="s">
        <v>25</v>
      </c>
      <c r="D257">
        <f t="shared" ca="1" si="20"/>
        <v>51.25</v>
      </c>
      <c r="E257" s="5">
        <f t="shared" ca="1" si="19"/>
        <v>-50.83</v>
      </c>
      <c r="F257" t="str">
        <f ca="1">IF(H257&lt;=I257,"Starter",IF(G257&gt;=LARGE(G:G,FlexOn*LeagueInfo!$F$2),"Starter","Bench"))</f>
        <v>Bench</v>
      </c>
      <c r="G257">
        <f t="shared" ca="1" si="21"/>
        <v>51.25</v>
      </c>
      <c r="H257">
        <f t="shared" ca="1" si="22"/>
        <v>70</v>
      </c>
      <c r="I257">
        <f>IF(C257="RB",LeagueInfo!$D$4*LeagueInfo!$F$2,IF(C257="WR",LeagueInfo!$D$5*LeagueInfo!$F$2,IF(C257="TE",LeagueInfo!$D$6*LeagueInfo!$F$2,LeagueInfo!$D$3*LeagueInfo!$F$2)))</f>
        <v>24</v>
      </c>
    </row>
    <row r="258" spans="1:9" x14ac:dyDescent="0.35">
      <c r="A258">
        <f t="shared" ref="A258:A321" ca="1" si="23">RANK(E258,E:E)</f>
        <v>252</v>
      </c>
      <c r="B258" t="s">
        <v>350</v>
      </c>
      <c r="C258" t="s">
        <v>40</v>
      </c>
      <c r="D258">
        <f t="shared" ca="1" si="20"/>
        <v>53.52</v>
      </c>
      <c r="E258" s="5">
        <f t="shared" ref="E258:E321" ca="1" si="24">D258-LARGE(D:D,RBCount+WRCount+TECount+QBCount)</f>
        <v>-48.559999999999995</v>
      </c>
      <c r="F258" t="str">
        <f ca="1">IF(H258&lt;=I258,"Starter",IF(G258&gt;=LARGE(G:G,FlexOn*LeagueInfo!$F$2),"Starter","Bench"))</f>
        <v>Bench</v>
      </c>
      <c r="G258">
        <f t="shared" ca="1" si="21"/>
        <v>53.52</v>
      </c>
      <c r="H258">
        <f t="shared" ca="1" si="22"/>
        <v>42</v>
      </c>
      <c r="I258">
        <f>IF(C258="RB",LeagueInfo!$D$4*LeagueInfo!$F$2,IF(C258="WR",LeagueInfo!$D$5*LeagueInfo!$F$2,IF(C258="TE",LeagueInfo!$D$6*LeagueInfo!$F$2,LeagueInfo!$D$3*LeagueInfo!$F$2)))</f>
        <v>12</v>
      </c>
    </row>
    <row r="259" spans="1:9" x14ac:dyDescent="0.35">
      <c r="A259">
        <f t="shared" ca="1" si="23"/>
        <v>224</v>
      </c>
      <c r="B259" t="s">
        <v>441</v>
      </c>
      <c r="C259" t="s">
        <v>32</v>
      </c>
      <c r="D259">
        <f t="shared" ca="1" si="20"/>
        <v>64.209999999999994</v>
      </c>
      <c r="E259" s="5">
        <f t="shared" ca="1" si="24"/>
        <v>-37.870000000000005</v>
      </c>
      <c r="F259" t="str">
        <f ca="1">IF(H259&lt;=I259,"Starter",IF(G259&gt;=LARGE(G:G,FlexOn*LeagueInfo!$F$2),"Starter","Bench"))</f>
        <v>Bench</v>
      </c>
      <c r="G259">
        <f t="shared" ca="1" si="21"/>
        <v>64.209999999999994</v>
      </c>
      <c r="H259">
        <f t="shared" ca="1" si="22"/>
        <v>101</v>
      </c>
      <c r="I259">
        <f>IF(C259="RB",LeagueInfo!$D$4*LeagueInfo!$F$2,IF(C259="WR",LeagueInfo!$D$5*LeagueInfo!$F$2,IF(C259="TE",LeagueInfo!$D$6*LeagueInfo!$F$2,LeagueInfo!$D$3*LeagueInfo!$F$2)))</f>
        <v>24</v>
      </c>
    </row>
    <row r="260" spans="1:9" x14ac:dyDescent="0.35">
      <c r="A260">
        <f t="shared" ca="1" si="23"/>
        <v>236</v>
      </c>
      <c r="B260" t="s">
        <v>116</v>
      </c>
      <c r="C260" t="s">
        <v>25</v>
      </c>
      <c r="D260">
        <f t="shared" ca="1" si="20"/>
        <v>59.6</v>
      </c>
      <c r="E260" s="5">
        <f t="shared" ca="1" si="24"/>
        <v>-42.48</v>
      </c>
      <c r="F260" t="str">
        <f ca="1">IF(H260&lt;=I260,"Starter",IF(G260&gt;=LARGE(G:G,FlexOn*LeagueInfo!$F$2),"Starter","Bench"))</f>
        <v>Bench</v>
      </c>
      <c r="G260">
        <f t="shared" ca="1" si="21"/>
        <v>59.6</v>
      </c>
      <c r="H260">
        <f t="shared" ca="1" si="22"/>
        <v>63</v>
      </c>
      <c r="I260">
        <f>IF(C260="RB",LeagueInfo!$D$4*LeagueInfo!$F$2,IF(C260="WR",LeagueInfo!$D$5*LeagueInfo!$F$2,IF(C260="TE",LeagueInfo!$D$6*LeagueInfo!$F$2,LeagueInfo!$D$3*LeagueInfo!$F$2)))</f>
        <v>24</v>
      </c>
    </row>
    <row r="261" spans="1:9" x14ac:dyDescent="0.35">
      <c r="A261">
        <f t="shared" ca="1" si="23"/>
        <v>291</v>
      </c>
      <c r="B261" t="s">
        <v>949</v>
      </c>
      <c r="C261" t="s">
        <v>40</v>
      </c>
      <c r="D261">
        <f t="shared" ca="1" si="20"/>
        <v>34.450000000000003</v>
      </c>
      <c r="E261" s="5">
        <f t="shared" ca="1" si="24"/>
        <v>-67.63</v>
      </c>
      <c r="F261" t="str">
        <f ca="1">IF(H261&lt;=I261,"Starter",IF(G261&gt;=LARGE(G:G,FlexOn*LeagueInfo!$F$2),"Starter","Bench"))</f>
        <v>Bench</v>
      </c>
      <c r="G261">
        <f t="shared" ca="1" si="21"/>
        <v>34.450000000000003</v>
      </c>
      <c r="H261">
        <f t="shared" ca="1" si="22"/>
        <v>50</v>
      </c>
      <c r="I261">
        <f>IF(C261="RB",LeagueInfo!$D$4*LeagueInfo!$F$2,IF(C261="WR",LeagueInfo!$D$5*LeagueInfo!$F$2,IF(C261="TE",LeagueInfo!$D$6*LeagueInfo!$F$2,LeagueInfo!$D$3*LeagueInfo!$F$2)))</f>
        <v>12</v>
      </c>
    </row>
    <row r="262" spans="1:9" x14ac:dyDescent="0.35">
      <c r="A262">
        <f t="shared" ca="1" si="23"/>
        <v>264</v>
      </c>
      <c r="B262" t="s">
        <v>506</v>
      </c>
      <c r="C262" t="s">
        <v>32</v>
      </c>
      <c r="D262">
        <f t="shared" ca="1" si="20"/>
        <v>46.64</v>
      </c>
      <c r="E262" s="5">
        <f t="shared" ca="1" si="24"/>
        <v>-55.44</v>
      </c>
      <c r="F262" t="str">
        <f ca="1">IF(H262&lt;=I262,"Starter",IF(G262&gt;=LARGE(G:G,FlexOn*LeagueInfo!$F$2),"Starter","Bench"))</f>
        <v>Bench</v>
      </c>
      <c r="G262">
        <f t="shared" ca="1" si="21"/>
        <v>46.64</v>
      </c>
      <c r="H262">
        <f t="shared" ca="1" si="22"/>
        <v>119</v>
      </c>
      <c r="I262">
        <f>IF(C262="RB",LeagueInfo!$D$4*LeagueInfo!$F$2,IF(C262="WR",LeagueInfo!$D$5*LeagueInfo!$F$2,IF(C262="TE",LeagueInfo!$D$6*LeagueInfo!$F$2,LeagueInfo!$D$3*LeagueInfo!$F$2)))</f>
        <v>24</v>
      </c>
    </row>
    <row r="263" spans="1:9" x14ac:dyDescent="0.35">
      <c r="A263">
        <f t="shared" ca="1" si="23"/>
        <v>267</v>
      </c>
      <c r="B263" t="s">
        <v>847</v>
      </c>
      <c r="C263" t="s">
        <v>32</v>
      </c>
      <c r="D263">
        <f t="shared" ca="1" si="20"/>
        <v>45.699999999999996</v>
      </c>
      <c r="E263" s="5">
        <f t="shared" ca="1" si="24"/>
        <v>-56.38</v>
      </c>
      <c r="F263" t="str">
        <f ca="1">IF(H263&lt;=I263,"Starter",IF(G263&gt;=LARGE(G:G,FlexOn*LeagueInfo!$F$2),"Starter","Bench"))</f>
        <v>Bench</v>
      </c>
      <c r="G263">
        <f t="shared" ca="1" si="21"/>
        <v>45.699999999999996</v>
      </c>
      <c r="H263">
        <f t="shared" ca="1" si="22"/>
        <v>120</v>
      </c>
      <c r="I263">
        <f>IF(C263="RB",LeagueInfo!$D$4*LeagueInfo!$F$2,IF(C263="WR",LeagueInfo!$D$5*LeagueInfo!$F$2,IF(C263="TE",LeagueInfo!$D$6*LeagueInfo!$F$2,LeagueInfo!$D$3*LeagueInfo!$F$2)))</f>
        <v>24</v>
      </c>
    </row>
    <row r="264" spans="1:9" x14ac:dyDescent="0.35">
      <c r="A264">
        <f t="shared" ca="1" si="23"/>
        <v>270</v>
      </c>
      <c r="B264" t="s">
        <v>571</v>
      </c>
      <c r="C264" t="s">
        <v>40</v>
      </c>
      <c r="D264">
        <f t="shared" ca="1" si="20"/>
        <v>45.05</v>
      </c>
      <c r="E264" s="5">
        <f t="shared" ca="1" si="24"/>
        <v>-57.03</v>
      </c>
      <c r="F264" t="str">
        <f ca="1">IF(H264&lt;=I264,"Starter",IF(G264&gt;=LARGE(G:G,FlexOn*LeagueInfo!$F$2),"Starter","Bench"))</f>
        <v>Bench</v>
      </c>
      <c r="G264">
        <f t="shared" ca="1" si="21"/>
        <v>45.05</v>
      </c>
      <c r="H264">
        <f t="shared" ca="1" si="22"/>
        <v>44</v>
      </c>
      <c r="I264">
        <f>IF(C264="RB",LeagueInfo!$D$4*LeagueInfo!$F$2,IF(C264="WR",LeagueInfo!$D$5*LeagueInfo!$F$2,IF(C264="TE",LeagueInfo!$D$6*LeagueInfo!$F$2,LeagueInfo!$D$3*LeagueInfo!$F$2)))</f>
        <v>12</v>
      </c>
    </row>
    <row r="265" spans="1:9" x14ac:dyDescent="0.35">
      <c r="A265">
        <f t="shared" ca="1" si="23"/>
        <v>282</v>
      </c>
      <c r="B265" t="s">
        <v>873</v>
      </c>
      <c r="C265" t="s">
        <v>25</v>
      </c>
      <c r="D265">
        <f t="shared" ca="1" si="20"/>
        <v>37.69</v>
      </c>
      <c r="E265" s="5">
        <f t="shared" ca="1" si="24"/>
        <v>-64.39</v>
      </c>
      <c r="F265" t="str">
        <f ca="1">IF(H265&lt;=I265,"Starter",IF(G265&gt;=LARGE(G:G,FlexOn*LeagueInfo!$F$2),"Starter","Bench"))</f>
        <v>Bench</v>
      </c>
      <c r="G265">
        <f t="shared" ca="1" si="21"/>
        <v>37.69</v>
      </c>
      <c r="H265">
        <f t="shared" ca="1" si="22"/>
        <v>81</v>
      </c>
      <c r="I265">
        <f>IF(C265="RB",LeagueInfo!$D$4*LeagueInfo!$F$2,IF(C265="WR",LeagueInfo!$D$5*LeagueInfo!$F$2,IF(C265="TE",LeagueInfo!$D$6*LeagueInfo!$F$2,LeagueInfo!$D$3*LeagueInfo!$F$2)))</f>
        <v>24</v>
      </c>
    </row>
    <row r="266" spans="1:9" x14ac:dyDescent="0.35">
      <c r="A266">
        <f t="shared" ca="1" si="23"/>
        <v>277</v>
      </c>
      <c r="B266" t="s">
        <v>561</v>
      </c>
      <c r="C266" t="s">
        <v>32</v>
      </c>
      <c r="D266">
        <f t="shared" ca="1" si="20"/>
        <v>41.509999999999991</v>
      </c>
      <c r="E266" s="5">
        <f t="shared" ca="1" si="24"/>
        <v>-60.570000000000007</v>
      </c>
      <c r="F266" t="str">
        <f ca="1">IF(H266&lt;=I266,"Starter",IF(G266&gt;=LARGE(G:G,FlexOn*LeagueInfo!$F$2),"Starter","Bench"))</f>
        <v>Bench</v>
      </c>
      <c r="G266">
        <f t="shared" ca="1" si="21"/>
        <v>41.509999999999991</v>
      </c>
      <c r="H266">
        <f t="shared" ca="1" si="22"/>
        <v>125</v>
      </c>
      <c r="I266">
        <f>IF(C266="RB",LeagueInfo!$D$4*LeagueInfo!$F$2,IF(C266="WR",LeagueInfo!$D$5*LeagueInfo!$F$2,IF(C266="TE",LeagueInfo!$D$6*LeagueInfo!$F$2,LeagueInfo!$D$3*LeagueInfo!$F$2)))</f>
        <v>24</v>
      </c>
    </row>
    <row r="267" spans="1:9" x14ac:dyDescent="0.35">
      <c r="A267">
        <f t="shared" ca="1" si="23"/>
        <v>268</v>
      </c>
      <c r="B267" t="s">
        <v>373</v>
      </c>
      <c r="C267" t="s">
        <v>40</v>
      </c>
      <c r="D267">
        <f t="shared" ca="1" si="20"/>
        <v>45.580000000000005</v>
      </c>
      <c r="E267" s="5">
        <f t="shared" ca="1" si="24"/>
        <v>-56.499999999999993</v>
      </c>
      <c r="F267" t="str">
        <f ca="1">IF(H267&lt;=I267,"Starter",IF(G267&gt;=LARGE(G:G,FlexOn*LeagueInfo!$F$2),"Starter","Bench"))</f>
        <v>Bench</v>
      </c>
      <c r="G267">
        <f t="shared" ca="1" si="21"/>
        <v>45.580000000000005</v>
      </c>
      <c r="H267">
        <f t="shared" ca="1" si="22"/>
        <v>43</v>
      </c>
      <c r="I267">
        <f>IF(C267="RB",LeagueInfo!$D$4*LeagueInfo!$F$2,IF(C267="WR",LeagueInfo!$D$5*LeagueInfo!$F$2,IF(C267="TE",LeagueInfo!$D$6*LeagueInfo!$F$2,LeagueInfo!$D$3*LeagueInfo!$F$2)))</f>
        <v>12</v>
      </c>
    </row>
    <row r="268" spans="1:9" x14ac:dyDescent="0.35">
      <c r="A268">
        <f t="shared" ca="1" si="23"/>
        <v>248</v>
      </c>
      <c r="B268" t="s">
        <v>871</v>
      </c>
      <c r="C268" t="s">
        <v>25</v>
      </c>
      <c r="D268">
        <f t="shared" ca="1" si="20"/>
        <v>55.300000000000011</v>
      </c>
      <c r="E268" s="5">
        <f t="shared" ca="1" si="24"/>
        <v>-46.779999999999987</v>
      </c>
      <c r="F268" t="str">
        <f ca="1">IF(H268&lt;=I268,"Starter",IF(G268&gt;=LARGE(G:G,FlexOn*LeagueInfo!$F$2),"Starter","Bench"))</f>
        <v>Bench</v>
      </c>
      <c r="G268">
        <f t="shared" ca="1" si="21"/>
        <v>55.300000000000011</v>
      </c>
      <c r="H268">
        <f t="shared" ca="1" si="22"/>
        <v>67</v>
      </c>
      <c r="I268">
        <f>IF(C268="RB",LeagueInfo!$D$4*LeagueInfo!$F$2,IF(C268="WR",LeagueInfo!$D$5*LeagueInfo!$F$2,IF(C268="TE",LeagueInfo!$D$6*LeagueInfo!$F$2,LeagueInfo!$D$3*LeagueInfo!$F$2)))</f>
        <v>24</v>
      </c>
    </row>
    <row r="269" spans="1:9" x14ac:dyDescent="0.35">
      <c r="A269">
        <f t="shared" ca="1" si="23"/>
        <v>364</v>
      </c>
      <c r="B269" t="s">
        <v>1092</v>
      </c>
      <c r="C269" t="s">
        <v>25</v>
      </c>
      <c r="D269">
        <f t="shared" ca="1" si="20"/>
        <v>22.590000000000003</v>
      </c>
      <c r="E269" s="5">
        <f t="shared" ca="1" si="24"/>
        <v>-79.489999999999995</v>
      </c>
      <c r="F269" t="str">
        <f ca="1">IF(H269&lt;=I269,"Starter",IF(G269&gt;=LARGE(G:G,FlexOn*LeagueInfo!$F$2),"Starter","Bench"))</f>
        <v>Bench</v>
      </c>
      <c r="G269">
        <f t="shared" ca="1" si="21"/>
        <v>22.590000000000003</v>
      </c>
      <c r="H269">
        <f t="shared" ca="1" si="22"/>
        <v>99</v>
      </c>
      <c r="I269">
        <f>IF(C269="RB",LeagueInfo!$D$4*LeagueInfo!$F$2,IF(C269="WR",LeagueInfo!$D$5*LeagueInfo!$F$2,IF(C269="TE",LeagueInfo!$D$6*LeagueInfo!$F$2,LeagueInfo!$D$3*LeagueInfo!$F$2)))</f>
        <v>24</v>
      </c>
    </row>
    <row r="270" spans="1:9" x14ac:dyDescent="0.35">
      <c r="A270">
        <f t="shared" ca="1" si="23"/>
        <v>263</v>
      </c>
      <c r="B270" t="s">
        <v>933</v>
      </c>
      <c r="C270" t="s">
        <v>32</v>
      </c>
      <c r="D270">
        <f t="shared" ca="1" si="20"/>
        <v>47.03</v>
      </c>
      <c r="E270" s="5">
        <f t="shared" ca="1" si="24"/>
        <v>-55.05</v>
      </c>
      <c r="F270" t="str">
        <f ca="1">IF(H270&lt;=I270,"Starter",IF(G270&gt;=LARGE(G:G,FlexOn*LeagueInfo!$F$2),"Starter","Bench"))</f>
        <v>Bench</v>
      </c>
      <c r="G270">
        <f t="shared" ca="1" si="21"/>
        <v>47.03</v>
      </c>
      <c r="H270">
        <f t="shared" ca="1" si="22"/>
        <v>118</v>
      </c>
      <c r="I270">
        <f>IF(C270="RB",LeagueInfo!$D$4*LeagueInfo!$F$2,IF(C270="WR",LeagueInfo!$D$5*LeagueInfo!$F$2,IF(C270="TE",LeagueInfo!$D$6*LeagueInfo!$F$2,LeagueInfo!$D$3*LeagueInfo!$F$2)))</f>
        <v>24</v>
      </c>
    </row>
    <row r="271" spans="1:9" x14ac:dyDescent="0.35">
      <c r="A271">
        <f t="shared" ca="1" si="23"/>
        <v>281</v>
      </c>
      <c r="B271" t="s">
        <v>837</v>
      </c>
      <c r="C271" t="s">
        <v>25</v>
      </c>
      <c r="D271">
        <f t="shared" ca="1" si="20"/>
        <v>38.67</v>
      </c>
      <c r="E271" s="5">
        <f t="shared" ca="1" si="24"/>
        <v>-63.41</v>
      </c>
      <c r="F271" t="str">
        <f ca="1">IF(H271&lt;=I271,"Starter",IF(G271&gt;=LARGE(G:G,FlexOn*LeagueInfo!$F$2),"Starter","Bench"))</f>
        <v>Bench</v>
      </c>
      <c r="G271">
        <f t="shared" ca="1" si="21"/>
        <v>38.67</v>
      </c>
      <c r="H271">
        <f t="shared" ca="1" si="22"/>
        <v>80</v>
      </c>
      <c r="I271">
        <f>IF(C271="RB",LeagueInfo!$D$4*LeagueInfo!$F$2,IF(C271="WR",LeagueInfo!$D$5*LeagueInfo!$F$2,IF(C271="TE",LeagueInfo!$D$6*LeagueInfo!$F$2,LeagueInfo!$D$3*LeagueInfo!$F$2)))</f>
        <v>24</v>
      </c>
    </row>
    <row r="272" spans="1:9" x14ac:dyDescent="0.35">
      <c r="A272">
        <f t="shared" ca="1" si="23"/>
        <v>274</v>
      </c>
      <c r="B272" t="s">
        <v>760</v>
      </c>
      <c r="C272" t="s">
        <v>25</v>
      </c>
      <c r="D272">
        <f t="shared" ca="1" si="20"/>
        <v>43.930000000000007</v>
      </c>
      <c r="E272" s="5">
        <f t="shared" ca="1" si="24"/>
        <v>-58.149999999999991</v>
      </c>
      <c r="F272" t="str">
        <f ca="1">IF(H272&lt;=I272,"Starter",IF(G272&gt;=LARGE(G:G,FlexOn*LeagueInfo!$F$2),"Starter","Bench"))</f>
        <v>Bench</v>
      </c>
      <c r="G272">
        <f t="shared" ca="1" si="21"/>
        <v>43.930000000000007</v>
      </c>
      <c r="H272">
        <f t="shared" ca="1" si="22"/>
        <v>78</v>
      </c>
      <c r="I272">
        <f>IF(C272="RB",LeagueInfo!$D$4*LeagueInfo!$F$2,IF(C272="WR",LeagueInfo!$D$5*LeagueInfo!$F$2,IF(C272="TE",LeagueInfo!$D$6*LeagueInfo!$F$2,LeagueInfo!$D$3*LeagueInfo!$F$2)))</f>
        <v>24</v>
      </c>
    </row>
    <row r="273" spans="1:9" x14ac:dyDescent="0.35">
      <c r="A273">
        <f t="shared" ca="1" si="23"/>
        <v>310</v>
      </c>
      <c r="B273" t="s">
        <v>870</v>
      </c>
      <c r="C273" t="s">
        <v>25</v>
      </c>
      <c r="D273">
        <f t="shared" ca="1" si="20"/>
        <v>31.140000000000004</v>
      </c>
      <c r="E273" s="5">
        <f t="shared" ca="1" si="24"/>
        <v>-70.94</v>
      </c>
      <c r="F273" t="str">
        <f ca="1">IF(H273&lt;=I273,"Starter",IF(G273&gt;=LARGE(G:G,FlexOn*LeagueInfo!$F$2),"Starter","Bench"))</f>
        <v>Bench</v>
      </c>
      <c r="G273">
        <f t="shared" ca="1" si="21"/>
        <v>31.140000000000004</v>
      </c>
      <c r="H273">
        <f t="shared" ca="1" si="22"/>
        <v>87</v>
      </c>
      <c r="I273">
        <f>IF(C273="RB",LeagueInfo!$D$4*LeagueInfo!$F$2,IF(C273="WR",LeagueInfo!$D$5*LeagueInfo!$F$2,IF(C273="TE",LeagueInfo!$D$6*LeagueInfo!$F$2,LeagueInfo!$D$3*LeagueInfo!$F$2)))</f>
        <v>24</v>
      </c>
    </row>
    <row r="274" spans="1:9" x14ac:dyDescent="0.35">
      <c r="A274">
        <f t="shared" ca="1" si="23"/>
        <v>262</v>
      </c>
      <c r="B274" t="s">
        <v>470</v>
      </c>
      <c r="C274" t="s">
        <v>32</v>
      </c>
      <c r="D274">
        <f t="shared" ca="1" si="20"/>
        <v>47.250000000000007</v>
      </c>
      <c r="E274" s="5">
        <f t="shared" ca="1" si="24"/>
        <v>-54.829999999999991</v>
      </c>
      <c r="F274" t="str">
        <f ca="1">IF(H274&lt;=I274,"Starter",IF(G274&gt;=LARGE(G:G,FlexOn*LeagueInfo!$F$2),"Starter","Bench"))</f>
        <v>Bench</v>
      </c>
      <c r="G274">
        <f t="shared" ca="1" si="21"/>
        <v>47.250000000000007</v>
      </c>
      <c r="H274">
        <f t="shared" ca="1" si="22"/>
        <v>117</v>
      </c>
      <c r="I274">
        <f>IF(C274="RB",LeagueInfo!$D$4*LeagueInfo!$F$2,IF(C274="WR",LeagueInfo!$D$5*LeagueInfo!$F$2,IF(C274="TE",LeagueInfo!$D$6*LeagueInfo!$F$2,LeagueInfo!$D$3*LeagueInfo!$F$2)))</f>
        <v>24</v>
      </c>
    </row>
    <row r="275" spans="1:9" x14ac:dyDescent="0.35">
      <c r="A275">
        <f t="shared" ca="1" si="23"/>
        <v>279</v>
      </c>
      <c r="B275" t="s">
        <v>451</v>
      </c>
      <c r="C275" t="s">
        <v>40</v>
      </c>
      <c r="D275">
        <f t="shared" ca="1" si="20"/>
        <v>40</v>
      </c>
      <c r="E275" s="5">
        <f t="shared" ca="1" si="24"/>
        <v>-62.08</v>
      </c>
      <c r="F275" t="str">
        <f ca="1">IF(H275&lt;=I275,"Starter",IF(G275&gt;=LARGE(G:G,FlexOn*LeagueInfo!$F$2),"Starter","Bench"))</f>
        <v>Bench</v>
      </c>
      <c r="G275">
        <f t="shared" ca="1" si="21"/>
        <v>40</v>
      </c>
      <c r="H275">
        <f t="shared" ca="1" si="22"/>
        <v>45</v>
      </c>
      <c r="I275">
        <f>IF(C275="RB",LeagueInfo!$D$4*LeagueInfo!$F$2,IF(C275="WR",LeagueInfo!$D$5*LeagueInfo!$F$2,IF(C275="TE",LeagueInfo!$D$6*LeagueInfo!$F$2,LeagueInfo!$D$3*LeagueInfo!$F$2)))</f>
        <v>12</v>
      </c>
    </row>
    <row r="276" spans="1:9" x14ac:dyDescent="0.35">
      <c r="A276">
        <f t="shared" ca="1" si="23"/>
        <v>286</v>
      </c>
      <c r="B276" t="s">
        <v>572</v>
      </c>
      <c r="C276" t="s">
        <v>40</v>
      </c>
      <c r="D276">
        <f t="shared" ca="1" si="20"/>
        <v>35.880000000000003</v>
      </c>
      <c r="E276" s="5">
        <f t="shared" ca="1" si="24"/>
        <v>-66.199999999999989</v>
      </c>
      <c r="F276" t="str">
        <f ca="1">IF(H276&lt;=I276,"Starter",IF(G276&gt;=LARGE(G:G,FlexOn*LeagueInfo!$F$2),"Starter","Bench"))</f>
        <v>Bench</v>
      </c>
      <c r="G276">
        <f t="shared" ca="1" si="21"/>
        <v>35.880000000000003</v>
      </c>
      <c r="H276">
        <f t="shared" ca="1" si="22"/>
        <v>48</v>
      </c>
      <c r="I276">
        <f>IF(C276="RB",LeagueInfo!$D$4*LeagueInfo!$F$2,IF(C276="WR",LeagueInfo!$D$5*LeagueInfo!$F$2,IF(C276="TE",LeagueInfo!$D$6*LeagueInfo!$F$2,LeagueInfo!$D$3*LeagueInfo!$F$2)))</f>
        <v>12</v>
      </c>
    </row>
    <row r="277" spans="1:9" x14ac:dyDescent="0.35">
      <c r="A277">
        <f t="shared" ca="1" si="23"/>
        <v>271</v>
      </c>
      <c r="B277" t="s">
        <v>811</v>
      </c>
      <c r="C277" t="s">
        <v>25</v>
      </c>
      <c r="D277">
        <f t="shared" ca="1" si="20"/>
        <v>44.610000000000007</v>
      </c>
      <c r="E277" s="5">
        <f t="shared" ca="1" si="24"/>
        <v>-57.469999999999992</v>
      </c>
      <c r="F277" t="str">
        <f ca="1">IF(H277&lt;=I277,"Starter",IF(G277&gt;=LARGE(G:G,FlexOn*LeagueInfo!$F$2),"Starter","Bench"))</f>
        <v>Bench</v>
      </c>
      <c r="G277">
        <f t="shared" ca="1" si="21"/>
        <v>44.610000000000007</v>
      </c>
      <c r="H277">
        <f t="shared" ca="1" si="22"/>
        <v>75</v>
      </c>
      <c r="I277">
        <f>IF(C277="RB",LeagueInfo!$D$4*LeagueInfo!$F$2,IF(C277="WR",LeagueInfo!$D$5*LeagueInfo!$F$2,IF(C277="TE",LeagueInfo!$D$6*LeagueInfo!$F$2,LeagueInfo!$D$3*LeagueInfo!$F$2)))</f>
        <v>24</v>
      </c>
    </row>
    <row r="278" spans="1:9" x14ac:dyDescent="0.35">
      <c r="A278">
        <f t="shared" ca="1" si="23"/>
        <v>254</v>
      </c>
      <c r="B278" t="s">
        <v>503</v>
      </c>
      <c r="C278" t="s">
        <v>32</v>
      </c>
      <c r="D278">
        <f t="shared" ca="1" si="20"/>
        <v>52.510000000000005</v>
      </c>
      <c r="E278" s="5">
        <f t="shared" ca="1" si="24"/>
        <v>-49.569999999999993</v>
      </c>
      <c r="F278" t="str">
        <f ca="1">IF(H278&lt;=I278,"Starter",IF(G278&gt;=LARGE(G:G,FlexOn*LeagueInfo!$F$2),"Starter","Bench"))</f>
        <v>Bench</v>
      </c>
      <c r="G278">
        <f t="shared" ca="1" si="21"/>
        <v>52.510000000000005</v>
      </c>
      <c r="H278">
        <f t="shared" ca="1" si="22"/>
        <v>113</v>
      </c>
      <c r="I278">
        <f>IF(C278="RB",LeagueInfo!$D$4*LeagueInfo!$F$2,IF(C278="WR",LeagueInfo!$D$5*LeagueInfo!$F$2,IF(C278="TE",LeagueInfo!$D$6*LeagueInfo!$F$2,LeagueInfo!$D$3*LeagueInfo!$F$2)))</f>
        <v>24</v>
      </c>
    </row>
    <row r="279" spans="1:9" x14ac:dyDescent="0.35">
      <c r="A279">
        <f t="shared" ca="1" si="23"/>
        <v>278</v>
      </c>
      <c r="B279" t="s">
        <v>508</v>
      </c>
      <c r="C279" t="s">
        <v>32</v>
      </c>
      <c r="D279">
        <f t="shared" ca="1" si="20"/>
        <v>41.09</v>
      </c>
      <c r="E279" s="5">
        <f t="shared" ca="1" si="24"/>
        <v>-60.989999999999995</v>
      </c>
      <c r="F279" t="str">
        <f ca="1">IF(H279&lt;=I279,"Starter",IF(G279&gt;=LARGE(G:G,FlexOn*LeagueInfo!$F$2),"Starter","Bench"))</f>
        <v>Bench</v>
      </c>
      <c r="G279">
        <f t="shared" ca="1" si="21"/>
        <v>41.09</v>
      </c>
      <c r="H279">
        <f t="shared" ca="1" si="22"/>
        <v>126</v>
      </c>
      <c r="I279">
        <f>IF(C279="RB",LeagueInfo!$D$4*LeagueInfo!$F$2,IF(C279="WR",LeagueInfo!$D$5*LeagueInfo!$F$2,IF(C279="TE",LeagueInfo!$D$6*LeagueInfo!$F$2,LeagueInfo!$D$3*LeagueInfo!$F$2)))</f>
        <v>24</v>
      </c>
    </row>
    <row r="280" spans="1:9" x14ac:dyDescent="0.35">
      <c r="A280">
        <f t="shared" ca="1" si="23"/>
        <v>272</v>
      </c>
      <c r="B280" t="s">
        <v>707</v>
      </c>
      <c r="C280" t="s">
        <v>25</v>
      </c>
      <c r="D280">
        <f t="shared" ca="1" si="20"/>
        <v>44.27</v>
      </c>
      <c r="E280" s="5">
        <f t="shared" ca="1" si="24"/>
        <v>-57.809999999999995</v>
      </c>
      <c r="F280" t="str">
        <f ca="1">IF(H280&lt;=I280,"Starter",IF(G280&gt;=LARGE(G:G,FlexOn*LeagueInfo!$F$2),"Starter","Bench"))</f>
        <v>Bench</v>
      </c>
      <c r="G280">
        <f t="shared" ca="1" si="21"/>
        <v>44.27</v>
      </c>
      <c r="H280">
        <f t="shared" ca="1" si="22"/>
        <v>76</v>
      </c>
      <c r="I280">
        <f>IF(C280="RB",LeagueInfo!$D$4*LeagueInfo!$F$2,IF(C280="WR",LeagueInfo!$D$5*LeagueInfo!$F$2,IF(C280="TE",LeagueInfo!$D$6*LeagueInfo!$F$2,LeagueInfo!$D$3*LeagueInfo!$F$2)))</f>
        <v>24</v>
      </c>
    </row>
    <row r="281" spans="1:9" x14ac:dyDescent="0.35">
      <c r="A281">
        <f t="shared" ca="1" si="23"/>
        <v>317</v>
      </c>
      <c r="B281" t="s">
        <v>456</v>
      </c>
      <c r="C281" t="s">
        <v>40</v>
      </c>
      <c r="D281">
        <f t="shared" ca="1" si="20"/>
        <v>28.8</v>
      </c>
      <c r="E281" s="5">
        <f t="shared" ca="1" si="24"/>
        <v>-73.28</v>
      </c>
      <c r="F281" t="str">
        <f ca="1">IF(H281&lt;=I281,"Starter",IF(G281&gt;=LARGE(G:G,FlexOn*LeagueInfo!$F$2),"Starter","Bench"))</f>
        <v>Bench</v>
      </c>
      <c r="G281">
        <f t="shared" ca="1" si="21"/>
        <v>28.8</v>
      </c>
      <c r="H281">
        <f t="shared" ca="1" si="22"/>
        <v>58</v>
      </c>
      <c r="I281">
        <f>IF(C281="RB",LeagueInfo!$D$4*LeagueInfo!$F$2,IF(C281="WR",LeagueInfo!$D$5*LeagueInfo!$F$2,IF(C281="TE",LeagueInfo!$D$6*LeagueInfo!$F$2,LeagueInfo!$D$3*LeagueInfo!$F$2)))</f>
        <v>12</v>
      </c>
    </row>
    <row r="282" spans="1:9" x14ac:dyDescent="0.35">
      <c r="A282">
        <f t="shared" ca="1" si="23"/>
        <v>283</v>
      </c>
      <c r="B282" t="s">
        <v>374</v>
      </c>
      <c r="C282" t="s">
        <v>40</v>
      </c>
      <c r="D282">
        <f t="shared" ca="1" si="20"/>
        <v>36.74</v>
      </c>
      <c r="E282" s="5">
        <f t="shared" ca="1" si="24"/>
        <v>-65.34</v>
      </c>
      <c r="F282" t="str">
        <f ca="1">IF(H282&lt;=I282,"Starter",IF(G282&gt;=LARGE(G:G,FlexOn*LeagueInfo!$F$2),"Starter","Bench"))</f>
        <v>Bench</v>
      </c>
      <c r="G282">
        <f t="shared" ca="1" si="21"/>
        <v>36.74</v>
      </c>
      <c r="H282">
        <f t="shared" ca="1" si="22"/>
        <v>46</v>
      </c>
      <c r="I282">
        <f>IF(C282="RB",LeagueInfo!$D$4*LeagueInfo!$F$2,IF(C282="WR",LeagueInfo!$D$5*LeagueInfo!$F$2,IF(C282="TE",LeagueInfo!$D$6*LeagueInfo!$F$2,LeagueInfo!$D$3*LeagueInfo!$F$2)))</f>
        <v>12</v>
      </c>
    </row>
    <row r="283" spans="1:9" x14ac:dyDescent="0.35">
      <c r="A283">
        <f t="shared" ca="1" si="23"/>
        <v>292</v>
      </c>
      <c r="B283" t="s">
        <v>453</v>
      </c>
      <c r="C283" t="s">
        <v>40</v>
      </c>
      <c r="D283">
        <f t="shared" ca="1" si="20"/>
        <v>34.44</v>
      </c>
      <c r="E283" s="5">
        <f t="shared" ca="1" si="24"/>
        <v>-67.64</v>
      </c>
      <c r="F283" t="str">
        <f ca="1">IF(H283&lt;=I283,"Starter",IF(G283&gt;=LARGE(G:G,FlexOn*LeagueInfo!$F$2),"Starter","Bench"))</f>
        <v>Bench</v>
      </c>
      <c r="G283">
        <f t="shared" ca="1" si="21"/>
        <v>34.44</v>
      </c>
      <c r="H283">
        <f t="shared" ca="1" si="22"/>
        <v>51</v>
      </c>
      <c r="I283">
        <f>IF(C283="RB",LeagueInfo!$D$4*LeagueInfo!$F$2,IF(C283="WR",LeagueInfo!$D$5*LeagueInfo!$F$2,IF(C283="TE",LeagueInfo!$D$6*LeagueInfo!$F$2,LeagueInfo!$D$3*LeagueInfo!$F$2)))</f>
        <v>12</v>
      </c>
    </row>
    <row r="284" spans="1:9" x14ac:dyDescent="0.35">
      <c r="A284">
        <f t="shared" ca="1" si="23"/>
        <v>260</v>
      </c>
      <c r="B284" t="s">
        <v>500</v>
      </c>
      <c r="C284" t="s">
        <v>32</v>
      </c>
      <c r="D284">
        <f t="shared" ca="1" si="20"/>
        <v>47.98</v>
      </c>
      <c r="E284" s="5">
        <f t="shared" ca="1" si="24"/>
        <v>-54.1</v>
      </c>
      <c r="F284" t="str">
        <f ca="1">IF(H284&lt;=I284,"Starter",IF(G284&gt;=LARGE(G:G,FlexOn*LeagueInfo!$F$2),"Starter","Bench"))</f>
        <v>Bench</v>
      </c>
      <c r="G284">
        <f t="shared" ca="1" si="21"/>
        <v>47.98</v>
      </c>
      <c r="H284">
        <f t="shared" ca="1" si="22"/>
        <v>116</v>
      </c>
      <c r="I284">
        <f>IF(C284="RB",LeagueInfo!$D$4*LeagueInfo!$F$2,IF(C284="WR",LeagueInfo!$D$5*LeagueInfo!$F$2,IF(C284="TE",LeagueInfo!$D$6*LeagueInfo!$F$2,LeagueInfo!$D$3*LeagueInfo!$F$2)))</f>
        <v>24</v>
      </c>
    </row>
    <row r="285" spans="1:9" x14ac:dyDescent="0.35">
      <c r="A285">
        <f t="shared" ca="1" si="23"/>
        <v>287</v>
      </c>
      <c r="B285" t="s">
        <v>583</v>
      </c>
      <c r="C285" t="s">
        <v>26</v>
      </c>
      <c r="D285">
        <f t="shared" ca="1" si="20"/>
        <v>35.316000000000003</v>
      </c>
      <c r="E285" s="5">
        <f t="shared" ca="1" si="24"/>
        <v>-66.763999999999996</v>
      </c>
      <c r="F285" t="str">
        <f ca="1">IF(H285&lt;=I285,"Starter",IF(G285&gt;=LARGE(G:G,FlexOn*LeagueInfo!$F$2),"Starter","Bench"))</f>
        <v>Bench</v>
      </c>
      <c r="G285">
        <f t="shared" ca="1" si="21"/>
        <v>35.316000000000003</v>
      </c>
      <c r="H285">
        <f t="shared" ca="1" si="22"/>
        <v>37</v>
      </c>
      <c r="I285">
        <f>IF(C285="RB",LeagueInfo!$D$4*LeagueInfo!$F$2,IF(C285="WR",LeagueInfo!$D$5*LeagueInfo!$F$2,IF(C285="TE",LeagueInfo!$D$6*LeagueInfo!$F$2,LeagueInfo!$D$3*LeagueInfo!$F$2)))</f>
        <v>24</v>
      </c>
    </row>
    <row r="286" spans="1:9" x14ac:dyDescent="0.35">
      <c r="A286">
        <f t="shared" ca="1" si="23"/>
        <v>301</v>
      </c>
      <c r="B286" t="s">
        <v>845</v>
      </c>
      <c r="C286" t="s">
        <v>32</v>
      </c>
      <c r="D286">
        <f t="shared" ca="1" si="20"/>
        <v>32.629999999999995</v>
      </c>
      <c r="E286" s="5">
        <f t="shared" ca="1" si="24"/>
        <v>-69.45</v>
      </c>
      <c r="F286" t="str">
        <f ca="1">IF(H286&lt;=I286,"Starter",IF(G286&gt;=LARGE(G:G,FlexOn*LeagueInfo!$F$2),"Starter","Bench"))</f>
        <v>Bench</v>
      </c>
      <c r="G286">
        <f t="shared" ca="1" si="21"/>
        <v>32.629999999999995</v>
      </c>
      <c r="H286">
        <f t="shared" ca="1" si="22"/>
        <v>130</v>
      </c>
      <c r="I286">
        <f>IF(C286="RB",LeagueInfo!$D$4*LeagueInfo!$F$2,IF(C286="WR",LeagueInfo!$D$5*LeagueInfo!$F$2,IF(C286="TE",LeagueInfo!$D$6*LeagueInfo!$F$2,LeagueInfo!$D$3*LeagueInfo!$F$2)))</f>
        <v>24</v>
      </c>
    </row>
    <row r="287" spans="1:9" x14ac:dyDescent="0.35">
      <c r="A287">
        <f t="shared" ca="1" si="23"/>
        <v>293</v>
      </c>
      <c r="B287" t="s">
        <v>639</v>
      </c>
      <c r="C287" t="s">
        <v>40</v>
      </c>
      <c r="D287">
        <f t="shared" ca="1" si="20"/>
        <v>34.269999999999996</v>
      </c>
      <c r="E287" s="5">
        <f t="shared" ca="1" si="24"/>
        <v>-67.81</v>
      </c>
      <c r="F287" t="str">
        <f ca="1">IF(H287&lt;=I287,"Starter",IF(G287&gt;=LARGE(G:G,FlexOn*LeagueInfo!$F$2),"Starter","Bench"))</f>
        <v>Bench</v>
      </c>
      <c r="G287">
        <f t="shared" ca="1" si="21"/>
        <v>34.269999999999996</v>
      </c>
      <c r="H287">
        <f t="shared" ca="1" si="22"/>
        <v>52</v>
      </c>
      <c r="I287">
        <f>IF(C287="RB",LeagueInfo!$D$4*LeagueInfo!$F$2,IF(C287="WR",LeagueInfo!$D$5*LeagueInfo!$F$2,IF(C287="TE",LeagueInfo!$D$6*LeagueInfo!$F$2,LeagueInfo!$D$3*LeagueInfo!$F$2)))</f>
        <v>12</v>
      </c>
    </row>
    <row r="288" spans="1:9" x14ac:dyDescent="0.35">
      <c r="A288">
        <f t="shared" ca="1" si="23"/>
        <v>309</v>
      </c>
      <c r="B288" t="s">
        <v>879</v>
      </c>
      <c r="C288" t="s">
        <v>25</v>
      </c>
      <c r="D288">
        <f t="shared" ca="1" si="20"/>
        <v>31.35</v>
      </c>
      <c r="E288" s="5">
        <f t="shared" ca="1" si="24"/>
        <v>-70.72999999999999</v>
      </c>
      <c r="F288" t="str">
        <f ca="1">IF(H288&lt;=I288,"Starter",IF(G288&gt;=LARGE(G:G,FlexOn*LeagueInfo!$F$2),"Starter","Bench"))</f>
        <v>Bench</v>
      </c>
      <c r="G288">
        <f t="shared" ca="1" si="21"/>
        <v>31.35</v>
      </c>
      <c r="H288">
        <f t="shared" ca="1" si="22"/>
        <v>86</v>
      </c>
      <c r="I288">
        <f>IF(C288="RB",LeagueInfo!$D$4*LeagueInfo!$F$2,IF(C288="WR",LeagueInfo!$D$5*LeagueInfo!$F$2,IF(C288="TE",LeagueInfo!$D$6*LeagueInfo!$F$2,LeagueInfo!$D$3*LeagueInfo!$F$2)))</f>
        <v>24</v>
      </c>
    </row>
    <row r="289" spans="1:9" x14ac:dyDescent="0.35">
      <c r="A289">
        <f t="shared" ca="1" si="23"/>
        <v>288</v>
      </c>
      <c r="B289" t="s">
        <v>735</v>
      </c>
      <c r="C289" t="s">
        <v>25</v>
      </c>
      <c r="D289">
        <f t="shared" ca="1" si="20"/>
        <v>35.299999999999997</v>
      </c>
      <c r="E289" s="5">
        <f t="shared" ca="1" si="24"/>
        <v>-66.78</v>
      </c>
      <c r="F289" t="str">
        <f ca="1">IF(H289&lt;=I289,"Starter",IF(G289&gt;=LARGE(G:G,FlexOn*LeagueInfo!$F$2),"Starter","Bench"))</f>
        <v>Bench</v>
      </c>
      <c r="G289">
        <f t="shared" ca="1" si="21"/>
        <v>35.299999999999997</v>
      </c>
      <c r="H289">
        <f t="shared" ca="1" si="22"/>
        <v>83</v>
      </c>
      <c r="I289">
        <f>IF(C289="RB",LeagueInfo!$D$4*LeagueInfo!$F$2,IF(C289="WR",LeagueInfo!$D$5*LeagueInfo!$F$2,IF(C289="TE",LeagueInfo!$D$6*LeagueInfo!$F$2,LeagueInfo!$D$3*LeagueInfo!$F$2)))</f>
        <v>24</v>
      </c>
    </row>
    <row r="290" spans="1:9" x14ac:dyDescent="0.35">
      <c r="A290">
        <f t="shared" ca="1" si="23"/>
        <v>298</v>
      </c>
      <c r="B290" t="s">
        <v>413</v>
      </c>
      <c r="C290" t="s">
        <v>26</v>
      </c>
      <c r="D290">
        <f t="shared" ca="1" si="20"/>
        <v>33.493999999999993</v>
      </c>
      <c r="E290" s="5">
        <f t="shared" ca="1" si="24"/>
        <v>-68.586000000000013</v>
      </c>
      <c r="F290" t="str">
        <f ca="1">IF(H290&lt;=I290,"Starter",IF(G290&gt;=LARGE(G:G,FlexOn*LeagueInfo!$F$2),"Starter","Bench"))</f>
        <v>Bench</v>
      </c>
      <c r="G290">
        <f t="shared" ca="1" si="21"/>
        <v>33.493999999999993</v>
      </c>
      <c r="H290">
        <f t="shared" ca="1" si="22"/>
        <v>38</v>
      </c>
      <c r="I290">
        <f>IF(C290="RB",LeagueInfo!$D$4*LeagueInfo!$F$2,IF(C290="WR",LeagueInfo!$D$5*LeagueInfo!$F$2,IF(C290="TE",LeagueInfo!$D$6*LeagueInfo!$F$2,LeagueInfo!$D$3*LeagueInfo!$F$2)))</f>
        <v>24</v>
      </c>
    </row>
    <row r="291" spans="1:9" x14ac:dyDescent="0.35">
      <c r="A291">
        <f t="shared" ca="1" si="23"/>
        <v>289</v>
      </c>
      <c r="B291" t="s">
        <v>485</v>
      </c>
      <c r="C291" t="s">
        <v>40</v>
      </c>
      <c r="D291">
        <f t="shared" ca="1" si="20"/>
        <v>34.49</v>
      </c>
      <c r="E291" s="5">
        <f t="shared" ca="1" si="24"/>
        <v>-67.59</v>
      </c>
      <c r="F291" t="str">
        <f ca="1">IF(H291&lt;=I291,"Starter",IF(G291&gt;=LARGE(G:G,FlexOn*LeagueInfo!$F$2),"Starter","Bench"))</f>
        <v>Bench</v>
      </c>
      <c r="G291">
        <f t="shared" ca="1" si="21"/>
        <v>34.49</v>
      </c>
      <c r="H291">
        <f t="shared" ca="1" si="22"/>
        <v>49</v>
      </c>
      <c r="I291">
        <f>IF(C291="RB",LeagueInfo!$D$4*LeagueInfo!$F$2,IF(C291="WR",LeagueInfo!$D$5*LeagueInfo!$F$2,IF(C291="TE",LeagueInfo!$D$6*LeagueInfo!$F$2,LeagueInfo!$D$3*LeagueInfo!$F$2)))</f>
        <v>12</v>
      </c>
    </row>
    <row r="292" spans="1:9" x14ac:dyDescent="0.35">
      <c r="A292">
        <f t="shared" ca="1" si="23"/>
        <v>193</v>
      </c>
      <c r="B292" t="s">
        <v>701</v>
      </c>
      <c r="C292" t="s">
        <v>25</v>
      </c>
      <c r="D292">
        <f t="shared" ca="1" si="20"/>
        <v>82.72999999999999</v>
      </c>
      <c r="E292" s="5">
        <f t="shared" ca="1" si="24"/>
        <v>-19.350000000000009</v>
      </c>
      <c r="F292" t="str">
        <f ca="1">IF(H292&lt;=I292,"Starter",IF(G292&gt;=LARGE(G:G,FlexOn*LeagueInfo!$F$2),"Starter","Bench"))</f>
        <v>Bench</v>
      </c>
      <c r="G292">
        <f t="shared" ca="1" si="21"/>
        <v>82.72999999999999</v>
      </c>
      <c r="H292">
        <f t="shared" ca="1" si="22"/>
        <v>53</v>
      </c>
      <c r="I292">
        <f>IF(C292="RB",LeagueInfo!$D$4*LeagueInfo!$F$2,IF(C292="WR",LeagueInfo!$D$5*LeagueInfo!$F$2,IF(C292="TE",LeagueInfo!$D$6*LeagueInfo!$F$2,LeagueInfo!$D$3*LeagueInfo!$F$2)))</f>
        <v>24</v>
      </c>
    </row>
    <row r="293" spans="1:9" x14ac:dyDescent="0.35">
      <c r="A293">
        <f t="shared" ca="1" si="23"/>
        <v>297</v>
      </c>
      <c r="B293" t="s">
        <v>249</v>
      </c>
      <c r="C293" t="s">
        <v>32</v>
      </c>
      <c r="D293">
        <f t="shared" ca="1" si="20"/>
        <v>33.540000000000006</v>
      </c>
      <c r="E293" s="5">
        <f t="shared" ca="1" si="24"/>
        <v>-68.539999999999992</v>
      </c>
      <c r="F293" t="str">
        <f ca="1">IF(H293&lt;=I293,"Starter",IF(G293&gt;=LARGE(G:G,FlexOn*LeagueInfo!$F$2),"Starter","Bench"))</f>
        <v>Bench</v>
      </c>
      <c r="G293">
        <f t="shared" ca="1" si="21"/>
        <v>33.540000000000006</v>
      </c>
      <c r="H293">
        <f t="shared" ca="1" si="22"/>
        <v>129</v>
      </c>
      <c r="I293">
        <f>IF(C293="RB",LeagueInfo!$D$4*LeagueInfo!$F$2,IF(C293="WR",LeagueInfo!$D$5*LeagueInfo!$F$2,IF(C293="TE",LeagueInfo!$D$6*LeagueInfo!$F$2,LeagueInfo!$D$3*LeagueInfo!$F$2)))</f>
        <v>24</v>
      </c>
    </row>
    <row r="294" spans="1:9" x14ac:dyDescent="0.35">
      <c r="A294">
        <f t="shared" ca="1" si="23"/>
        <v>300</v>
      </c>
      <c r="B294" t="s">
        <v>149</v>
      </c>
      <c r="C294" t="s">
        <v>40</v>
      </c>
      <c r="D294">
        <f t="shared" ca="1" si="20"/>
        <v>33.22</v>
      </c>
      <c r="E294" s="5">
        <f t="shared" ca="1" si="24"/>
        <v>-68.86</v>
      </c>
      <c r="F294" t="str">
        <f ca="1">IF(H294&lt;=I294,"Starter",IF(G294&gt;=LARGE(G:G,FlexOn*LeagueInfo!$F$2),"Starter","Bench"))</f>
        <v>Bench</v>
      </c>
      <c r="G294">
        <f t="shared" ca="1" si="21"/>
        <v>33.22</v>
      </c>
      <c r="H294">
        <f t="shared" ca="1" si="22"/>
        <v>53</v>
      </c>
      <c r="I294">
        <f>IF(C294="RB",LeagueInfo!$D$4*LeagueInfo!$F$2,IF(C294="WR",LeagueInfo!$D$5*LeagueInfo!$F$2,IF(C294="TE",LeagueInfo!$D$6*LeagueInfo!$F$2,LeagueInfo!$D$3*LeagueInfo!$F$2)))</f>
        <v>12</v>
      </c>
    </row>
    <row r="295" spans="1:9" x14ac:dyDescent="0.35">
      <c r="A295">
        <f t="shared" ca="1" si="23"/>
        <v>305</v>
      </c>
      <c r="B295" t="s">
        <v>799</v>
      </c>
      <c r="C295" t="s">
        <v>40</v>
      </c>
      <c r="D295">
        <f t="shared" ca="1" si="20"/>
        <v>31.910000000000004</v>
      </c>
      <c r="E295" s="5">
        <f t="shared" ca="1" si="24"/>
        <v>-70.169999999999987</v>
      </c>
      <c r="F295" t="str">
        <f ca="1">IF(H295&lt;=I295,"Starter",IF(G295&gt;=LARGE(G:G,FlexOn*LeagueInfo!$F$2),"Starter","Bench"))</f>
        <v>Bench</v>
      </c>
      <c r="G295">
        <f t="shared" ca="1" si="21"/>
        <v>31.910000000000004</v>
      </c>
      <c r="H295">
        <f t="shared" ca="1" si="22"/>
        <v>56</v>
      </c>
      <c r="I295">
        <f>IF(C295="RB",LeagueInfo!$D$4*LeagueInfo!$F$2,IF(C295="WR",LeagueInfo!$D$5*LeagueInfo!$F$2,IF(C295="TE",LeagueInfo!$D$6*LeagueInfo!$F$2,LeagueInfo!$D$3*LeagueInfo!$F$2)))</f>
        <v>12</v>
      </c>
    </row>
    <row r="296" spans="1:9" x14ac:dyDescent="0.35">
      <c r="A296">
        <f t="shared" ca="1" si="23"/>
        <v>304</v>
      </c>
      <c r="B296" t="s">
        <v>649</v>
      </c>
      <c r="C296" t="s">
        <v>40</v>
      </c>
      <c r="D296">
        <f t="shared" ca="1" si="20"/>
        <v>31.920000000000005</v>
      </c>
      <c r="E296" s="5">
        <f t="shared" ca="1" si="24"/>
        <v>-70.16</v>
      </c>
      <c r="F296" t="str">
        <f ca="1">IF(H296&lt;=I296,"Starter",IF(G296&gt;=LARGE(G:G,FlexOn*LeagueInfo!$F$2),"Starter","Bench"))</f>
        <v>Bench</v>
      </c>
      <c r="G296">
        <f t="shared" ca="1" si="21"/>
        <v>31.920000000000005</v>
      </c>
      <c r="H296">
        <f t="shared" ca="1" si="22"/>
        <v>55</v>
      </c>
      <c r="I296">
        <f>IF(C296="RB",LeagueInfo!$D$4*LeagueInfo!$F$2,IF(C296="WR",LeagueInfo!$D$5*LeagueInfo!$F$2,IF(C296="TE",LeagueInfo!$D$6*LeagueInfo!$F$2,LeagueInfo!$D$3*LeagueInfo!$F$2)))</f>
        <v>12</v>
      </c>
    </row>
    <row r="297" spans="1:9" x14ac:dyDescent="0.35">
      <c r="A297">
        <f t="shared" ca="1" si="23"/>
        <v>284</v>
      </c>
      <c r="B297" t="s">
        <v>449</v>
      </c>
      <c r="C297" t="s">
        <v>40</v>
      </c>
      <c r="D297">
        <f t="shared" ca="1" si="20"/>
        <v>36.5</v>
      </c>
      <c r="E297" s="5">
        <f t="shared" ca="1" si="24"/>
        <v>-65.58</v>
      </c>
      <c r="F297" t="str">
        <f ca="1">IF(H297&lt;=I297,"Starter",IF(G297&gt;=LARGE(G:G,FlexOn*LeagueInfo!$F$2),"Starter","Bench"))</f>
        <v>Bench</v>
      </c>
      <c r="G297">
        <f t="shared" ca="1" si="21"/>
        <v>36.5</v>
      </c>
      <c r="H297">
        <f t="shared" ca="1" si="22"/>
        <v>47</v>
      </c>
      <c r="I297">
        <f>IF(C297="RB",LeagueInfo!$D$4*LeagueInfo!$F$2,IF(C297="WR",LeagueInfo!$D$5*LeagueInfo!$F$2,IF(C297="TE",LeagueInfo!$D$6*LeagueInfo!$F$2,LeagueInfo!$D$3*LeagueInfo!$F$2)))</f>
        <v>12</v>
      </c>
    </row>
    <row r="298" spans="1:9" x14ac:dyDescent="0.35">
      <c r="A298">
        <f t="shared" ca="1" si="23"/>
        <v>320</v>
      </c>
      <c r="B298" t="s">
        <v>875</v>
      </c>
      <c r="C298" t="s">
        <v>25</v>
      </c>
      <c r="D298">
        <f t="shared" ca="1" si="20"/>
        <v>28.39</v>
      </c>
      <c r="E298" s="5">
        <f t="shared" ca="1" si="24"/>
        <v>-73.69</v>
      </c>
      <c r="F298" t="str">
        <f ca="1">IF(H298&lt;=I298,"Starter",IF(G298&gt;=LARGE(G:G,FlexOn*LeagueInfo!$F$2),"Starter","Bench"))</f>
        <v>Bench</v>
      </c>
      <c r="G298">
        <f t="shared" ca="1" si="21"/>
        <v>28.39</v>
      </c>
      <c r="H298">
        <f t="shared" ca="1" si="22"/>
        <v>93</v>
      </c>
      <c r="I298">
        <f>IF(C298="RB",LeagueInfo!$D$4*LeagueInfo!$F$2,IF(C298="WR",LeagueInfo!$D$5*LeagueInfo!$F$2,IF(C298="TE",LeagueInfo!$D$6*LeagueInfo!$F$2,LeagueInfo!$D$3*LeagueInfo!$F$2)))</f>
        <v>24</v>
      </c>
    </row>
    <row r="299" spans="1:9" x14ac:dyDescent="0.35">
      <c r="A299">
        <f t="shared" ca="1" si="23"/>
        <v>324</v>
      </c>
      <c r="B299" t="s">
        <v>878</v>
      </c>
      <c r="C299" t="s">
        <v>25</v>
      </c>
      <c r="D299">
        <f t="shared" ca="1" si="20"/>
        <v>27.76</v>
      </c>
      <c r="E299" s="5">
        <f t="shared" ca="1" si="24"/>
        <v>-74.319999999999993</v>
      </c>
      <c r="F299" t="str">
        <f ca="1">IF(H299&lt;=I299,"Starter",IF(G299&gt;=LARGE(G:G,FlexOn*LeagueInfo!$F$2),"Starter","Bench"))</f>
        <v>Bench</v>
      </c>
      <c r="G299">
        <f t="shared" ca="1" si="21"/>
        <v>27.76</v>
      </c>
      <c r="H299">
        <f t="shared" ca="1" si="22"/>
        <v>94</v>
      </c>
      <c r="I299">
        <f>IF(C299="RB",LeagueInfo!$D$4*LeagueInfo!$F$2,IF(C299="WR",LeagueInfo!$D$5*LeagueInfo!$F$2,IF(C299="TE",LeagueInfo!$D$6*LeagueInfo!$F$2,LeagueInfo!$D$3*LeagueInfo!$F$2)))</f>
        <v>24</v>
      </c>
    </row>
    <row r="300" spans="1:9" x14ac:dyDescent="0.35">
      <c r="A300">
        <f t="shared" ca="1" si="23"/>
        <v>299</v>
      </c>
      <c r="B300" t="s">
        <v>415</v>
      </c>
      <c r="C300" t="s">
        <v>26</v>
      </c>
      <c r="D300">
        <f t="shared" ca="1" si="20"/>
        <v>33.396000000000001</v>
      </c>
      <c r="E300" s="5">
        <f t="shared" ca="1" si="24"/>
        <v>-68.683999999999997</v>
      </c>
      <c r="F300" t="str">
        <f ca="1">IF(H300&lt;=I300,"Starter",IF(G300&gt;=LARGE(G:G,FlexOn*LeagueInfo!$F$2),"Starter","Bench"))</f>
        <v>Bench</v>
      </c>
      <c r="G300">
        <f t="shared" ca="1" si="21"/>
        <v>33.396000000000001</v>
      </c>
      <c r="H300">
        <f t="shared" ca="1" si="22"/>
        <v>39</v>
      </c>
      <c r="I300">
        <f>IF(C300="RB",LeagueInfo!$D$4*LeagueInfo!$F$2,IF(C300="WR",LeagueInfo!$D$5*LeagueInfo!$F$2,IF(C300="TE",LeagueInfo!$D$6*LeagueInfo!$F$2,LeagueInfo!$D$3*LeagueInfo!$F$2)))</f>
        <v>24</v>
      </c>
    </row>
    <row r="301" spans="1:9" x14ac:dyDescent="0.35">
      <c r="A301">
        <f t="shared" ca="1" si="23"/>
        <v>303</v>
      </c>
      <c r="B301" t="s">
        <v>457</v>
      </c>
      <c r="C301" t="s">
        <v>40</v>
      </c>
      <c r="D301">
        <f t="shared" ca="1" si="20"/>
        <v>32.409999999999997</v>
      </c>
      <c r="E301" s="5">
        <f t="shared" ca="1" si="24"/>
        <v>-69.67</v>
      </c>
      <c r="F301" t="str">
        <f ca="1">IF(H301&lt;=I301,"Starter",IF(G301&gt;=LARGE(G:G,FlexOn*LeagueInfo!$F$2),"Starter","Bench"))</f>
        <v>Bench</v>
      </c>
      <c r="G301">
        <f t="shared" ca="1" si="21"/>
        <v>32.409999999999997</v>
      </c>
      <c r="H301">
        <f t="shared" ca="1" si="22"/>
        <v>54</v>
      </c>
      <c r="I301">
        <f>IF(C301="RB",LeagueInfo!$D$4*LeagueInfo!$F$2,IF(C301="WR",LeagueInfo!$D$5*LeagueInfo!$F$2,IF(C301="TE",LeagueInfo!$D$6*LeagueInfo!$F$2,LeagueInfo!$D$3*LeagueInfo!$F$2)))</f>
        <v>12</v>
      </c>
    </row>
    <row r="302" spans="1:9" x14ac:dyDescent="0.35">
      <c r="A302">
        <f t="shared" ca="1" si="23"/>
        <v>316</v>
      </c>
      <c r="B302" t="s">
        <v>927</v>
      </c>
      <c r="C302" t="s">
        <v>32</v>
      </c>
      <c r="D302">
        <f t="shared" ca="1" si="20"/>
        <v>29.22</v>
      </c>
      <c r="E302" s="5">
        <f t="shared" ca="1" si="24"/>
        <v>-72.86</v>
      </c>
      <c r="F302" t="str">
        <f ca="1">IF(H302&lt;=I302,"Starter",IF(G302&gt;=LARGE(G:G,FlexOn*LeagueInfo!$F$2),"Starter","Bench"))</f>
        <v>Bench</v>
      </c>
      <c r="G302">
        <f t="shared" ca="1" si="21"/>
        <v>29.22</v>
      </c>
      <c r="H302">
        <f t="shared" ca="1" si="22"/>
        <v>139</v>
      </c>
      <c r="I302">
        <f>IF(C302="RB",LeagueInfo!$D$4*LeagueInfo!$F$2,IF(C302="WR",LeagueInfo!$D$5*LeagueInfo!$F$2,IF(C302="TE",LeagueInfo!$D$6*LeagueInfo!$F$2,LeagueInfo!$D$3*LeagueInfo!$F$2)))</f>
        <v>24</v>
      </c>
    </row>
    <row r="303" spans="1:9" x14ac:dyDescent="0.35">
      <c r="A303">
        <f t="shared" ca="1" si="23"/>
        <v>319</v>
      </c>
      <c r="B303" t="s">
        <v>417</v>
      </c>
      <c r="C303" t="s">
        <v>26</v>
      </c>
      <c r="D303">
        <f t="shared" ca="1" si="20"/>
        <v>28.57</v>
      </c>
      <c r="E303" s="5">
        <f t="shared" ca="1" si="24"/>
        <v>-73.509999999999991</v>
      </c>
      <c r="F303" t="str">
        <f ca="1">IF(H303&lt;=I303,"Starter",IF(G303&gt;=LARGE(G:G,FlexOn*LeagueInfo!$F$2),"Starter","Bench"))</f>
        <v>Bench</v>
      </c>
      <c r="G303">
        <f t="shared" ca="1" si="21"/>
        <v>28.57</v>
      </c>
      <c r="H303">
        <f t="shared" ca="1" si="22"/>
        <v>40</v>
      </c>
      <c r="I303">
        <f>IF(C303="RB",LeagueInfo!$D$4*LeagueInfo!$F$2,IF(C303="WR",LeagueInfo!$D$5*LeagueInfo!$F$2,IF(C303="TE",LeagueInfo!$D$6*LeagueInfo!$F$2,LeagueInfo!$D$3*LeagueInfo!$F$2)))</f>
        <v>24</v>
      </c>
    </row>
    <row r="304" spans="1:9" x14ac:dyDescent="0.35">
      <c r="A304">
        <f t="shared" ca="1" si="23"/>
        <v>296</v>
      </c>
      <c r="B304" t="s">
        <v>720</v>
      </c>
      <c r="C304" t="s">
        <v>25</v>
      </c>
      <c r="D304">
        <f t="shared" ca="1" si="20"/>
        <v>33.770000000000003</v>
      </c>
      <c r="E304" s="5">
        <f t="shared" ca="1" si="24"/>
        <v>-68.31</v>
      </c>
      <c r="F304" t="str">
        <f ca="1">IF(H304&lt;=I304,"Starter",IF(G304&gt;=LARGE(G:G,FlexOn*LeagueInfo!$F$2),"Starter","Bench"))</f>
        <v>Bench</v>
      </c>
      <c r="G304">
        <f t="shared" ca="1" si="21"/>
        <v>33.770000000000003</v>
      </c>
      <c r="H304">
        <f t="shared" ca="1" si="22"/>
        <v>85</v>
      </c>
      <c r="I304">
        <f>IF(C304="RB",LeagueInfo!$D$4*LeagueInfo!$F$2,IF(C304="WR",LeagueInfo!$D$5*LeagueInfo!$F$2,IF(C304="TE",LeagueInfo!$D$6*LeagueInfo!$F$2,LeagueInfo!$D$3*LeagueInfo!$F$2)))</f>
        <v>24</v>
      </c>
    </row>
    <row r="305" spans="1:9" x14ac:dyDescent="0.35">
      <c r="A305">
        <f t="shared" ca="1" si="23"/>
        <v>280</v>
      </c>
      <c r="B305" t="s">
        <v>877</v>
      </c>
      <c r="C305" t="s">
        <v>25</v>
      </c>
      <c r="D305">
        <f t="shared" ca="1" si="20"/>
        <v>39.43</v>
      </c>
      <c r="E305" s="5">
        <f t="shared" ca="1" si="24"/>
        <v>-62.65</v>
      </c>
      <c r="F305" t="str">
        <f ca="1">IF(H305&lt;=I305,"Starter",IF(G305&gt;=LARGE(G:G,FlexOn*LeagueInfo!$F$2),"Starter","Bench"))</f>
        <v>Bench</v>
      </c>
      <c r="G305">
        <f t="shared" ca="1" si="21"/>
        <v>39.43</v>
      </c>
      <c r="H305">
        <f t="shared" ca="1" si="22"/>
        <v>79</v>
      </c>
      <c r="I305">
        <f>IF(C305="RB",LeagueInfo!$D$4*LeagueInfo!$F$2,IF(C305="WR",LeagueInfo!$D$5*LeagueInfo!$F$2,IF(C305="TE",LeagueInfo!$D$6*LeagueInfo!$F$2,LeagueInfo!$D$3*LeagueInfo!$F$2)))</f>
        <v>24</v>
      </c>
    </row>
    <row r="306" spans="1:9" x14ac:dyDescent="0.35">
      <c r="A306">
        <f t="shared" ca="1" si="23"/>
        <v>323</v>
      </c>
      <c r="B306" t="s">
        <v>1095</v>
      </c>
      <c r="C306" t="s">
        <v>32</v>
      </c>
      <c r="D306">
        <f t="shared" ca="1" si="20"/>
        <v>28.1</v>
      </c>
      <c r="E306" s="5">
        <f t="shared" ca="1" si="24"/>
        <v>-73.97999999999999</v>
      </c>
      <c r="F306" t="str">
        <f ca="1">IF(H306&lt;=I306,"Starter",IF(G306&gt;=LARGE(G:G,FlexOn*LeagueInfo!$F$2),"Starter","Bench"))</f>
        <v>Bench</v>
      </c>
      <c r="G306">
        <f t="shared" ca="1" si="21"/>
        <v>28.1</v>
      </c>
      <c r="H306">
        <f t="shared" ca="1" si="22"/>
        <v>142</v>
      </c>
      <c r="I306">
        <f>IF(C306="RB",LeagueInfo!$D$4*LeagueInfo!$F$2,IF(C306="WR",LeagueInfo!$D$5*LeagueInfo!$F$2,IF(C306="TE",LeagueInfo!$D$6*LeagueInfo!$F$2,LeagueInfo!$D$3*LeagueInfo!$F$2)))</f>
        <v>24</v>
      </c>
    </row>
    <row r="307" spans="1:9" x14ac:dyDescent="0.35">
      <c r="A307">
        <f t="shared" ca="1" si="23"/>
        <v>312</v>
      </c>
      <c r="B307" t="s">
        <v>929</v>
      </c>
      <c r="C307" t="s">
        <v>32</v>
      </c>
      <c r="D307">
        <f t="shared" ca="1" si="20"/>
        <v>29.93</v>
      </c>
      <c r="E307" s="5">
        <f t="shared" ca="1" si="24"/>
        <v>-72.150000000000006</v>
      </c>
      <c r="F307" t="str">
        <f ca="1">IF(H307&lt;=I307,"Starter",IF(G307&gt;=LARGE(G:G,FlexOn*LeagueInfo!$F$2),"Starter","Bench"))</f>
        <v>Bench</v>
      </c>
      <c r="G307">
        <f t="shared" ca="1" si="21"/>
        <v>29.93</v>
      </c>
      <c r="H307">
        <f t="shared" ca="1" si="22"/>
        <v>136</v>
      </c>
      <c r="I307">
        <f>IF(C307="RB",LeagueInfo!$D$4*LeagueInfo!$F$2,IF(C307="WR",LeagueInfo!$D$5*LeagueInfo!$F$2,IF(C307="TE",LeagueInfo!$D$6*LeagueInfo!$F$2,LeagueInfo!$D$3*LeagueInfo!$F$2)))</f>
        <v>24</v>
      </c>
    </row>
    <row r="308" spans="1:9" x14ac:dyDescent="0.35">
      <c r="A308">
        <f t="shared" ca="1" si="23"/>
        <v>273</v>
      </c>
      <c r="B308" t="s">
        <v>781</v>
      </c>
      <c r="C308" t="s">
        <v>25</v>
      </c>
      <c r="D308">
        <f t="shared" ref="D308:D360" ca="1" si="25">INDEX(INDIRECT($C308&amp;"!P:P"),MATCH($B308,INDIRECT($C308&amp;"!B:B"),0))</f>
        <v>44.1</v>
      </c>
      <c r="E308" s="5">
        <f t="shared" ca="1" si="24"/>
        <v>-57.98</v>
      </c>
      <c r="F308" t="str">
        <f ca="1">IF(H308&lt;=I308,"Starter",IF(G308&gt;=LARGE(G:G,FlexOn*LeagueInfo!$F$2),"Starter","Bench"))</f>
        <v>Bench</v>
      </c>
      <c r="G308">
        <f t="shared" ref="G308:G360" ca="1" si="26">IF(H308&gt;I308,D308,0)</f>
        <v>44.1</v>
      </c>
      <c r="H308">
        <f t="shared" ref="H308:H360" ca="1" si="27">INDEX(INDIRECT(""&amp;C308&amp;"!A2:A489"),MATCH(B308,INDIRECT(""&amp;C308&amp;"!B2:B489"),0))</f>
        <v>77</v>
      </c>
      <c r="I308">
        <f>IF(C308="RB",LeagueInfo!$D$4*LeagueInfo!$F$2,IF(C308="WR",LeagueInfo!$D$5*LeagueInfo!$F$2,IF(C308="TE",LeagueInfo!$D$6*LeagueInfo!$F$2,LeagueInfo!$D$3*LeagueInfo!$F$2)))</f>
        <v>24</v>
      </c>
    </row>
    <row r="309" spans="1:9" x14ac:dyDescent="0.35">
      <c r="A309">
        <f t="shared" ca="1" si="23"/>
        <v>306</v>
      </c>
      <c r="B309" t="s">
        <v>367</v>
      </c>
      <c r="C309" t="s">
        <v>32</v>
      </c>
      <c r="D309">
        <f t="shared" ca="1" si="25"/>
        <v>31.860000000000003</v>
      </c>
      <c r="E309" s="5">
        <f t="shared" ca="1" si="24"/>
        <v>-70.22</v>
      </c>
      <c r="F309" t="str">
        <f ca="1">IF(H309&lt;=I309,"Starter",IF(G309&gt;=LARGE(G:G,FlexOn*LeagueInfo!$F$2),"Starter","Bench"))</f>
        <v>Bench</v>
      </c>
      <c r="G309">
        <f t="shared" ca="1" si="26"/>
        <v>31.860000000000003</v>
      </c>
      <c r="H309">
        <f t="shared" ca="1" si="27"/>
        <v>132</v>
      </c>
      <c r="I309">
        <f>IF(C309="RB",LeagueInfo!$D$4*LeagueInfo!$F$2,IF(C309="WR",LeagueInfo!$D$5*LeagueInfo!$F$2,IF(C309="TE",LeagueInfo!$D$6*LeagueInfo!$F$2,LeagueInfo!$D$3*LeagueInfo!$F$2)))</f>
        <v>24</v>
      </c>
    </row>
    <row r="310" spans="1:9" x14ac:dyDescent="0.35">
      <c r="A310">
        <f t="shared" ca="1" si="23"/>
        <v>290</v>
      </c>
      <c r="B310" t="s">
        <v>606</v>
      </c>
      <c r="C310" t="s">
        <v>32</v>
      </c>
      <c r="D310">
        <f t="shared" ca="1" si="25"/>
        <v>34.47</v>
      </c>
      <c r="E310" s="5">
        <f t="shared" ca="1" si="24"/>
        <v>-67.61</v>
      </c>
      <c r="F310" t="str">
        <f ca="1">IF(H310&lt;=I310,"Starter",IF(G310&gt;=LARGE(G:G,FlexOn*LeagueInfo!$F$2),"Starter","Bench"))</f>
        <v>Bench</v>
      </c>
      <c r="G310">
        <f t="shared" ca="1" si="26"/>
        <v>34.47</v>
      </c>
      <c r="H310">
        <f t="shared" ca="1" si="27"/>
        <v>127</v>
      </c>
      <c r="I310">
        <f>IF(C310="RB",LeagueInfo!$D$4*LeagueInfo!$F$2,IF(C310="WR",LeagueInfo!$D$5*LeagueInfo!$F$2,IF(C310="TE",LeagueInfo!$D$6*LeagueInfo!$F$2,LeagueInfo!$D$3*LeagueInfo!$F$2)))</f>
        <v>24</v>
      </c>
    </row>
    <row r="311" spans="1:9" x14ac:dyDescent="0.35">
      <c r="A311">
        <f t="shared" ca="1" si="23"/>
        <v>269</v>
      </c>
      <c r="B311" t="s">
        <v>442</v>
      </c>
      <c r="C311" t="s">
        <v>32</v>
      </c>
      <c r="D311">
        <f t="shared" ca="1" si="25"/>
        <v>45.36999999999999</v>
      </c>
      <c r="E311" s="5">
        <f t="shared" ca="1" si="24"/>
        <v>-56.710000000000008</v>
      </c>
      <c r="F311" t="str">
        <f ca="1">IF(H311&lt;=I311,"Starter",IF(G311&gt;=LARGE(G:G,FlexOn*LeagueInfo!$F$2),"Starter","Bench"))</f>
        <v>Bench</v>
      </c>
      <c r="G311">
        <f t="shared" ca="1" si="26"/>
        <v>45.36999999999999</v>
      </c>
      <c r="H311">
        <f t="shared" ca="1" si="27"/>
        <v>121</v>
      </c>
      <c r="I311">
        <f>IF(C311="RB",LeagueInfo!$D$4*LeagueInfo!$F$2,IF(C311="WR",LeagueInfo!$D$5*LeagueInfo!$F$2,IF(C311="TE",LeagueInfo!$D$6*LeagueInfo!$F$2,LeagueInfo!$D$3*LeagueInfo!$F$2)))</f>
        <v>24</v>
      </c>
    </row>
    <row r="312" spans="1:9" x14ac:dyDescent="0.35">
      <c r="A312">
        <f t="shared" ca="1" si="23"/>
        <v>285</v>
      </c>
      <c r="B312" t="s">
        <v>244</v>
      </c>
      <c r="C312" t="s">
        <v>25</v>
      </c>
      <c r="D312">
        <f t="shared" ca="1" si="25"/>
        <v>36.22999999999999</v>
      </c>
      <c r="E312" s="5">
        <f t="shared" ca="1" si="24"/>
        <v>-65.850000000000009</v>
      </c>
      <c r="F312" t="str">
        <f ca="1">IF(H312&lt;=I312,"Starter",IF(G312&gt;=LARGE(G:G,FlexOn*LeagueInfo!$F$2),"Starter","Bench"))</f>
        <v>Bench</v>
      </c>
      <c r="G312">
        <f t="shared" ca="1" si="26"/>
        <v>36.22999999999999</v>
      </c>
      <c r="H312">
        <f t="shared" ca="1" si="27"/>
        <v>82</v>
      </c>
      <c r="I312">
        <f>IF(C312="RB",LeagueInfo!$D$4*LeagueInfo!$F$2,IF(C312="WR",LeagueInfo!$D$5*LeagueInfo!$F$2,IF(C312="TE",LeagueInfo!$D$6*LeagueInfo!$F$2,LeagueInfo!$D$3*LeagueInfo!$F$2)))</f>
        <v>24</v>
      </c>
    </row>
    <row r="313" spans="1:9" x14ac:dyDescent="0.35">
      <c r="A313">
        <f t="shared" ca="1" si="23"/>
        <v>321</v>
      </c>
      <c r="B313" t="s">
        <v>439</v>
      </c>
      <c r="C313" t="s">
        <v>32</v>
      </c>
      <c r="D313">
        <f t="shared" ca="1" si="25"/>
        <v>28.349999999999998</v>
      </c>
      <c r="E313" s="5">
        <f t="shared" ca="1" si="24"/>
        <v>-73.73</v>
      </c>
      <c r="F313" t="str">
        <f ca="1">IF(H313&lt;=I313,"Starter",IF(G313&gt;=LARGE(G:G,FlexOn*LeagueInfo!$F$2),"Starter","Bench"))</f>
        <v>Bench</v>
      </c>
      <c r="G313">
        <f t="shared" ca="1" si="26"/>
        <v>28.349999999999998</v>
      </c>
      <c r="H313">
        <f t="shared" ca="1" si="27"/>
        <v>141</v>
      </c>
      <c r="I313">
        <f>IF(C313="RB",LeagueInfo!$D$4*LeagueInfo!$F$2,IF(C313="WR",LeagueInfo!$D$5*LeagueInfo!$F$2,IF(C313="TE",LeagueInfo!$D$6*LeagueInfo!$F$2,LeagueInfo!$D$3*LeagueInfo!$F$2)))</f>
        <v>24</v>
      </c>
    </row>
    <row r="314" spans="1:9" x14ac:dyDescent="0.35">
      <c r="A314">
        <f t="shared" ca="1" si="23"/>
        <v>330</v>
      </c>
      <c r="B314" t="s">
        <v>1010</v>
      </c>
      <c r="C314" t="s">
        <v>32</v>
      </c>
      <c r="D314">
        <f t="shared" ca="1" si="25"/>
        <v>26.200000000000003</v>
      </c>
      <c r="E314" s="5">
        <f t="shared" ca="1" si="24"/>
        <v>-75.88</v>
      </c>
      <c r="F314" t="str">
        <f ca="1">IF(H314&lt;=I314,"Starter",IF(G314&gt;=LARGE(G:G,FlexOn*LeagueInfo!$F$2),"Starter","Bench"))</f>
        <v>Bench</v>
      </c>
      <c r="G314">
        <f t="shared" ca="1" si="26"/>
        <v>26.200000000000003</v>
      </c>
      <c r="H314">
        <f t="shared" ca="1" si="27"/>
        <v>146</v>
      </c>
      <c r="I314">
        <f>IF(C314="RB",LeagueInfo!$D$4*LeagueInfo!$F$2,IF(C314="WR",LeagueInfo!$D$5*LeagueInfo!$F$2,IF(C314="TE",LeagueInfo!$D$6*LeagueInfo!$F$2,LeagueInfo!$D$3*LeagueInfo!$F$2)))</f>
        <v>24</v>
      </c>
    </row>
    <row r="315" spans="1:9" x14ac:dyDescent="0.35">
      <c r="A315">
        <f t="shared" ca="1" si="23"/>
        <v>335</v>
      </c>
      <c r="B315" t="s">
        <v>934</v>
      </c>
      <c r="C315" t="s">
        <v>32</v>
      </c>
      <c r="D315">
        <f t="shared" ca="1" si="25"/>
        <v>25.549999999999997</v>
      </c>
      <c r="E315" s="5">
        <f t="shared" ca="1" si="24"/>
        <v>-76.53</v>
      </c>
      <c r="F315" t="str">
        <f ca="1">IF(H315&lt;=I315,"Starter",IF(G315&gt;=LARGE(G:G,FlexOn*LeagueInfo!$F$2),"Starter","Bench"))</f>
        <v>Bench</v>
      </c>
      <c r="G315">
        <f t="shared" ca="1" si="26"/>
        <v>25.549999999999997</v>
      </c>
      <c r="H315">
        <f t="shared" ca="1" si="27"/>
        <v>148</v>
      </c>
      <c r="I315">
        <f>IF(C315="RB",LeagueInfo!$D$4*LeagueInfo!$F$2,IF(C315="WR",LeagueInfo!$D$5*LeagueInfo!$F$2,IF(C315="TE",LeagueInfo!$D$6*LeagueInfo!$F$2,LeagueInfo!$D$3*LeagueInfo!$F$2)))</f>
        <v>24</v>
      </c>
    </row>
    <row r="316" spans="1:9" x14ac:dyDescent="0.35">
      <c r="A316">
        <f t="shared" ca="1" si="23"/>
        <v>328</v>
      </c>
      <c r="B316" t="s">
        <v>928</v>
      </c>
      <c r="C316" t="s">
        <v>32</v>
      </c>
      <c r="D316">
        <f t="shared" ca="1" si="25"/>
        <v>26.71</v>
      </c>
      <c r="E316" s="5">
        <f t="shared" ca="1" si="24"/>
        <v>-75.37</v>
      </c>
      <c r="F316" t="str">
        <f ca="1">IF(H316&lt;=I316,"Starter",IF(G316&gt;=LARGE(G:G,FlexOn*LeagueInfo!$F$2),"Starter","Bench"))</f>
        <v>Bench</v>
      </c>
      <c r="G316">
        <f t="shared" ca="1" si="26"/>
        <v>26.71</v>
      </c>
      <c r="H316">
        <f t="shared" ca="1" si="27"/>
        <v>145</v>
      </c>
      <c r="I316">
        <f>IF(C316="RB",LeagueInfo!$D$4*LeagueInfo!$F$2,IF(C316="WR",LeagueInfo!$D$5*LeagueInfo!$F$2,IF(C316="TE",LeagueInfo!$D$6*LeagueInfo!$F$2,LeagueInfo!$D$3*LeagueInfo!$F$2)))</f>
        <v>24</v>
      </c>
    </row>
    <row r="317" spans="1:9" x14ac:dyDescent="0.35">
      <c r="A317">
        <f t="shared" ca="1" si="23"/>
        <v>340</v>
      </c>
      <c r="B317" t="s">
        <v>455</v>
      </c>
      <c r="C317" t="s">
        <v>40</v>
      </c>
      <c r="D317">
        <f t="shared" ca="1" si="25"/>
        <v>24.7</v>
      </c>
      <c r="E317" s="5">
        <f t="shared" ca="1" si="24"/>
        <v>-77.38</v>
      </c>
      <c r="F317" t="str">
        <f ca="1">IF(H317&lt;=I317,"Starter",IF(G317&gt;=LARGE(G:G,FlexOn*LeagueInfo!$F$2),"Starter","Bench"))</f>
        <v>Bench</v>
      </c>
      <c r="G317">
        <f t="shared" ca="1" si="26"/>
        <v>24.7</v>
      </c>
      <c r="H317">
        <f t="shared" ca="1" si="27"/>
        <v>62</v>
      </c>
      <c r="I317">
        <f>IF(C317="RB",LeagueInfo!$D$4*LeagueInfo!$F$2,IF(C317="WR",LeagueInfo!$D$5*LeagueInfo!$F$2,IF(C317="TE",LeagueInfo!$D$6*LeagueInfo!$F$2,LeagueInfo!$D$3*LeagueInfo!$F$2)))</f>
        <v>12</v>
      </c>
    </row>
    <row r="318" spans="1:9" x14ac:dyDescent="0.35">
      <c r="A318">
        <f t="shared" ca="1" si="23"/>
        <v>355</v>
      </c>
      <c r="B318" t="s">
        <v>800</v>
      </c>
      <c r="C318" t="s">
        <v>40</v>
      </c>
      <c r="D318">
        <f t="shared" ca="1" si="25"/>
        <v>23.35</v>
      </c>
      <c r="E318" s="5">
        <f t="shared" ca="1" si="24"/>
        <v>-78.72999999999999</v>
      </c>
      <c r="F318" t="str">
        <f ca="1">IF(H318&lt;=I318,"Starter",IF(G318&gt;=LARGE(G:G,FlexOn*LeagueInfo!$F$2),"Starter","Bench"))</f>
        <v>Bench</v>
      </c>
      <c r="G318">
        <f t="shared" ca="1" si="26"/>
        <v>23.35</v>
      </c>
      <c r="H318">
        <f t="shared" ca="1" si="27"/>
        <v>69</v>
      </c>
      <c r="I318">
        <f>IF(C318="RB",LeagueInfo!$D$4*LeagueInfo!$F$2,IF(C318="WR",LeagueInfo!$D$5*LeagueInfo!$F$2,IF(C318="TE",LeagueInfo!$D$6*LeagueInfo!$F$2,LeagueInfo!$D$3*LeagueInfo!$F$2)))</f>
        <v>12</v>
      </c>
    </row>
    <row r="319" spans="1:9" x14ac:dyDescent="0.35">
      <c r="A319">
        <f t="shared" ca="1" si="23"/>
        <v>427</v>
      </c>
      <c r="B319" t="s">
        <v>1088</v>
      </c>
      <c r="C319" t="s">
        <v>32</v>
      </c>
      <c r="D319">
        <f t="shared" ca="1" si="25"/>
        <v>16.059999999999999</v>
      </c>
      <c r="E319" s="5">
        <f t="shared" ca="1" si="24"/>
        <v>-86.02</v>
      </c>
      <c r="F319" t="str">
        <f ca="1">IF(H319&lt;=I319,"Starter",IF(G319&gt;=LARGE(G:G,FlexOn*LeagueInfo!$F$2),"Starter","Bench"))</f>
        <v>Bench</v>
      </c>
      <c r="G319">
        <f t="shared" ca="1" si="26"/>
        <v>16.059999999999999</v>
      </c>
      <c r="H319">
        <f t="shared" ca="1" si="27"/>
        <v>177</v>
      </c>
      <c r="I319">
        <f>IF(C319="RB",LeagueInfo!$D$4*LeagueInfo!$F$2,IF(C319="WR",LeagueInfo!$D$5*LeagueInfo!$F$2,IF(C319="TE",LeagueInfo!$D$6*LeagueInfo!$F$2,LeagueInfo!$D$3*LeagueInfo!$F$2)))</f>
        <v>24</v>
      </c>
    </row>
    <row r="320" spans="1:9" x14ac:dyDescent="0.35">
      <c r="A320">
        <f t="shared" ca="1" si="23"/>
        <v>349</v>
      </c>
      <c r="B320" t="s">
        <v>737</v>
      </c>
      <c r="C320" t="s">
        <v>40</v>
      </c>
      <c r="D320">
        <f t="shared" ca="1" si="25"/>
        <v>24.120000000000005</v>
      </c>
      <c r="E320" s="5">
        <f t="shared" ca="1" si="24"/>
        <v>-77.959999999999994</v>
      </c>
      <c r="F320" t="str">
        <f ca="1">IF(H320&lt;=I320,"Starter",IF(G320&gt;=LARGE(G:G,FlexOn*LeagueInfo!$F$2),"Starter","Bench"))</f>
        <v>Bench</v>
      </c>
      <c r="G320">
        <f t="shared" ca="1" si="26"/>
        <v>24.120000000000005</v>
      </c>
      <c r="H320">
        <f t="shared" ca="1" si="27"/>
        <v>67</v>
      </c>
      <c r="I320">
        <f>IF(C320="RB",LeagueInfo!$D$4*LeagueInfo!$F$2,IF(C320="WR",LeagueInfo!$D$5*LeagueInfo!$F$2,IF(C320="TE",LeagueInfo!$D$6*LeagueInfo!$F$2,LeagueInfo!$D$3*LeagueInfo!$F$2)))</f>
        <v>12</v>
      </c>
    </row>
    <row r="321" spans="1:9" x14ac:dyDescent="0.35">
      <c r="A321">
        <f t="shared" ca="1" si="23"/>
        <v>343</v>
      </c>
      <c r="B321" t="s">
        <v>640</v>
      </c>
      <c r="C321" t="s">
        <v>40</v>
      </c>
      <c r="D321">
        <f t="shared" ca="1" si="25"/>
        <v>24.56</v>
      </c>
      <c r="E321" s="5">
        <f t="shared" ca="1" si="24"/>
        <v>-77.52</v>
      </c>
      <c r="F321" t="str">
        <f ca="1">IF(H321&lt;=I321,"Starter",IF(G321&gt;=LARGE(G:G,FlexOn*LeagueInfo!$F$2),"Starter","Bench"))</f>
        <v>Bench</v>
      </c>
      <c r="G321">
        <f t="shared" ca="1" si="26"/>
        <v>24.56</v>
      </c>
      <c r="H321">
        <f t="shared" ca="1" si="27"/>
        <v>63</v>
      </c>
      <c r="I321">
        <f>IF(C321="RB",LeagueInfo!$D$4*LeagueInfo!$F$2,IF(C321="WR",LeagueInfo!$D$5*LeagueInfo!$F$2,IF(C321="TE",LeagueInfo!$D$6*LeagueInfo!$F$2,LeagueInfo!$D$3*LeagueInfo!$F$2)))</f>
        <v>12</v>
      </c>
    </row>
    <row r="322" spans="1:9" x14ac:dyDescent="0.35">
      <c r="A322">
        <f t="shared" ref="A322:A385" ca="1" si="28">RANK(E322,E:E)</f>
        <v>334</v>
      </c>
      <c r="B322" t="s">
        <v>857</v>
      </c>
      <c r="C322" t="s">
        <v>26</v>
      </c>
      <c r="D322">
        <f t="shared" ca="1" si="25"/>
        <v>25.573999999999998</v>
      </c>
      <c r="E322" s="5">
        <f t="shared" ref="E322:E385" ca="1" si="29">D322-LARGE(D:D,RBCount+WRCount+TECount+QBCount)</f>
        <v>-76.506</v>
      </c>
      <c r="F322" t="str">
        <f ca="1">IF(H322&lt;=I322,"Starter",IF(G322&gt;=LARGE(G:G,FlexOn*LeagueInfo!$F$2),"Starter","Bench"))</f>
        <v>Bench</v>
      </c>
      <c r="G322">
        <f t="shared" ca="1" si="26"/>
        <v>25.573999999999998</v>
      </c>
      <c r="H322">
        <f t="shared" ca="1" si="27"/>
        <v>42</v>
      </c>
      <c r="I322">
        <f>IF(C322="RB",LeagueInfo!$D$4*LeagueInfo!$F$2,IF(C322="WR",LeagueInfo!$D$5*LeagueInfo!$F$2,IF(C322="TE",LeagueInfo!$D$6*LeagueInfo!$F$2,LeagueInfo!$D$3*LeagueInfo!$F$2)))</f>
        <v>24</v>
      </c>
    </row>
    <row r="323" spans="1:9" x14ac:dyDescent="0.35">
      <c r="A323">
        <f t="shared" ca="1" si="28"/>
        <v>336</v>
      </c>
      <c r="B323" t="s">
        <v>1011</v>
      </c>
      <c r="C323" t="s">
        <v>32</v>
      </c>
      <c r="D323">
        <f t="shared" ca="1" si="25"/>
        <v>25.5</v>
      </c>
      <c r="E323" s="5">
        <f t="shared" ca="1" si="29"/>
        <v>-76.58</v>
      </c>
      <c r="F323" t="str">
        <f ca="1">IF(H323&lt;=I323,"Starter",IF(G323&gt;=LARGE(G:G,FlexOn*LeagueInfo!$F$2),"Starter","Bench"))</f>
        <v>Bench</v>
      </c>
      <c r="G323">
        <f t="shared" ca="1" si="26"/>
        <v>25.5</v>
      </c>
      <c r="H323">
        <f t="shared" ca="1" si="27"/>
        <v>149</v>
      </c>
      <c r="I323">
        <f>IF(C323="RB",LeagueInfo!$D$4*LeagueInfo!$F$2,IF(C323="WR",LeagueInfo!$D$5*LeagueInfo!$F$2,IF(C323="TE",LeagueInfo!$D$6*LeagueInfo!$F$2,LeagueInfo!$D$3*LeagueInfo!$F$2)))</f>
        <v>24</v>
      </c>
    </row>
    <row r="324" spans="1:9" x14ac:dyDescent="0.35">
      <c r="A324">
        <f t="shared" ca="1" si="28"/>
        <v>494</v>
      </c>
      <c r="B324" t="s">
        <v>356</v>
      </c>
      <c r="C324" t="s">
        <v>25</v>
      </c>
      <c r="D324">
        <f t="shared" ca="1" si="25"/>
        <v>7.1899999999999995</v>
      </c>
      <c r="E324" s="5">
        <f t="shared" ca="1" si="29"/>
        <v>-94.89</v>
      </c>
      <c r="F324" t="str">
        <f ca="1">IF(H324&lt;=I324,"Starter",IF(G324&gt;=LARGE(G:G,FlexOn*LeagueInfo!$F$2),"Starter","Bench"))</f>
        <v>Bench</v>
      </c>
      <c r="G324">
        <f t="shared" ca="1" si="26"/>
        <v>7.1899999999999995</v>
      </c>
      <c r="H324">
        <f t="shared" ca="1" si="27"/>
        <v>125</v>
      </c>
      <c r="I324">
        <f>IF(C324="RB",LeagueInfo!$D$4*LeagueInfo!$F$2,IF(C324="WR",LeagueInfo!$D$5*LeagueInfo!$F$2,IF(C324="TE",LeagueInfo!$D$6*LeagueInfo!$F$2,LeagueInfo!$D$3*LeagueInfo!$F$2)))</f>
        <v>24</v>
      </c>
    </row>
    <row r="325" spans="1:9" x14ac:dyDescent="0.35">
      <c r="A325">
        <f t="shared" ca="1" si="28"/>
        <v>325</v>
      </c>
      <c r="B325" t="s">
        <v>365</v>
      </c>
      <c r="C325" t="s">
        <v>32</v>
      </c>
      <c r="D325">
        <f t="shared" ca="1" si="25"/>
        <v>27.75</v>
      </c>
      <c r="E325" s="5">
        <f t="shared" ca="1" si="29"/>
        <v>-74.33</v>
      </c>
      <c r="F325" t="str">
        <f ca="1">IF(H325&lt;=I325,"Starter",IF(G325&gt;=LARGE(G:G,FlexOn*LeagueInfo!$F$2),"Starter","Bench"))</f>
        <v>Bench</v>
      </c>
      <c r="G325">
        <f t="shared" ca="1" si="26"/>
        <v>27.75</v>
      </c>
      <c r="H325">
        <f t="shared" ca="1" si="27"/>
        <v>143</v>
      </c>
      <c r="I325">
        <f>IF(C325="RB",LeagueInfo!$D$4*LeagueInfo!$F$2,IF(C325="WR",LeagueInfo!$D$5*LeagueInfo!$F$2,IF(C325="TE",LeagueInfo!$D$6*LeagueInfo!$F$2,LeagueInfo!$D$3*LeagueInfo!$F$2)))</f>
        <v>24</v>
      </c>
    </row>
    <row r="326" spans="1:9" x14ac:dyDescent="0.35">
      <c r="A326">
        <f t="shared" ca="1" si="28"/>
        <v>342</v>
      </c>
      <c r="B326" t="s">
        <v>1080</v>
      </c>
      <c r="C326" t="s">
        <v>32</v>
      </c>
      <c r="D326">
        <f t="shared" ca="1" si="25"/>
        <v>24.6</v>
      </c>
      <c r="E326" s="5">
        <f t="shared" ca="1" si="29"/>
        <v>-77.47999999999999</v>
      </c>
      <c r="F326" t="str">
        <f ca="1">IF(H326&lt;=I326,"Starter",IF(G326&gt;=LARGE(G:G,FlexOn*LeagueInfo!$F$2),"Starter","Bench"))</f>
        <v>Bench</v>
      </c>
      <c r="G326">
        <f t="shared" ca="1" si="26"/>
        <v>24.6</v>
      </c>
      <c r="H326">
        <f t="shared" ca="1" si="27"/>
        <v>151</v>
      </c>
      <c r="I326">
        <f>IF(C326="RB",LeagueInfo!$D$4*LeagueInfo!$F$2,IF(C326="WR",LeagueInfo!$D$5*LeagueInfo!$F$2,IF(C326="TE",LeagueInfo!$D$6*LeagueInfo!$F$2,LeagueInfo!$D$3*LeagueInfo!$F$2)))</f>
        <v>24</v>
      </c>
    </row>
    <row r="327" spans="1:9" x14ac:dyDescent="0.35">
      <c r="A327">
        <f t="shared" ca="1" si="28"/>
        <v>339</v>
      </c>
      <c r="B327" t="s">
        <v>836</v>
      </c>
      <c r="C327" t="s">
        <v>26</v>
      </c>
      <c r="D327">
        <f t="shared" ca="1" si="25"/>
        <v>24.874000000000002</v>
      </c>
      <c r="E327" s="5">
        <f t="shared" ca="1" si="29"/>
        <v>-77.205999999999989</v>
      </c>
      <c r="F327" t="str">
        <f ca="1">IF(H327&lt;=I327,"Starter",IF(G327&gt;=LARGE(G:G,FlexOn*LeagueInfo!$F$2),"Starter","Bench"))</f>
        <v>Bench</v>
      </c>
      <c r="G327">
        <f t="shared" ca="1" si="26"/>
        <v>24.874000000000002</v>
      </c>
      <c r="H327">
        <f t="shared" ca="1" si="27"/>
        <v>43</v>
      </c>
      <c r="I327">
        <f>IF(C327="RB",LeagueInfo!$D$4*LeagueInfo!$F$2,IF(C327="WR",LeagueInfo!$D$5*LeagueInfo!$F$2,IF(C327="TE",LeagueInfo!$D$6*LeagueInfo!$F$2,LeagueInfo!$D$3*LeagueInfo!$F$2)))</f>
        <v>24</v>
      </c>
    </row>
    <row r="328" spans="1:9" x14ac:dyDescent="0.35">
      <c r="A328">
        <f t="shared" ca="1" si="28"/>
        <v>311</v>
      </c>
      <c r="B328" t="s">
        <v>231</v>
      </c>
      <c r="C328" t="s">
        <v>25</v>
      </c>
      <c r="D328">
        <f t="shared" ca="1" si="25"/>
        <v>30.93</v>
      </c>
      <c r="E328" s="5">
        <f t="shared" ca="1" si="29"/>
        <v>-71.150000000000006</v>
      </c>
      <c r="F328" t="str">
        <f ca="1">IF(H328&lt;=I328,"Starter",IF(G328&gt;=LARGE(G:G,FlexOn*LeagueInfo!$F$2),"Starter","Bench"))</f>
        <v>Bench</v>
      </c>
      <c r="G328">
        <f t="shared" ca="1" si="26"/>
        <v>30.93</v>
      </c>
      <c r="H328">
        <f t="shared" ca="1" si="27"/>
        <v>88</v>
      </c>
      <c r="I328">
        <f>IF(C328="RB",LeagueInfo!$D$4*LeagueInfo!$F$2,IF(C328="WR",LeagueInfo!$D$5*LeagueInfo!$F$2,IF(C328="TE",LeagueInfo!$D$6*LeagueInfo!$F$2,LeagueInfo!$D$3*LeagueInfo!$F$2)))</f>
        <v>24</v>
      </c>
    </row>
    <row r="329" spans="1:9" x14ac:dyDescent="0.35">
      <c r="A329">
        <f t="shared" ca="1" si="28"/>
        <v>346</v>
      </c>
      <c r="B329" t="s">
        <v>1001</v>
      </c>
      <c r="C329" t="s">
        <v>40</v>
      </c>
      <c r="D329">
        <f t="shared" ca="1" si="25"/>
        <v>24.4</v>
      </c>
      <c r="E329" s="5">
        <f t="shared" ca="1" si="29"/>
        <v>-77.680000000000007</v>
      </c>
      <c r="F329" t="str">
        <f ca="1">IF(H329&lt;=I329,"Starter",IF(G329&gt;=LARGE(G:G,FlexOn*LeagueInfo!$F$2),"Starter","Bench"))</f>
        <v>Bench</v>
      </c>
      <c r="G329">
        <f t="shared" ca="1" si="26"/>
        <v>24.4</v>
      </c>
      <c r="H329">
        <f t="shared" ca="1" si="27"/>
        <v>65</v>
      </c>
      <c r="I329">
        <f>IF(C329="RB",LeagueInfo!$D$4*LeagueInfo!$F$2,IF(C329="WR",LeagueInfo!$D$5*LeagueInfo!$F$2,IF(C329="TE",LeagueInfo!$D$6*LeagueInfo!$F$2,LeagueInfo!$D$3*LeagueInfo!$F$2)))</f>
        <v>12</v>
      </c>
    </row>
    <row r="330" spans="1:9" x14ac:dyDescent="0.35">
      <c r="A330">
        <f t="shared" ca="1" si="28"/>
        <v>372</v>
      </c>
      <c r="B330" t="s">
        <v>476</v>
      </c>
      <c r="C330" t="s">
        <v>25</v>
      </c>
      <c r="D330">
        <f t="shared" ca="1" si="25"/>
        <v>21.460000000000004</v>
      </c>
      <c r="E330" s="5">
        <f t="shared" ca="1" si="29"/>
        <v>-80.61999999999999</v>
      </c>
      <c r="F330" t="str">
        <f ca="1">IF(H330&lt;=I330,"Starter",IF(G330&gt;=LARGE(G:G,FlexOn*LeagueInfo!$F$2),"Starter","Bench"))</f>
        <v>Bench</v>
      </c>
      <c r="G330">
        <f t="shared" ca="1" si="26"/>
        <v>21.460000000000004</v>
      </c>
      <c r="H330">
        <f t="shared" ca="1" si="27"/>
        <v>101</v>
      </c>
      <c r="I330">
        <f>IF(C330="RB",LeagueInfo!$D$4*LeagueInfo!$F$2,IF(C330="WR",LeagueInfo!$D$5*LeagueInfo!$F$2,IF(C330="TE",LeagueInfo!$D$6*LeagueInfo!$F$2,LeagueInfo!$D$3*LeagueInfo!$F$2)))</f>
        <v>24</v>
      </c>
    </row>
    <row r="331" spans="1:9" x14ac:dyDescent="0.35">
      <c r="A331">
        <f t="shared" ca="1" si="28"/>
        <v>368</v>
      </c>
      <c r="B331" t="s">
        <v>108</v>
      </c>
      <c r="C331" t="s">
        <v>32</v>
      </c>
      <c r="D331">
        <f t="shared" ca="1" si="25"/>
        <v>22.029999999999998</v>
      </c>
      <c r="E331" s="5">
        <f t="shared" ca="1" si="29"/>
        <v>-80.05</v>
      </c>
      <c r="F331" t="str">
        <f ca="1">IF(H331&lt;=I331,"Starter",IF(G331&gt;=LARGE(G:G,FlexOn*LeagueInfo!$F$2),"Starter","Bench"))</f>
        <v>Bench</v>
      </c>
      <c r="G331">
        <f t="shared" ca="1" si="26"/>
        <v>22.029999999999998</v>
      </c>
      <c r="H331">
        <f t="shared" ca="1" si="27"/>
        <v>161</v>
      </c>
      <c r="I331">
        <f>IF(C331="RB",LeagueInfo!$D$4*LeagueInfo!$F$2,IF(C331="WR",LeagueInfo!$D$5*LeagueInfo!$F$2,IF(C331="TE",LeagueInfo!$D$6*LeagueInfo!$F$2,LeagueInfo!$D$3*LeagueInfo!$F$2)))</f>
        <v>24</v>
      </c>
    </row>
    <row r="332" spans="1:9" x14ac:dyDescent="0.35">
      <c r="A332">
        <f t="shared" ca="1" si="28"/>
        <v>351</v>
      </c>
      <c r="B332" t="s">
        <v>844</v>
      </c>
      <c r="C332" t="s">
        <v>40</v>
      </c>
      <c r="D332">
        <f t="shared" ca="1" si="25"/>
        <v>23.840000000000003</v>
      </c>
      <c r="E332" s="5">
        <f t="shared" ca="1" si="29"/>
        <v>-78.239999999999995</v>
      </c>
      <c r="F332" t="str">
        <f ca="1">IF(H332&lt;=I332,"Starter",IF(G332&gt;=LARGE(G:G,FlexOn*LeagueInfo!$F$2),"Starter","Bench"))</f>
        <v>Bench</v>
      </c>
      <c r="G332">
        <f t="shared" ca="1" si="26"/>
        <v>23.840000000000003</v>
      </c>
      <c r="H332">
        <f t="shared" ca="1" si="27"/>
        <v>68</v>
      </c>
      <c r="I332">
        <f>IF(C332="RB",LeagueInfo!$D$4*LeagueInfo!$F$2,IF(C332="WR",LeagueInfo!$D$5*LeagueInfo!$F$2,IF(C332="TE",LeagueInfo!$D$6*LeagueInfo!$F$2,LeagueInfo!$D$3*LeagueInfo!$F$2)))</f>
        <v>12</v>
      </c>
    </row>
    <row r="333" spans="1:9" x14ac:dyDescent="0.35">
      <c r="A333">
        <f t="shared" ca="1" si="28"/>
        <v>402</v>
      </c>
      <c r="B333" t="s">
        <v>943</v>
      </c>
      <c r="C333" t="s">
        <v>40</v>
      </c>
      <c r="D333">
        <f t="shared" ca="1" si="25"/>
        <v>18.990000000000002</v>
      </c>
      <c r="E333" s="5">
        <f t="shared" ca="1" si="29"/>
        <v>-83.09</v>
      </c>
      <c r="F333" t="str">
        <f ca="1">IF(H333&lt;=I333,"Starter",IF(G333&gt;=LARGE(G:G,FlexOn*LeagueInfo!$F$2),"Starter","Bench"))</f>
        <v>Bench</v>
      </c>
      <c r="G333">
        <f t="shared" ca="1" si="26"/>
        <v>18.990000000000002</v>
      </c>
      <c r="H333">
        <f t="shared" ca="1" si="27"/>
        <v>85</v>
      </c>
      <c r="I333">
        <f>IF(C333="RB",LeagueInfo!$D$4*LeagueInfo!$F$2,IF(C333="WR",LeagueInfo!$D$5*LeagueInfo!$F$2,IF(C333="TE",LeagueInfo!$D$6*LeagueInfo!$F$2,LeagueInfo!$D$3*LeagueInfo!$F$2)))</f>
        <v>12</v>
      </c>
    </row>
    <row r="334" spans="1:9" x14ac:dyDescent="0.35">
      <c r="A334">
        <f t="shared" ca="1" si="28"/>
        <v>347</v>
      </c>
      <c r="B334" t="s">
        <v>941</v>
      </c>
      <c r="C334" t="s">
        <v>40</v>
      </c>
      <c r="D334">
        <f t="shared" ca="1" si="25"/>
        <v>24.25</v>
      </c>
      <c r="E334" s="5">
        <f t="shared" ca="1" si="29"/>
        <v>-77.83</v>
      </c>
      <c r="F334" t="str">
        <f ca="1">IF(H334&lt;=I334,"Starter",IF(G334&gt;=LARGE(G:G,FlexOn*LeagueInfo!$F$2),"Starter","Bench"))</f>
        <v>Bench</v>
      </c>
      <c r="G334">
        <f t="shared" ca="1" si="26"/>
        <v>24.25</v>
      </c>
      <c r="H334">
        <f t="shared" ca="1" si="27"/>
        <v>66</v>
      </c>
      <c r="I334">
        <f>IF(C334="RB",LeagueInfo!$D$4*LeagueInfo!$F$2,IF(C334="WR",LeagueInfo!$D$5*LeagueInfo!$F$2,IF(C334="TE",LeagueInfo!$D$6*LeagueInfo!$F$2,LeagueInfo!$D$3*LeagueInfo!$F$2)))</f>
        <v>12</v>
      </c>
    </row>
    <row r="335" spans="1:9" x14ac:dyDescent="0.35">
      <c r="A335">
        <f t="shared" ca="1" si="28"/>
        <v>375</v>
      </c>
      <c r="B335" t="s">
        <v>946</v>
      </c>
      <c r="C335" t="s">
        <v>40</v>
      </c>
      <c r="D335">
        <f t="shared" ca="1" si="25"/>
        <v>20.990000000000002</v>
      </c>
      <c r="E335" s="5">
        <f t="shared" ca="1" si="29"/>
        <v>-81.09</v>
      </c>
      <c r="F335" t="str">
        <f ca="1">IF(H335&lt;=I335,"Starter",IF(G335&gt;=LARGE(G:G,FlexOn*LeagueInfo!$F$2),"Starter","Bench"))</f>
        <v>Bench</v>
      </c>
      <c r="G335">
        <f t="shared" ca="1" si="26"/>
        <v>20.990000000000002</v>
      </c>
      <c r="H335">
        <f t="shared" ca="1" si="27"/>
        <v>77</v>
      </c>
      <c r="I335">
        <f>IF(C335="RB",LeagueInfo!$D$4*LeagueInfo!$F$2,IF(C335="WR",LeagueInfo!$D$5*LeagueInfo!$F$2,IF(C335="TE",LeagueInfo!$D$6*LeagueInfo!$F$2,LeagueInfo!$D$3*LeagueInfo!$F$2)))</f>
        <v>12</v>
      </c>
    </row>
    <row r="336" spans="1:9" x14ac:dyDescent="0.35">
      <c r="A336">
        <f t="shared" ca="1" si="28"/>
        <v>348</v>
      </c>
      <c r="B336" t="s">
        <v>1012</v>
      </c>
      <c r="C336" t="s">
        <v>32</v>
      </c>
      <c r="D336">
        <f t="shared" ca="1" si="25"/>
        <v>24.200000000000003</v>
      </c>
      <c r="E336" s="5">
        <f t="shared" ca="1" si="29"/>
        <v>-77.88</v>
      </c>
      <c r="F336" t="str">
        <f ca="1">IF(H336&lt;=I336,"Starter",IF(G336&gt;=LARGE(G:G,FlexOn*LeagueInfo!$F$2),"Starter","Bench"))</f>
        <v>Bench</v>
      </c>
      <c r="G336">
        <f t="shared" ca="1" si="26"/>
        <v>24.200000000000003</v>
      </c>
      <c r="H336">
        <f t="shared" ca="1" si="27"/>
        <v>153</v>
      </c>
      <c r="I336">
        <f>IF(C336="RB",LeagueInfo!$D$4*LeagueInfo!$F$2,IF(C336="WR",LeagueInfo!$D$5*LeagueInfo!$F$2,IF(C336="TE",LeagueInfo!$D$6*LeagueInfo!$F$2,LeagueInfo!$D$3*LeagueInfo!$F$2)))</f>
        <v>24</v>
      </c>
    </row>
    <row r="337" spans="1:9" x14ac:dyDescent="0.35">
      <c r="A337">
        <f t="shared" ca="1" si="28"/>
        <v>390</v>
      </c>
      <c r="B337" t="s">
        <v>1079</v>
      </c>
      <c r="C337" t="s">
        <v>32</v>
      </c>
      <c r="D337">
        <f t="shared" ca="1" si="25"/>
        <v>19.73</v>
      </c>
      <c r="E337" s="5">
        <f t="shared" ca="1" si="29"/>
        <v>-82.35</v>
      </c>
      <c r="F337" t="str">
        <f ca="1">IF(H337&lt;=I337,"Starter",IF(G337&gt;=LARGE(G:G,FlexOn*LeagueInfo!$F$2),"Starter","Bench"))</f>
        <v>Bench</v>
      </c>
      <c r="G337">
        <f t="shared" ca="1" si="26"/>
        <v>19.73</v>
      </c>
      <c r="H337">
        <f t="shared" ca="1" si="27"/>
        <v>165</v>
      </c>
      <c r="I337">
        <f>IF(C337="RB",LeagueInfo!$D$4*LeagueInfo!$F$2,IF(C337="WR",LeagueInfo!$D$5*LeagueInfo!$F$2,IF(C337="TE",LeagueInfo!$D$6*LeagueInfo!$F$2,LeagueInfo!$D$3*LeagueInfo!$F$2)))</f>
        <v>24</v>
      </c>
    </row>
    <row r="338" spans="1:9" x14ac:dyDescent="0.35">
      <c r="A338">
        <f t="shared" ca="1" si="28"/>
        <v>353</v>
      </c>
      <c r="B338" t="s">
        <v>1097</v>
      </c>
      <c r="C338" t="s">
        <v>32</v>
      </c>
      <c r="D338">
        <f t="shared" ca="1" si="25"/>
        <v>23.700000000000003</v>
      </c>
      <c r="E338" s="5">
        <f t="shared" ca="1" si="29"/>
        <v>-78.38</v>
      </c>
      <c r="F338" t="str">
        <f ca="1">IF(H338&lt;=I338,"Starter",IF(G338&gt;=LARGE(G:G,FlexOn*LeagueInfo!$F$2),"Starter","Bench"))</f>
        <v>Bench</v>
      </c>
      <c r="G338">
        <f t="shared" ca="1" si="26"/>
        <v>23.700000000000003</v>
      </c>
      <c r="H338">
        <f t="shared" ca="1" si="27"/>
        <v>156</v>
      </c>
      <c r="I338">
        <f>IF(C338="RB",LeagueInfo!$D$4*LeagueInfo!$F$2,IF(C338="WR",LeagueInfo!$D$5*LeagueInfo!$F$2,IF(C338="TE",LeagueInfo!$D$6*LeagueInfo!$F$2,LeagueInfo!$D$3*LeagueInfo!$F$2)))</f>
        <v>24</v>
      </c>
    </row>
    <row r="339" spans="1:9" x14ac:dyDescent="0.35">
      <c r="A339">
        <f t="shared" ca="1" si="28"/>
        <v>350</v>
      </c>
      <c r="B339" t="s">
        <v>1089</v>
      </c>
      <c r="C339" t="s">
        <v>32</v>
      </c>
      <c r="D339">
        <f t="shared" ca="1" si="25"/>
        <v>24</v>
      </c>
      <c r="E339" s="5">
        <f t="shared" ca="1" si="29"/>
        <v>-78.08</v>
      </c>
      <c r="F339" t="str">
        <f ca="1">IF(H339&lt;=I339,"Starter",IF(G339&gt;=LARGE(G:G,FlexOn*LeagueInfo!$F$2),"Starter","Bench"))</f>
        <v>Bench</v>
      </c>
      <c r="G339">
        <f t="shared" ca="1" si="26"/>
        <v>24</v>
      </c>
      <c r="H339">
        <f t="shared" ca="1" si="27"/>
        <v>154</v>
      </c>
      <c r="I339">
        <f>IF(C339="RB",LeagueInfo!$D$4*LeagueInfo!$F$2,IF(C339="WR",LeagueInfo!$D$5*LeagueInfo!$F$2,IF(C339="TE",LeagueInfo!$D$6*LeagueInfo!$F$2,LeagueInfo!$D$3*LeagueInfo!$F$2)))</f>
        <v>24</v>
      </c>
    </row>
    <row r="340" spans="1:9" x14ac:dyDescent="0.35">
      <c r="A340">
        <f t="shared" ca="1" si="28"/>
        <v>352</v>
      </c>
      <c r="B340" t="s">
        <v>930</v>
      </c>
      <c r="C340" t="s">
        <v>32</v>
      </c>
      <c r="D340">
        <f t="shared" ca="1" si="25"/>
        <v>23.759999999999998</v>
      </c>
      <c r="E340" s="5">
        <f t="shared" ca="1" si="29"/>
        <v>-78.319999999999993</v>
      </c>
      <c r="F340" t="str">
        <f ca="1">IF(H340&lt;=I340,"Starter",IF(G340&gt;=LARGE(G:G,FlexOn*LeagueInfo!$F$2),"Starter","Bench"))</f>
        <v>Bench</v>
      </c>
      <c r="G340">
        <f t="shared" ca="1" si="26"/>
        <v>23.759999999999998</v>
      </c>
      <c r="H340">
        <f t="shared" ca="1" si="27"/>
        <v>155</v>
      </c>
      <c r="I340">
        <f>IF(C340="RB",LeagueInfo!$D$4*LeagueInfo!$F$2,IF(C340="WR",LeagueInfo!$D$5*LeagueInfo!$F$2,IF(C340="TE",LeagueInfo!$D$6*LeagueInfo!$F$2,LeagueInfo!$D$3*LeagueInfo!$F$2)))</f>
        <v>24</v>
      </c>
    </row>
    <row r="341" spans="1:9" x14ac:dyDescent="0.35">
      <c r="A341">
        <f t="shared" ca="1" si="28"/>
        <v>429</v>
      </c>
      <c r="B341" t="s">
        <v>704</v>
      </c>
      <c r="C341" t="s">
        <v>40</v>
      </c>
      <c r="D341">
        <f t="shared" ca="1" si="25"/>
        <v>15.86</v>
      </c>
      <c r="E341" s="5">
        <f t="shared" ca="1" si="29"/>
        <v>-86.22</v>
      </c>
      <c r="F341" t="str">
        <f ca="1">IF(H341&lt;=I341,"Starter",IF(G341&gt;=LARGE(G:G,FlexOn*LeagueInfo!$F$2),"Starter","Bench"))</f>
        <v>Bench</v>
      </c>
      <c r="G341">
        <f t="shared" ca="1" si="26"/>
        <v>15.86</v>
      </c>
      <c r="H341">
        <f t="shared" ca="1" si="27"/>
        <v>92</v>
      </c>
      <c r="I341">
        <f>IF(C341="RB",LeagueInfo!$D$4*LeagueInfo!$F$2,IF(C341="WR",LeagueInfo!$D$5*LeagueInfo!$F$2,IF(C341="TE",LeagueInfo!$D$6*LeagueInfo!$F$2,LeagueInfo!$D$3*LeagueInfo!$F$2)))</f>
        <v>12</v>
      </c>
    </row>
    <row r="342" spans="1:9" x14ac:dyDescent="0.35">
      <c r="A342">
        <f t="shared" ca="1" si="28"/>
        <v>410</v>
      </c>
      <c r="B342" t="s">
        <v>994</v>
      </c>
      <c r="C342" t="s">
        <v>25</v>
      </c>
      <c r="D342">
        <f t="shared" ca="1" si="25"/>
        <v>18.07</v>
      </c>
      <c r="E342" s="5">
        <f t="shared" ca="1" si="29"/>
        <v>-84.009999999999991</v>
      </c>
      <c r="F342" t="str">
        <f ca="1">IF(H342&lt;=I342,"Starter",IF(G342&gt;=LARGE(G:G,FlexOn*LeagueInfo!$F$2),"Starter","Bench"))</f>
        <v>Bench</v>
      </c>
      <c r="G342">
        <f t="shared" ca="1" si="26"/>
        <v>18.07</v>
      </c>
      <c r="H342">
        <f t="shared" ca="1" si="27"/>
        <v>106</v>
      </c>
      <c r="I342">
        <f>IF(C342="RB",LeagueInfo!$D$4*LeagueInfo!$F$2,IF(C342="WR",LeagueInfo!$D$5*LeagueInfo!$F$2,IF(C342="TE",LeagueInfo!$D$6*LeagueInfo!$F$2,LeagueInfo!$D$3*LeagueInfo!$F$2)))</f>
        <v>24</v>
      </c>
    </row>
    <row r="343" spans="1:9" x14ac:dyDescent="0.35">
      <c r="A343">
        <f t="shared" ca="1" si="28"/>
        <v>326</v>
      </c>
      <c r="B343" t="s">
        <v>114</v>
      </c>
      <c r="C343" t="s">
        <v>26</v>
      </c>
      <c r="D343">
        <f t="shared" ca="1" si="25"/>
        <v>27.316000000000003</v>
      </c>
      <c r="E343" s="5">
        <f t="shared" ca="1" si="29"/>
        <v>-74.763999999999996</v>
      </c>
      <c r="F343" t="str">
        <f ca="1">IF(H343&lt;=I343,"Starter",IF(G343&gt;=LARGE(G:G,FlexOn*LeagueInfo!$F$2),"Starter","Bench"))</f>
        <v>Bench</v>
      </c>
      <c r="G343">
        <f t="shared" ca="1" si="26"/>
        <v>27.316000000000003</v>
      </c>
      <c r="H343">
        <f t="shared" ca="1" si="27"/>
        <v>41</v>
      </c>
      <c r="I343">
        <f>IF(C343="RB",LeagueInfo!$D$4*LeagueInfo!$F$2,IF(C343="WR",LeagueInfo!$D$5*LeagueInfo!$F$2,IF(C343="TE",LeagueInfo!$D$6*LeagueInfo!$F$2,LeagueInfo!$D$3*LeagueInfo!$F$2)))</f>
        <v>24</v>
      </c>
    </row>
    <row r="344" spans="1:9" x14ac:dyDescent="0.35">
      <c r="A344">
        <f t="shared" ca="1" si="28"/>
        <v>356</v>
      </c>
      <c r="B344" t="s">
        <v>856</v>
      </c>
      <c r="C344" t="s">
        <v>26</v>
      </c>
      <c r="D344">
        <f t="shared" ca="1" si="25"/>
        <v>23.34</v>
      </c>
      <c r="E344" s="5">
        <f t="shared" ca="1" si="29"/>
        <v>-78.739999999999995</v>
      </c>
      <c r="F344" t="str">
        <f ca="1">IF(H344&lt;=I344,"Starter",IF(G344&gt;=LARGE(G:G,FlexOn*LeagueInfo!$F$2),"Starter","Bench"))</f>
        <v>Bench</v>
      </c>
      <c r="G344">
        <f t="shared" ca="1" si="26"/>
        <v>23.34</v>
      </c>
      <c r="H344">
        <f t="shared" ca="1" si="27"/>
        <v>45</v>
      </c>
      <c r="I344">
        <f>IF(C344="RB",LeagueInfo!$D$4*LeagueInfo!$F$2,IF(C344="WR",LeagueInfo!$D$5*LeagueInfo!$F$2,IF(C344="TE",LeagueInfo!$D$6*LeagueInfo!$F$2,LeagueInfo!$D$3*LeagueInfo!$F$2)))</f>
        <v>24</v>
      </c>
    </row>
    <row r="345" spans="1:9" x14ac:dyDescent="0.35">
      <c r="A345">
        <f t="shared" ca="1" si="28"/>
        <v>369</v>
      </c>
      <c r="B345" t="s">
        <v>793</v>
      </c>
      <c r="C345" t="s">
        <v>32</v>
      </c>
      <c r="D345">
        <f t="shared" ca="1" si="25"/>
        <v>21.840000000000003</v>
      </c>
      <c r="E345" s="5">
        <f t="shared" ca="1" si="29"/>
        <v>-80.239999999999995</v>
      </c>
      <c r="F345" t="str">
        <f ca="1">IF(H345&lt;=I345,"Starter",IF(G345&gt;=LARGE(G:G,FlexOn*LeagueInfo!$F$2),"Starter","Bench"))</f>
        <v>Bench</v>
      </c>
      <c r="G345">
        <f t="shared" ca="1" si="26"/>
        <v>21.840000000000003</v>
      </c>
      <c r="H345">
        <f t="shared" ca="1" si="27"/>
        <v>162</v>
      </c>
      <c r="I345">
        <f>IF(C345="RB",LeagueInfo!$D$4*LeagueInfo!$F$2,IF(C345="WR",LeagueInfo!$D$5*LeagueInfo!$F$2,IF(C345="TE",LeagueInfo!$D$6*LeagueInfo!$F$2,LeagueInfo!$D$3*LeagueInfo!$F$2)))</f>
        <v>24</v>
      </c>
    </row>
    <row r="346" spans="1:9" x14ac:dyDescent="0.35">
      <c r="A346">
        <f t="shared" ca="1" si="28"/>
        <v>338</v>
      </c>
      <c r="B346" t="s">
        <v>1096</v>
      </c>
      <c r="C346" t="s">
        <v>32</v>
      </c>
      <c r="D346">
        <f t="shared" ca="1" si="25"/>
        <v>25.21</v>
      </c>
      <c r="E346" s="5">
        <f t="shared" ca="1" si="29"/>
        <v>-76.87</v>
      </c>
      <c r="F346" t="str">
        <f ca="1">IF(H346&lt;=I346,"Starter",IF(G346&gt;=LARGE(G:G,FlexOn*LeagueInfo!$F$2),"Starter","Bench"))</f>
        <v>Bench</v>
      </c>
      <c r="G346">
        <f t="shared" ca="1" si="26"/>
        <v>25.21</v>
      </c>
      <c r="H346">
        <f t="shared" ca="1" si="27"/>
        <v>150</v>
      </c>
      <c r="I346">
        <f>IF(C346="RB",LeagueInfo!$D$4*LeagueInfo!$F$2,IF(C346="WR",LeagueInfo!$D$5*LeagueInfo!$F$2,IF(C346="TE",LeagueInfo!$D$6*LeagueInfo!$F$2,LeagueInfo!$D$3*LeagueInfo!$F$2)))</f>
        <v>24</v>
      </c>
    </row>
    <row r="347" spans="1:9" x14ac:dyDescent="0.35">
      <c r="A347">
        <f t="shared" ca="1" si="28"/>
        <v>394</v>
      </c>
      <c r="B347" t="s">
        <v>808</v>
      </c>
      <c r="C347" t="s">
        <v>32</v>
      </c>
      <c r="D347">
        <f t="shared" ca="1" si="25"/>
        <v>19.48</v>
      </c>
      <c r="E347" s="5">
        <f t="shared" ca="1" si="29"/>
        <v>-82.6</v>
      </c>
      <c r="F347" t="str">
        <f ca="1">IF(H347&lt;=I347,"Starter",IF(G347&gt;=LARGE(G:G,FlexOn*LeagueInfo!$F$2),"Starter","Bench"))</f>
        <v>Bench</v>
      </c>
      <c r="G347">
        <f t="shared" ca="1" si="26"/>
        <v>19.48</v>
      </c>
      <c r="H347">
        <f t="shared" ca="1" si="27"/>
        <v>166</v>
      </c>
      <c r="I347">
        <f>IF(C347="RB",LeagueInfo!$D$4*LeagueInfo!$F$2,IF(C347="WR",LeagueInfo!$D$5*LeagueInfo!$F$2,IF(C347="TE",LeagueInfo!$D$6*LeagueInfo!$F$2,LeagueInfo!$D$3*LeagueInfo!$F$2)))</f>
        <v>24</v>
      </c>
    </row>
    <row r="348" spans="1:9" x14ac:dyDescent="0.35">
      <c r="A348">
        <f t="shared" ca="1" si="28"/>
        <v>381</v>
      </c>
      <c r="B348" t="s">
        <v>942</v>
      </c>
      <c r="C348" t="s">
        <v>40</v>
      </c>
      <c r="D348">
        <f t="shared" ca="1" si="25"/>
        <v>20.380000000000003</v>
      </c>
      <c r="E348" s="5">
        <f t="shared" ca="1" si="29"/>
        <v>-81.699999999999989</v>
      </c>
      <c r="F348" t="str">
        <f ca="1">IF(H348&lt;=I348,"Starter",IF(G348&gt;=LARGE(G:G,FlexOn*LeagueInfo!$F$2),"Starter","Bench"))</f>
        <v>Bench</v>
      </c>
      <c r="G348">
        <f t="shared" ca="1" si="26"/>
        <v>20.380000000000003</v>
      </c>
      <c r="H348">
        <f t="shared" ca="1" si="27"/>
        <v>78</v>
      </c>
      <c r="I348">
        <f>IF(C348="RB",LeagueInfo!$D$4*LeagueInfo!$F$2,IF(C348="WR",LeagueInfo!$D$5*LeagueInfo!$F$2,IF(C348="TE",LeagueInfo!$D$6*LeagueInfo!$F$2,LeagueInfo!$D$3*LeagueInfo!$F$2)))</f>
        <v>12</v>
      </c>
    </row>
    <row r="349" spans="1:9" x14ac:dyDescent="0.35">
      <c r="A349">
        <f t="shared" ca="1" si="28"/>
        <v>333</v>
      </c>
      <c r="B349" t="s">
        <v>802</v>
      </c>
      <c r="C349" t="s">
        <v>40</v>
      </c>
      <c r="D349">
        <f t="shared" ca="1" si="25"/>
        <v>25.620000000000005</v>
      </c>
      <c r="E349" s="5">
        <f t="shared" ca="1" si="29"/>
        <v>-76.459999999999994</v>
      </c>
      <c r="F349" t="str">
        <f ca="1">IF(H349&lt;=I349,"Starter",IF(G349&gt;=LARGE(G:G,FlexOn*LeagueInfo!$F$2),"Starter","Bench"))</f>
        <v>Bench</v>
      </c>
      <c r="G349">
        <f t="shared" ca="1" si="26"/>
        <v>25.620000000000005</v>
      </c>
      <c r="H349">
        <f t="shared" ca="1" si="27"/>
        <v>61</v>
      </c>
      <c r="I349">
        <f>IF(C349="RB",LeagueInfo!$D$4*LeagueInfo!$F$2,IF(C349="WR",LeagueInfo!$D$5*LeagueInfo!$F$2,IF(C349="TE",LeagueInfo!$D$6*LeagueInfo!$F$2,LeagueInfo!$D$3*LeagueInfo!$F$2)))</f>
        <v>12</v>
      </c>
    </row>
    <row r="350" spans="1:9" x14ac:dyDescent="0.35">
      <c r="A350">
        <f t="shared" ca="1" si="28"/>
        <v>359</v>
      </c>
      <c r="B350" t="s">
        <v>950</v>
      </c>
      <c r="C350" t="s">
        <v>40</v>
      </c>
      <c r="D350">
        <f t="shared" ca="1" si="25"/>
        <v>23.050000000000004</v>
      </c>
      <c r="E350" s="5">
        <f t="shared" ca="1" si="29"/>
        <v>-79.03</v>
      </c>
      <c r="F350" t="str">
        <f ca="1">IF(H350&lt;=I350,"Starter",IF(G350&gt;=LARGE(G:G,FlexOn*LeagueInfo!$F$2),"Starter","Bench"))</f>
        <v>Bench</v>
      </c>
      <c r="G350">
        <f t="shared" ca="1" si="26"/>
        <v>23.050000000000004</v>
      </c>
      <c r="H350">
        <f t="shared" ca="1" si="27"/>
        <v>70</v>
      </c>
      <c r="I350">
        <f>IF(C350="RB",LeagueInfo!$D$4*LeagueInfo!$F$2,IF(C350="WR",LeagueInfo!$D$5*LeagueInfo!$F$2,IF(C350="TE",LeagueInfo!$D$6*LeagueInfo!$F$2,LeagueInfo!$D$3*LeagueInfo!$F$2)))</f>
        <v>12</v>
      </c>
    </row>
    <row r="351" spans="1:9" x14ac:dyDescent="0.35">
      <c r="A351">
        <f t="shared" ca="1" si="28"/>
        <v>385</v>
      </c>
      <c r="B351" t="s">
        <v>648</v>
      </c>
      <c r="C351" t="s">
        <v>40</v>
      </c>
      <c r="D351">
        <f t="shared" ca="1" si="25"/>
        <v>20</v>
      </c>
      <c r="E351" s="5">
        <f t="shared" ca="1" si="29"/>
        <v>-82.08</v>
      </c>
      <c r="F351" t="str">
        <f ca="1">IF(H351&lt;=I351,"Starter",IF(G351&gt;=LARGE(G:G,FlexOn*LeagueInfo!$F$2),"Starter","Bench"))</f>
        <v>Bench</v>
      </c>
      <c r="G351">
        <f t="shared" ca="1" si="26"/>
        <v>20</v>
      </c>
      <c r="H351">
        <f t="shared" ca="1" si="27"/>
        <v>81</v>
      </c>
      <c r="I351">
        <f>IF(C351="RB",LeagueInfo!$D$4*LeagueInfo!$F$2,IF(C351="WR",LeagueInfo!$D$5*LeagueInfo!$F$2,IF(C351="TE",LeagueInfo!$D$6*LeagueInfo!$F$2,LeagueInfo!$D$3*LeagueInfo!$F$2)))</f>
        <v>12</v>
      </c>
    </row>
    <row r="352" spans="1:9" x14ac:dyDescent="0.35">
      <c r="A352">
        <f t="shared" ca="1" si="28"/>
        <v>322</v>
      </c>
      <c r="B352" t="s">
        <v>763</v>
      </c>
      <c r="C352" t="s">
        <v>40</v>
      </c>
      <c r="D352">
        <f t="shared" ca="1" si="25"/>
        <v>28.310000000000002</v>
      </c>
      <c r="E352" s="5">
        <f t="shared" ca="1" si="29"/>
        <v>-73.77</v>
      </c>
      <c r="F352" t="str">
        <f ca="1">IF(H352&lt;=I352,"Starter",IF(G352&gt;=LARGE(G:G,FlexOn*LeagueInfo!$F$2),"Starter","Bench"))</f>
        <v>Bench</v>
      </c>
      <c r="G352">
        <f t="shared" ca="1" si="26"/>
        <v>28.310000000000002</v>
      </c>
      <c r="H352">
        <f t="shared" ca="1" si="27"/>
        <v>59</v>
      </c>
      <c r="I352">
        <f>IF(C352="RB",LeagueInfo!$D$4*LeagueInfo!$F$2,IF(C352="WR",LeagueInfo!$D$5*LeagueInfo!$F$2,IF(C352="TE",LeagueInfo!$D$6*LeagueInfo!$F$2,LeagueInfo!$D$3*LeagueInfo!$F$2)))</f>
        <v>12</v>
      </c>
    </row>
    <row r="353" spans="1:9" x14ac:dyDescent="0.35">
      <c r="A353">
        <f t="shared" ca="1" si="28"/>
        <v>456</v>
      </c>
      <c r="B353" t="s">
        <v>223</v>
      </c>
      <c r="C353" t="s">
        <v>26</v>
      </c>
      <c r="D353">
        <f t="shared" ca="1" si="25"/>
        <v>12</v>
      </c>
      <c r="E353" s="5">
        <f t="shared" ca="1" si="29"/>
        <v>-90.08</v>
      </c>
      <c r="F353" t="str">
        <f ca="1">IF(H353&lt;=I353,"Starter",IF(G353&gt;=LARGE(G:G,FlexOn*LeagueInfo!$F$2),"Starter","Bench"))</f>
        <v>Bench</v>
      </c>
      <c r="G353">
        <f t="shared" ca="1" si="26"/>
        <v>12</v>
      </c>
      <c r="H353">
        <f t="shared" ca="1" si="27"/>
        <v>69</v>
      </c>
      <c r="I353">
        <f>IF(C353="RB",LeagueInfo!$D$4*LeagueInfo!$F$2,IF(C353="WR",LeagueInfo!$D$5*LeagueInfo!$F$2,IF(C353="TE",LeagueInfo!$D$6*LeagueInfo!$F$2,LeagueInfo!$D$3*LeagueInfo!$F$2)))</f>
        <v>24</v>
      </c>
    </row>
    <row r="354" spans="1:9" x14ac:dyDescent="0.35">
      <c r="A354">
        <f t="shared" ca="1" si="28"/>
        <v>361</v>
      </c>
      <c r="B354" t="s">
        <v>723</v>
      </c>
      <c r="C354" t="s">
        <v>26</v>
      </c>
      <c r="D354">
        <f t="shared" ca="1" si="25"/>
        <v>22.905999999999999</v>
      </c>
      <c r="E354" s="5">
        <f t="shared" ca="1" si="29"/>
        <v>-79.174000000000007</v>
      </c>
      <c r="F354" t="str">
        <f ca="1">IF(H354&lt;=I354,"Starter",IF(G354&gt;=LARGE(G:G,FlexOn*LeagueInfo!$F$2),"Starter","Bench"))</f>
        <v>Bench</v>
      </c>
      <c r="G354">
        <f t="shared" ca="1" si="26"/>
        <v>22.905999999999999</v>
      </c>
      <c r="H354">
        <f t="shared" ca="1" si="27"/>
        <v>46</v>
      </c>
      <c r="I354">
        <f>IF(C354="RB",LeagueInfo!$D$4*LeagueInfo!$F$2,IF(C354="WR",LeagueInfo!$D$5*LeagueInfo!$F$2,IF(C354="TE",LeagueInfo!$D$6*LeagueInfo!$F$2,LeagueInfo!$D$3*LeagueInfo!$F$2)))</f>
        <v>24</v>
      </c>
    </row>
    <row r="355" spans="1:9" x14ac:dyDescent="0.35">
      <c r="A355">
        <f t="shared" ca="1" si="28"/>
        <v>360</v>
      </c>
      <c r="B355" t="s">
        <v>375</v>
      </c>
      <c r="C355" t="s">
        <v>40</v>
      </c>
      <c r="D355">
        <f t="shared" ca="1" si="25"/>
        <v>22.92</v>
      </c>
      <c r="E355" s="5">
        <f t="shared" ca="1" si="29"/>
        <v>-79.16</v>
      </c>
      <c r="F355" t="str">
        <f ca="1">IF(H355&lt;=I355,"Starter",IF(G355&gt;=LARGE(G:G,FlexOn*LeagueInfo!$F$2),"Starter","Bench"))</f>
        <v>Bench</v>
      </c>
      <c r="G355">
        <f t="shared" ca="1" si="26"/>
        <v>22.92</v>
      </c>
      <c r="H355">
        <f t="shared" ca="1" si="27"/>
        <v>71</v>
      </c>
      <c r="I355">
        <f>IF(C355="RB",LeagueInfo!$D$4*LeagueInfo!$F$2,IF(C355="WR",LeagueInfo!$D$5*LeagueInfo!$F$2,IF(C355="TE",LeagueInfo!$D$6*LeagueInfo!$F$2,LeagueInfo!$D$3*LeagueInfo!$F$2)))</f>
        <v>12</v>
      </c>
    </row>
    <row r="356" spans="1:9" x14ac:dyDescent="0.35">
      <c r="A356">
        <f t="shared" ca="1" si="28"/>
        <v>377</v>
      </c>
      <c r="B356" t="s">
        <v>224</v>
      </c>
      <c r="C356" t="s">
        <v>26</v>
      </c>
      <c r="D356">
        <f t="shared" ca="1" si="25"/>
        <v>20.968</v>
      </c>
      <c r="E356" s="5">
        <f t="shared" ca="1" si="29"/>
        <v>-81.111999999999995</v>
      </c>
      <c r="F356" t="str">
        <f ca="1">IF(H356&lt;=I356,"Starter",IF(G356&gt;=LARGE(G:G,FlexOn*LeagueInfo!$F$2),"Starter","Bench"))</f>
        <v>Bench</v>
      </c>
      <c r="G356">
        <f t="shared" ca="1" si="26"/>
        <v>20.968</v>
      </c>
      <c r="H356">
        <f t="shared" ca="1" si="27"/>
        <v>49</v>
      </c>
      <c r="I356">
        <f>IF(C356="RB",LeagueInfo!$D$4*LeagueInfo!$F$2,IF(C356="WR",LeagueInfo!$D$5*LeagueInfo!$F$2,IF(C356="TE",LeagueInfo!$D$6*LeagueInfo!$F$2,LeagueInfo!$D$3*LeagueInfo!$F$2)))</f>
        <v>24</v>
      </c>
    </row>
    <row r="357" spans="1:9" x14ac:dyDescent="0.35">
      <c r="A357">
        <f t="shared" ca="1" si="28"/>
        <v>370</v>
      </c>
      <c r="B357" t="s">
        <v>673</v>
      </c>
      <c r="C357" t="s">
        <v>26</v>
      </c>
      <c r="D357">
        <f t="shared" ca="1" si="25"/>
        <v>21.766000000000002</v>
      </c>
      <c r="E357" s="5">
        <f t="shared" ca="1" si="29"/>
        <v>-80.313999999999993</v>
      </c>
      <c r="F357" t="str">
        <f ca="1">IF(H357&lt;=I357,"Starter",IF(G357&gt;=LARGE(G:G,FlexOn*LeagueInfo!$F$2),"Starter","Bench"))</f>
        <v>Bench</v>
      </c>
      <c r="G357">
        <f t="shared" ca="1" si="26"/>
        <v>21.766000000000002</v>
      </c>
      <c r="H357">
        <f t="shared" ca="1" si="27"/>
        <v>47</v>
      </c>
      <c r="I357">
        <f>IF(C357="RB",LeagueInfo!$D$4*LeagueInfo!$F$2,IF(C357="WR",LeagueInfo!$D$5*LeagueInfo!$F$2,IF(C357="TE",LeagueInfo!$D$6*LeagueInfo!$F$2,LeagueInfo!$D$3*LeagueInfo!$F$2)))</f>
        <v>24</v>
      </c>
    </row>
    <row r="358" spans="1:9" x14ac:dyDescent="0.35">
      <c r="A358">
        <f t="shared" ca="1" si="28"/>
        <v>371</v>
      </c>
      <c r="B358" t="s">
        <v>945</v>
      </c>
      <c r="C358" t="s">
        <v>40</v>
      </c>
      <c r="D358">
        <f t="shared" ca="1" si="25"/>
        <v>21.700000000000003</v>
      </c>
      <c r="E358" s="5">
        <f t="shared" ca="1" si="29"/>
        <v>-80.38</v>
      </c>
      <c r="F358" t="str">
        <f ca="1">IF(H358&lt;=I358,"Starter",IF(G358&gt;=LARGE(G:G,FlexOn*LeagueInfo!$F$2),"Starter","Bench"))</f>
        <v>Bench</v>
      </c>
      <c r="G358">
        <f t="shared" ca="1" si="26"/>
        <v>21.700000000000003</v>
      </c>
      <c r="H358">
        <f t="shared" ca="1" si="27"/>
        <v>75</v>
      </c>
      <c r="I358">
        <f>IF(C358="RB",LeagueInfo!$D$4*LeagueInfo!$F$2,IF(C358="WR",LeagueInfo!$D$5*LeagueInfo!$F$2,IF(C358="TE",LeagueInfo!$D$6*LeagueInfo!$F$2,LeagueInfo!$D$3*LeagueInfo!$F$2)))</f>
        <v>12</v>
      </c>
    </row>
    <row r="359" spans="1:9" x14ac:dyDescent="0.35">
      <c r="A359">
        <f t="shared" ca="1" si="28"/>
        <v>337</v>
      </c>
      <c r="B359" t="s">
        <v>111</v>
      </c>
      <c r="C359" t="s">
        <v>25</v>
      </c>
      <c r="D359">
        <f t="shared" ca="1" si="25"/>
        <v>25.220000000000002</v>
      </c>
      <c r="E359" s="5">
        <f t="shared" ca="1" si="29"/>
        <v>-76.86</v>
      </c>
      <c r="F359" t="str">
        <f ca="1">IF(H359&lt;=I359,"Starter",IF(G359&gt;=LARGE(G:G,FlexOn*LeagueInfo!$F$2),"Starter","Bench"))</f>
        <v>Bench</v>
      </c>
      <c r="G359">
        <f t="shared" ca="1" si="26"/>
        <v>25.220000000000002</v>
      </c>
      <c r="H359">
        <f t="shared" ca="1" si="27"/>
        <v>96</v>
      </c>
      <c r="I359">
        <f>IF(C359="RB",LeagueInfo!$D$4*LeagueInfo!$F$2,IF(C359="WR",LeagueInfo!$D$5*LeagueInfo!$F$2,IF(C359="TE",LeagueInfo!$D$6*LeagueInfo!$F$2,LeagueInfo!$D$3*LeagueInfo!$F$2)))</f>
        <v>24</v>
      </c>
    </row>
    <row r="360" spans="1:9" x14ac:dyDescent="0.35">
      <c r="A360">
        <f t="shared" ca="1" si="28"/>
        <v>378</v>
      </c>
      <c r="B360" t="s">
        <v>526</v>
      </c>
      <c r="C360" t="s">
        <v>25</v>
      </c>
      <c r="D360">
        <f t="shared" ca="1" si="25"/>
        <v>20.810000000000006</v>
      </c>
      <c r="E360" s="5">
        <f t="shared" ca="1" si="29"/>
        <v>-81.27</v>
      </c>
      <c r="F360" t="str">
        <f ca="1">IF(H360&lt;=I360,"Starter",IF(G360&gt;=LARGE(G:G,FlexOn*LeagueInfo!$F$2),"Starter","Bench"))</f>
        <v>Bench</v>
      </c>
      <c r="G360">
        <f t="shared" ca="1" si="26"/>
        <v>20.810000000000006</v>
      </c>
      <c r="H360">
        <f t="shared" ca="1" si="27"/>
        <v>103</v>
      </c>
      <c r="I360">
        <f>IF(C360="RB",LeagueInfo!$D$4*LeagueInfo!$F$2,IF(C360="WR",LeagueInfo!$D$5*LeagueInfo!$F$2,IF(C360="TE",LeagueInfo!$D$6*LeagueInfo!$F$2,LeagueInfo!$D$3*LeagueInfo!$F$2)))</f>
        <v>24</v>
      </c>
    </row>
    <row r="361" spans="1:9" x14ac:dyDescent="0.35">
      <c r="A361">
        <f t="shared" ca="1" si="28"/>
        <v>476</v>
      </c>
      <c r="B361" t="s">
        <v>726</v>
      </c>
      <c r="C361" t="s">
        <v>26</v>
      </c>
      <c r="D361">
        <f t="shared" ref="D361:D414" ca="1" si="30">INDEX(INDIRECT($C361&amp;"!P:P"),MATCH($B361,INDIRECT($C361&amp;"!B:B"),0))</f>
        <v>9.9600000000000009</v>
      </c>
      <c r="E361" s="5">
        <f t="shared" ca="1" si="29"/>
        <v>-92.12</v>
      </c>
      <c r="F361" t="str">
        <f ca="1">IF(H361&lt;=I361,"Starter",IF(G361&gt;=LARGE(G:G,FlexOn*LeagueInfo!$F$2),"Starter","Bench"))</f>
        <v>Bench</v>
      </c>
      <c r="G361">
        <f t="shared" ref="G361:G414" ca="1" si="31">IF(H361&gt;I361,D361,0)</f>
        <v>9.9600000000000009</v>
      </c>
      <c r="H361">
        <f t="shared" ref="H361:H414" ca="1" si="32">INDEX(INDIRECT(""&amp;C361&amp;"!A2:A489"),MATCH(B361,INDIRECT(""&amp;C361&amp;"!B2:B489"),0))</f>
        <v>74</v>
      </c>
      <c r="I361">
        <f>IF(C361="RB",LeagueInfo!$D$4*LeagueInfo!$F$2,IF(C361="WR",LeagueInfo!$D$5*LeagueInfo!$F$2,IF(C361="TE",LeagueInfo!$D$6*LeagueInfo!$F$2,LeagueInfo!$D$3*LeagueInfo!$F$2)))</f>
        <v>24</v>
      </c>
    </row>
    <row r="362" spans="1:9" x14ac:dyDescent="0.35">
      <c r="A362">
        <f t="shared" ca="1" si="28"/>
        <v>413</v>
      </c>
      <c r="B362" t="s">
        <v>348</v>
      </c>
      <c r="C362" t="s">
        <v>26</v>
      </c>
      <c r="D362">
        <f t="shared" ca="1" si="30"/>
        <v>17.902000000000001</v>
      </c>
      <c r="E362" s="5">
        <f t="shared" ca="1" si="29"/>
        <v>-84.177999999999997</v>
      </c>
      <c r="F362" t="str">
        <f ca="1">IF(H362&lt;=I362,"Starter",IF(G362&gt;=LARGE(G:G,FlexOn*LeagueInfo!$F$2),"Starter","Bench"))</f>
        <v>Bench</v>
      </c>
      <c r="G362">
        <f t="shared" ca="1" si="31"/>
        <v>17.902000000000001</v>
      </c>
      <c r="H362">
        <f t="shared" ca="1" si="32"/>
        <v>65</v>
      </c>
      <c r="I362">
        <f>IF(C362="RB",LeagueInfo!$D$4*LeagueInfo!$F$2,IF(C362="WR",LeagueInfo!$D$5*LeagueInfo!$F$2,IF(C362="TE",LeagueInfo!$D$6*LeagueInfo!$F$2,LeagueInfo!$D$3*LeagueInfo!$F$2)))</f>
        <v>24</v>
      </c>
    </row>
    <row r="363" spans="1:9" x14ac:dyDescent="0.35">
      <c r="A363">
        <f t="shared" ca="1" si="28"/>
        <v>363</v>
      </c>
      <c r="B363" t="s">
        <v>783</v>
      </c>
      <c r="C363" t="s">
        <v>25</v>
      </c>
      <c r="D363">
        <f t="shared" ca="1" si="30"/>
        <v>22.71</v>
      </c>
      <c r="E363" s="5">
        <f t="shared" ca="1" si="29"/>
        <v>-79.37</v>
      </c>
      <c r="F363" t="str">
        <f ca="1">IF(H363&lt;=I363,"Starter",IF(G363&gt;=LARGE(G:G,FlexOn*LeagueInfo!$F$2),"Starter","Bench"))</f>
        <v>Bench</v>
      </c>
      <c r="G363">
        <f t="shared" ca="1" si="31"/>
        <v>22.71</v>
      </c>
      <c r="H363">
        <f t="shared" ca="1" si="32"/>
        <v>98</v>
      </c>
      <c r="I363">
        <f>IF(C363="RB",LeagueInfo!$D$4*LeagueInfo!$F$2,IF(C363="WR",LeagueInfo!$D$5*LeagueInfo!$F$2,IF(C363="TE",LeagueInfo!$D$6*LeagueInfo!$F$2,LeagueInfo!$D$3*LeagueInfo!$F$2)))</f>
        <v>24</v>
      </c>
    </row>
    <row r="364" spans="1:9" x14ac:dyDescent="0.35">
      <c r="A364">
        <f t="shared" ca="1" si="28"/>
        <v>379</v>
      </c>
      <c r="B364" t="s">
        <v>135</v>
      </c>
      <c r="C364" t="s">
        <v>26</v>
      </c>
      <c r="D364">
        <f t="shared" ca="1" si="30"/>
        <v>20.574000000000005</v>
      </c>
      <c r="E364" s="5">
        <f t="shared" ca="1" si="29"/>
        <v>-81.506</v>
      </c>
      <c r="F364" t="str">
        <f ca="1">IF(H364&lt;=I364,"Starter",IF(G364&gt;=LARGE(G:G,FlexOn*LeagueInfo!$F$2),"Starter","Bench"))</f>
        <v>Bench</v>
      </c>
      <c r="G364">
        <f t="shared" ca="1" si="31"/>
        <v>20.574000000000005</v>
      </c>
      <c r="H364">
        <f t="shared" ca="1" si="32"/>
        <v>50</v>
      </c>
      <c r="I364">
        <f>IF(C364="RB",LeagueInfo!$D$4*LeagueInfo!$F$2,IF(C364="WR",LeagueInfo!$D$5*LeagueInfo!$F$2,IF(C364="TE",LeagueInfo!$D$6*LeagueInfo!$F$2,LeagueInfo!$D$3*LeagueInfo!$F$2)))</f>
        <v>24</v>
      </c>
    </row>
    <row r="365" spans="1:9" x14ac:dyDescent="0.35">
      <c r="A365">
        <f t="shared" ca="1" si="28"/>
        <v>380</v>
      </c>
      <c r="B365" t="s">
        <v>416</v>
      </c>
      <c r="C365" t="s">
        <v>26</v>
      </c>
      <c r="D365">
        <f t="shared" ca="1" si="30"/>
        <v>20.560000000000002</v>
      </c>
      <c r="E365" s="5">
        <f t="shared" ca="1" si="29"/>
        <v>-81.52</v>
      </c>
      <c r="F365" t="str">
        <f ca="1">IF(H365&lt;=I365,"Starter",IF(G365&gt;=LARGE(G:G,FlexOn*LeagueInfo!$F$2),"Starter","Bench"))</f>
        <v>Bench</v>
      </c>
      <c r="G365">
        <f t="shared" ca="1" si="31"/>
        <v>20.560000000000002</v>
      </c>
      <c r="H365">
        <f t="shared" ca="1" si="32"/>
        <v>51</v>
      </c>
      <c r="I365">
        <f>IF(C365="RB",LeagueInfo!$D$4*LeagueInfo!$F$2,IF(C365="WR",LeagueInfo!$D$5*LeagueInfo!$F$2,IF(C365="TE",LeagueInfo!$D$6*LeagueInfo!$F$2,LeagueInfo!$D$3*LeagueInfo!$F$2)))</f>
        <v>24</v>
      </c>
    </row>
    <row r="366" spans="1:9" x14ac:dyDescent="0.35">
      <c r="A366">
        <f t="shared" ca="1" si="28"/>
        <v>330</v>
      </c>
      <c r="B366" t="s">
        <v>932</v>
      </c>
      <c r="C366" t="s">
        <v>32</v>
      </c>
      <c r="D366">
        <f t="shared" ca="1" si="30"/>
        <v>26.200000000000003</v>
      </c>
      <c r="E366" s="5">
        <f t="shared" ca="1" si="29"/>
        <v>-75.88</v>
      </c>
      <c r="F366" t="str">
        <f ca="1">IF(H366&lt;=I366,"Starter",IF(G366&gt;=LARGE(G:G,FlexOn*LeagueInfo!$F$2),"Starter","Bench"))</f>
        <v>Bench</v>
      </c>
      <c r="G366">
        <f t="shared" ca="1" si="31"/>
        <v>26.200000000000003</v>
      </c>
      <c r="H366">
        <f t="shared" ca="1" si="32"/>
        <v>146</v>
      </c>
      <c r="I366">
        <f>IF(C366="RB",LeagueInfo!$D$4*LeagueInfo!$F$2,IF(C366="WR",LeagueInfo!$D$5*LeagueInfo!$F$2,IF(C366="TE",LeagueInfo!$D$6*LeagueInfo!$F$2,LeagueInfo!$D$3*LeagueInfo!$F$2)))</f>
        <v>24</v>
      </c>
    </row>
    <row r="367" spans="1:9" x14ac:dyDescent="0.35">
      <c r="A367">
        <f t="shared" ca="1" si="28"/>
        <v>384</v>
      </c>
      <c r="B367" t="s">
        <v>741</v>
      </c>
      <c r="C367" t="s">
        <v>40</v>
      </c>
      <c r="D367">
        <f t="shared" ca="1" si="30"/>
        <v>20.059999999999999</v>
      </c>
      <c r="E367" s="5">
        <f t="shared" ca="1" si="29"/>
        <v>-82.02</v>
      </c>
      <c r="F367" t="str">
        <f ca="1">IF(H367&lt;=I367,"Starter",IF(G367&gt;=LARGE(G:G,FlexOn*LeagueInfo!$F$2),"Starter","Bench"))</f>
        <v>Bench</v>
      </c>
      <c r="G367">
        <f t="shared" ca="1" si="31"/>
        <v>20.059999999999999</v>
      </c>
      <c r="H367">
        <f t="shared" ca="1" si="32"/>
        <v>80</v>
      </c>
      <c r="I367">
        <f>IF(C367="RB",LeagueInfo!$D$4*LeagueInfo!$F$2,IF(C367="WR",LeagueInfo!$D$5*LeagueInfo!$F$2,IF(C367="TE",LeagueInfo!$D$6*LeagueInfo!$F$2,LeagueInfo!$D$3*LeagueInfo!$F$2)))</f>
        <v>12</v>
      </c>
    </row>
    <row r="368" spans="1:9" x14ac:dyDescent="0.35">
      <c r="A368">
        <f t="shared" ca="1" si="28"/>
        <v>365</v>
      </c>
      <c r="B368" t="s">
        <v>700</v>
      </c>
      <c r="C368" t="s">
        <v>40</v>
      </c>
      <c r="D368">
        <f t="shared" ca="1" si="30"/>
        <v>22.39</v>
      </c>
      <c r="E368" s="5">
        <f t="shared" ca="1" si="29"/>
        <v>-79.69</v>
      </c>
      <c r="F368" t="str">
        <f ca="1">IF(H368&lt;=I368,"Starter",IF(G368&gt;=LARGE(G:G,FlexOn*LeagueInfo!$F$2),"Starter","Bench"))</f>
        <v>Bench</v>
      </c>
      <c r="G368">
        <f t="shared" ca="1" si="31"/>
        <v>22.39</v>
      </c>
      <c r="H368">
        <f t="shared" ca="1" si="32"/>
        <v>72</v>
      </c>
      <c r="I368">
        <f>IF(C368="RB",LeagueInfo!$D$4*LeagueInfo!$F$2,IF(C368="WR",LeagueInfo!$D$5*LeagueInfo!$F$2,IF(C368="TE",LeagueInfo!$D$6*LeagueInfo!$F$2,LeagueInfo!$D$3*LeagueInfo!$F$2)))</f>
        <v>12</v>
      </c>
    </row>
    <row r="369" spans="1:9" x14ac:dyDescent="0.35">
      <c r="A369">
        <f t="shared" ca="1" si="28"/>
        <v>389</v>
      </c>
      <c r="B369" t="s">
        <v>951</v>
      </c>
      <c r="C369" t="s">
        <v>40</v>
      </c>
      <c r="D369">
        <f t="shared" ca="1" si="30"/>
        <v>19.810000000000002</v>
      </c>
      <c r="E369" s="5">
        <f t="shared" ca="1" si="29"/>
        <v>-82.27</v>
      </c>
      <c r="F369" t="str">
        <f ca="1">IF(H369&lt;=I369,"Starter",IF(G369&gt;=LARGE(G:G,FlexOn*LeagueInfo!$F$2),"Starter","Bench"))</f>
        <v>Bench</v>
      </c>
      <c r="G369">
        <f t="shared" ca="1" si="31"/>
        <v>19.810000000000002</v>
      </c>
      <c r="H369">
        <f t="shared" ca="1" si="32"/>
        <v>82</v>
      </c>
      <c r="I369">
        <f>IF(C369="RB",LeagueInfo!$D$4*LeagueInfo!$F$2,IF(C369="WR",LeagueInfo!$D$5*LeagueInfo!$F$2,IF(C369="TE",LeagueInfo!$D$6*LeagueInfo!$F$2,LeagueInfo!$D$3*LeagueInfo!$F$2)))</f>
        <v>12</v>
      </c>
    </row>
    <row r="370" spans="1:9" x14ac:dyDescent="0.35">
      <c r="A370">
        <f t="shared" ca="1" si="28"/>
        <v>332</v>
      </c>
      <c r="B370" t="s">
        <v>755</v>
      </c>
      <c r="C370" t="s">
        <v>25</v>
      </c>
      <c r="D370">
        <f t="shared" ca="1" si="30"/>
        <v>26.17</v>
      </c>
      <c r="E370" s="5">
        <f t="shared" ca="1" si="29"/>
        <v>-75.91</v>
      </c>
      <c r="F370" t="str">
        <f ca="1">IF(H370&lt;=I370,"Starter",IF(G370&gt;=LARGE(G:G,FlexOn*LeagueInfo!$F$2),"Starter","Bench"))</f>
        <v>Bench</v>
      </c>
      <c r="G370">
        <f t="shared" ca="1" si="31"/>
        <v>26.17</v>
      </c>
      <c r="H370">
        <f t="shared" ca="1" si="32"/>
        <v>95</v>
      </c>
      <c r="I370">
        <f>IF(C370="RB",LeagueInfo!$D$4*LeagueInfo!$F$2,IF(C370="WR",LeagueInfo!$D$5*LeagueInfo!$F$2,IF(C370="TE",LeagueInfo!$D$6*LeagueInfo!$F$2,LeagueInfo!$D$3*LeagueInfo!$F$2)))</f>
        <v>24</v>
      </c>
    </row>
    <row r="371" spans="1:9" x14ac:dyDescent="0.35">
      <c r="A371">
        <f t="shared" ca="1" si="28"/>
        <v>345</v>
      </c>
      <c r="B371" t="s">
        <v>372</v>
      </c>
      <c r="C371" t="s">
        <v>40</v>
      </c>
      <c r="D371">
        <f t="shared" ca="1" si="30"/>
        <v>24.52</v>
      </c>
      <c r="E371" s="5">
        <f t="shared" ca="1" si="29"/>
        <v>-77.56</v>
      </c>
      <c r="F371" t="str">
        <f ca="1">IF(H371&lt;=I371,"Starter",IF(G371&gt;=LARGE(G:G,FlexOn*LeagueInfo!$F$2),"Starter","Bench"))</f>
        <v>Bench</v>
      </c>
      <c r="G371">
        <f t="shared" ca="1" si="31"/>
        <v>24.52</v>
      </c>
      <c r="H371">
        <f t="shared" ca="1" si="32"/>
        <v>64</v>
      </c>
      <c r="I371">
        <f>IF(C371="RB",LeagueInfo!$D$4*LeagueInfo!$F$2,IF(C371="WR",LeagueInfo!$D$5*LeagueInfo!$F$2,IF(C371="TE",LeagueInfo!$D$6*LeagueInfo!$F$2,LeagueInfo!$D$3*LeagueInfo!$F$2)))</f>
        <v>12</v>
      </c>
    </row>
    <row r="372" spans="1:9" x14ac:dyDescent="0.35">
      <c r="A372">
        <f t="shared" ca="1" si="28"/>
        <v>387</v>
      </c>
      <c r="B372" t="s">
        <v>835</v>
      </c>
      <c r="C372" t="s">
        <v>26</v>
      </c>
      <c r="D372">
        <f t="shared" ca="1" si="30"/>
        <v>19.906000000000002</v>
      </c>
      <c r="E372" s="5">
        <f t="shared" ca="1" si="29"/>
        <v>-82.173999999999992</v>
      </c>
      <c r="F372" t="str">
        <f ca="1">IF(H372&lt;=I372,"Starter",IF(G372&gt;=LARGE(G:G,FlexOn*LeagueInfo!$F$2),"Starter","Bench"))</f>
        <v>Bench</v>
      </c>
      <c r="G372">
        <f t="shared" ca="1" si="31"/>
        <v>19.906000000000002</v>
      </c>
      <c r="H372">
        <f t="shared" ca="1" si="32"/>
        <v>53</v>
      </c>
      <c r="I372">
        <f>IF(C372="RB",LeagueInfo!$D$4*LeagueInfo!$F$2,IF(C372="WR",LeagueInfo!$D$5*LeagueInfo!$F$2,IF(C372="TE",LeagueInfo!$D$6*LeagueInfo!$F$2,LeagueInfo!$D$3*LeagueInfo!$F$2)))</f>
        <v>24</v>
      </c>
    </row>
    <row r="373" spans="1:9" x14ac:dyDescent="0.35">
      <c r="A373">
        <f t="shared" ca="1" si="28"/>
        <v>329</v>
      </c>
      <c r="B373" t="s">
        <v>721</v>
      </c>
      <c r="C373" t="s">
        <v>40</v>
      </c>
      <c r="D373">
        <f t="shared" ca="1" si="30"/>
        <v>26.39</v>
      </c>
      <c r="E373" s="5">
        <f t="shared" ca="1" si="29"/>
        <v>-75.69</v>
      </c>
      <c r="F373" t="str">
        <f ca="1">IF(H373&lt;=I373,"Starter",IF(G373&gt;=LARGE(G:G,FlexOn*LeagueInfo!$F$2),"Starter","Bench"))</f>
        <v>Bench</v>
      </c>
      <c r="G373">
        <f t="shared" ca="1" si="31"/>
        <v>26.39</v>
      </c>
      <c r="H373">
        <f t="shared" ca="1" si="32"/>
        <v>60</v>
      </c>
      <c r="I373">
        <f>IF(C373="RB",LeagueInfo!$D$4*LeagueInfo!$F$2,IF(C373="WR",LeagueInfo!$D$5*LeagueInfo!$F$2,IF(C373="TE",LeagueInfo!$D$6*LeagueInfo!$F$2,LeagueInfo!$D$3*LeagueInfo!$F$2)))</f>
        <v>12</v>
      </c>
    </row>
    <row r="374" spans="1:9" x14ac:dyDescent="0.35">
      <c r="A374">
        <f t="shared" ca="1" si="28"/>
        <v>386</v>
      </c>
      <c r="B374" t="s">
        <v>347</v>
      </c>
      <c r="C374" t="s">
        <v>26</v>
      </c>
      <c r="D374">
        <f t="shared" ca="1" si="30"/>
        <v>19.952000000000002</v>
      </c>
      <c r="E374" s="5">
        <f t="shared" ca="1" si="29"/>
        <v>-82.128</v>
      </c>
      <c r="F374" t="str">
        <f ca="1">IF(H374&lt;=I374,"Starter",IF(G374&gt;=LARGE(G:G,FlexOn*LeagueInfo!$F$2),"Starter","Bench"))</f>
        <v>Bench</v>
      </c>
      <c r="G374">
        <f t="shared" ca="1" si="31"/>
        <v>19.952000000000002</v>
      </c>
      <c r="H374">
        <f t="shared" ca="1" si="32"/>
        <v>52</v>
      </c>
      <c r="I374">
        <f>IF(C374="RB",LeagueInfo!$D$4*LeagueInfo!$F$2,IF(C374="WR",LeagueInfo!$D$5*LeagueInfo!$F$2,IF(C374="TE",LeagueInfo!$D$6*LeagueInfo!$F$2,LeagueInfo!$D$3*LeagueInfo!$F$2)))</f>
        <v>24</v>
      </c>
    </row>
    <row r="375" spans="1:9" x14ac:dyDescent="0.35">
      <c r="A375">
        <f t="shared" ca="1" si="28"/>
        <v>418</v>
      </c>
      <c r="B375" t="s">
        <v>784</v>
      </c>
      <c r="C375" t="s">
        <v>25</v>
      </c>
      <c r="D375">
        <f t="shared" ca="1" si="30"/>
        <v>16.93</v>
      </c>
      <c r="E375" s="5">
        <f t="shared" ca="1" si="29"/>
        <v>-85.15</v>
      </c>
      <c r="F375" t="str">
        <f ca="1">IF(H375&lt;=I375,"Starter",IF(G375&gt;=LARGE(G:G,FlexOn*LeagueInfo!$F$2),"Starter","Bench"))</f>
        <v>Bench</v>
      </c>
      <c r="G375">
        <f t="shared" ca="1" si="31"/>
        <v>16.93</v>
      </c>
      <c r="H375">
        <f t="shared" ca="1" si="32"/>
        <v>109</v>
      </c>
      <c r="I375">
        <f>IF(C375="RB",LeagueInfo!$D$4*LeagueInfo!$F$2,IF(C375="WR",LeagueInfo!$D$5*LeagueInfo!$F$2,IF(C375="TE",LeagueInfo!$D$6*LeagueInfo!$F$2,LeagueInfo!$D$3*LeagueInfo!$F$2)))</f>
        <v>24</v>
      </c>
    </row>
    <row r="376" spans="1:9" x14ac:dyDescent="0.35">
      <c r="A376">
        <f t="shared" ca="1" si="28"/>
        <v>396</v>
      </c>
      <c r="B376" t="s">
        <v>953</v>
      </c>
      <c r="C376" t="s">
        <v>40</v>
      </c>
      <c r="D376">
        <f t="shared" ca="1" si="30"/>
        <v>19.350000000000001</v>
      </c>
      <c r="E376" s="5">
        <f t="shared" ca="1" si="29"/>
        <v>-82.72999999999999</v>
      </c>
      <c r="F376" t="str">
        <f ca="1">IF(H376&lt;=I376,"Starter",IF(G376&gt;=LARGE(G:G,FlexOn*LeagueInfo!$F$2),"Starter","Bench"))</f>
        <v>Bench</v>
      </c>
      <c r="G376">
        <f t="shared" ca="1" si="31"/>
        <v>19.350000000000001</v>
      </c>
      <c r="H376">
        <f t="shared" ca="1" si="32"/>
        <v>84</v>
      </c>
      <c r="I376">
        <f>IF(C376="RB",LeagueInfo!$D$4*LeagueInfo!$F$2,IF(C376="WR",LeagueInfo!$D$5*LeagueInfo!$F$2,IF(C376="TE",LeagueInfo!$D$6*LeagueInfo!$F$2,LeagueInfo!$D$3*LeagueInfo!$F$2)))</f>
        <v>12</v>
      </c>
    </row>
    <row r="377" spans="1:9" x14ac:dyDescent="0.35">
      <c r="A377">
        <f t="shared" ca="1" si="28"/>
        <v>437</v>
      </c>
      <c r="B377" t="s">
        <v>786</v>
      </c>
      <c r="C377" t="s">
        <v>32</v>
      </c>
      <c r="D377">
        <f t="shared" ca="1" si="30"/>
        <v>14.89</v>
      </c>
      <c r="E377" s="5">
        <f t="shared" ca="1" si="29"/>
        <v>-87.19</v>
      </c>
      <c r="F377" t="str">
        <f ca="1">IF(H377&lt;=I377,"Starter",IF(G377&gt;=LARGE(G:G,FlexOn*LeagueInfo!$F$2),"Starter","Bench"))</f>
        <v>Bench</v>
      </c>
      <c r="G377">
        <f t="shared" ca="1" si="31"/>
        <v>14.89</v>
      </c>
      <c r="H377">
        <f t="shared" ca="1" si="32"/>
        <v>182</v>
      </c>
      <c r="I377">
        <f>IF(C377="RB",LeagueInfo!$D$4*LeagueInfo!$F$2,IF(C377="WR",LeagueInfo!$D$5*LeagueInfo!$F$2,IF(C377="TE",LeagueInfo!$D$6*LeagueInfo!$F$2,LeagueInfo!$D$3*LeagueInfo!$F$2)))</f>
        <v>24</v>
      </c>
    </row>
    <row r="378" spans="1:9" x14ac:dyDescent="0.35">
      <c r="A378">
        <f t="shared" ca="1" si="28"/>
        <v>374</v>
      </c>
      <c r="B378" t="s">
        <v>833</v>
      </c>
      <c r="C378" t="s">
        <v>32</v>
      </c>
      <c r="D378">
        <f t="shared" ca="1" si="30"/>
        <v>21.240000000000002</v>
      </c>
      <c r="E378" s="5">
        <f t="shared" ca="1" si="29"/>
        <v>-80.84</v>
      </c>
      <c r="F378" t="str">
        <f ca="1">IF(H378&lt;=I378,"Starter",IF(G378&gt;=LARGE(G:G,FlexOn*LeagueInfo!$F$2),"Starter","Bench"))</f>
        <v>Bench</v>
      </c>
      <c r="G378">
        <f t="shared" ca="1" si="31"/>
        <v>21.240000000000002</v>
      </c>
      <c r="H378">
        <f t="shared" ca="1" si="32"/>
        <v>163</v>
      </c>
      <c r="I378">
        <f>IF(C378="RB",LeagueInfo!$D$4*LeagueInfo!$F$2,IF(C378="WR",LeagueInfo!$D$5*LeagueInfo!$F$2,IF(C378="TE",LeagueInfo!$D$6*LeagueInfo!$F$2,LeagueInfo!$D$3*LeagueInfo!$F$2)))</f>
        <v>24</v>
      </c>
    </row>
    <row r="379" spans="1:9" x14ac:dyDescent="0.35">
      <c r="A379">
        <f t="shared" ca="1" si="28"/>
        <v>318</v>
      </c>
      <c r="B379" t="s">
        <v>432</v>
      </c>
      <c r="C379" t="s">
        <v>32</v>
      </c>
      <c r="D379">
        <f t="shared" ca="1" si="30"/>
        <v>28.700000000000003</v>
      </c>
      <c r="E379" s="5">
        <f t="shared" ca="1" si="29"/>
        <v>-73.38</v>
      </c>
      <c r="F379" t="str">
        <f ca="1">IF(H379&lt;=I379,"Starter",IF(G379&gt;=LARGE(G:G,FlexOn*LeagueInfo!$F$2),"Starter","Bench"))</f>
        <v>Bench</v>
      </c>
      <c r="G379">
        <f t="shared" ca="1" si="31"/>
        <v>28.700000000000003</v>
      </c>
      <c r="H379">
        <f t="shared" ca="1" si="32"/>
        <v>140</v>
      </c>
      <c r="I379">
        <f>IF(C379="RB",LeagueInfo!$D$4*LeagueInfo!$F$2,IF(C379="WR",LeagueInfo!$D$5*LeagueInfo!$F$2,IF(C379="TE",LeagueInfo!$D$6*LeagueInfo!$F$2,LeagueInfo!$D$3*LeagueInfo!$F$2)))</f>
        <v>24</v>
      </c>
    </row>
    <row r="380" spans="1:9" x14ac:dyDescent="0.35">
      <c r="A380">
        <f t="shared" ca="1" si="28"/>
        <v>367</v>
      </c>
      <c r="B380" t="s">
        <v>874</v>
      </c>
      <c r="C380" t="s">
        <v>25</v>
      </c>
      <c r="D380">
        <f t="shared" ca="1" si="30"/>
        <v>22.1</v>
      </c>
      <c r="E380" s="5">
        <f t="shared" ca="1" si="29"/>
        <v>-79.97999999999999</v>
      </c>
      <c r="F380" t="str">
        <f ca="1">IF(H380&lt;=I380,"Starter",IF(G380&gt;=LARGE(G:G,FlexOn*LeagueInfo!$F$2),"Starter","Bench"))</f>
        <v>Bench</v>
      </c>
      <c r="G380">
        <f t="shared" ca="1" si="31"/>
        <v>22.1</v>
      </c>
      <c r="H380">
        <f t="shared" ca="1" si="32"/>
        <v>100</v>
      </c>
      <c r="I380">
        <f>IF(C380="RB",LeagueInfo!$D$4*LeagueInfo!$F$2,IF(C380="WR",LeagueInfo!$D$5*LeagueInfo!$F$2,IF(C380="TE",LeagueInfo!$D$6*LeagueInfo!$F$2,LeagueInfo!$D$3*LeagueInfo!$F$2)))</f>
        <v>24</v>
      </c>
    </row>
    <row r="381" spans="1:9" x14ac:dyDescent="0.35">
      <c r="A381">
        <f t="shared" ca="1" si="28"/>
        <v>366</v>
      </c>
      <c r="B381" t="s">
        <v>952</v>
      </c>
      <c r="C381" t="s">
        <v>40</v>
      </c>
      <c r="D381">
        <f t="shared" ca="1" si="30"/>
        <v>22.15</v>
      </c>
      <c r="E381" s="5">
        <f t="shared" ca="1" si="29"/>
        <v>-79.930000000000007</v>
      </c>
      <c r="F381" t="str">
        <f ca="1">IF(H381&lt;=I381,"Starter",IF(G381&gt;=LARGE(G:G,FlexOn*LeagueInfo!$F$2),"Starter","Bench"))</f>
        <v>Bench</v>
      </c>
      <c r="G381">
        <f t="shared" ca="1" si="31"/>
        <v>22.15</v>
      </c>
      <c r="H381">
        <f t="shared" ca="1" si="32"/>
        <v>73</v>
      </c>
      <c r="I381">
        <f>IF(C381="RB",LeagueInfo!$D$4*LeagueInfo!$F$2,IF(C381="WR",LeagueInfo!$D$5*LeagueInfo!$F$2,IF(C381="TE",LeagueInfo!$D$6*LeagueInfo!$F$2,LeagueInfo!$D$3*LeagueInfo!$F$2)))</f>
        <v>12</v>
      </c>
    </row>
    <row r="382" spans="1:9" x14ac:dyDescent="0.35">
      <c r="A382">
        <f t="shared" ca="1" si="28"/>
        <v>383</v>
      </c>
      <c r="B382" t="s">
        <v>947</v>
      </c>
      <c r="C382" t="s">
        <v>40</v>
      </c>
      <c r="D382">
        <f t="shared" ca="1" si="30"/>
        <v>20.25</v>
      </c>
      <c r="E382" s="5">
        <f t="shared" ca="1" si="29"/>
        <v>-81.83</v>
      </c>
      <c r="F382" t="str">
        <f ca="1">IF(H382&lt;=I382,"Starter",IF(G382&gt;=LARGE(G:G,FlexOn*LeagueInfo!$F$2),"Starter","Bench"))</f>
        <v>Bench</v>
      </c>
      <c r="G382">
        <f t="shared" ca="1" si="31"/>
        <v>20.25</v>
      </c>
      <c r="H382">
        <f t="shared" ca="1" si="32"/>
        <v>79</v>
      </c>
      <c r="I382">
        <f>IF(C382="RB",LeagueInfo!$D$4*LeagueInfo!$F$2,IF(C382="WR",LeagueInfo!$D$5*LeagueInfo!$F$2,IF(C382="TE",LeagueInfo!$D$6*LeagueInfo!$F$2,LeagueInfo!$D$3*LeagueInfo!$F$2)))</f>
        <v>12</v>
      </c>
    </row>
    <row r="383" spans="1:9" x14ac:dyDescent="0.35">
      <c r="A383">
        <f t="shared" ca="1" si="28"/>
        <v>391</v>
      </c>
      <c r="B383" t="s">
        <v>133</v>
      </c>
      <c r="C383" t="s">
        <v>26</v>
      </c>
      <c r="D383">
        <f t="shared" ca="1" si="30"/>
        <v>19.624000000000002</v>
      </c>
      <c r="E383" s="5">
        <f t="shared" ca="1" si="29"/>
        <v>-82.455999999999989</v>
      </c>
      <c r="F383" t="str">
        <f ca="1">IF(H383&lt;=I383,"Starter",IF(G383&gt;=LARGE(G:G,FlexOn*LeagueInfo!$F$2),"Starter","Bench"))</f>
        <v>Bench</v>
      </c>
      <c r="G383">
        <f t="shared" ca="1" si="31"/>
        <v>19.624000000000002</v>
      </c>
      <c r="H383">
        <f t="shared" ca="1" si="32"/>
        <v>55</v>
      </c>
      <c r="I383">
        <f>IF(C383="RB",LeagueInfo!$D$4*LeagueInfo!$F$2,IF(C383="WR",LeagueInfo!$D$5*LeagueInfo!$F$2,IF(C383="TE",LeagueInfo!$D$6*LeagueInfo!$F$2,LeagueInfo!$D$3*LeagueInfo!$F$2)))</f>
        <v>24</v>
      </c>
    </row>
    <row r="384" spans="1:9" x14ac:dyDescent="0.35">
      <c r="A384">
        <f t="shared" ca="1" si="28"/>
        <v>398</v>
      </c>
      <c r="B384" t="s">
        <v>593</v>
      </c>
      <c r="C384" t="s">
        <v>32</v>
      </c>
      <c r="D384">
        <f t="shared" ca="1" si="30"/>
        <v>19.240000000000002</v>
      </c>
      <c r="E384" s="5">
        <f t="shared" ca="1" si="29"/>
        <v>-82.84</v>
      </c>
      <c r="F384" t="str">
        <f ca="1">IF(H384&lt;=I384,"Starter",IF(G384&gt;=LARGE(G:G,FlexOn*LeagueInfo!$F$2),"Starter","Bench"))</f>
        <v>Bench</v>
      </c>
      <c r="G384">
        <f t="shared" ca="1" si="31"/>
        <v>19.240000000000002</v>
      </c>
      <c r="H384">
        <f t="shared" ca="1" si="32"/>
        <v>167</v>
      </c>
      <c r="I384">
        <f>IF(C384="RB",LeagueInfo!$D$4*LeagueInfo!$F$2,IF(C384="WR",LeagueInfo!$D$5*LeagueInfo!$F$2,IF(C384="TE",LeagueInfo!$D$6*LeagueInfo!$F$2,LeagueInfo!$D$3*LeagueInfo!$F$2)))</f>
        <v>24</v>
      </c>
    </row>
    <row r="385" spans="1:9" x14ac:dyDescent="0.35">
      <c r="A385">
        <f t="shared" ca="1" si="28"/>
        <v>314</v>
      </c>
      <c r="B385" t="s">
        <v>931</v>
      </c>
      <c r="C385" t="s">
        <v>32</v>
      </c>
      <c r="D385">
        <f t="shared" ca="1" si="30"/>
        <v>29.71</v>
      </c>
      <c r="E385" s="5">
        <f t="shared" ca="1" si="29"/>
        <v>-72.37</v>
      </c>
      <c r="F385" t="str">
        <f ca="1">IF(H385&lt;=I385,"Starter",IF(G385&gt;=LARGE(G:G,FlexOn*LeagueInfo!$F$2),"Starter","Bench"))</f>
        <v>Bench</v>
      </c>
      <c r="G385">
        <f t="shared" ca="1" si="31"/>
        <v>29.71</v>
      </c>
      <c r="H385">
        <f t="shared" ca="1" si="32"/>
        <v>137</v>
      </c>
      <c r="I385">
        <f>IF(C385="RB",LeagueInfo!$D$4*LeagueInfo!$F$2,IF(C385="WR",LeagueInfo!$D$5*LeagueInfo!$F$2,IF(C385="TE",LeagueInfo!$D$6*LeagueInfo!$F$2,LeagueInfo!$D$3*LeagueInfo!$F$2)))</f>
        <v>24</v>
      </c>
    </row>
    <row r="386" spans="1:9" x14ac:dyDescent="0.35">
      <c r="A386">
        <f t="shared" ref="A386:A449" ca="1" si="33">RANK(E386,E:E)</f>
        <v>408</v>
      </c>
      <c r="B386" t="s">
        <v>768</v>
      </c>
      <c r="C386" t="s">
        <v>25</v>
      </c>
      <c r="D386">
        <f t="shared" ca="1" si="30"/>
        <v>18.320000000000004</v>
      </c>
      <c r="E386" s="5">
        <f t="shared" ref="E386:E449" ca="1" si="34">D386-LARGE(D:D,RBCount+WRCount+TECount+QBCount)</f>
        <v>-83.759999999999991</v>
      </c>
      <c r="F386" t="str">
        <f ca="1">IF(H386&lt;=I386,"Starter",IF(G386&gt;=LARGE(G:G,FlexOn*LeagueInfo!$F$2),"Starter","Bench"))</f>
        <v>Bench</v>
      </c>
      <c r="G386">
        <f t="shared" ca="1" si="31"/>
        <v>18.320000000000004</v>
      </c>
      <c r="H386">
        <f t="shared" ca="1" si="32"/>
        <v>105</v>
      </c>
      <c r="I386">
        <f>IF(C386="RB",LeagueInfo!$D$4*LeagueInfo!$F$2,IF(C386="WR",LeagueInfo!$D$5*LeagueInfo!$F$2,IF(C386="TE",LeagueInfo!$D$6*LeagueInfo!$F$2,LeagueInfo!$D$3*LeagueInfo!$F$2)))</f>
        <v>24</v>
      </c>
    </row>
    <row r="387" spans="1:9" x14ac:dyDescent="0.35">
      <c r="A387">
        <f t="shared" ca="1" si="33"/>
        <v>407</v>
      </c>
      <c r="B387" t="s">
        <v>772</v>
      </c>
      <c r="C387" t="s">
        <v>40</v>
      </c>
      <c r="D387">
        <f t="shared" ca="1" si="30"/>
        <v>18.47</v>
      </c>
      <c r="E387" s="5">
        <f t="shared" ca="1" si="34"/>
        <v>-83.61</v>
      </c>
      <c r="F387" t="str">
        <f ca="1">IF(H387&lt;=I387,"Starter",IF(G387&gt;=LARGE(G:G,FlexOn*LeagueInfo!$F$2),"Starter","Bench"))</f>
        <v>Bench</v>
      </c>
      <c r="G387">
        <f t="shared" ca="1" si="31"/>
        <v>18.47</v>
      </c>
      <c r="H387">
        <f t="shared" ca="1" si="32"/>
        <v>86</v>
      </c>
      <c r="I387">
        <f>IF(C387="RB",LeagueInfo!$D$4*LeagueInfo!$F$2,IF(C387="WR",LeagueInfo!$D$5*LeagueInfo!$F$2,IF(C387="TE",LeagueInfo!$D$6*LeagueInfo!$F$2,LeagueInfo!$D$3*LeagueInfo!$F$2)))</f>
        <v>12</v>
      </c>
    </row>
    <row r="388" spans="1:9" x14ac:dyDescent="0.35">
      <c r="A388">
        <f t="shared" ca="1" si="33"/>
        <v>404</v>
      </c>
      <c r="B388" t="s">
        <v>105</v>
      </c>
      <c r="C388" t="s">
        <v>26</v>
      </c>
      <c r="D388">
        <f t="shared" ca="1" si="30"/>
        <v>18.918000000000003</v>
      </c>
      <c r="E388" s="5">
        <f t="shared" ca="1" si="34"/>
        <v>-83.161999999999992</v>
      </c>
      <c r="F388" t="str">
        <f ca="1">IF(H388&lt;=I388,"Starter",IF(G388&gt;=LARGE(G:G,FlexOn*LeagueInfo!$F$2),"Starter","Bench"))</f>
        <v>Bench</v>
      </c>
      <c r="G388">
        <f t="shared" ca="1" si="31"/>
        <v>18.918000000000003</v>
      </c>
      <c r="H388">
        <f t="shared" ca="1" si="32"/>
        <v>61</v>
      </c>
      <c r="I388">
        <f>IF(C388="RB",LeagueInfo!$D$4*LeagueInfo!$F$2,IF(C388="WR",LeagueInfo!$D$5*LeagueInfo!$F$2,IF(C388="TE",LeagueInfo!$D$6*LeagueInfo!$F$2,LeagueInfo!$D$3*LeagueInfo!$F$2)))</f>
        <v>24</v>
      </c>
    </row>
    <row r="389" spans="1:9" x14ac:dyDescent="0.35">
      <c r="A389">
        <f t="shared" ca="1" si="33"/>
        <v>451</v>
      </c>
      <c r="B389" t="s">
        <v>419</v>
      </c>
      <c r="C389" t="s">
        <v>26</v>
      </c>
      <c r="D389">
        <f t="shared" ca="1" si="30"/>
        <v>12.9</v>
      </c>
      <c r="E389" s="5">
        <f t="shared" ca="1" si="34"/>
        <v>-89.179999999999993</v>
      </c>
      <c r="F389" t="str">
        <f ca="1">IF(H389&lt;=I389,"Starter",IF(G389&gt;=LARGE(G:G,FlexOn*LeagueInfo!$F$2),"Starter","Bench"))</f>
        <v>Bench</v>
      </c>
      <c r="G389">
        <f t="shared" ca="1" si="31"/>
        <v>12.9</v>
      </c>
      <c r="H389">
        <f t="shared" ca="1" si="32"/>
        <v>66</v>
      </c>
      <c r="I389">
        <f>IF(C389="RB",LeagueInfo!$D$4*LeagueInfo!$F$2,IF(C389="WR",LeagueInfo!$D$5*LeagueInfo!$F$2,IF(C389="TE",LeagueInfo!$D$6*LeagueInfo!$F$2,LeagueInfo!$D$3*LeagueInfo!$F$2)))</f>
        <v>24</v>
      </c>
    </row>
    <row r="390" spans="1:9" x14ac:dyDescent="0.35">
      <c r="A390">
        <f t="shared" ca="1" si="33"/>
        <v>307</v>
      </c>
      <c r="B390" t="s">
        <v>761</v>
      </c>
      <c r="C390" t="s">
        <v>32</v>
      </c>
      <c r="D390">
        <f t="shared" ca="1" si="30"/>
        <v>31.700000000000003</v>
      </c>
      <c r="E390" s="5">
        <f t="shared" ca="1" si="34"/>
        <v>-70.38</v>
      </c>
      <c r="F390" t="str">
        <f ca="1">IF(H390&lt;=I390,"Starter",IF(G390&gt;=LARGE(G:G,FlexOn*LeagueInfo!$F$2),"Starter","Bench"))</f>
        <v>Bench</v>
      </c>
      <c r="G390">
        <f t="shared" ca="1" si="31"/>
        <v>31.700000000000003</v>
      </c>
      <c r="H390">
        <f t="shared" ca="1" si="32"/>
        <v>133</v>
      </c>
      <c r="I390">
        <f>IF(C390="RB",LeagueInfo!$D$4*LeagueInfo!$F$2,IF(C390="WR",LeagueInfo!$D$5*LeagueInfo!$F$2,IF(C390="TE",LeagueInfo!$D$6*LeagueInfo!$F$2,LeagueInfo!$D$3*LeagueInfo!$F$2)))</f>
        <v>24</v>
      </c>
    </row>
    <row r="391" spans="1:9" x14ac:dyDescent="0.35">
      <c r="A391">
        <f t="shared" ca="1" si="33"/>
        <v>344</v>
      </c>
      <c r="B391" t="s">
        <v>563</v>
      </c>
      <c r="C391" t="s">
        <v>32</v>
      </c>
      <c r="D391">
        <f t="shared" ca="1" si="30"/>
        <v>24.55</v>
      </c>
      <c r="E391" s="5">
        <f t="shared" ca="1" si="34"/>
        <v>-77.53</v>
      </c>
      <c r="F391" t="str">
        <f ca="1">IF(H391&lt;=I391,"Starter",IF(G391&gt;=LARGE(G:G,FlexOn*LeagueInfo!$F$2),"Starter","Bench"))</f>
        <v>Bench</v>
      </c>
      <c r="G391">
        <f t="shared" ca="1" si="31"/>
        <v>24.55</v>
      </c>
      <c r="H391">
        <f t="shared" ca="1" si="32"/>
        <v>152</v>
      </c>
      <c r="I391">
        <f>IF(C391="RB",LeagueInfo!$D$4*LeagueInfo!$F$2,IF(C391="WR",LeagueInfo!$D$5*LeagueInfo!$F$2,IF(C391="TE",LeagueInfo!$D$6*LeagueInfo!$F$2,LeagueInfo!$D$3*LeagueInfo!$F$2)))</f>
        <v>24</v>
      </c>
    </row>
    <row r="392" spans="1:9" x14ac:dyDescent="0.35">
      <c r="A392">
        <f t="shared" ca="1" si="33"/>
        <v>405</v>
      </c>
      <c r="B392" t="s">
        <v>580</v>
      </c>
      <c r="C392" t="s">
        <v>26</v>
      </c>
      <c r="D392">
        <f t="shared" ca="1" si="30"/>
        <v>18.881999999999998</v>
      </c>
      <c r="E392" s="5">
        <f t="shared" ca="1" si="34"/>
        <v>-83.198000000000008</v>
      </c>
      <c r="F392" t="str">
        <f ca="1">IF(H392&lt;=I392,"Starter",IF(G392&gt;=LARGE(G:G,FlexOn*LeagueInfo!$F$2),"Starter","Bench"))</f>
        <v>Bench</v>
      </c>
      <c r="G392">
        <f t="shared" ca="1" si="31"/>
        <v>18.881999999999998</v>
      </c>
      <c r="H392">
        <f t="shared" ca="1" si="32"/>
        <v>62</v>
      </c>
      <c r="I392">
        <f>IF(C392="RB",LeagueInfo!$D$4*LeagueInfo!$F$2,IF(C392="WR",LeagueInfo!$D$5*LeagueInfo!$F$2,IF(C392="TE",LeagueInfo!$D$6*LeagueInfo!$F$2,LeagueInfo!$D$3*LeagueInfo!$F$2)))</f>
        <v>24</v>
      </c>
    </row>
    <row r="393" spans="1:9" x14ac:dyDescent="0.35">
      <c r="A393">
        <f t="shared" ca="1" si="33"/>
        <v>403</v>
      </c>
      <c r="B393" t="s">
        <v>536</v>
      </c>
      <c r="C393" t="s">
        <v>26</v>
      </c>
      <c r="D393">
        <f t="shared" ca="1" si="30"/>
        <v>18.946000000000002</v>
      </c>
      <c r="E393" s="5">
        <f t="shared" ca="1" si="34"/>
        <v>-83.134</v>
      </c>
      <c r="F393" t="str">
        <f ca="1">IF(H393&lt;=I393,"Starter",IF(G393&gt;=LARGE(G:G,FlexOn*LeagueInfo!$F$2),"Starter","Bench"))</f>
        <v>Bench</v>
      </c>
      <c r="G393">
        <f t="shared" ca="1" si="31"/>
        <v>18.946000000000002</v>
      </c>
      <c r="H393">
        <f t="shared" ca="1" si="32"/>
        <v>60</v>
      </c>
      <c r="I393">
        <f>IF(C393="RB",LeagueInfo!$D$4*LeagueInfo!$F$2,IF(C393="WR",LeagueInfo!$D$5*LeagueInfo!$F$2,IF(C393="TE",LeagueInfo!$D$6*LeagueInfo!$F$2,LeagueInfo!$D$3*LeagueInfo!$F$2)))</f>
        <v>24</v>
      </c>
    </row>
    <row r="394" spans="1:9" x14ac:dyDescent="0.35">
      <c r="A394">
        <f t="shared" ca="1" si="33"/>
        <v>433</v>
      </c>
      <c r="B394" t="s">
        <v>791</v>
      </c>
      <c r="C394" t="s">
        <v>32</v>
      </c>
      <c r="D394">
        <f t="shared" ca="1" si="30"/>
        <v>15.16</v>
      </c>
      <c r="E394" s="5">
        <f t="shared" ca="1" si="34"/>
        <v>-86.92</v>
      </c>
      <c r="F394" t="str">
        <f ca="1">IF(H394&lt;=I394,"Starter",IF(G394&gt;=LARGE(G:G,FlexOn*LeagueInfo!$F$2),"Starter","Bench"))</f>
        <v>Bench</v>
      </c>
      <c r="G394">
        <f t="shared" ca="1" si="31"/>
        <v>15.16</v>
      </c>
      <c r="H394">
        <f t="shared" ca="1" si="32"/>
        <v>178</v>
      </c>
      <c r="I394">
        <f>IF(C394="RB",LeagueInfo!$D$4*LeagueInfo!$F$2,IF(C394="WR",LeagueInfo!$D$5*LeagueInfo!$F$2,IF(C394="TE",LeagueInfo!$D$6*LeagueInfo!$F$2,LeagueInfo!$D$3*LeagueInfo!$F$2)))</f>
        <v>24</v>
      </c>
    </row>
    <row r="395" spans="1:9" x14ac:dyDescent="0.35">
      <c r="A395">
        <f t="shared" ca="1" si="33"/>
        <v>399</v>
      </c>
      <c r="B395" t="s">
        <v>858</v>
      </c>
      <c r="C395" t="s">
        <v>26</v>
      </c>
      <c r="D395">
        <f t="shared" ca="1" si="30"/>
        <v>19.118000000000002</v>
      </c>
      <c r="E395" s="5">
        <f t="shared" ca="1" si="34"/>
        <v>-82.961999999999989</v>
      </c>
      <c r="F395" t="str">
        <f ca="1">IF(H395&lt;=I395,"Starter",IF(G395&gt;=LARGE(G:G,FlexOn*LeagueInfo!$F$2),"Starter","Bench"))</f>
        <v>Bench</v>
      </c>
      <c r="G395">
        <f t="shared" ca="1" si="31"/>
        <v>19.118000000000002</v>
      </c>
      <c r="H395">
        <f t="shared" ca="1" si="32"/>
        <v>59</v>
      </c>
      <c r="I395">
        <f>IF(C395="RB",LeagueInfo!$D$4*LeagueInfo!$F$2,IF(C395="WR",LeagueInfo!$D$5*LeagueInfo!$F$2,IF(C395="TE",LeagueInfo!$D$6*LeagueInfo!$F$2,LeagueInfo!$D$3*LeagueInfo!$F$2)))</f>
        <v>24</v>
      </c>
    </row>
    <row r="396" spans="1:9" x14ac:dyDescent="0.35">
      <c r="A396">
        <f t="shared" ca="1" si="33"/>
        <v>295</v>
      </c>
      <c r="B396" t="s">
        <v>849</v>
      </c>
      <c r="C396" t="s">
        <v>32</v>
      </c>
      <c r="D396">
        <f t="shared" ca="1" si="30"/>
        <v>33.800000000000004</v>
      </c>
      <c r="E396" s="5">
        <f t="shared" ca="1" si="34"/>
        <v>-68.28</v>
      </c>
      <c r="F396" t="str">
        <f ca="1">IF(H396&lt;=I396,"Starter",IF(G396&gt;=LARGE(G:G,FlexOn*LeagueInfo!$F$2),"Starter","Bench"))</f>
        <v>Bench</v>
      </c>
      <c r="G396">
        <f t="shared" ca="1" si="31"/>
        <v>33.800000000000004</v>
      </c>
      <c r="H396">
        <f t="shared" ca="1" si="32"/>
        <v>128</v>
      </c>
      <c r="I396">
        <f>IF(C396="RB",LeagueInfo!$D$4*LeagueInfo!$F$2,IF(C396="WR",LeagueInfo!$D$5*LeagueInfo!$F$2,IF(C396="TE",LeagueInfo!$D$6*LeagueInfo!$F$2,LeagueInfo!$D$3*LeagueInfo!$F$2)))</f>
        <v>24</v>
      </c>
    </row>
    <row r="397" spans="1:9" x14ac:dyDescent="0.35">
      <c r="A397">
        <f t="shared" ca="1" si="33"/>
        <v>428</v>
      </c>
      <c r="B397" t="s">
        <v>689</v>
      </c>
      <c r="C397" t="s">
        <v>40</v>
      </c>
      <c r="D397">
        <f t="shared" ca="1" si="30"/>
        <v>15.990000000000002</v>
      </c>
      <c r="E397" s="5">
        <f t="shared" ca="1" si="34"/>
        <v>-86.09</v>
      </c>
      <c r="F397" t="str">
        <f ca="1">IF(H397&lt;=I397,"Starter",IF(G397&gt;=LARGE(G:G,FlexOn*LeagueInfo!$F$2),"Starter","Bench"))</f>
        <v>Bench</v>
      </c>
      <c r="G397">
        <f t="shared" ca="1" si="31"/>
        <v>15.990000000000002</v>
      </c>
      <c r="H397">
        <f t="shared" ca="1" si="32"/>
        <v>91</v>
      </c>
      <c r="I397">
        <f>IF(C397="RB",LeagueInfo!$D$4*LeagueInfo!$F$2,IF(C397="WR",LeagueInfo!$D$5*LeagueInfo!$F$2,IF(C397="TE",LeagueInfo!$D$6*LeagueInfo!$F$2,LeagueInfo!$D$3*LeagueInfo!$F$2)))</f>
        <v>12</v>
      </c>
    </row>
    <row r="398" spans="1:9" x14ac:dyDescent="0.35">
      <c r="A398">
        <f t="shared" ca="1" si="33"/>
        <v>423</v>
      </c>
      <c r="B398" t="s">
        <v>1009</v>
      </c>
      <c r="C398" t="s">
        <v>32</v>
      </c>
      <c r="D398">
        <f t="shared" ca="1" si="30"/>
        <v>16.190000000000001</v>
      </c>
      <c r="E398" s="5">
        <f t="shared" ca="1" si="34"/>
        <v>-85.89</v>
      </c>
      <c r="F398" t="str">
        <f ca="1">IF(H398&lt;=I398,"Starter",IF(G398&gt;=LARGE(G:G,FlexOn*LeagueInfo!$F$2),"Starter","Bench"))</f>
        <v>Bench</v>
      </c>
      <c r="G398">
        <f t="shared" ca="1" si="31"/>
        <v>16.190000000000001</v>
      </c>
      <c r="H398">
        <f t="shared" ca="1" si="32"/>
        <v>174</v>
      </c>
      <c r="I398">
        <f>IF(C398="RB",LeagueInfo!$D$4*LeagueInfo!$F$2,IF(C398="WR",LeagueInfo!$D$5*LeagueInfo!$F$2,IF(C398="TE",LeagueInfo!$D$6*LeagueInfo!$F$2,LeagueInfo!$D$3*LeagueInfo!$F$2)))</f>
        <v>24</v>
      </c>
    </row>
    <row r="399" spans="1:9" x14ac:dyDescent="0.35">
      <c r="A399">
        <f t="shared" ca="1" si="33"/>
        <v>373</v>
      </c>
      <c r="B399" t="s">
        <v>618</v>
      </c>
      <c r="C399" t="s">
        <v>25</v>
      </c>
      <c r="D399">
        <f t="shared" ca="1" si="30"/>
        <v>21.3</v>
      </c>
      <c r="E399" s="5">
        <f t="shared" ca="1" si="34"/>
        <v>-80.78</v>
      </c>
      <c r="F399" t="str">
        <f ca="1">IF(H399&lt;=I399,"Starter",IF(G399&gt;=LARGE(G:G,FlexOn*LeagueInfo!$F$2),"Starter","Bench"))</f>
        <v>Bench</v>
      </c>
      <c r="G399">
        <f t="shared" ca="1" si="31"/>
        <v>21.3</v>
      </c>
      <c r="H399">
        <f t="shared" ca="1" si="32"/>
        <v>102</v>
      </c>
      <c r="I399">
        <f>IF(C399="RB",LeagueInfo!$D$4*LeagueInfo!$F$2,IF(C399="WR",LeagueInfo!$D$5*LeagueInfo!$F$2,IF(C399="TE",LeagueInfo!$D$6*LeagueInfo!$F$2,LeagueInfo!$D$3*LeagueInfo!$F$2)))</f>
        <v>24</v>
      </c>
    </row>
    <row r="400" spans="1:9" x14ac:dyDescent="0.35">
      <c r="A400">
        <f t="shared" ca="1" si="33"/>
        <v>411</v>
      </c>
      <c r="B400" t="s">
        <v>538</v>
      </c>
      <c r="C400" t="s">
        <v>26</v>
      </c>
      <c r="D400">
        <f t="shared" ca="1" si="30"/>
        <v>18.050000000000004</v>
      </c>
      <c r="E400" s="5">
        <f t="shared" ca="1" si="34"/>
        <v>-84.03</v>
      </c>
      <c r="F400" t="str">
        <f ca="1">IF(H400&lt;=I400,"Starter",IF(G400&gt;=LARGE(G:G,FlexOn*LeagueInfo!$F$2),"Starter","Bench"))</f>
        <v>Bench</v>
      </c>
      <c r="G400">
        <f t="shared" ca="1" si="31"/>
        <v>18.050000000000004</v>
      </c>
      <c r="H400">
        <f t="shared" ca="1" si="32"/>
        <v>63</v>
      </c>
      <c r="I400">
        <f>IF(C400="RB",LeagueInfo!$D$4*LeagueInfo!$F$2,IF(C400="WR",LeagueInfo!$D$5*LeagueInfo!$F$2,IF(C400="TE",LeagueInfo!$D$6*LeagueInfo!$F$2,LeagueInfo!$D$3*LeagueInfo!$F$2)))</f>
        <v>24</v>
      </c>
    </row>
    <row r="401" spans="1:9" x14ac:dyDescent="0.35">
      <c r="A401">
        <f t="shared" ca="1" si="33"/>
        <v>412</v>
      </c>
      <c r="B401" t="s">
        <v>132</v>
      </c>
      <c r="C401" t="s">
        <v>26</v>
      </c>
      <c r="D401">
        <f t="shared" ca="1" si="30"/>
        <v>17.98</v>
      </c>
      <c r="E401" s="5">
        <f t="shared" ca="1" si="34"/>
        <v>-84.1</v>
      </c>
      <c r="F401" t="str">
        <f ca="1">IF(H401&lt;=I401,"Starter",IF(G401&gt;=LARGE(G:G,FlexOn*LeagueInfo!$F$2),"Starter","Bench"))</f>
        <v>Bench</v>
      </c>
      <c r="G401">
        <f t="shared" ca="1" si="31"/>
        <v>17.98</v>
      </c>
      <c r="H401">
        <f t="shared" ca="1" si="32"/>
        <v>64</v>
      </c>
      <c r="I401">
        <f>IF(C401="RB",LeagueInfo!$D$4*LeagueInfo!$F$2,IF(C401="WR",LeagueInfo!$D$5*LeagueInfo!$F$2,IF(C401="TE",LeagueInfo!$D$6*LeagueInfo!$F$2,LeagueInfo!$D$3*LeagueInfo!$F$2)))</f>
        <v>24</v>
      </c>
    </row>
    <row r="402" spans="1:9" x14ac:dyDescent="0.35">
      <c r="A402">
        <f t="shared" ca="1" si="33"/>
        <v>294</v>
      </c>
      <c r="B402" t="s">
        <v>624</v>
      </c>
      <c r="C402" t="s">
        <v>25</v>
      </c>
      <c r="D402">
        <f t="shared" ca="1" si="30"/>
        <v>34.040000000000006</v>
      </c>
      <c r="E402" s="5">
        <f t="shared" ca="1" si="34"/>
        <v>-68.039999999999992</v>
      </c>
      <c r="F402" t="str">
        <f ca="1">IF(H402&lt;=I402,"Starter",IF(G402&gt;=LARGE(G:G,FlexOn*LeagueInfo!$F$2),"Starter","Bench"))</f>
        <v>Bench</v>
      </c>
      <c r="G402">
        <f t="shared" ca="1" si="31"/>
        <v>34.040000000000006</v>
      </c>
      <c r="H402">
        <f t="shared" ca="1" si="32"/>
        <v>84</v>
      </c>
      <c r="I402">
        <f>IF(C402="RB",LeagueInfo!$D$4*LeagueInfo!$F$2,IF(C402="WR",LeagueInfo!$D$5*LeagueInfo!$F$2,IF(C402="TE",LeagueInfo!$D$6*LeagueInfo!$F$2,LeagueInfo!$D$3*LeagueInfo!$F$2)))</f>
        <v>24</v>
      </c>
    </row>
    <row r="403" spans="1:9" x14ac:dyDescent="0.35">
      <c r="A403">
        <f t="shared" ca="1" si="33"/>
        <v>443</v>
      </c>
      <c r="B403" t="s">
        <v>961</v>
      </c>
      <c r="C403" t="s">
        <v>25</v>
      </c>
      <c r="D403">
        <f t="shared" ca="1" si="30"/>
        <v>14.33</v>
      </c>
      <c r="E403" s="5">
        <f t="shared" ca="1" si="34"/>
        <v>-87.75</v>
      </c>
      <c r="F403" t="str">
        <f ca="1">IF(H403&lt;=I403,"Starter",IF(G403&gt;=LARGE(G:G,FlexOn*LeagueInfo!$F$2),"Starter","Bench"))</f>
        <v>Bench</v>
      </c>
      <c r="G403">
        <f t="shared" ca="1" si="31"/>
        <v>14.33</v>
      </c>
      <c r="H403">
        <f t="shared" ca="1" si="32"/>
        <v>113</v>
      </c>
      <c r="I403">
        <f>IF(C403="RB",LeagueInfo!$D$4*LeagueInfo!$F$2,IF(C403="WR",LeagueInfo!$D$5*LeagueInfo!$F$2,IF(C403="TE",LeagueInfo!$D$6*LeagueInfo!$F$2,LeagueInfo!$D$3*LeagueInfo!$F$2)))</f>
        <v>24</v>
      </c>
    </row>
    <row r="404" spans="1:9" x14ac:dyDescent="0.35">
      <c r="A404">
        <f t="shared" ca="1" si="33"/>
        <v>394</v>
      </c>
      <c r="B404" t="s">
        <v>454</v>
      </c>
      <c r="C404" t="s">
        <v>40</v>
      </c>
      <c r="D404">
        <f t="shared" ca="1" si="30"/>
        <v>19.48</v>
      </c>
      <c r="E404" s="5">
        <f t="shared" ca="1" si="34"/>
        <v>-82.6</v>
      </c>
      <c r="F404" t="str">
        <f ca="1">IF(H404&lt;=I404,"Starter",IF(G404&gt;=LARGE(G:G,FlexOn*LeagueInfo!$F$2),"Starter","Bench"))</f>
        <v>Bench</v>
      </c>
      <c r="G404">
        <f t="shared" ca="1" si="31"/>
        <v>19.48</v>
      </c>
      <c r="H404">
        <f t="shared" ca="1" si="32"/>
        <v>83</v>
      </c>
      <c r="I404">
        <f>IF(C404="RB",LeagueInfo!$D$4*LeagueInfo!$F$2,IF(C404="WR",LeagueInfo!$D$5*LeagueInfo!$F$2,IF(C404="TE",LeagueInfo!$D$6*LeagueInfo!$F$2,LeagueInfo!$D$3*LeagueInfo!$F$2)))</f>
        <v>12</v>
      </c>
    </row>
    <row r="405" spans="1:9" x14ac:dyDescent="0.35">
      <c r="A405">
        <f t="shared" ca="1" si="33"/>
        <v>478</v>
      </c>
      <c r="B405" t="s">
        <v>420</v>
      </c>
      <c r="C405" t="s">
        <v>26</v>
      </c>
      <c r="D405">
        <f t="shared" ca="1" si="30"/>
        <v>9.8999999999999986</v>
      </c>
      <c r="E405" s="5">
        <f t="shared" ca="1" si="34"/>
        <v>-92.18</v>
      </c>
      <c r="F405" t="str">
        <f ca="1">IF(H405&lt;=I405,"Starter",IF(G405&gt;=LARGE(G:G,FlexOn*LeagueInfo!$F$2),"Starter","Bench"))</f>
        <v>Bench</v>
      </c>
      <c r="G405">
        <f t="shared" ca="1" si="31"/>
        <v>9.8999999999999986</v>
      </c>
      <c r="H405">
        <f t="shared" ca="1" si="32"/>
        <v>76</v>
      </c>
      <c r="I405">
        <f>IF(C405="RB",LeagueInfo!$D$4*LeagueInfo!$F$2,IF(C405="WR",LeagueInfo!$D$5*LeagueInfo!$F$2,IF(C405="TE",LeagueInfo!$D$6*LeagueInfo!$F$2,LeagueInfo!$D$3*LeagueInfo!$F$2)))</f>
        <v>24</v>
      </c>
    </row>
    <row r="406" spans="1:9" x14ac:dyDescent="0.35">
      <c r="A406">
        <f t="shared" ca="1" si="33"/>
        <v>341</v>
      </c>
      <c r="B406" t="s">
        <v>860</v>
      </c>
      <c r="C406" t="s">
        <v>26</v>
      </c>
      <c r="D406">
        <f t="shared" ca="1" si="30"/>
        <v>24.680000000000003</v>
      </c>
      <c r="E406" s="5">
        <f t="shared" ca="1" si="34"/>
        <v>-77.399999999999991</v>
      </c>
      <c r="F406" t="str">
        <f ca="1">IF(H406&lt;=I406,"Starter",IF(G406&gt;=LARGE(G:G,FlexOn*LeagueInfo!$F$2),"Starter","Bench"))</f>
        <v>Bench</v>
      </c>
      <c r="G406">
        <f t="shared" ca="1" si="31"/>
        <v>24.680000000000003</v>
      </c>
      <c r="H406">
        <f t="shared" ca="1" si="32"/>
        <v>44</v>
      </c>
      <c r="I406">
        <f>IF(C406="RB",LeagueInfo!$D$4*LeagueInfo!$F$2,IF(C406="WR",LeagueInfo!$D$5*LeagueInfo!$F$2,IF(C406="TE",LeagueInfo!$D$6*LeagueInfo!$F$2,LeagueInfo!$D$3*LeagueInfo!$F$2)))</f>
        <v>24</v>
      </c>
    </row>
    <row r="407" spans="1:9" x14ac:dyDescent="0.35">
      <c r="A407">
        <f t="shared" ca="1" si="33"/>
        <v>435</v>
      </c>
      <c r="B407" t="s">
        <v>705</v>
      </c>
      <c r="C407" t="s">
        <v>40</v>
      </c>
      <c r="D407">
        <f t="shared" ca="1" si="30"/>
        <v>15.030000000000001</v>
      </c>
      <c r="E407" s="5">
        <f t="shared" ca="1" si="34"/>
        <v>-87.05</v>
      </c>
      <c r="F407" t="str">
        <f ca="1">IF(H407&lt;=I407,"Starter",IF(G407&gt;=LARGE(G:G,FlexOn*LeagueInfo!$F$2),"Starter","Bench"))</f>
        <v>Bench</v>
      </c>
      <c r="G407">
        <f t="shared" ca="1" si="31"/>
        <v>15.030000000000001</v>
      </c>
      <c r="H407">
        <f t="shared" ca="1" si="32"/>
        <v>95</v>
      </c>
      <c r="I407">
        <f>IF(C407="RB",LeagueInfo!$D$4*LeagueInfo!$F$2,IF(C407="WR",LeagueInfo!$D$5*LeagueInfo!$F$2,IF(C407="TE",LeagueInfo!$D$6*LeagueInfo!$F$2,LeagueInfo!$D$3*LeagueInfo!$F$2)))</f>
        <v>12</v>
      </c>
    </row>
    <row r="408" spans="1:9" x14ac:dyDescent="0.35">
      <c r="A408">
        <f t="shared" ca="1" si="33"/>
        <v>415</v>
      </c>
      <c r="B408" t="s">
        <v>431</v>
      </c>
      <c r="C408" t="s">
        <v>25</v>
      </c>
      <c r="D408">
        <f t="shared" ca="1" si="30"/>
        <v>17.810000000000002</v>
      </c>
      <c r="E408" s="5">
        <f t="shared" ca="1" si="34"/>
        <v>-84.27</v>
      </c>
      <c r="F408" t="str">
        <f ca="1">IF(H408&lt;=I408,"Starter",IF(G408&gt;=LARGE(G:G,FlexOn*LeagueInfo!$F$2),"Starter","Bench"))</f>
        <v>Bench</v>
      </c>
      <c r="G408">
        <f t="shared" ca="1" si="31"/>
        <v>17.810000000000002</v>
      </c>
      <c r="H408">
        <f t="shared" ca="1" si="32"/>
        <v>108</v>
      </c>
      <c r="I408">
        <f>IF(C408="RB",LeagueInfo!$D$4*LeagueInfo!$F$2,IF(C408="WR",LeagueInfo!$D$5*LeagueInfo!$F$2,IF(C408="TE",LeagueInfo!$D$6*LeagueInfo!$F$2,LeagueInfo!$D$3*LeagueInfo!$F$2)))</f>
        <v>24</v>
      </c>
    </row>
    <row r="409" spans="1:9" x14ac:dyDescent="0.35">
      <c r="A409">
        <f t="shared" ca="1" si="33"/>
        <v>259</v>
      </c>
      <c r="B409" t="s">
        <v>840</v>
      </c>
      <c r="C409" t="s">
        <v>25</v>
      </c>
      <c r="D409">
        <f t="shared" ca="1" si="30"/>
        <v>48.23</v>
      </c>
      <c r="E409" s="5">
        <f t="shared" ca="1" si="34"/>
        <v>-53.85</v>
      </c>
      <c r="F409" t="str">
        <f ca="1">IF(H409&lt;=I409,"Starter",IF(G409&gt;=LARGE(G:G,FlexOn*LeagueInfo!$F$2),"Starter","Bench"))</f>
        <v>Bench</v>
      </c>
      <c r="G409">
        <f t="shared" ca="1" si="31"/>
        <v>48.23</v>
      </c>
      <c r="H409">
        <f t="shared" ca="1" si="32"/>
        <v>71</v>
      </c>
      <c r="I409">
        <f>IF(C409="RB",LeagueInfo!$D$4*LeagueInfo!$F$2,IF(C409="WR",LeagueInfo!$D$5*LeagueInfo!$F$2,IF(C409="TE",LeagueInfo!$D$6*LeagueInfo!$F$2,LeagueInfo!$D$3*LeagueInfo!$F$2)))</f>
        <v>24</v>
      </c>
    </row>
    <row r="410" spans="1:9" x14ac:dyDescent="0.35">
      <c r="A410">
        <f t="shared" ca="1" si="33"/>
        <v>414</v>
      </c>
      <c r="B410" t="s">
        <v>690</v>
      </c>
      <c r="C410" t="s">
        <v>25</v>
      </c>
      <c r="D410">
        <f t="shared" ca="1" si="30"/>
        <v>17.830000000000002</v>
      </c>
      <c r="E410" s="5">
        <f t="shared" ca="1" si="34"/>
        <v>-84.25</v>
      </c>
      <c r="F410" t="str">
        <f ca="1">IF(H410&lt;=I410,"Starter",IF(G410&gt;=LARGE(G:G,FlexOn*LeagueInfo!$F$2),"Starter","Bench"))</f>
        <v>Bench</v>
      </c>
      <c r="G410">
        <f t="shared" ca="1" si="31"/>
        <v>17.830000000000002</v>
      </c>
      <c r="H410">
        <f t="shared" ca="1" si="32"/>
        <v>107</v>
      </c>
      <c r="I410">
        <f>IF(C410="RB",LeagueInfo!$D$4*LeagueInfo!$F$2,IF(C410="WR",LeagueInfo!$D$5*LeagueInfo!$F$2,IF(C410="TE",LeagueInfo!$D$6*LeagueInfo!$F$2,LeagueInfo!$D$3*LeagueInfo!$F$2)))</f>
        <v>24</v>
      </c>
    </row>
    <row r="411" spans="1:9" x14ac:dyDescent="0.35">
      <c r="A411">
        <f t="shared" ca="1" si="33"/>
        <v>423</v>
      </c>
      <c r="B411" t="s">
        <v>467</v>
      </c>
      <c r="C411" t="s">
        <v>25</v>
      </c>
      <c r="D411">
        <f t="shared" ca="1" si="30"/>
        <v>16.190000000000001</v>
      </c>
      <c r="E411" s="5">
        <f t="shared" ca="1" si="34"/>
        <v>-85.89</v>
      </c>
      <c r="F411" t="str">
        <f ca="1">IF(H411&lt;=I411,"Starter",IF(G411&gt;=LARGE(G:G,FlexOn*LeagueInfo!$F$2),"Starter","Bench"))</f>
        <v>Bench</v>
      </c>
      <c r="G411">
        <f t="shared" ca="1" si="31"/>
        <v>16.190000000000001</v>
      </c>
      <c r="H411">
        <f t="shared" ca="1" si="32"/>
        <v>110</v>
      </c>
      <c r="I411">
        <f>IF(C411="RB",LeagueInfo!$D$4*LeagueInfo!$F$2,IF(C411="WR",LeagueInfo!$D$5*LeagueInfo!$F$2,IF(C411="TE",LeagueInfo!$D$6*LeagueInfo!$F$2,LeagueInfo!$D$3*LeagueInfo!$F$2)))</f>
        <v>24</v>
      </c>
    </row>
    <row r="412" spans="1:9" x14ac:dyDescent="0.35">
      <c r="A412">
        <f t="shared" ca="1" si="33"/>
        <v>431</v>
      </c>
      <c r="B412" t="s">
        <v>458</v>
      </c>
      <c r="C412" t="s">
        <v>40</v>
      </c>
      <c r="D412">
        <f t="shared" ca="1" si="30"/>
        <v>15.559999999999999</v>
      </c>
      <c r="E412" s="5">
        <f t="shared" ca="1" si="34"/>
        <v>-86.52</v>
      </c>
      <c r="F412" t="str">
        <f ca="1">IF(H412&lt;=I412,"Starter",IF(G412&gt;=LARGE(G:G,FlexOn*LeagueInfo!$F$2),"Starter","Bench"))</f>
        <v>Bench</v>
      </c>
      <c r="G412">
        <f t="shared" ca="1" si="31"/>
        <v>15.559999999999999</v>
      </c>
      <c r="H412">
        <f t="shared" ca="1" si="32"/>
        <v>93</v>
      </c>
      <c r="I412">
        <f>IF(C412="RB",LeagueInfo!$D$4*LeagueInfo!$F$2,IF(C412="WR",LeagueInfo!$D$5*LeagueInfo!$F$2,IF(C412="TE",LeagueInfo!$D$6*LeagueInfo!$F$2,LeagueInfo!$D$3*LeagueInfo!$F$2)))</f>
        <v>12</v>
      </c>
    </row>
    <row r="413" spans="1:9" x14ac:dyDescent="0.35">
      <c r="A413">
        <f t="shared" ca="1" si="33"/>
        <v>454</v>
      </c>
      <c r="B413" t="s">
        <v>843</v>
      </c>
      <c r="C413" t="s">
        <v>40</v>
      </c>
      <c r="D413">
        <f t="shared" ca="1" si="30"/>
        <v>12.55</v>
      </c>
      <c r="E413" s="5">
        <f t="shared" ca="1" si="34"/>
        <v>-89.53</v>
      </c>
      <c r="F413" t="str">
        <f ca="1">IF(H413&lt;=I413,"Starter",IF(G413&gt;=LARGE(G:G,FlexOn*LeagueInfo!$F$2),"Starter","Bench"))</f>
        <v>Bench</v>
      </c>
      <c r="G413">
        <f t="shared" ca="1" si="31"/>
        <v>12.55</v>
      </c>
      <c r="H413">
        <f t="shared" ca="1" si="32"/>
        <v>99</v>
      </c>
      <c r="I413">
        <f>IF(C413="RB",LeagueInfo!$D$4*LeagueInfo!$F$2,IF(C413="WR",LeagueInfo!$D$5*LeagueInfo!$F$2,IF(C413="TE",LeagueInfo!$D$6*LeagueInfo!$F$2,LeagueInfo!$D$3*LeagueInfo!$F$2)))</f>
        <v>12</v>
      </c>
    </row>
    <row r="414" spans="1:9" x14ac:dyDescent="0.35">
      <c r="A414">
        <f t="shared" ca="1" si="33"/>
        <v>449</v>
      </c>
      <c r="B414" t="s">
        <v>876</v>
      </c>
      <c r="C414" t="s">
        <v>25</v>
      </c>
      <c r="D414">
        <f t="shared" ca="1" si="30"/>
        <v>13.1</v>
      </c>
      <c r="E414" s="5">
        <f t="shared" ca="1" si="34"/>
        <v>-88.98</v>
      </c>
      <c r="F414" t="str">
        <f ca="1">IF(H414&lt;=I414,"Starter",IF(G414&gt;=LARGE(G:G,FlexOn*LeagueInfo!$F$2),"Starter","Bench"))</f>
        <v>Bench</v>
      </c>
      <c r="G414">
        <f t="shared" ca="1" si="31"/>
        <v>13.1</v>
      </c>
      <c r="H414">
        <f t="shared" ca="1" si="32"/>
        <v>115</v>
      </c>
      <c r="I414">
        <f>IF(C414="RB",LeagueInfo!$D$4*LeagueInfo!$F$2,IF(C414="WR",LeagueInfo!$D$5*LeagueInfo!$F$2,IF(C414="TE",LeagueInfo!$D$6*LeagueInfo!$F$2,LeagueInfo!$D$3*LeagueInfo!$F$2)))</f>
        <v>24</v>
      </c>
    </row>
    <row r="415" spans="1:9" x14ac:dyDescent="0.35">
      <c r="A415">
        <f t="shared" ca="1" si="33"/>
        <v>420</v>
      </c>
      <c r="B415" t="s">
        <v>573</v>
      </c>
      <c r="C415" t="s">
        <v>40</v>
      </c>
      <c r="D415">
        <f t="shared" ref="D415:D454" ca="1" si="35">INDEX(INDIRECT($C415&amp;"!P:P"),MATCH($B415,INDIRECT($C415&amp;"!B:B"),0))</f>
        <v>16.7</v>
      </c>
      <c r="E415" s="5">
        <f t="shared" ca="1" si="34"/>
        <v>-85.38</v>
      </c>
      <c r="F415" t="str">
        <f ca="1">IF(H415&lt;=I415,"Starter",IF(G415&gt;=LARGE(G:G,FlexOn*LeagueInfo!$F$2),"Starter","Bench"))</f>
        <v>Bench</v>
      </c>
      <c r="G415">
        <f t="shared" ref="G415:G454" ca="1" si="36">IF(H415&gt;I415,D415,0)</f>
        <v>16.7</v>
      </c>
      <c r="H415">
        <f t="shared" ref="H415:H454" ca="1" si="37">INDEX(INDIRECT(""&amp;C415&amp;"!A2:A489"),MATCH(B415,INDIRECT(""&amp;C415&amp;"!B2:B489"),0))</f>
        <v>89</v>
      </c>
      <c r="I415">
        <f>IF(C415="RB",LeagueInfo!$D$4*LeagueInfo!$F$2,IF(C415="WR",LeagueInfo!$D$5*LeagueInfo!$F$2,IF(C415="TE",LeagueInfo!$D$6*LeagueInfo!$F$2,LeagueInfo!$D$3*LeagueInfo!$F$2)))</f>
        <v>12</v>
      </c>
    </row>
    <row r="416" spans="1:9" x14ac:dyDescent="0.35">
      <c r="A416">
        <f t="shared" ca="1" si="33"/>
        <v>313</v>
      </c>
      <c r="B416" t="s">
        <v>960</v>
      </c>
      <c r="C416" t="s">
        <v>25</v>
      </c>
      <c r="D416">
        <f t="shared" ca="1" si="35"/>
        <v>29.889999999999997</v>
      </c>
      <c r="E416" s="5">
        <f t="shared" ca="1" si="34"/>
        <v>-72.19</v>
      </c>
      <c r="F416" t="str">
        <f ca="1">IF(H416&lt;=I416,"Starter",IF(G416&gt;=LARGE(G:G,FlexOn*LeagueInfo!$F$2),"Starter","Bench"))</f>
        <v>Bench</v>
      </c>
      <c r="G416">
        <f t="shared" ca="1" si="36"/>
        <v>29.889999999999997</v>
      </c>
      <c r="H416">
        <f t="shared" ca="1" si="37"/>
        <v>89</v>
      </c>
      <c r="I416">
        <f>IF(C416="RB",LeagueInfo!$D$4*LeagueInfo!$F$2,IF(C416="WR",LeagueInfo!$D$5*LeagueInfo!$F$2,IF(C416="TE",LeagueInfo!$D$6*LeagueInfo!$F$2,LeagueInfo!$D$3*LeagueInfo!$F$2)))</f>
        <v>24</v>
      </c>
    </row>
    <row r="417" spans="1:9" x14ac:dyDescent="0.35">
      <c r="A417">
        <f t="shared" ca="1" si="33"/>
        <v>432</v>
      </c>
      <c r="B417" t="s">
        <v>483</v>
      </c>
      <c r="C417" t="s">
        <v>40</v>
      </c>
      <c r="D417">
        <f t="shared" ca="1" si="35"/>
        <v>15.5</v>
      </c>
      <c r="E417" s="5">
        <f t="shared" ca="1" si="34"/>
        <v>-86.58</v>
      </c>
      <c r="F417" t="str">
        <f ca="1">IF(H417&lt;=I417,"Starter",IF(G417&gt;=LARGE(G:G,FlexOn*LeagueInfo!$F$2),"Starter","Bench"))</f>
        <v>Bench</v>
      </c>
      <c r="G417">
        <f t="shared" ca="1" si="36"/>
        <v>15.5</v>
      </c>
      <c r="H417">
        <f t="shared" ca="1" si="37"/>
        <v>94</v>
      </c>
      <c r="I417">
        <f>IF(C417="RB",LeagueInfo!$D$4*LeagueInfo!$F$2,IF(C417="WR",LeagueInfo!$D$5*LeagueInfo!$F$2,IF(C417="TE",LeagueInfo!$D$6*LeagueInfo!$F$2,LeagueInfo!$D$3*LeagueInfo!$F$2)))</f>
        <v>12</v>
      </c>
    </row>
    <row r="418" spans="1:9" x14ac:dyDescent="0.35">
      <c r="A418">
        <f t="shared" ca="1" si="33"/>
        <v>446</v>
      </c>
      <c r="B418" t="s">
        <v>570</v>
      </c>
      <c r="C418" t="s">
        <v>40</v>
      </c>
      <c r="D418">
        <f t="shared" ca="1" si="35"/>
        <v>13.870000000000001</v>
      </c>
      <c r="E418" s="5">
        <f t="shared" ca="1" si="34"/>
        <v>-88.21</v>
      </c>
      <c r="F418" t="str">
        <f ca="1">IF(H418&lt;=I418,"Starter",IF(G418&gt;=LARGE(G:G,FlexOn*LeagueInfo!$F$2),"Starter","Bench"))</f>
        <v>Bench</v>
      </c>
      <c r="G418">
        <f t="shared" ca="1" si="36"/>
        <v>13.870000000000001</v>
      </c>
      <c r="H418">
        <f t="shared" ca="1" si="37"/>
        <v>97</v>
      </c>
      <c r="I418">
        <f>IF(C418="RB",LeagueInfo!$D$4*LeagueInfo!$F$2,IF(C418="WR",LeagueInfo!$D$5*LeagueInfo!$F$2,IF(C418="TE",LeagueInfo!$D$6*LeagueInfo!$F$2,LeagueInfo!$D$3*LeagueInfo!$F$2)))</f>
        <v>12</v>
      </c>
    </row>
    <row r="419" spans="1:9" x14ac:dyDescent="0.35">
      <c r="A419">
        <f t="shared" ca="1" si="33"/>
        <v>466</v>
      </c>
      <c r="B419" t="s">
        <v>762</v>
      </c>
      <c r="C419" t="s">
        <v>25</v>
      </c>
      <c r="D419">
        <f t="shared" ca="1" si="35"/>
        <v>11.200000000000001</v>
      </c>
      <c r="E419" s="5">
        <f t="shared" ca="1" si="34"/>
        <v>-90.88</v>
      </c>
      <c r="F419" t="str">
        <f ca="1">IF(H419&lt;=I419,"Starter",IF(G419&gt;=LARGE(G:G,FlexOn*LeagueInfo!$F$2),"Starter","Bench"))</f>
        <v>Bench</v>
      </c>
      <c r="G419">
        <f t="shared" ca="1" si="36"/>
        <v>11.200000000000001</v>
      </c>
      <c r="H419">
        <f t="shared" ca="1" si="37"/>
        <v>117</v>
      </c>
      <c r="I419">
        <f>IF(C419="RB",LeagueInfo!$D$4*LeagueInfo!$F$2,IF(C419="WR",LeagueInfo!$D$5*LeagueInfo!$F$2,IF(C419="TE",LeagueInfo!$D$6*LeagueInfo!$F$2,LeagueInfo!$D$3*LeagueInfo!$F$2)))</f>
        <v>24</v>
      </c>
    </row>
    <row r="420" spans="1:9" x14ac:dyDescent="0.35">
      <c r="A420">
        <f t="shared" ca="1" si="33"/>
        <v>315</v>
      </c>
      <c r="B420" t="s">
        <v>518</v>
      </c>
      <c r="C420" t="s">
        <v>25</v>
      </c>
      <c r="D420">
        <f t="shared" ca="1" si="35"/>
        <v>29.360000000000007</v>
      </c>
      <c r="E420" s="5">
        <f t="shared" ca="1" si="34"/>
        <v>-72.72</v>
      </c>
      <c r="F420" t="str">
        <f ca="1">IF(H420&lt;=I420,"Starter",IF(G420&gt;=LARGE(G:G,FlexOn*LeagueInfo!$F$2),"Starter","Bench"))</f>
        <v>Bench</v>
      </c>
      <c r="G420">
        <f t="shared" ca="1" si="36"/>
        <v>29.360000000000007</v>
      </c>
      <c r="H420">
        <f t="shared" ca="1" si="37"/>
        <v>90</v>
      </c>
      <c r="I420">
        <f>IF(C420="RB",LeagueInfo!$D$4*LeagueInfo!$F$2,IF(C420="WR",LeagueInfo!$D$5*LeagueInfo!$F$2,IF(C420="TE",LeagueInfo!$D$6*LeagueInfo!$F$2,LeagueInfo!$D$3*LeagueInfo!$F$2)))</f>
        <v>24</v>
      </c>
    </row>
    <row r="421" spans="1:9" x14ac:dyDescent="0.35">
      <c r="A421">
        <f t="shared" ca="1" si="33"/>
        <v>444</v>
      </c>
      <c r="B421" t="s">
        <v>574</v>
      </c>
      <c r="C421" t="s">
        <v>40</v>
      </c>
      <c r="D421">
        <f t="shared" ca="1" si="35"/>
        <v>14.070000000000002</v>
      </c>
      <c r="E421" s="5">
        <f t="shared" ca="1" si="34"/>
        <v>-88.009999999999991</v>
      </c>
      <c r="F421" t="str">
        <f ca="1">IF(H421&lt;=I421,"Starter",IF(G421&gt;=LARGE(G:G,FlexOn*LeagueInfo!$F$2),"Starter","Bench"))</f>
        <v>Bench</v>
      </c>
      <c r="G421">
        <f t="shared" ca="1" si="36"/>
        <v>14.070000000000002</v>
      </c>
      <c r="H421">
        <f t="shared" ca="1" si="37"/>
        <v>96</v>
      </c>
      <c r="I421">
        <f>IF(C421="RB",LeagueInfo!$D$4*LeagueInfo!$F$2,IF(C421="WR",LeagueInfo!$D$5*LeagueInfo!$F$2,IF(C421="TE",LeagueInfo!$D$6*LeagueInfo!$F$2,LeagueInfo!$D$3*LeagueInfo!$F$2)))</f>
        <v>12</v>
      </c>
    </row>
    <row r="422" spans="1:9" x14ac:dyDescent="0.35">
      <c r="A422">
        <f t="shared" ca="1" si="33"/>
        <v>445</v>
      </c>
      <c r="B422" t="s">
        <v>1112</v>
      </c>
      <c r="C422" t="s">
        <v>25</v>
      </c>
      <c r="D422">
        <f t="shared" ca="1" si="35"/>
        <v>13.899999999999999</v>
      </c>
      <c r="E422" s="5">
        <f t="shared" ca="1" si="34"/>
        <v>-88.18</v>
      </c>
      <c r="F422" t="str">
        <f ca="1">IF(H422&lt;=I422,"Starter",IF(G422&gt;=LARGE(G:G,FlexOn*LeagueInfo!$F$2),"Starter","Bench"))</f>
        <v>Bench</v>
      </c>
      <c r="G422">
        <f t="shared" ca="1" si="36"/>
        <v>13.899999999999999</v>
      </c>
      <c r="H422">
        <f t="shared" ca="1" si="37"/>
        <v>114</v>
      </c>
      <c r="I422">
        <f>IF(C422="RB",LeagueInfo!$D$4*LeagueInfo!$F$2,IF(C422="WR",LeagueInfo!$D$5*LeagueInfo!$F$2,IF(C422="TE",LeagueInfo!$D$6*LeagueInfo!$F$2,LeagueInfo!$D$3*LeagueInfo!$F$2)))</f>
        <v>24</v>
      </c>
    </row>
    <row r="423" spans="1:9" x14ac:dyDescent="0.35">
      <c r="A423">
        <f t="shared" ca="1" si="33"/>
        <v>453</v>
      </c>
      <c r="B423" t="s">
        <v>533</v>
      </c>
      <c r="C423" t="s">
        <v>26</v>
      </c>
      <c r="D423">
        <f t="shared" ca="1" si="35"/>
        <v>12.7</v>
      </c>
      <c r="E423" s="5">
        <f t="shared" ca="1" si="34"/>
        <v>-89.38</v>
      </c>
      <c r="F423" t="str">
        <f ca="1">IF(H423&lt;=I423,"Starter",IF(G423&gt;=LARGE(G:G,FlexOn*LeagueInfo!$F$2),"Starter","Bench"))</f>
        <v>Bench</v>
      </c>
      <c r="G423">
        <f t="shared" ca="1" si="36"/>
        <v>12.7</v>
      </c>
      <c r="H423">
        <f t="shared" ca="1" si="37"/>
        <v>67</v>
      </c>
      <c r="I423">
        <f>IF(C423="RB",LeagueInfo!$D$4*LeagueInfo!$F$2,IF(C423="WR",LeagueInfo!$D$5*LeagueInfo!$F$2,IF(C423="TE",LeagueInfo!$D$6*LeagueInfo!$F$2,LeagueInfo!$D$3*LeagueInfo!$F$2)))</f>
        <v>24</v>
      </c>
    </row>
    <row r="424" spans="1:9" x14ac:dyDescent="0.35">
      <c r="A424">
        <f t="shared" ca="1" si="33"/>
        <v>479</v>
      </c>
      <c r="B424" t="s">
        <v>754</v>
      </c>
      <c r="C424" t="s">
        <v>26</v>
      </c>
      <c r="D424">
        <f t="shared" ca="1" si="35"/>
        <v>9.7000000000000011</v>
      </c>
      <c r="E424" s="5">
        <f t="shared" ca="1" si="34"/>
        <v>-92.38</v>
      </c>
      <c r="F424" t="str">
        <f ca="1">IF(H424&lt;=I424,"Starter",IF(G424&gt;=LARGE(G:G,FlexOn*LeagueInfo!$F$2),"Starter","Bench"))</f>
        <v>Bench</v>
      </c>
      <c r="G424">
        <f t="shared" ca="1" si="36"/>
        <v>9.7000000000000011</v>
      </c>
      <c r="H424">
        <f t="shared" ca="1" si="37"/>
        <v>77</v>
      </c>
      <c r="I424">
        <f>IF(C424="RB",LeagueInfo!$D$4*LeagueInfo!$F$2,IF(C424="WR",LeagueInfo!$D$5*LeagueInfo!$F$2,IF(C424="TE",LeagueInfo!$D$6*LeagueInfo!$F$2,LeagueInfo!$D$3*LeagueInfo!$F$2)))</f>
        <v>24</v>
      </c>
    </row>
    <row r="425" spans="1:9" x14ac:dyDescent="0.35">
      <c r="A425">
        <f t="shared" ca="1" si="33"/>
        <v>392</v>
      </c>
      <c r="B425" t="s">
        <v>582</v>
      </c>
      <c r="C425" t="s">
        <v>26</v>
      </c>
      <c r="D425">
        <f t="shared" ca="1" si="35"/>
        <v>19.542000000000002</v>
      </c>
      <c r="E425" s="5">
        <f t="shared" ca="1" si="34"/>
        <v>-82.537999999999997</v>
      </c>
      <c r="F425" t="str">
        <f ca="1">IF(H425&lt;=I425,"Starter",IF(G425&gt;=LARGE(G:G,FlexOn*LeagueInfo!$F$2),"Starter","Bench"))</f>
        <v>Bench</v>
      </c>
      <c r="G425">
        <f t="shared" ca="1" si="36"/>
        <v>19.542000000000002</v>
      </c>
      <c r="H425">
        <f t="shared" ca="1" si="37"/>
        <v>56</v>
      </c>
      <c r="I425">
        <f>IF(C425="RB",LeagueInfo!$D$4*LeagueInfo!$F$2,IF(C425="WR",LeagueInfo!$D$5*LeagueInfo!$F$2,IF(C425="TE",LeagueInfo!$D$6*LeagueInfo!$F$2,LeagueInfo!$D$3*LeagueInfo!$F$2)))</f>
        <v>24</v>
      </c>
    </row>
    <row r="426" spans="1:9" x14ac:dyDescent="0.35">
      <c r="A426">
        <f t="shared" ca="1" si="33"/>
        <v>455</v>
      </c>
      <c r="B426" t="s">
        <v>984</v>
      </c>
      <c r="C426" t="s">
        <v>26</v>
      </c>
      <c r="D426">
        <f t="shared" ca="1" si="35"/>
        <v>12.3</v>
      </c>
      <c r="E426" s="5">
        <f t="shared" ca="1" si="34"/>
        <v>-89.78</v>
      </c>
      <c r="F426" t="str">
        <f ca="1">IF(H426&lt;=I426,"Starter",IF(G426&gt;=LARGE(G:G,FlexOn*LeagueInfo!$F$2),"Starter","Bench"))</f>
        <v>Bench</v>
      </c>
      <c r="G426">
        <f t="shared" ca="1" si="36"/>
        <v>12.3</v>
      </c>
      <c r="H426">
        <f t="shared" ca="1" si="37"/>
        <v>68</v>
      </c>
      <c r="I426">
        <f>IF(C426="RB",LeagueInfo!$D$4*LeagueInfo!$F$2,IF(C426="WR",LeagueInfo!$D$5*LeagueInfo!$F$2,IF(C426="TE",LeagueInfo!$D$6*LeagueInfo!$F$2,LeagueInfo!$D$3*LeagueInfo!$F$2)))</f>
        <v>24</v>
      </c>
    </row>
    <row r="427" spans="1:9" x14ac:dyDescent="0.35">
      <c r="A427">
        <f t="shared" ca="1" si="33"/>
        <v>388</v>
      </c>
      <c r="B427" t="s">
        <v>537</v>
      </c>
      <c r="C427" t="s">
        <v>26</v>
      </c>
      <c r="D427">
        <f t="shared" ca="1" si="35"/>
        <v>19.898000000000003</v>
      </c>
      <c r="E427" s="5">
        <f t="shared" ca="1" si="34"/>
        <v>-82.181999999999988</v>
      </c>
      <c r="F427" t="str">
        <f ca="1">IF(H427&lt;=I427,"Starter",IF(G427&gt;=LARGE(G:G,FlexOn*LeagueInfo!$F$2),"Starter","Bench"))</f>
        <v>Bench</v>
      </c>
      <c r="G427">
        <f t="shared" ca="1" si="36"/>
        <v>19.898000000000003</v>
      </c>
      <c r="H427">
        <f t="shared" ca="1" si="37"/>
        <v>54</v>
      </c>
      <c r="I427">
        <f>IF(C427="RB",LeagueInfo!$D$4*LeagueInfo!$F$2,IF(C427="WR",LeagueInfo!$D$5*LeagueInfo!$F$2,IF(C427="TE",LeagueInfo!$D$6*LeagueInfo!$F$2,LeagueInfo!$D$3*LeagueInfo!$F$2)))</f>
        <v>24</v>
      </c>
    </row>
    <row r="428" spans="1:9" x14ac:dyDescent="0.35">
      <c r="A428">
        <f t="shared" ca="1" si="33"/>
        <v>460</v>
      </c>
      <c r="B428" t="s">
        <v>636</v>
      </c>
      <c r="C428" t="s">
        <v>40</v>
      </c>
      <c r="D428">
        <f t="shared" ca="1" si="35"/>
        <v>11.65</v>
      </c>
      <c r="E428" s="5">
        <f t="shared" ca="1" si="34"/>
        <v>-90.429999999999993</v>
      </c>
      <c r="F428" t="str">
        <f ca="1">IF(H428&lt;=I428,"Starter",IF(G428&gt;=LARGE(G:G,FlexOn*LeagueInfo!$F$2),"Starter","Bench"))</f>
        <v>Bench</v>
      </c>
      <c r="G428">
        <f t="shared" ca="1" si="36"/>
        <v>11.65</v>
      </c>
      <c r="H428">
        <f t="shared" ca="1" si="37"/>
        <v>100</v>
      </c>
      <c r="I428">
        <f>IF(C428="RB",LeagueInfo!$D$4*LeagueInfo!$F$2,IF(C428="WR",LeagueInfo!$D$5*LeagueInfo!$F$2,IF(C428="TE",LeagueInfo!$D$6*LeagueInfo!$F$2,LeagueInfo!$D$3*LeagueInfo!$F$2)))</f>
        <v>12</v>
      </c>
    </row>
    <row r="429" spans="1:9" x14ac:dyDescent="0.35">
      <c r="A429">
        <f t="shared" ca="1" si="33"/>
        <v>458</v>
      </c>
      <c r="B429" t="s">
        <v>535</v>
      </c>
      <c r="C429" t="s">
        <v>26</v>
      </c>
      <c r="D429">
        <f t="shared" ca="1" si="35"/>
        <v>11.93</v>
      </c>
      <c r="E429" s="5">
        <f t="shared" ca="1" si="34"/>
        <v>-90.15</v>
      </c>
      <c r="F429" t="str">
        <f ca="1">IF(H429&lt;=I429,"Starter",IF(G429&gt;=LARGE(G:G,FlexOn*LeagueInfo!$F$2),"Starter","Bench"))</f>
        <v>Bench</v>
      </c>
      <c r="G429">
        <f t="shared" ca="1" si="36"/>
        <v>11.93</v>
      </c>
      <c r="H429">
        <f t="shared" ca="1" si="37"/>
        <v>70</v>
      </c>
      <c r="I429">
        <f>IF(C429="RB",LeagueInfo!$D$4*LeagueInfo!$F$2,IF(C429="WR",LeagueInfo!$D$5*LeagueInfo!$F$2,IF(C429="TE",LeagueInfo!$D$6*LeagueInfo!$F$2,LeagueInfo!$D$3*LeagueInfo!$F$2)))</f>
        <v>24</v>
      </c>
    </row>
    <row r="430" spans="1:9" x14ac:dyDescent="0.35">
      <c r="A430">
        <f t="shared" ca="1" si="33"/>
        <v>406</v>
      </c>
      <c r="B430" t="s">
        <v>524</v>
      </c>
      <c r="C430" t="s">
        <v>25</v>
      </c>
      <c r="D430">
        <f t="shared" ca="1" si="35"/>
        <v>18.670000000000002</v>
      </c>
      <c r="E430" s="5">
        <f t="shared" ca="1" si="34"/>
        <v>-83.41</v>
      </c>
      <c r="F430" t="str">
        <f ca="1">IF(H430&lt;=I430,"Starter",IF(G430&gt;=LARGE(G:G,FlexOn*LeagueInfo!$F$2),"Starter","Bench"))</f>
        <v>Bench</v>
      </c>
      <c r="G430">
        <f t="shared" ca="1" si="36"/>
        <v>18.670000000000002</v>
      </c>
      <c r="H430">
        <f t="shared" ca="1" si="37"/>
        <v>104</v>
      </c>
      <c r="I430">
        <f>IF(C430="RB",LeagueInfo!$D$4*LeagueInfo!$F$2,IF(C430="WR",LeagueInfo!$D$5*LeagueInfo!$F$2,IF(C430="TE",LeagueInfo!$D$6*LeagueInfo!$F$2,LeagueInfo!$D$3*LeagueInfo!$F$2)))</f>
        <v>24</v>
      </c>
    </row>
    <row r="431" spans="1:9" x14ac:dyDescent="0.35">
      <c r="A431">
        <f t="shared" ca="1" si="33"/>
        <v>476</v>
      </c>
      <c r="B431" t="s">
        <v>418</v>
      </c>
      <c r="C431" t="s">
        <v>26</v>
      </c>
      <c r="D431">
        <f t="shared" ca="1" si="35"/>
        <v>9.9600000000000009</v>
      </c>
      <c r="E431" s="5">
        <f t="shared" ca="1" si="34"/>
        <v>-92.12</v>
      </c>
      <c r="F431" t="str">
        <f ca="1">IF(H431&lt;=I431,"Starter",IF(G431&gt;=LARGE(G:G,FlexOn*LeagueInfo!$F$2),"Starter","Bench"))</f>
        <v>Bench</v>
      </c>
      <c r="G431">
        <f t="shared" ca="1" si="36"/>
        <v>9.9600000000000009</v>
      </c>
      <c r="H431">
        <f t="shared" ca="1" si="37"/>
        <v>74</v>
      </c>
      <c r="I431">
        <f>IF(C431="RB",LeagueInfo!$D$4*LeagueInfo!$F$2,IF(C431="WR",LeagueInfo!$D$5*LeagueInfo!$F$2,IF(C431="TE",LeagueInfo!$D$6*LeagueInfo!$F$2,LeagueInfo!$D$3*LeagueInfo!$F$2)))</f>
        <v>24</v>
      </c>
    </row>
    <row r="432" spans="1:9" x14ac:dyDescent="0.35">
      <c r="A432">
        <f t="shared" ca="1" si="33"/>
        <v>461</v>
      </c>
      <c r="B432" t="s">
        <v>985</v>
      </c>
      <c r="C432" t="s">
        <v>26</v>
      </c>
      <c r="D432">
        <f t="shared" ca="1" si="35"/>
        <v>11.52</v>
      </c>
      <c r="E432" s="5">
        <f t="shared" ca="1" si="34"/>
        <v>-90.56</v>
      </c>
      <c r="F432" t="str">
        <f ca="1">IF(H432&lt;=I432,"Starter",IF(G432&gt;=LARGE(G:G,FlexOn*LeagueInfo!$F$2),"Starter","Bench"))</f>
        <v>Bench</v>
      </c>
      <c r="G432">
        <f t="shared" ca="1" si="36"/>
        <v>11.52</v>
      </c>
      <c r="H432">
        <f t="shared" ca="1" si="37"/>
        <v>72</v>
      </c>
      <c r="I432">
        <f>IF(C432="RB",LeagueInfo!$D$4*LeagueInfo!$F$2,IF(C432="WR",LeagueInfo!$D$5*LeagueInfo!$F$2,IF(C432="TE",LeagueInfo!$D$6*LeagueInfo!$F$2,LeagueInfo!$D$3*LeagueInfo!$F$2)))</f>
        <v>24</v>
      </c>
    </row>
    <row r="433" spans="1:9" x14ac:dyDescent="0.35">
      <c r="A433">
        <f t="shared" ca="1" si="33"/>
        <v>376</v>
      </c>
      <c r="B433" t="s">
        <v>986</v>
      </c>
      <c r="C433" t="s">
        <v>26</v>
      </c>
      <c r="D433">
        <f t="shared" ca="1" si="35"/>
        <v>20.980000000000004</v>
      </c>
      <c r="E433" s="5">
        <f t="shared" ca="1" si="34"/>
        <v>-81.099999999999994</v>
      </c>
      <c r="F433" t="str">
        <f ca="1">IF(H433&lt;=I433,"Starter",IF(G433&gt;=LARGE(G:G,FlexOn*LeagueInfo!$F$2),"Starter","Bench"))</f>
        <v>Bench</v>
      </c>
      <c r="G433">
        <f t="shared" ca="1" si="36"/>
        <v>20.980000000000004</v>
      </c>
      <c r="H433">
        <f t="shared" ca="1" si="37"/>
        <v>48</v>
      </c>
      <c r="I433">
        <f>IF(C433="RB",LeagueInfo!$D$4*LeagueInfo!$F$2,IF(C433="WR",LeagueInfo!$D$5*LeagueInfo!$F$2,IF(C433="TE",LeagueInfo!$D$6*LeagueInfo!$F$2,LeagueInfo!$D$3*LeagueInfo!$F$2)))</f>
        <v>24</v>
      </c>
    </row>
    <row r="434" spans="1:9" x14ac:dyDescent="0.35">
      <c r="A434">
        <f t="shared" ca="1" si="33"/>
        <v>489</v>
      </c>
      <c r="B434" t="s">
        <v>484</v>
      </c>
      <c r="C434" t="s">
        <v>40</v>
      </c>
      <c r="D434">
        <f t="shared" ca="1" si="35"/>
        <v>7.6000000000000005</v>
      </c>
      <c r="E434" s="5">
        <f t="shared" ca="1" si="34"/>
        <v>-94.48</v>
      </c>
      <c r="F434" t="str">
        <f ca="1">IF(H434&lt;=I434,"Starter",IF(G434&gt;=LARGE(G:G,FlexOn*LeagueInfo!$F$2),"Starter","Bench"))</f>
        <v>Bench</v>
      </c>
      <c r="G434">
        <f t="shared" ca="1" si="36"/>
        <v>7.6000000000000005</v>
      </c>
      <c r="H434">
        <f t="shared" ca="1" si="37"/>
        <v>110</v>
      </c>
      <c r="I434">
        <f>IF(C434="RB",LeagueInfo!$D$4*LeagueInfo!$F$2,IF(C434="WR",LeagueInfo!$D$5*LeagueInfo!$F$2,IF(C434="TE",LeagueInfo!$D$6*LeagueInfo!$F$2,LeagueInfo!$D$3*LeagueInfo!$F$2)))</f>
        <v>12</v>
      </c>
    </row>
    <row r="435" spans="1:9" x14ac:dyDescent="0.35">
      <c r="A435">
        <f t="shared" ca="1" si="33"/>
        <v>397</v>
      </c>
      <c r="B435" t="s">
        <v>349</v>
      </c>
      <c r="C435" t="s">
        <v>26</v>
      </c>
      <c r="D435">
        <f t="shared" ca="1" si="35"/>
        <v>19.244000000000007</v>
      </c>
      <c r="E435" s="5">
        <f t="shared" ca="1" si="34"/>
        <v>-82.835999999999984</v>
      </c>
      <c r="F435" t="str">
        <f ca="1">IF(H435&lt;=I435,"Starter",IF(G435&gt;=LARGE(G:G,FlexOn*LeagueInfo!$F$2),"Starter","Bench"))</f>
        <v>Bench</v>
      </c>
      <c r="G435">
        <f t="shared" ca="1" si="36"/>
        <v>19.244000000000007</v>
      </c>
      <c r="H435">
        <f t="shared" ca="1" si="37"/>
        <v>58</v>
      </c>
      <c r="I435">
        <f>IF(C435="RB",LeagueInfo!$D$4*LeagueInfo!$F$2,IF(C435="WR",LeagueInfo!$D$5*LeagueInfo!$F$2,IF(C435="TE",LeagueInfo!$D$6*LeagueInfo!$F$2,LeagueInfo!$D$3*LeagueInfo!$F$2)))</f>
        <v>24</v>
      </c>
    </row>
    <row r="436" spans="1:9" x14ac:dyDescent="0.35">
      <c r="A436">
        <f t="shared" ca="1" si="33"/>
        <v>473</v>
      </c>
      <c r="B436" t="s">
        <v>641</v>
      </c>
      <c r="C436" t="s">
        <v>40</v>
      </c>
      <c r="D436">
        <f t="shared" ca="1" si="35"/>
        <v>10.6</v>
      </c>
      <c r="E436" s="5">
        <f t="shared" ca="1" si="34"/>
        <v>-91.48</v>
      </c>
      <c r="F436" t="str">
        <f ca="1">IF(H436&lt;=I436,"Starter",IF(G436&gt;=LARGE(G:G,FlexOn*LeagueInfo!$F$2),"Starter","Bench"))</f>
        <v>Bench</v>
      </c>
      <c r="G436">
        <f t="shared" ca="1" si="36"/>
        <v>10.6</v>
      </c>
      <c r="H436">
        <f t="shared" ca="1" si="37"/>
        <v>105</v>
      </c>
      <c r="I436">
        <f>IF(C436="RB",LeagueInfo!$D$4*LeagueInfo!$F$2,IF(C436="WR",LeagueInfo!$D$5*LeagueInfo!$F$2,IF(C436="TE",LeagueInfo!$D$6*LeagueInfo!$F$2,LeagueInfo!$D$3*LeagueInfo!$F$2)))</f>
        <v>12</v>
      </c>
    </row>
    <row r="437" spans="1:9" x14ac:dyDescent="0.35">
      <c r="A437">
        <f t="shared" ca="1" si="33"/>
        <v>393</v>
      </c>
      <c r="B437" t="s">
        <v>776</v>
      </c>
      <c r="C437" t="s">
        <v>26</v>
      </c>
      <c r="D437">
        <f t="shared" ca="1" si="35"/>
        <v>19.504000000000005</v>
      </c>
      <c r="E437" s="5">
        <f t="shared" ca="1" si="34"/>
        <v>-82.575999999999993</v>
      </c>
      <c r="F437" t="str">
        <f ca="1">IF(H437&lt;=I437,"Starter",IF(G437&gt;=LARGE(G:G,FlexOn*LeagueInfo!$F$2),"Starter","Bench"))</f>
        <v>Bench</v>
      </c>
      <c r="G437">
        <f t="shared" ca="1" si="36"/>
        <v>19.504000000000005</v>
      </c>
      <c r="H437">
        <f t="shared" ca="1" si="37"/>
        <v>57</v>
      </c>
      <c r="I437">
        <f>IF(C437="RB",LeagueInfo!$D$4*LeagueInfo!$F$2,IF(C437="WR",LeagueInfo!$D$5*LeagueInfo!$F$2,IF(C437="TE",LeagueInfo!$D$6*LeagueInfo!$F$2,LeagueInfo!$D$3*LeagueInfo!$F$2)))</f>
        <v>24</v>
      </c>
    </row>
    <row r="438" spans="1:9" x14ac:dyDescent="0.35">
      <c r="A438">
        <f t="shared" ca="1" si="33"/>
        <v>464</v>
      </c>
      <c r="B438" t="s">
        <v>486</v>
      </c>
      <c r="C438" t="s">
        <v>40</v>
      </c>
      <c r="D438">
        <f t="shared" ca="1" si="35"/>
        <v>11.3</v>
      </c>
      <c r="E438" s="5">
        <f t="shared" ca="1" si="34"/>
        <v>-90.78</v>
      </c>
      <c r="F438" t="str">
        <f ca="1">IF(H438&lt;=I438,"Starter",IF(G438&gt;=LARGE(G:G,FlexOn*LeagueInfo!$F$2),"Starter","Bench"))</f>
        <v>Bench</v>
      </c>
      <c r="G438">
        <f t="shared" ca="1" si="36"/>
        <v>11.3</v>
      </c>
      <c r="H438">
        <f t="shared" ca="1" si="37"/>
        <v>102</v>
      </c>
      <c r="I438">
        <f>IF(C438="RB",LeagueInfo!$D$4*LeagueInfo!$F$2,IF(C438="WR",LeagueInfo!$D$5*LeagueInfo!$F$2,IF(C438="TE",LeagueInfo!$D$6*LeagueInfo!$F$2,LeagueInfo!$D$3*LeagueInfo!$F$2)))</f>
        <v>12</v>
      </c>
    </row>
    <row r="439" spans="1:9" x14ac:dyDescent="0.35">
      <c r="A439">
        <f t="shared" ca="1" si="33"/>
        <v>471</v>
      </c>
      <c r="B439" t="s">
        <v>714</v>
      </c>
      <c r="C439" t="s">
        <v>25</v>
      </c>
      <c r="D439">
        <f t="shared" ca="1" si="35"/>
        <v>10.870000000000001</v>
      </c>
      <c r="E439" s="5">
        <f t="shared" ca="1" si="34"/>
        <v>-91.21</v>
      </c>
      <c r="F439" t="str">
        <f ca="1">IF(H439&lt;=I439,"Starter",IF(G439&gt;=LARGE(G:G,FlexOn*LeagueInfo!$F$2),"Starter","Bench"))</f>
        <v>Bench</v>
      </c>
      <c r="G439">
        <f t="shared" ca="1" si="36"/>
        <v>10.870000000000001</v>
      </c>
      <c r="H439">
        <f t="shared" ca="1" si="37"/>
        <v>118</v>
      </c>
      <c r="I439">
        <f>IF(C439="RB",LeagueInfo!$D$4*LeagueInfo!$F$2,IF(C439="WR",LeagueInfo!$D$5*LeagueInfo!$F$2,IF(C439="TE",LeagueInfo!$D$6*LeagueInfo!$F$2,LeagueInfo!$D$3*LeagueInfo!$F$2)))</f>
        <v>24</v>
      </c>
    </row>
    <row r="440" spans="1:9" x14ac:dyDescent="0.35">
      <c r="A440">
        <f t="shared" ca="1" si="33"/>
        <v>462</v>
      </c>
      <c r="B440" t="s">
        <v>523</v>
      </c>
      <c r="C440" t="s">
        <v>25</v>
      </c>
      <c r="D440">
        <f t="shared" ca="1" si="35"/>
        <v>11.39</v>
      </c>
      <c r="E440" s="5">
        <f t="shared" ca="1" si="34"/>
        <v>-90.69</v>
      </c>
      <c r="F440" t="str">
        <f ca="1">IF(H440&lt;=I440,"Starter",IF(G440&gt;=LARGE(G:G,FlexOn*LeagueInfo!$F$2),"Starter","Bench"))</f>
        <v>Bench</v>
      </c>
      <c r="G440">
        <f t="shared" ca="1" si="36"/>
        <v>11.39</v>
      </c>
      <c r="H440">
        <f t="shared" ca="1" si="37"/>
        <v>116</v>
      </c>
      <c r="I440">
        <f>IF(C440="RB",LeagueInfo!$D$4*LeagueInfo!$F$2,IF(C440="WR",LeagueInfo!$D$5*LeagueInfo!$F$2,IF(C440="TE",LeagueInfo!$D$6*LeagueInfo!$F$2,LeagueInfo!$D$3*LeagueInfo!$F$2)))</f>
        <v>24</v>
      </c>
    </row>
    <row r="441" spans="1:9" x14ac:dyDescent="0.35">
      <c r="A441">
        <f t="shared" ca="1" si="33"/>
        <v>430</v>
      </c>
      <c r="B441" t="s">
        <v>770</v>
      </c>
      <c r="C441" t="s">
        <v>25</v>
      </c>
      <c r="D441">
        <f t="shared" ca="1" si="35"/>
        <v>15.630000000000003</v>
      </c>
      <c r="E441" s="5">
        <f t="shared" ca="1" si="34"/>
        <v>-86.449999999999989</v>
      </c>
      <c r="F441" t="str">
        <f ca="1">IF(H441&lt;=I441,"Starter",IF(G441&gt;=LARGE(G:G,FlexOn*LeagueInfo!$F$2),"Starter","Bench"))</f>
        <v>Bench</v>
      </c>
      <c r="G441">
        <f t="shared" ca="1" si="36"/>
        <v>15.630000000000003</v>
      </c>
      <c r="H441">
        <f t="shared" ca="1" si="37"/>
        <v>111</v>
      </c>
      <c r="I441">
        <f>IF(C441="RB",LeagueInfo!$D$4*LeagueInfo!$F$2,IF(C441="WR",LeagueInfo!$D$5*LeagueInfo!$F$2,IF(C441="TE",LeagueInfo!$D$6*LeagueInfo!$F$2,LeagueInfo!$D$3*LeagueInfo!$F$2)))</f>
        <v>24</v>
      </c>
    </row>
    <row r="442" spans="1:9" x14ac:dyDescent="0.35">
      <c r="A442">
        <f t="shared" ca="1" si="33"/>
        <v>492</v>
      </c>
      <c r="B442" t="s">
        <v>993</v>
      </c>
      <c r="C442" t="s">
        <v>25</v>
      </c>
      <c r="D442">
        <f t="shared" ca="1" si="35"/>
        <v>7.5</v>
      </c>
      <c r="E442" s="5">
        <f t="shared" ca="1" si="34"/>
        <v>-94.58</v>
      </c>
      <c r="F442" t="str">
        <f ca="1">IF(H442&lt;=I442,"Starter",IF(G442&gt;=LARGE(G:G,FlexOn*LeagueInfo!$F$2),"Starter","Bench"))</f>
        <v>Bench</v>
      </c>
      <c r="G442">
        <f t="shared" ca="1" si="36"/>
        <v>7.5</v>
      </c>
      <c r="H442">
        <f t="shared" ca="1" si="37"/>
        <v>123</v>
      </c>
      <c r="I442">
        <f>IF(C442="RB",LeagueInfo!$D$4*LeagueInfo!$F$2,IF(C442="WR",LeagueInfo!$D$5*LeagueInfo!$F$2,IF(C442="TE",LeagueInfo!$D$6*LeagueInfo!$F$2,LeagueInfo!$D$3*LeagueInfo!$F$2)))</f>
        <v>24</v>
      </c>
    </row>
    <row r="443" spans="1:9" x14ac:dyDescent="0.35">
      <c r="A443">
        <f t="shared" ca="1" si="33"/>
        <v>497</v>
      </c>
      <c r="B443" t="s">
        <v>883</v>
      </c>
      <c r="C443" t="s">
        <v>25</v>
      </c>
      <c r="D443">
        <f t="shared" ca="1" si="35"/>
        <v>6.87</v>
      </c>
      <c r="E443" s="5">
        <f t="shared" ca="1" si="34"/>
        <v>-95.21</v>
      </c>
      <c r="F443" t="str">
        <f ca="1">IF(H443&lt;=I443,"Starter",IF(G443&gt;=LARGE(G:G,FlexOn*LeagueInfo!$F$2),"Starter","Bench"))</f>
        <v>Bench</v>
      </c>
      <c r="G443">
        <f t="shared" ca="1" si="36"/>
        <v>6.87</v>
      </c>
      <c r="H443">
        <f t="shared" ca="1" si="37"/>
        <v>128</v>
      </c>
      <c r="I443">
        <f>IF(C443="RB",LeagueInfo!$D$4*LeagueInfo!$F$2,IF(C443="WR",LeagueInfo!$D$5*LeagueInfo!$F$2,IF(C443="TE",LeagueInfo!$D$6*LeagueInfo!$F$2,LeagueInfo!$D$3*LeagueInfo!$F$2)))</f>
        <v>24</v>
      </c>
    </row>
    <row r="444" spans="1:9" x14ac:dyDescent="0.35">
      <c r="A444">
        <f t="shared" ca="1" si="33"/>
        <v>501</v>
      </c>
      <c r="B444" t="s">
        <v>234</v>
      </c>
      <c r="C444" t="s">
        <v>25</v>
      </c>
      <c r="D444">
        <f t="shared" ca="1" si="35"/>
        <v>6.44</v>
      </c>
      <c r="E444" s="5">
        <f t="shared" ca="1" si="34"/>
        <v>-95.64</v>
      </c>
      <c r="F444" t="str">
        <f ca="1">IF(H444&lt;=I444,"Starter",IF(G444&gt;=LARGE(G:G,FlexOn*LeagueInfo!$F$2),"Starter","Bench"))</f>
        <v>Bench</v>
      </c>
      <c r="G444">
        <f t="shared" ca="1" si="36"/>
        <v>6.44</v>
      </c>
      <c r="H444">
        <f t="shared" ca="1" si="37"/>
        <v>131</v>
      </c>
      <c r="I444">
        <f>IF(C444="RB",LeagueInfo!$D$4*LeagueInfo!$F$2,IF(C444="WR",LeagueInfo!$D$5*LeagueInfo!$F$2,IF(C444="TE",LeagueInfo!$D$6*LeagueInfo!$F$2,LeagueInfo!$D$3*LeagueInfo!$F$2)))</f>
        <v>24</v>
      </c>
    </row>
    <row r="445" spans="1:9" x14ac:dyDescent="0.35">
      <c r="A445">
        <f t="shared" ca="1" si="33"/>
        <v>472</v>
      </c>
      <c r="B445" t="s">
        <v>884</v>
      </c>
      <c r="C445" t="s">
        <v>25</v>
      </c>
      <c r="D445">
        <f t="shared" ca="1" si="35"/>
        <v>10.77</v>
      </c>
      <c r="E445" s="5">
        <f t="shared" ca="1" si="34"/>
        <v>-91.31</v>
      </c>
      <c r="F445" t="str">
        <f ca="1">IF(H445&lt;=I445,"Starter",IF(G445&gt;=LARGE(G:G,FlexOn*LeagueInfo!$F$2),"Starter","Bench"))</f>
        <v>Bench</v>
      </c>
      <c r="G445">
        <f t="shared" ca="1" si="36"/>
        <v>10.77</v>
      </c>
      <c r="H445">
        <f t="shared" ca="1" si="37"/>
        <v>119</v>
      </c>
      <c r="I445">
        <f>IF(C445="RB",LeagueInfo!$D$4*LeagueInfo!$F$2,IF(C445="WR",LeagueInfo!$D$5*LeagueInfo!$F$2,IF(C445="TE",LeagueInfo!$D$6*LeagueInfo!$F$2,LeagueInfo!$D$3*LeagueInfo!$F$2)))</f>
        <v>24</v>
      </c>
    </row>
    <row r="446" spans="1:9" x14ac:dyDescent="0.35">
      <c r="A446">
        <f t="shared" ca="1" si="33"/>
        <v>495</v>
      </c>
      <c r="B446" t="s">
        <v>522</v>
      </c>
      <c r="C446" t="s">
        <v>25</v>
      </c>
      <c r="D446">
        <f t="shared" ca="1" si="35"/>
        <v>6.9500000000000011</v>
      </c>
      <c r="E446" s="5">
        <f t="shared" ca="1" si="34"/>
        <v>-95.13</v>
      </c>
      <c r="F446" t="str">
        <f ca="1">IF(H446&lt;=I446,"Starter",IF(G446&gt;=LARGE(G:G,FlexOn*LeagueInfo!$F$2),"Starter","Bench"))</f>
        <v>Bench</v>
      </c>
      <c r="G446">
        <f t="shared" ca="1" si="36"/>
        <v>6.9500000000000011</v>
      </c>
      <c r="H446">
        <f t="shared" ca="1" si="37"/>
        <v>126</v>
      </c>
      <c r="I446">
        <f>IF(C446="RB",LeagueInfo!$D$4*LeagueInfo!$F$2,IF(C446="WR",LeagueInfo!$D$5*LeagueInfo!$F$2,IF(C446="TE",LeagueInfo!$D$6*LeagueInfo!$F$2,LeagueInfo!$D$3*LeagueInfo!$F$2)))</f>
        <v>24</v>
      </c>
    </row>
    <row r="447" spans="1:9" x14ac:dyDescent="0.35">
      <c r="A447">
        <f t="shared" ca="1" si="33"/>
        <v>490</v>
      </c>
      <c r="B447" t="s">
        <v>429</v>
      </c>
      <c r="C447" t="s">
        <v>25</v>
      </c>
      <c r="D447">
        <f t="shared" ca="1" si="35"/>
        <v>7.59</v>
      </c>
      <c r="E447" s="5">
        <f t="shared" ca="1" si="34"/>
        <v>-94.49</v>
      </c>
      <c r="F447" t="str">
        <f ca="1">IF(H447&lt;=I447,"Starter",IF(G447&gt;=LARGE(G:G,FlexOn*LeagueInfo!$F$2),"Starter","Bench"))</f>
        <v>Bench</v>
      </c>
      <c r="G447">
        <f t="shared" ca="1" si="36"/>
        <v>7.59</v>
      </c>
      <c r="H447">
        <f t="shared" ca="1" si="37"/>
        <v>122</v>
      </c>
      <c r="I447">
        <f>IF(C447="RB",LeagueInfo!$D$4*LeagueInfo!$F$2,IF(C447="WR",LeagueInfo!$D$5*LeagueInfo!$F$2,IF(C447="TE",LeagueInfo!$D$6*LeagueInfo!$F$2,LeagueInfo!$D$3*LeagueInfo!$F$2)))</f>
        <v>24</v>
      </c>
    </row>
    <row r="448" spans="1:9" x14ac:dyDescent="0.35">
      <c r="A448">
        <f t="shared" ca="1" si="33"/>
        <v>480</v>
      </c>
      <c r="B448" t="s">
        <v>659</v>
      </c>
      <c r="C448" t="s">
        <v>25</v>
      </c>
      <c r="D448">
        <f t="shared" ca="1" si="35"/>
        <v>9.3000000000000007</v>
      </c>
      <c r="E448" s="5">
        <f t="shared" ca="1" si="34"/>
        <v>-92.78</v>
      </c>
      <c r="F448" t="str">
        <f ca="1">IF(H448&lt;=I448,"Starter",IF(G448&gt;=LARGE(G:G,FlexOn*LeagueInfo!$F$2),"Starter","Bench"))</f>
        <v>Bench</v>
      </c>
      <c r="G448">
        <f t="shared" ca="1" si="36"/>
        <v>9.3000000000000007</v>
      </c>
      <c r="H448">
        <f t="shared" ca="1" si="37"/>
        <v>120</v>
      </c>
      <c r="I448">
        <f>IF(C448="RB",LeagueInfo!$D$4*LeagueInfo!$F$2,IF(C448="WR",LeagueInfo!$D$5*LeagueInfo!$F$2,IF(C448="TE",LeagueInfo!$D$6*LeagueInfo!$F$2,LeagueInfo!$D$3*LeagueInfo!$F$2)))</f>
        <v>24</v>
      </c>
    </row>
    <row r="449" spans="1:9" x14ac:dyDescent="0.35">
      <c r="A449">
        <f t="shared" ca="1" si="33"/>
        <v>508</v>
      </c>
      <c r="B449" t="s">
        <v>625</v>
      </c>
      <c r="C449" t="s">
        <v>25</v>
      </c>
      <c r="D449">
        <f t="shared" ca="1" si="35"/>
        <v>5</v>
      </c>
      <c r="E449" s="5">
        <f t="shared" ca="1" si="34"/>
        <v>-97.08</v>
      </c>
      <c r="F449" t="str">
        <f ca="1">IF(H449&lt;=I449,"Starter",IF(G449&gt;=LARGE(G:G,FlexOn*LeagueInfo!$F$2),"Starter","Bench"))</f>
        <v>Bench</v>
      </c>
      <c r="G449">
        <f t="shared" ca="1" si="36"/>
        <v>5</v>
      </c>
      <c r="H449">
        <f t="shared" ca="1" si="37"/>
        <v>134</v>
      </c>
      <c r="I449">
        <f>IF(C449="RB",LeagueInfo!$D$4*LeagueInfo!$F$2,IF(C449="WR",LeagueInfo!$D$5*LeagueInfo!$F$2,IF(C449="TE",LeagueInfo!$D$6*LeagueInfo!$F$2,LeagueInfo!$D$3*LeagueInfo!$F$2)))</f>
        <v>24</v>
      </c>
    </row>
    <row r="450" spans="1:9" x14ac:dyDescent="0.35">
      <c r="A450">
        <f t="shared" ref="A450:A514" ca="1" si="38">RANK(E450,E:E)</f>
        <v>493</v>
      </c>
      <c r="B450" t="s">
        <v>996</v>
      </c>
      <c r="C450" t="s">
        <v>25</v>
      </c>
      <c r="D450">
        <f t="shared" ca="1" si="35"/>
        <v>7.32</v>
      </c>
      <c r="E450" s="5">
        <f t="shared" ref="E450:E513" ca="1" si="39">D450-LARGE(D:D,RBCount+WRCount+TECount+QBCount)</f>
        <v>-94.759999999999991</v>
      </c>
      <c r="F450" t="str">
        <f ca="1">IF(H450&lt;=I450,"Starter",IF(G450&gt;=LARGE(G:G,FlexOn*LeagueInfo!$F$2),"Starter","Bench"))</f>
        <v>Bench</v>
      </c>
      <c r="G450">
        <f t="shared" ca="1" si="36"/>
        <v>7.32</v>
      </c>
      <c r="H450">
        <f t="shared" ca="1" si="37"/>
        <v>124</v>
      </c>
      <c r="I450">
        <f>IF(C450="RB",LeagueInfo!$D$4*LeagueInfo!$F$2,IF(C450="WR",LeagueInfo!$D$5*LeagueInfo!$F$2,IF(C450="TE",LeagueInfo!$D$6*LeagueInfo!$F$2,LeagueInfo!$D$3*LeagueInfo!$F$2)))</f>
        <v>24</v>
      </c>
    </row>
    <row r="451" spans="1:9" x14ac:dyDescent="0.35">
      <c r="A451">
        <f t="shared" ca="1" si="38"/>
        <v>504</v>
      </c>
      <c r="B451" t="s">
        <v>997</v>
      </c>
      <c r="C451" t="s">
        <v>25</v>
      </c>
      <c r="D451">
        <f t="shared" ca="1" si="35"/>
        <v>5.8000000000000007</v>
      </c>
      <c r="E451" s="5">
        <f t="shared" ca="1" si="39"/>
        <v>-96.28</v>
      </c>
      <c r="F451" t="str">
        <f ca="1">IF(H451&lt;=I451,"Starter",IF(G451&gt;=LARGE(G:G,FlexOn*LeagueInfo!$F$2),"Starter","Bench"))</f>
        <v>Bench</v>
      </c>
      <c r="G451">
        <f t="shared" ca="1" si="36"/>
        <v>5.8000000000000007</v>
      </c>
      <c r="H451">
        <f t="shared" ca="1" si="37"/>
        <v>132</v>
      </c>
      <c r="I451">
        <f>IF(C451="RB",LeagueInfo!$D$4*LeagueInfo!$F$2,IF(C451="WR",LeagueInfo!$D$5*LeagueInfo!$F$2,IF(C451="TE",LeagueInfo!$D$6*LeagueInfo!$F$2,LeagueInfo!$D$3*LeagueInfo!$F$2)))</f>
        <v>24</v>
      </c>
    </row>
    <row r="452" spans="1:9" x14ac:dyDescent="0.35">
      <c r="A452">
        <f t="shared" ca="1" si="38"/>
        <v>499</v>
      </c>
      <c r="B452" t="s">
        <v>631</v>
      </c>
      <c r="C452" t="s">
        <v>25</v>
      </c>
      <c r="D452">
        <f t="shared" ca="1" si="35"/>
        <v>6.5600000000000005</v>
      </c>
      <c r="E452" s="5">
        <f t="shared" ca="1" si="39"/>
        <v>-95.52</v>
      </c>
      <c r="F452" t="str">
        <f ca="1">IF(H452&lt;=I452,"Starter",IF(G452&gt;=LARGE(G:G,FlexOn*LeagueInfo!$F$2),"Starter","Bench"))</f>
        <v>Bench</v>
      </c>
      <c r="G452">
        <f t="shared" ca="1" si="36"/>
        <v>6.5600000000000005</v>
      </c>
      <c r="H452">
        <f t="shared" ca="1" si="37"/>
        <v>130</v>
      </c>
      <c r="I452">
        <f>IF(C452="RB",LeagueInfo!$D$4*LeagueInfo!$F$2,IF(C452="WR",LeagueInfo!$D$5*LeagueInfo!$F$2,IF(C452="TE",LeagueInfo!$D$6*LeagueInfo!$F$2,LeagueInfo!$D$3*LeagueInfo!$F$2)))</f>
        <v>24</v>
      </c>
    </row>
    <row r="453" spans="1:9" x14ac:dyDescent="0.35">
      <c r="A453">
        <f t="shared" ca="1" si="38"/>
        <v>505</v>
      </c>
      <c r="B453" t="s">
        <v>622</v>
      </c>
      <c r="C453" t="s">
        <v>25</v>
      </c>
      <c r="D453">
        <f t="shared" ca="1" si="35"/>
        <v>5.67</v>
      </c>
      <c r="E453" s="5">
        <f t="shared" ca="1" si="39"/>
        <v>-96.41</v>
      </c>
      <c r="F453" t="str">
        <f ca="1">IF(H453&lt;=I453,"Starter",IF(G453&gt;=LARGE(G:G,FlexOn*LeagueInfo!$F$2),"Starter","Bench"))</f>
        <v>Bench</v>
      </c>
      <c r="G453">
        <f t="shared" ca="1" si="36"/>
        <v>5.67</v>
      </c>
      <c r="H453">
        <f t="shared" ca="1" si="37"/>
        <v>133</v>
      </c>
      <c r="I453">
        <f>IF(C453="RB",LeagueInfo!$D$4*LeagueInfo!$F$2,IF(C453="WR",LeagueInfo!$D$5*LeagueInfo!$F$2,IF(C453="TE",LeagueInfo!$D$6*LeagueInfo!$F$2,LeagueInfo!$D$3*LeagueInfo!$F$2)))</f>
        <v>24</v>
      </c>
    </row>
    <row r="454" spans="1:9" x14ac:dyDescent="0.35">
      <c r="A454">
        <f t="shared" ca="1" si="38"/>
        <v>498</v>
      </c>
      <c r="B454" t="s">
        <v>998</v>
      </c>
      <c r="C454" t="s">
        <v>25</v>
      </c>
      <c r="D454">
        <f t="shared" ca="1" si="35"/>
        <v>6.7600000000000007</v>
      </c>
      <c r="E454" s="5">
        <f t="shared" ca="1" si="39"/>
        <v>-95.32</v>
      </c>
      <c r="F454" t="str">
        <f ca="1">IF(H454&lt;=I454,"Starter",IF(G454&gt;=LARGE(G:G,FlexOn*LeagueInfo!$F$2),"Starter","Bench"))</f>
        <v>Bench</v>
      </c>
      <c r="G454">
        <f t="shared" ca="1" si="36"/>
        <v>6.7600000000000007</v>
      </c>
      <c r="H454">
        <f t="shared" ca="1" si="37"/>
        <v>129</v>
      </c>
      <c r="I454">
        <f>IF(C454="RB",LeagueInfo!$D$4*LeagueInfo!$F$2,IF(C454="WR",LeagueInfo!$D$5*LeagueInfo!$F$2,IF(C454="TE",LeagueInfo!$D$6*LeagueInfo!$F$2,LeagueInfo!$D$3*LeagueInfo!$F$2)))</f>
        <v>24</v>
      </c>
    </row>
    <row r="455" spans="1:9" x14ac:dyDescent="0.35">
      <c r="A455">
        <f t="shared" ca="1" si="38"/>
        <v>496</v>
      </c>
      <c r="B455" t="s">
        <v>999</v>
      </c>
      <c r="C455" t="s">
        <v>25</v>
      </c>
      <c r="D455">
        <f t="shared" ref="D455:D491" ca="1" si="40">INDEX(INDIRECT($C455&amp;"!P:P"),MATCH($B455,INDIRECT($C455&amp;"!B:B"),0))</f>
        <v>6.9</v>
      </c>
      <c r="E455" s="5">
        <f t="shared" ca="1" si="39"/>
        <v>-95.179999999999993</v>
      </c>
      <c r="F455" t="str">
        <f ca="1">IF(H455&lt;=I455,"Starter",IF(G455&gt;=LARGE(G:G,FlexOn*LeagueInfo!$F$2),"Starter","Bench"))</f>
        <v>Bench</v>
      </c>
      <c r="G455">
        <f t="shared" ref="G455:G491" ca="1" si="41">IF(H455&gt;I455,D455,0)</f>
        <v>6.9</v>
      </c>
      <c r="H455">
        <f t="shared" ref="H455:H491" ca="1" si="42">INDEX(INDIRECT(""&amp;C455&amp;"!A2:A489"),MATCH(B455,INDIRECT(""&amp;C455&amp;"!B2:B489"),0))</f>
        <v>127</v>
      </c>
      <c r="I455">
        <f>IF(C455="RB",LeagueInfo!$D$4*LeagueInfo!$F$2,IF(C455="WR",LeagueInfo!$D$5*LeagueInfo!$F$2,IF(C455="TE",LeagueInfo!$D$6*LeagueInfo!$F$2,LeagueInfo!$D$3*LeagueInfo!$F$2)))</f>
        <v>24</v>
      </c>
    </row>
    <row r="456" spans="1:9" x14ac:dyDescent="0.35">
      <c r="A456">
        <f t="shared" ca="1" si="38"/>
        <v>513</v>
      </c>
      <c r="B456" t="s">
        <v>623</v>
      </c>
      <c r="C456" t="s">
        <v>25</v>
      </c>
      <c r="D456">
        <f t="shared" ca="1" si="40"/>
        <v>2.5</v>
      </c>
      <c r="E456" s="5">
        <f t="shared" ca="1" si="39"/>
        <v>-99.58</v>
      </c>
      <c r="F456" t="str">
        <f ca="1">IF(H456&lt;=I456,"Starter",IF(G456&gt;=LARGE(G:G,FlexOn*LeagueInfo!$F$2),"Starter","Bench"))</f>
        <v>Bench</v>
      </c>
      <c r="G456">
        <f t="shared" ca="1" si="41"/>
        <v>2.5</v>
      </c>
      <c r="H456">
        <f t="shared" ca="1" si="42"/>
        <v>135</v>
      </c>
      <c r="I456">
        <f>IF(C456="RB",LeagueInfo!$D$4*LeagueInfo!$F$2,IF(C456="WR",LeagueInfo!$D$5*LeagueInfo!$F$2,IF(C456="TE",LeagueInfo!$D$6*LeagueInfo!$F$2,LeagueInfo!$D$3*LeagueInfo!$F$2)))</f>
        <v>24</v>
      </c>
    </row>
    <row r="457" spans="1:9" x14ac:dyDescent="0.35">
      <c r="A457">
        <f t="shared" ca="1" si="38"/>
        <v>308</v>
      </c>
      <c r="B457" t="s">
        <v>809</v>
      </c>
      <c r="C457" t="s">
        <v>32</v>
      </c>
      <c r="D457">
        <f t="shared" ca="1" si="40"/>
        <v>31.5</v>
      </c>
      <c r="E457" s="5">
        <f t="shared" ca="1" si="39"/>
        <v>-70.58</v>
      </c>
      <c r="F457" t="str">
        <f ca="1">IF(H457&lt;=I457,"Starter",IF(G457&gt;=LARGE(G:G,FlexOn*LeagueInfo!$F$2),"Starter","Bench"))</f>
        <v>Bench</v>
      </c>
      <c r="G457">
        <f t="shared" ca="1" si="41"/>
        <v>31.5</v>
      </c>
      <c r="H457">
        <f t="shared" ca="1" si="42"/>
        <v>134</v>
      </c>
      <c r="I457">
        <f>IF(C457="RB",LeagueInfo!$D$4*LeagueInfo!$F$2,IF(C457="WR",LeagueInfo!$D$5*LeagueInfo!$F$2,IF(C457="TE",LeagueInfo!$D$6*LeagueInfo!$F$2,LeagueInfo!$D$3*LeagueInfo!$F$2)))</f>
        <v>24</v>
      </c>
    </row>
    <row r="458" spans="1:9" x14ac:dyDescent="0.35">
      <c r="A458">
        <f t="shared" ca="1" si="38"/>
        <v>400</v>
      </c>
      <c r="B458" t="s">
        <v>409</v>
      </c>
      <c r="C458" t="s">
        <v>32</v>
      </c>
      <c r="D458">
        <f t="shared" ca="1" si="40"/>
        <v>19.010000000000002</v>
      </c>
      <c r="E458" s="5">
        <f t="shared" ca="1" si="39"/>
        <v>-83.07</v>
      </c>
      <c r="F458" t="str">
        <f ca="1">IF(H458&lt;=I458,"Starter",IF(G458&gt;=LARGE(G:G,FlexOn*LeagueInfo!$F$2),"Starter","Bench"))</f>
        <v>Bench</v>
      </c>
      <c r="G458">
        <f t="shared" ca="1" si="41"/>
        <v>19.010000000000002</v>
      </c>
      <c r="H458">
        <f t="shared" ca="1" si="42"/>
        <v>168</v>
      </c>
      <c r="I458">
        <f>IF(C458="RB",LeagueInfo!$D$4*LeagueInfo!$F$2,IF(C458="WR",LeagueInfo!$D$5*LeagueInfo!$F$2,IF(C458="TE",LeagueInfo!$D$6*LeagueInfo!$F$2,LeagueInfo!$D$3*LeagueInfo!$F$2)))</f>
        <v>24</v>
      </c>
    </row>
    <row r="459" spans="1:9" x14ac:dyDescent="0.35">
      <c r="A459">
        <f t="shared" ca="1" si="38"/>
        <v>357</v>
      </c>
      <c r="B459" t="s">
        <v>549</v>
      </c>
      <c r="C459" t="s">
        <v>32</v>
      </c>
      <c r="D459">
        <f t="shared" ca="1" si="40"/>
        <v>23.200000000000003</v>
      </c>
      <c r="E459" s="5">
        <f t="shared" ca="1" si="39"/>
        <v>-78.88</v>
      </c>
      <c r="F459" t="str">
        <f ca="1">IF(H459&lt;=I459,"Starter",IF(G459&gt;=LARGE(G:G,FlexOn*LeagueInfo!$F$2),"Starter","Bench"))</f>
        <v>Bench</v>
      </c>
      <c r="G459">
        <f t="shared" ca="1" si="41"/>
        <v>23.200000000000003</v>
      </c>
      <c r="H459">
        <f t="shared" ca="1" si="42"/>
        <v>158</v>
      </c>
      <c r="I459">
        <f>IF(C459="RB",LeagueInfo!$D$4*LeagueInfo!$F$2,IF(C459="WR",LeagueInfo!$D$5*LeagueInfo!$F$2,IF(C459="TE",LeagueInfo!$D$6*LeagueInfo!$F$2,LeagueInfo!$D$3*LeagueInfo!$F$2)))</f>
        <v>24</v>
      </c>
    </row>
    <row r="460" spans="1:9" x14ac:dyDescent="0.35">
      <c r="A460">
        <f t="shared" ca="1" si="38"/>
        <v>434</v>
      </c>
      <c r="B460" t="s">
        <v>935</v>
      </c>
      <c r="C460" t="s">
        <v>32</v>
      </c>
      <c r="D460">
        <f t="shared" ca="1" si="40"/>
        <v>15.07</v>
      </c>
      <c r="E460" s="5">
        <f t="shared" ca="1" si="39"/>
        <v>-87.009999999999991</v>
      </c>
      <c r="F460" t="str">
        <f ca="1">IF(H460&lt;=I460,"Starter",IF(G460&gt;=LARGE(G:G,FlexOn*LeagueInfo!$F$2),"Starter","Bench"))</f>
        <v>Bench</v>
      </c>
      <c r="G460">
        <f t="shared" ca="1" si="41"/>
        <v>15.07</v>
      </c>
      <c r="H460">
        <f t="shared" ca="1" si="42"/>
        <v>179</v>
      </c>
      <c r="I460">
        <f>IF(C460="RB",LeagueInfo!$D$4*LeagueInfo!$F$2,IF(C460="WR",LeagueInfo!$D$5*LeagueInfo!$F$2,IF(C460="TE",LeagueInfo!$D$6*LeagueInfo!$F$2,LeagueInfo!$D$3*LeagueInfo!$F$2)))</f>
        <v>24</v>
      </c>
    </row>
    <row r="461" spans="1:9" x14ac:dyDescent="0.35">
      <c r="A461">
        <f t="shared" ca="1" si="38"/>
        <v>422</v>
      </c>
      <c r="B461" t="s">
        <v>246</v>
      </c>
      <c r="C461" t="s">
        <v>32</v>
      </c>
      <c r="D461">
        <f t="shared" ca="1" si="40"/>
        <v>16.450000000000003</v>
      </c>
      <c r="E461" s="5">
        <f t="shared" ca="1" si="39"/>
        <v>-85.63</v>
      </c>
      <c r="F461" t="str">
        <f ca="1">IF(H461&lt;=I461,"Starter",IF(G461&gt;=LARGE(G:G,FlexOn*LeagueInfo!$F$2),"Starter","Bench"))</f>
        <v>Bench</v>
      </c>
      <c r="G461">
        <f t="shared" ca="1" si="41"/>
        <v>16.450000000000003</v>
      </c>
      <c r="H461">
        <f t="shared" ca="1" si="42"/>
        <v>173</v>
      </c>
      <c r="I461">
        <f>IF(C461="RB",LeagueInfo!$D$4*LeagueInfo!$F$2,IF(C461="WR",LeagueInfo!$D$5*LeagueInfo!$F$2,IF(C461="TE",LeagueInfo!$D$6*LeagueInfo!$F$2,LeagueInfo!$D$3*LeagueInfo!$F$2)))</f>
        <v>24</v>
      </c>
    </row>
    <row r="462" spans="1:9" x14ac:dyDescent="0.35">
      <c r="A462">
        <f t="shared" ca="1" si="38"/>
        <v>416</v>
      </c>
      <c r="B462" t="s">
        <v>497</v>
      </c>
      <c r="C462" t="s">
        <v>32</v>
      </c>
      <c r="D462">
        <f t="shared" ca="1" si="40"/>
        <v>17.739999999999998</v>
      </c>
      <c r="E462" s="5">
        <f t="shared" ca="1" si="39"/>
        <v>-84.34</v>
      </c>
      <c r="F462" t="str">
        <f ca="1">IF(H462&lt;=I462,"Starter",IF(G462&gt;=LARGE(G:G,FlexOn*LeagueInfo!$F$2),"Starter","Bench"))</f>
        <v>Bench</v>
      </c>
      <c r="G462">
        <f t="shared" ca="1" si="41"/>
        <v>17.739999999999998</v>
      </c>
      <c r="H462">
        <f t="shared" ca="1" si="42"/>
        <v>170</v>
      </c>
      <c r="I462">
        <f>IF(C462="RB",LeagueInfo!$D$4*LeagueInfo!$F$2,IF(C462="WR",LeagueInfo!$D$5*LeagueInfo!$F$2,IF(C462="TE",LeagueInfo!$D$6*LeagueInfo!$F$2,LeagueInfo!$D$3*LeagueInfo!$F$2)))</f>
        <v>24</v>
      </c>
    </row>
    <row r="463" spans="1:9" x14ac:dyDescent="0.35">
      <c r="A463">
        <f t="shared" ca="1" si="38"/>
        <v>419</v>
      </c>
      <c r="B463" t="s">
        <v>235</v>
      </c>
      <c r="C463" t="s">
        <v>32</v>
      </c>
      <c r="D463">
        <f t="shared" ca="1" si="40"/>
        <v>16.82</v>
      </c>
      <c r="E463" s="5">
        <f t="shared" ca="1" si="39"/>
        <v>-85.259999999999991</v>
      </c>
      <c r="F463" t="str">
        <f ca="1">IF(H463&lt;=I463,"Starter",IF(G463&gt;=LARGE(G:G,FlexOn*LeagueInfo!$F$2),"Starter","Bench"))</f>
        <v>Bench</v>
      </c>
      <c r="G463">
        <f t="shared" ca="1" si="41"/>
        <v>16.82</v>
      </c>
      <c r="H463">
        <f t="shared" ca="1" si="42"/>
        <v>172</v>
      </c>
      <c r="I463">
        <f>IF(C463="RB",LeagueInfo!$D$4*LeagueInfo!$F$2,IF(C463="WR",LeagueInfo!$D$5*LeagueInfo!$F$2,IF(C463="TE",LeagueInfo!$D$6*LeagueInfo!$F$2,LeagueInfo!$D$3*LeagueInfo!$F$2)))</f>
        <v>24</v>
      </c>
    </row>
    <row r="464" spans="1:9" x14ac:dyDescent="0.35">
      <c r="A464">
        <f t="shared" ca="1" si="38"/>
        <v>302</v>
      </c>
      <c r="B464" t="s">
        <v>600</v>
      </c>
      <c r="C464" t="s">
        <v>32</v>
      </c>
      <c r="D464">
        <f t="shared" ca="1" si="40"/>
        <v>32.450000000000003</v>
      </c>
      <c r="E464" s="5">
        <f t="shared" ca="1" si="39"/>
        <v>-69.63</v>
      </c>
      <c r="F464" t="str">
        <f ca="1">IF(H464&lt;=I464,"Starter",IF(G464&gt;=LARGE(G:G,FlexOn*LeagueInfo!$F$2),"Starter","Bench"))</f>
        <v>Bench</v>
      </c>
      <c r="G464">
        <f t="shared" ca="1" si="41"/>
        <v>32.450000000000003</v>
      </c>
      <c r="H464">
        <f t="shared" ca="1" si="42"/>
        <v>131</v>
      </c>
      <c r="I464">
        <f>IF(C464="RB",LeagueInfo!$D$4*LeagueInfo!$F$2,IF(C464="WR",LeagueInfo!$D$5*LeagueInfo!$F$2,IF(C464="TE",LeagueInfo!$D$6*LeagueInfo!$F$2,LeagueInfo!$D$3*LeagueInfo!$F$2)))</f>
        <v>24</v>
      </c>
    </row>
    <row r="465" spans="1:9" x14ac:dyDescent="0.35">
      <c r="A465">
        <f t="shared" ca="1" si="38"/>
        <v>357</v>
      </c>
      <c r="B465" t="s">
        <v>248</v>
      </c>
      <c r="C465" t="s">
        <v>32</v>
      </c>
      <c r="D465">
        <f t="shared" ca="1" si="40"/>
        <v>23.200000000000003</v>
      </c>
      <c r="E465" s="5">
        <f t="shared" ca="1" si="39"/>
        <v>-78.88</v>
      </c>
      <c r="F465" t="str">
        <f ca="1">IF(H465&lt;=I465,"Starter",IF(G465&gt;=LARGE(G:G,FlexOn*LeagueInfo!$F$2),"Starter","Bench"))</f>
        <v>Bench</v>
      </c>
      <c r="G465">
        <f t="shared" ca="1" si="41"/>
        <v>23.200000000000003</v>
      </c>
      <c r="H465">
        <f t="shared" ca="1" si="42"/>
        <v>158</v>
      </c>
      <c r="I465">
        <f>IF(C465="RB",LeagueInfo!$D$4*LeagueInfo!$F$2,IF(C465="WR",LeagueInfo!$D$5*LeagueInfo!$F$2,IF(C465="TE",LeagueInfo!$D$6*LeagueInfo!$F$2,LeagueInfo!$D$3*LeagueInfo!$F$2)))</f>
        <v>24</v>
      </c>
    </row>
    <row r="466" spans="1:9" x14ac:dyDescent="0.35">
      <c r="A466">
        <f t="shared" ca="1" si="38"/>
        <v>382</v>
      </c>
      <c r="B466" t="s">
        <v>795</v>
      </c>
      <c r="C466" t="s">
        <v>32</v>
      </c>
      <c r="D466">
        <f t="shared" ca="1" si="40"/>
        <v>20.3</v>
      </c>
      <c r="E466" s="5">
        <f t="shared" ca="1" si="39"/>
        <v>-81.78</v>
      </c>
      <c r="F466" t="str">
        <f ca="1">IF(H466&lt;=I466,"Starter",IF(G466&gt;=LARGE(G:G,FlexOn*LeagueInfo!$F$2),"Starter","Bench"))</f>
        <v>Bench</v>
      </c>
      <c r="G466">
        <f t="shared" ca="1" si="41"/>
        <v>20.3</v>
      </c>
      <c r="H466">
        <f t="shared" ca="1" si="42"/>
        <v>164</v>
      </c>
      <c r="I466">
        <f>IF(C466="RB",LeagueInfo!$D$4*LeagueInfo!$F$2,IF(C466="WR",LeagueInfo!$D$5*LeagueInfo!$F$2,IF(C466="TE",LeagueInfo!$D$6*LeagueInfo!$F$2,LeagueInfo!$D$3*LeagueInfo!$F$2)))</f>
        <v>24</v>
      </c>
    </row>
    <row r="467" spans="1:9" x14ac:dyDescent="0.35">
      <c r="A467">
        <f t="shared" ca="1" si="38"/>
        <v>439</v>
      </c>
      <c r="B467" t="s">
        <v>505</v>
      </c>
      <c r="C467" t="s">
        <v>32</v>
      </c>
      <c r="D467">
        <f t="shared" ca="1" si="40"/>
        <v>14.799999999999999</v>
      </c>
      <c r="E467" s="5">
        <f t="shared" ca="1" si="39"/>
        <v>-87.28</v>
      </c>
      <c r="F467" t="str">
        <f ca="1">IF(H467&lt;=I467,"Starter",IF(G467&gt;=LARGE(G:G,FlexOn*LeagueInfo!$F$2),"Starter","Bench"))</f>
        <v>Bench</v>
      </c>
      <c r="G467">
        <f t="shared" ca="1" si="41"/>
        <v>14.799999999999999</v>
      </c>
      <c r="H467">
        <f t="shared" ca="1" si="42"/>
        <v>184</v>
      </c>
      <c r="I467">
        <f>IF(C467="RB",LeagueInfo!$D$4*LeagueInfo!$F$2,IF(C467="WR",LeagueInfo!$D$5*LeagueInfo!$F$2,IF(C467="TE",LeagueInfo!$D$6*LeagueInfo!$F$2,LeagueInfo!$D$3*LeagueInfo!$F$2)))</f>
        <v>24</v>
      </c>
    </row>
    <row r="468" spans="1:9" x14ac:dyDescent="0.35">
      <c r="A468">
        <f t="shared" ca="1" si="38"/>
        <v>275</v>
      </c>
      <c r="B468" t="s">
        <v>733</v>
      </c>
      <c r="C468" t="s">
        <v>32</v>
      </c>
      <c r="D468">
        <f t="shared" ca="1" si="40"/>
        <v>42.19</v>
      </c>
      <c r="E468" s="5">
        <f t="shared" ca="1" si="39"/>
        <v>-59.89</v>
      </c>
      <c r="F468" t="str">
        <f ca="1">IF(H468&lt;=I468,"Starter",IF(G468&gt;=LARGE(G:G,FlexOn*LeagueInfo!$F$2),"Starter","Bench"))</f>
        <v>Bench</v>
      </c>
      <c r="G468">
        <f t="shared" ca="1" si="41"/>
        <v>42.19</v>
      </c>
      <c r="H468">
        <f t="shared" ca="1" si="42"/>
        <v>123</v>
      </c>
      <c r="I468">
        <f>IF(C468="RB",LeagueInfo!$D$4*LeagueInfo!$F$2,IF(C468="WR",LeagueInfo!$D$5*LeagueInfo!$F$2,IF(C468="TE",LeagueInfo!$D$6*LeagueInfo!$F$2,LeagueInfo!$D$3*LeagueInfo!$F$2)))</f>
        <v>24</v>
      </c>
    </row>
    <row r="469" spans="1:9" x14ac:dyDescent="0.35">
      <c r="A469">
        <f t="shared" ca="1" si="38"/>
        <v>440</v>
      </c>
      <c r="B469" t="s">
        <v>810</v>
      </c>
      <c r="C469" t="s">
        <v>32</v>
      </c>
      <c r="D469">
        <f t="shared" ca="1" si="40"/>
        <v>14.559999999999999</v>
      </c>
      <c r="E469" s="5">
        <f t="shared" ca="1" si="39"/>
        <v>-87.52</v>
      </c>
      <c r="F469" t="str">
        <f ca="1">IF(H469&lt;=I469,"Starter",IF(G469&gt;=LARGE(G:G,FlexOn*LeagueInfo!$F$2),"Starter","Bench"))</f>
        <v>Bench</v>
      </c>
      <c r="G469">
        <f t="shared" ca="1" si="41"/>
        <v>14.559999999999999</v>
      </c>
      <c r="H469">
        <f t="shared" ca="1" si="42"/>
        <v>186</v>
      </c>
      <c r="I469">
        <f>IF(C469="RB",LeagueInfo!$D$4*LeagueInfo!$F$2,IF(C469="WR",LeagueInfo!$D$5*LeagueInfo!$F$2,IF(C469="TE",LeagueInfo!$D$6*LeagueInfo!$F$2,LeagueInfo!$D$3*LeagueInfo!$F$2)))</f>
        <v>24</v>
      </c>
    </row>
    <row r="470" spans="1:9" x14ac:dyDescent="0.35">
      <c r="A470">
        <f t="shared" ca="1" si="38"/>
        <v>423</v>
      </c>
      <c r="B470" t="s">
        <v>788</v>
      </c>
      <c r="C470" t="s">
        <v>32</v>
      </c>
      <c r="D470">
        <f t="shared" ca="1" si="40"/>
        <v>16.190000000000001</v>
      </c>
      <c r="E470" s="5">
        <f t="shared" ca="1" si="39"/>
        <v>-85.89</v>
      </c>
      <c r="F470" t="str">
        <f ca="1">IF(H470&lt;=I470,"Starter",IF(G470&gt;=LARGE(G:G,FlexOn*LeagueInfo!$F$2),"Starter","Bench"))</f>
        <v>Bench</v>
      </c>
      <c r="G470">
        <f t="shared" ca="1" si="41"/>
        <v>16.190000000000001</v>
      </c>
      <c r="H470">
        <f t="shared" ca="1" si="42"/>
        <v>174</v>
      </c>
      <c r="I470">
        <f>IF(C470="RB",LeagueInfo!$D$4*LeagueInfo!$F$2,IF(C470="WR",LeagueInfo!$D$5*LeagueInfo!$F$2,IF(C470="TE",LeagueInfo!$D$6*LeagueInfo!$F$2,LeagueInfo!$D$3*LeagueInfo!$F$2)))</f>
        <v>24</v>
      </c>
    </row>
    <row r="471" spans="1:9" x14ac:dyDescent="0.35">
      <c r="A471">
        <f t="shared" ca="1" si="38"/>
        <v>327</v>
      </c>
      <c r="B471" t="s">
        <v>440</v>
      </c>
      <c r="C471" t="s">
        <v>32</v>
      </c>
      <c r="D471">
        <f t="shared" ca="1" si="40"/>
        <v>26.73</v>
      </c>
      <c r="E471" s="5">
        <f t="shared" ca="1" si="39"/>
        <v>-75.349999999999994</v>
      </c>
      <c r="F471" t="str">
        <f ca="1">IF(H471&lt;=I471,"Starter",IF(G471&gt;=LARGE(G:G,FlexOn*LeagueInfo!$F$2),"Starter","Bench"))</f>
        <v>Bench</v>
      </c>
      <c r="G471">
        <f t="shared" ca="1" si="41"/>
        <v>26.73</v>
      </c>
      <c r="H471">
        <f t="shared" ca="1" si="42"/>
        <v>144</v>
      </c>
      <c r="I471">
        <f>IF(C471="RB",LeagueInfo!$D$4*LeagueInfo!$F$2,IF(C471="WR",LeagueInfo!$D$5*LeagueInfo!$F$2,IF(C471="TE",LeagueInfo!$D$6*LeagueInfo!$F$2,LeagueInfo!$D$3*LeagueInfo!$F$2)))</f>
        <v>24</v>
      </c>
    </row>
    <row r="472" spans="1:9" x14ac:dyDescent="0.35">
      <c r="A472">
        <f t="shared" ca="1" si="38"/>
        <v>354</v>
      </c>
      <c r="B472" t="s">
        <v>495</v>
      </c>
      <c r="C472" t="s">
        <v>32</v>
      </c>
      <c r="D472">
        <f t="shared" ca="1" si="40"/>
        <v>23.5</v>
      </c>
      <c r="E472" s="5">
        <f t="shared" ca="1" si="39"/>
        <v>-78.58</v>
      </c>
      <c r="F472" t="str">
        <f ca="1">IF(H472&lt;=I472,"Starter",IF(G472&gt;=LARGE(G:G,FlexOn*LeagueInfo!$F$2),"Starter","Bench"))</f>
        <v>Bench</v>
      </c>
      <c r="G472">
        <f t="shared" ca="1" si="41"/>
        <v>23.5</v>
      </c>
      <c r="H472">
        <f t="shared" ca="1" si="42"/>
        <v>157</v>
      </c>
      <c r="I472">
        <f>IF(C472="RB",LeagueInfo!$D$4*LeagueInfo!$F$2,IF(C472="WR",LeagueInfo!$D$5*LeagueInfo!$F$2,IF(C472="TE",LeagueInfo!$D$6*LeagueInfo!$F$2,LeagueInfo!$D$3*LeagueInfo!$F$2)))</f>
        <v>24</v>
      </c>
    </row>
    <row r="473" spans="1:9" x14ac:dyDescent="0.35">
      <c r="A473">
        <f t="shared" ca="1" si="38"/>
        <v>436</v>
      </c>
      <c r="B473" t="s">
        <v>609</v>
      </c>
      <c r="C473" t="s">
        <v>32</v>
      </c>
      <c r="D473">
        <f t="shared" ca="1" si="40"/>
        <v>14.97</v>
      </c>
      <c r="E473" s="5">
        <f t="shared" ca="1" si="39"/>
        <v>-87.11</v>
      </c>
      <c r="F473" t="str">
        <f ca="1">IF(H473&lt;=I473,"Starter",IF(G473&gt;=LARGE(G:G,FlexOn*LeagueInfo!$F$2),"Starter","Bench"))</f>
        <v>Bench</v>
      </c>
      <c r="G473">
        <f t="shared" ca="1" si="41"/>
        <v>14.97</v>
      </c>
      <c r="H473">
        <f t="shared" ca="1" si="42"/>
        <v>181</v>
      </c>
      <c r="I473">
        <f>IF(C473="RB",LeagueInfo!$D$4*LeagueInfo!$F$2,IF(C473="WR",LeagueInfo!$D$5*LeagueInfo!$F$2,IF(C473="TE",LeagueInfo!$D$6*LeagueInfo!$F$2,LeagueInfo!$D$3*LeagueInfo!$F$2)))</f>
        <v>24</v>
      </c>
    </row>
    <row r="474" spans="1:9" x14ac:dyDescent="0.35">
      <c r="A474">
        <f t="shared" ca="1" si="38"/>
        <v>440</v>
      </c>
      <c r="B474" t="s">
        <v>444</v>
      </c>
      <c r="C474" t="s">
        <v>32</v>
      </c>
      <c r="D474">
        <f t="shared" ca="1" si="40"/>
        <v>14.56</v>
      </c>
      <c r="E474" s="5">
        <f t="shared" ca="1" si="39"/>
        <v>-87.52</v>
      </c>
      <c r="F474" t="str">
        <f ca="1">IF(H474&lt;=I474,"Starter",IF(G474&gt;=LARGE(G:G,FlexOn*LeagueInfo!$F$2),"Starter","Bench"))</f>
        <v>Bench</v>
      </c>
      <c r="G474">
        <f t="shared" ca="1" si="41"/>
        <v>14.56</v>
      </c>
      <c r="H474">
        <f t="shared" ca="1" si="42"/>
        <v>185</v>
      </c>
      <c r="I474">
        <f>IF(C474="RB",LeagueInfo!$D$4*LeagueInfo!$F$2,IF(C474="WR",LeagueInfo!$D$5*LeagueInfo!$F$2,IF(C474="TE",LeagueInfo!$D$6*LeagueInfo!$F$2,LeagueInfo!$D$3*LeagueInfo!$F$2)))</f>
        <v>24</v>
      </c>
    </row>
    <row r="475" spans="1:9" x14ac:dyDescent="0.35">
      <c r="A475">
        <f t="shared" ca="1" si="38"/>
        <v>447</v>
      </c>
      <c r="B475" t="s">
        <v>496</v>
      </c>
      <c r="C475" t="s">
        <v>32</v>
      </c>
      <c r="D475">
        <f t="shared" ca="1" si="40"/>
        <v>13.350000000000001</v>
      </c>
      <c r="E475" s="5">
        <f t="shared" ca="1" si="39"/>
        <v>-88.72999999999999</v>
      </c>
      <c r="F475" t="str">
        <f ca="1">IF(H475&lt;=I475,"Starter",IF(G475&gt;=LARGE(G:G,FlexOn*LeagueInfo!$F$2),"Starter","Bench"))</f>
        <v>Bench</v>
      </c>
      <c r="G475">
        <f t="shared" ca="1" si="41"/>
        <v>13.350000000000001</v>
      </c>
      <c r="H475">
        <f t="shared" ca="1" si="42"/>
        <v>189</v>
      </c>
      <c r="I475">
        <f>IF(C475="RB",LeagueInfo!$D$4*LeagueInfo!$F$2,IF(C475="WR",LeagueInfo!$D$5*LeagueInfo!$F$2,IF(C475="TE",LeagueInfo!$D$6*LeagueInfo!$F$2,LeagueInfo!$D$3*LeagueInfo!$F$2)))</f>
        <v>24</v>
      </c>
    </row>
    <row r="476" spans="1:9" x14ac:dyDescent="0.35">
      <c r="A476">
        <f t="shared" ca="1" si="38"/>
        <v>437</v>
      </c>
      <c r="B476" t="s">
        <v>718</v>
      </c>
      <c r="C476" t="s">
        <v>32</v>
      </c>
      <c r="D476">
        <f t="shared" ca="1" si="40"/>
        <v>14.89</v>
      </c>
      <c r="E476" s="5">
        <f t="shared" ca="1" si="39"/>
        <v>-87.19</v>
      </c>
      <c r="F476" t="str">
        <f ca="1">IF(H476&lt;=I476,"Starter",IF(G476&gt;=LARGE(G:G,FlexOn*LeagueInfo!$F$2),"Starter","Bench"))</f>
        <v>Bench</v>
      </c>
      <c r="G476">
        <f t="shared" ca="1" si="41"/>
        <v>14.89</v>
      </c>
      <c r="H476">
        <f t="shared" ca="1" si="42"/>
        <v>182</v>
      </c>
      <c r="I476">
        <f>IF(C476="RB",LeagueInfo!$D$4*LeagueInfo!$F$2,IF(C476="WR",LeagueInfo!$D$5*LeagueInfo!$F$2,IF(C476="TE",LeagueInfo!$D$6*LeagueInfo!$F$2,LeagueInfo!$D$3*LeagueInfo!$F$2)))</f>
        <v>24</v>
      </c>
    </row>
    <row r="477" spans="1:9" x14ac:dyDescent="0.35">
      <c r="A477">
        <f t="shared" ca="1" si="38"/>
        <v>362</v>
      </c>
      <c r="B477" t="s">
        <v>1013</v>
      </c>
      <c r="C477" t="s">
        <v>32</v>
      </c>
      <c r="D477">
        <f t="shared" ca="1" si="40"/>
        <v>22.8</v>
      </c>
      <c r="E477" s="5">
        <f t="shared" ca="1" si="39"/>
        <v>-79.28</v>
      </c>
      <c r="F477" t="str">
        <f ca="1">IF(H477&lt;=I477,"Starter",IF(G477&gt;=LARGE(G:G,FlexOn*LeagueInfo!$F$2),"Starter","Bench"))</f>
        <v>Bench</v>
      </c>
      <c r="G477">
        <f t="shared" ca="1" si="41"/>
        <v>22.8</v>
      </c>
      <c r="H477">
        <f t="shared" ca="1" si="42"/>
        <v>160</v>
      </c>
      <c r="I477">
        <f>IF(C477="RB",LeagueInfo!$D$4*LeagueInfo!$F$2,IF(C477="WR",LeagueInfo!$D$5*LeagueInfo!$F$2,IF(C477="TE",LeagueInfo!$D$6*LeagueInfo!$F$2,LeagueInfo!$D$3*LeagueInfo!$F$2)))</f>
        <v>24</v>
      </c>
    </row>
    <row r="478" spans="1:9" x14ac:dyDescent="0.35">
      <c r="A478">
        <f t="shared" ca="1" si="38"/>
        <v>426</v>
      </c>
      <c r="B478" t="s">
        <v>411</v>
      </c>
      <c r="C478" t="s">
        <v>32</v>
      </c>
      <c r="D478">
        <f t="shared" ca="1" si="40"/>
        <v>16.159999999999997</v>
      </c>
      <c r="E478" s="5">
        <f t="shared" ca="1" si="39"/>
        <v>-85.92</v>
      </c>
      <c r="F478" t="str">
        <f ca="1">IF(H478&lt;=I478,"Starter",IF(G478&gt;=LARGE(G:G,FlexOn*LeagueInfo!$F$2),"Starter","Bench"))</f>
        <v>Bench</v>
      </c>
      <c r="G478">
        <f t="shared" ca="1" si="41"/>
        <v>16.159999999999997</v>
      </c>
      <c r="H478">
        <f t="shared" ca="1" si="42"/>
        <v>176</v>
      </c>
      <c r="I478">
        <f>IF(C478="RB",LeagueInfo!$D$4*LeagueInfo!$F$2,IF(C478="WR",LeagueInfo!$D$5*LeagueInfo!$F$2,IF(C478="TE",LeagueInfo!$D$6*LeagueInfo!$F$2,LeagueInfo!$D$3*LeagueInfo!$F$2)))</f>
        <v>24</v>
      </c>
    </row>
    <row r="479" spans="1:9" x14ac:dyDescent="0.35">
      <c r="A479">
        <f t="shared" ca="1" si="38"/>
        <v>448</v>
      </c>
      <c r="B479" t="s">
        <v>612</v>
      </c>
      <c r="C479" t="s">
        <v>32</v>
      </c>
      <c r="D479">
        <f t="shared" ca="1" si="40"/>
        <v>13.24</v>
      </c>
      <c r="E479" s="5">
        <f t="shared" ca="1" si="39"/>
        <v>-88.84</v>
      </c>
      <c r="F479" t="str">
        <f ca="1">IF(H479&lt;=I479,"Starter",IF(G479&gt;=LARGE(G:G,FlexOn*LeagueInfo!$F$2),"Starter","Bench"))</f>
        <v>Bench</v>
      </c>
      <c r="G479">
        <f t="shared" ca="1" si="41"/>
        <v>13.24</v>
      </c>
      <c r="H479">
        <f t="shared" ca="1" si="42"/>
        <v>190</v>
      </c>
      <c r="I479">
        <f>IF(C479="RB",LeagueInfo!$D$4*LeagueInfo!$F$2,IF(C479="WR",LeagueInfo!$D$5*LeagueInfo!$F$2,IF(C479="TE",LeagueInfo!$D$6*LeagueInfo!$F$2,LeagueInfo!$D$3*LeagueInfo!$F$2)))</f>
        <v>24</v>
      </c>
    </row>
    <row r="480" spans="1:9" x14ac:dyDescent="0.35">
      <c r="A480">
        <f t="shared" ca="1" si="38"/>
        <v>450</v>
      </c>
      <c r="B480" t="s">
        <v>846</v>
      </c>
      <c r="C480" t="s">
        <v>32</v>
      </c>
      <c r="D480">
        <f t="shared" ca="1" si="40"/>
        <v>12.959999999999999</v>
      </c>
      <c r="E480" s="5">
        <f t="shared" ca="1" si="39"/>
        <v>-89.12</v>
      </c>
      <c r="F480" t="str">
        <f ca="1">IF(H480&lt;=I480,"Starter",IF(G480&gt;=LARGE(G:G,FlexOn*LeagueInfo!$F$2),"Starter","Bench"))</f>
        <v>Bench</v>
      </c>
      <c r="G480">
        <f t="shared" ca="1" si="41"/>
        <v>12.959999999999999</v>
      </c>
      <c r="H480">
        <f t="shared" ca="1" si="42"/>
        <v>191</v>
      </c>
      <c r="I480">
        <f>IF(C480="RB",LeagueInfo!$D$4*LeagueInfo!$F$2,IF(C480="WR",LeagueInfo!$D$5*LeagueInfo!$F$2,IF(C480="TE",LeagueInfo!$D$6*LeagueInfo!$F$2,LeagueInfo!$D$3*LeagueInfo!$F$2)))</f>
        <v>24</v>
      </c>
    </row>
    <row r="481" spans="1:9" x14ac:dyDescent="0.35">
      <c r="A481">
        <f t="shared" ca="1" si="38"/>
        <v>465</v>
      </c>
      <c r="B481" t="s">
        <v>1014</v>
      </c>
      <c r="C481" t="s">
        <v>32</v>
      </c>
      <c r="D481">
        <f t="shared" ca="1" si="40"/>
        <v>11.22</v>
      </c>
      <c r="E481" s="5">
        <f t="shared" ca="1" si="39"/>
        <v>-90.86</v>
      </c>
      <c r="F481" t="str">
        <f ca="1">IF(H481&lt;=I481,"Starter",IF(G481&gt;=LARGE(G:G,FlexOn*LeagueInfo!$F$2),"Starter","Bench"))</f>
        <v>Bench</v>
      </c>
      <c r="G481">
        <f t="shared" ca="1" si="41"/>
        <v>11.22</v>
      </c>
      <c r="H481">
        <f t="shared" ca="1" si="42"/>
        <v>195</v>
      </c>
      <c r="I481">
        <f>IF(C481="RB",LeagueInfo!$D$4*LeagueInfo!$F$2,IF(C481="WR",LeagueInfo!$D$5*LeagueInfo!$F$2,IF(C481="TE",LeagueInfo!$D$6*LeagueInfo!$F$2,LeagueInfo!$D$3*LeagueInfo!$F$2)))</f>
        <v>24</v>
      </c>
    </row>
    <row r="482" spans="1:9" x14ac:dyDescent="0.35">
      <c r="A482">
        <f t="shared" ca="1" si="38"/>
        <v>457</v>
      </c>
      <c r="B482" t="s">
        <v>1015</v>
      </c>
      <c r="C482" t="s">
        <v>32</v>
      </c>
      <c r="D482">
        <f t="shared" ca="1" si="40"/>
        <v>11.950000000000001</v>
      </c>
      <c r="E482" s="5">
        <f t="shared" ca="1" si="39"/>
        <v>-90.13</v>
      </c>
      <c r="F482" t="str">
        <f ca="1">IF(H482&lt;=I482,"Starter",IF(G482&gt;=LARGE(G:G,FlexOn*LeagueInfo!$F$2),"Starter","Bench"))</f>
        <v>Bench</v>
      </c>
      <c r="G482">
        <f t="shared" ca="1" si="41"/>
        <v>11.950000000000001</v>
      </c>
      <c r="H482">
        <f t="shared" ca="1" si="42"/>
        <v>193</v>
      </c>
      <c r="I482">
        <f>IF(C482="RB",LeagueInfo!$D$4*LeagueInfo!$F$2,IF(C482="WR",LeagueInfo!$D$5*LeagueInfo!$F$2,IF(C482="TE",LeagueInfo!$D$6*LeagueInfo!$F$2,LeagueInfo!$D$3*LeagueInfo!$F$2)))</f>
        <v>24</v>
      </c>
    </row>
    <row r="483" spans="1:9" x14ac:dyDescent="0.35">
      <c r="A483">
        <f t="shared" ca="1" si="38"/>
        <v>401</v>
      </c>
      <c r="B483" t="s">
        <v>366</v>
      </c>
      <c r="C483" t="s">
        <v>32</v>
      </c>
      <c r="D483">
        <f t="shared" ca="1" si="40"/>
        <v>19</v>
      </c>
      <c r="E483" s="5">
        <f t="shared" ca="1" si="39"/>
        <v>-83.08</v>
      </c>
      <c r="F483" t="str">
        <f ca="1">IF(H483&lt;=I483,"Starter",IF(G483&gt;=LARGE(G:G,FlexOn*LeagueInfo!$F$2),"Starter","Bench"))</f>
        <v>Bench</v>
      </c>
      <c r="G483">
        <f t="shared" ca="1" si="41"/>
        <v>19</v>
      </c>
      <c r="H483">
        <f t="shared" ca="1" si="42"/>
        <v>169</v>
      </c>
      <c r="I483">
        <f>IF(C483="RB",LeagueInfo!$D$4*LeagueInfo!$F$2,IF(C483="WR",LeagueInfo!$D$5*LeagueInfo!$F$2,IF(C483="TE",LeagueInfo!$D$6*LeagueInfo!$F$2,LeagueInfo!$D$3*LeagueInfo!$F$2)))</f>
        <v>24</v>
      </c>
    </row>
    <row r="484" spans="1:9" x14ac:dyDescent="0.35">
      <c r="A484">
        <f t="shared" ca="1" si="38"/>
        <v>459</v>
      </c>
      <c r="B484" t="s">
        <v>471</v>
      </c>
      <c r="C484" t="s">
        <v>32</v>
      </c>
      <c r="D484">
        <f t="shared" ca="1" si="40"/>
        <v>11.690000000000001</v>
      </c>
      <c r="E484" s="5">
        <f t="shared" ca="1" si="39"/>
        <v>-90.39</v>
      </c>
      <c r="F484" t="str">
        <f ca="1">IF(H484&lt;=I484,"Starter",IF(G484&gt;=LARGE(G:G,FlexOn*LeagueInfo!$F$2),"Starter","Bench"))</f>
        <v>Bench</v>
      </c>
      <c r="G484">
        <f t="shared" ca="1" si="41"/>
        <v>11.690000000000001</v>
      </c>
      <c r="H484">
        <f t="shared" ca="1" si="42"/>
        <v>194</v>
      </c>
      <c r="I484">
        <f>IF(C484="RB",LeagueInfo!$D$4*LeagueInfo!$F$2,IF(C484="WR",LeagueInfo!$D$5*LeagueInfo!$F$2,IF(C484="TE",LeagueInfo!$D$6*LeagueInfo!$F$2,LeagueInfo!$D$3*LeagueInfo!$F$2)))</f>
        <v>24</v>
      </c>
    </row>
    <row r="485" spans="1:9" x14ac:dyDescent="0.35">
      <c r="A485">
        <f t="shared" ca="1" si="38"/>
        <v>491</v>
      </c>
      <c r="B485" t="s">
        <v>813</v>
      </c>
      <c r="C485" t="s">
        <v>32</v>
      </c>
      <c r="D485">
        <f t="shared" ca="1" si="40"/>
        <v>7.54</v>
      </c>
      <c r="E485" s="5">
        <f t="shared" ca="1" si="39"/>
        <v>-94.539999999999992</v>
      </c>
      <c r="F485" t="str">
        <f ca="1">IF(H485&lt;=I485,"Starter",IF(G485&gt;=LARGE(G:G,FlexOn*LeagueInfo!$F$2),"Starter","Bench"))</f>
        <v>Bench</v>
      </c>
      <c r="G485">
        <f t="shared" ca="1" si="41"/>
        <v>7.54</v>
      </c>
      <c r="H485">
        <f t="shared" ca="1" si="42"/>
        <v>202</v>
      </c>
      <c r="I485">
        <f>IF(C485="RB",LeagueInfo!$D$4*LeagueInfo!$F$2,IF(C485="WR",LeagueInfo!$D$5*LeagueInfo!$F$2,IF(C485="TE",LeagueInfo!$D$6*LeagueInfo!$F$2,LeagueInfo!$D$3*LeagueInfo!$F$2)))</f>
        <v>24</v>
      </c>
    </row>
    <row r="486" spans="1:9" x14ac:dyDescent="0.35">
      <c r="A486">
        <f t="shared" ca="1" si="38"/>
        <v>500</v>
      </c>
      <c r="B486" t="s">
        <v>564</v>
      </c>
      <c r="C486" t="s">
        <v>32</v>
      </c>
      <c r="D486">
        <f t="shared" ca="1" si="40"/>
        <v>6.5299999999999994</v>
      </c>
      <c r="E486" s="5">
        <f t="shared" ca="1" si="39"/>
        <v>-95.55</v>
      </c>
      <c r="F486" t="str">
        <f ca="1">IF(H486&lt;=I486,"Starter",IF(G486&gt;=LARGE(G:G,FlexOn*LeagueInfo!$F$2),"Starter","Bench"))</f>
        <v>Bench</v>
      </c>
      <c r="G486">
        <f t="shared" ca="1" si="41"/>
        <v>6.5299999999999994</v>
      </c>
      <c r="H486">
        <f t="shared" ca="1" si="42"/>
        <v>204</v>
      </c>
      <c r="I486">
        <f>IF(C486="RB",LeagueInfo!$D$4*LeagueInfo!$F$2,IF(C486="WR",LeagueInfo!$D$5*LeagueInfo!$F$2,IF(C486="TE",LeagueInfo!$D$6*LeagueInfo!$F$2,LeagueInfo!$D$3*LeagueInfo!$F$2)))</f>
        <v>24</v>
      </c>
    </row>
    <row r="487" spans="1:9" x14ac:dyDescent="0.35">
      <c r="A487">
        <f t="shared" ca="1" si="38"/>
        <v>442</v>
      </c>
      <c r="B487" t="s">
        <v>1017</v>
      </c>
      <c r="C487" t="s">
        <v>32</v>
      </c>
      <c r="D487">
        <f t="shared" ca="1" si="40"/>
        <v>14.34</v>
      </c>
      <c r="E487" s="5">
        <f t="shared" ca="1" si="39"/>
        <v>-87.74</v>
      </c>
      <c r="F487" t="str">
        <f ca="1">IF(H487&lt;=I487,"Starter",IF(G487&gt;=LARGE(G:G,FlexOn*LeagueInfo!$F$2),"Starter","Bench"))</f>
        <v>Bench</v>
      </c>
      <c r="G487">
        <f t="shared" ca="1" si="41"/>
        <v>14.34</v>
      </c>
      <c r="H487">
        <f t="shared" ca="1" si="42"/>
        <v>187</v>
      </c>
      <c r="I487">
        <f>IF(C487="RB",LeagueInfo!$D$4*LeagueInfo!$F$2,IF(C487="WR",LeagueInfo!$D$5*LeagueInfo!$F$2,IF(C487="TE",LeagueInfo!$D$6*LeagueInfo!$F$2,LeagueInfo!$D$3*LeagueInfo!$F$2)))</f>
        <v>24</v>
      </c>
    </row>
    <row r="488" spans="1:9" x14ac:dyDescent="0.35">
      <c r="A488">
        <f t="shared" ca="1" si="38"/>
        <v>469</v>
      </c>
      <c r="B488" t="s">
        <v>1018</v>
      </c>
      <c r="C488" t="s">
        <v>32</v>
      </c>
      <c r="D488">
        <f t="shared" ca="1" si="40"/>
        <v>10.92</v>
      </c>
      <c r="E488" s="5">
        <f t="shared" ca="1" si="39"/>
        <v>-91.16</v>
      </c>
      <c r="F488" t="str">
        <f ca="1">IF(H488&lt;=I488,"Starter",IF(G488&gt;=LARGE(G:G,FlexOn*LeagueInfo!$F$2),"Starter","Bench"))</f>
        <v>Bench</v>
      </c>
      <c r="G488">
        <f t="shared" ca="1" si="41"/>
        <v>10.92</v>
      </c>
      <c r="H488">
        <f t="shared" ca="1" si="42"/>
        <v>196</v>
      </c>
      <c r="I488">
        <f>IF(C488="RB",LeagueInfo!$D$4*LeagueInfo!$F$2,IF(C488="WR",LeagueInfo!$D$5*LeagueInfo!$F$2,IF(C488="TE",LeagueInfo!$D$6*LeagueInfo!$F$2,LeagueInfo!$D$3*LeagueInfo!$F$2)))</f>
        <v>24</v>
      </c>
    </row>
    <row r="489" spans="1:9" x14ac:dyDescent="0.35">
      <c r="A489">
        <f t="shared" ca="1" si="38"/>
        <v>470</v>
      </c>
      <c r="B489" t="s">
        <v>1019</v>
      </c>
      <c r="C489" t="s">
        <v>32</v>
      </c>
      <c r="D489">
        <f t="shared" ca="1" si="40"/>
        <v>10.88</v>
      </c>
      <c r="E489" s="5">
        <f t="shared" ca="1" si="39"/>
        <v>-91.2</v>
      </c>
      <c r="F489" t="str">
        <f ca="1">IF(H489&lt;=I489,"Starter",IF(G489&gt;=LARGE(G:G,FlexOn*LeagueInfo!$F$2),"Starter","Bench"))</f>
        <v>Bench</v>
      </c>
      <c r="G489">
        <f t="shared" ca="1" si="41"/>
        <v>10.88</v>
      </c>
      <c r="H489">
        <f t="shared" ca="1" si="42"/>
        <v>197</v>
      </c>
      <c r="I489">
        <f>IF(C489="RB",LeagueInfo!$D$4*LeagueInfo!$F$2,IF(C489="WR",LeagueInfo!$D$5*LeagueInfo!$F$2,IF(C489="TE",LeagueInfo!$D$6*LeagueInfo!$F$2,LeagueInfo!$D$3*LeagueInfo!$F$2)))</f>
        <v>24</v>
      </c>
    </row>
    <row r="490" spans="1:9" x14ac:dyDescent="0.35">
      <c r="A490">
        <f t="shared" ca="1" si="38"/>
        <v>451</v>
      </c>
      <c r="B490" t="s">
        <v>363</v>
      </c>
      <c r="C490" t="s">
        <v>32</v>
      </c>
      <c r="D490">
        <f t="shared" ca="1" si="40"/>
        <v>12.9</v>
      </c>
      <c r="E490" s="5">
        <f t="shared" ca="1" si="39"/>
        <v>-89.179999999999993</v>
      </c>
      <c r="F490" t="str">
        <f ca="1">IF(H490&lt;=I490,"Starter",IF(G490&gt;=LARGE(G:G,FlexOn*LeagueInfo!$F$2),"Starter","Bench"))</f>
        <v>Bench</v>
      </c>
      <c r="G490">
        <f t="shared" ca="1" si="41"/>
        <v>12.9</v>
      </c>
      <c r="H490">
        <f t="shared" ca="1" si="42"/>
        <v>192</v>
      </c>
      <c r="I490">
        <f>IF(C490="RB",LeagueInfo!$D$4*LeagueInfo!$F$2,IF(C490="WR",LeagueInfo!$D$5*LeagueInfo!$F$2,IF(C490="TE",LeagueInfo!$D$6*LeagueInfo!$F$2,LeagueInfo!$D$3*LeagueInfo!$F$2)))</f>
        <v>24</v>
      </c>
    </row>
    <row r="491" spans="1:9" x14ac:dyDescent="0.35">
      <c r="A491">
        <f t="shared" ca="1" si="38"/>
        <v>502</v>
      </c>
      <c r="B491" t="s">
        <v>1024</v>
      </c>
      <c r="C491" t="s">
        <v>32</v>
      </c>
      <c r="D491">
        <f t="shared" ca="1" si="40"/>
        <v>6.3900000000000006</v>
      </c>
      <c r="E491" s="5">
        <f t="shared" ca="1" si="39"/>
        <v>-95.69</v>
      </c>
      <c r="F491" t="str">
        <f ca="1">IF(H491&lt;=I491,"Starter",IF(G491&gt;=LARGE(G:G,FlexOn*LeagueInfo!$F$2),"Starter","Bench"))</f>
        <v>Bench</v>
      </c>
      <c r="G491">
        <f t="shared" ca="1" si="41"/>
        <v>6.3900000000000006</v>
      </c>
      <c r="H491">
        <f t="shared" ca="1" si="42"/>
        <v>205</v>
      </c>
      <c r="I491">
        <f>IF(C491="RB",LeagueInfo!$D$4*LeagueInfo!$F$2,IF(C491="WR",LeagueInfo!$D$5*LeagueInfo!$F$2,IF(C491="TE",LeagueInfo!$D$6*LeagueInfo!$F$2,LeagueInfo!$D$3*LeagueInfo!$F$2)))</f>
        <v>24</v>
      </c>
    </row>
    <row r="492" spans="1:9" x14ac:dyDescent="0.35">
      <c r="A492">
        <f t="shared" ca="1" si="38"/>
        <v>475</v>
      </c>
      <c r="B492" t="s">
        <v>1023</v>
      </c>
      <c r="C492" t="s">
        <v>32</v>
      </c>
      <c r="D492">
        <f t="shared" ref="D492:D507" ca="1" si="43">INDEX(INDIRECT($C492&amp;"!P:P"),MATCH($B492,INDIRECT($C492&amp;"!B:B"),0))</f>
        <v>10.129999999999999</v>
      </c>
      <c r="E492" s="5">
        <f t="shared" ca="1" si="39"/>
        <v>-91.95</v>
      </c>
      <c r="F492" t="str">
        <f ca="1">IF(H492&lt;=I492,"Starter",IF(G492&gt;=LARGE(G:G,FlexOn*LeagueInfo!$F$2),"Starter","Bench"))</f>
        <v>Bench</v>
      </c>
      <c r="G492">
        <f t="shared" ref="G492:G507" ca="1" si="44">IF(H492&gt;I492,D492,0)</f>
        <v>10.129999999999999</v>
      </c>
      <c r="H492">
        <f t="shared" ref="H492:H507" ca="1" si="45">INDEX(INDIRECT(""&amp;C492&amp;"!A2:A489"),MATCH(B492,INDIRECT(""&amp;C492&amp;"!B2:B489"),0))</f>
        <v>198</v>
      </c>
      <c r="I492">
        <f>IF(C492="RB",LeagueInfo!$D$4*LeagueInfo!$F$2,IF(C492="WR",LeagueInfo!$D$5*LeagueInfo!$F$2,IF(C492="TE",LeagueInfo!$D$6*LeagueInfo!$F$2,LeagueInfo!$D$3*LeagueInfo!$F$2)))</f>
        <v>24</v>
      </c>
    </row>
    <row r="493" spans="1:9" x14ac:dyDescent="0.35">
      <c r="A493">
        <f t="shared" ca="1" si="38"/>
        <v>503</v>
      </c>
      <c r="B493" t="s">
        <v>1098</v>
      </c>
      <c r="C493" t="s">
        <v>32</v>
      </c>
      <c r="D493">
        <f t="shared" ca="1" si="43"/>
        <v>6.1000000000000005</v>
      </c>
      <c r="E493" s="5">
        <f t="shared" ca="1" si="39"/>
        <v>-95.98</v>
      </c>
      <c r="F493" t="str">
        <f ca="1">IF(H493&lt;=I493,"Starter",IF(G493&gt;=LARGE(G:G,FlexOn*LeagueInfo!$F$2),"Starter","Bench"))</f>
        <v>Bench</v>
      </c>
      <c r="G493">
        <f t="shared" ca="1" si="44"/>
        <v>6.1000000000000005</v>
      </c>
      <c r="H493">
        <f t="shared" ca="1" si="45"/>
        <v>206</v>
      </c>
      <c r="I493">
        <f>IF(C493="RB",LeagueInfo!$D$4*LeagueInfo!$F$2,IF(C493="WR",LeagueInfo!$D$5*LeagueInfo!$F$2,IF(C493="TE",LeagueInfo!$D$6*LeagueInfo!$F$2,LeagueInfo!$D$3*LeagueInfo!$F$2)))</f>
        <v>24</v>
      </c>
    </row>
    <row r="494" spans="1:9" x14ac:dyDescent="0.35">
      <c r="A494">
        <f t="shared" ca="1" si="38"/>
        <v>506</v>
      </c>
      <c r="B494" t="s">
        <v>601</v>
      </c>
      <c r="C494" t="s">
        <v>32</v>
      </c>
      <c r="D494">
        <f t="shared" ca="1" si="43"/>
        <v>5.6199999999999992</v>
      </c>
      <c r="E494" s="5">
        <f t="shared" ca="1" si="39"/>
        <v>-96.46</v>
      </c>
      <c r="F494" t="str">
        <f ca="1">IF(H494&lt;=I494,"Starter",IF(G494&gt;=LARGE(G:G,FlexOn*LeagueInfo!$F$2),"Starter","Bench"))</f>
        <v>Bench</v>
      </c>
      <c r="G494">
        <f t="shared" ca="1" si="44"/>
        <v>5.6199999999999992</v>
      </c>
      <c r="H494">
        <f t="shared" ca="1" si="45"/>
        <v>207</v>
      </c>
      <c r="I494">
        <f>IF(C494="RB",LeagueInfo!$D$4*LeagueInfo!$F$2,IF(C494="WR",LeagueInfo!$D$5*LeagueInfo!$F$2,IF(C494="TE",LeagueInfo!$D$6*LeagueInfo!$F$2,LeagueInfo!$D$3*LeagueInfo!$F$2)))</f>
        <v>24</v>
      </c>
    </row>
    <row r="495" spans="1:9" x14ac:dyDescent="0.35">
      <c r="A495">
        <f t="shared" ca="1" si="38"/>
        <v>511</v>
      </c>
      <c r="B495" t="s">
        <v>1090</v>
      </c>
      <c r="C495" t="s">
        <v>32</v>
      </c>
      <c r="D495">
        <f t="shared" ca="1" si="43"/>
        <v>3.54</v>
      </c>
      <c r="E495" s="5">
        <f t="shared" ca="1" si="39"/>
        <v>-98.539999999999992</v>
      </c>
      <c r="F495" t="str">
        <f ca="1">IF(H495&lt;=I495,"Starter",IF(G495&gt;=LARGE(G:G,FlexOn*LeagueInfo!$F$2),"Starter","Bench"))</f>
        <v>Bench</v>
      </c>
      <c r="G495">
        <f t="shared" ca="1" si="44"/>
        <v>3.54</v>
      </c>
      <c r="H495">
        <f t="shared" ca="1" si="45"/>
        <v>211</v>
      </c>
      <c r="I495">
        <f>IF(C495="RB",LeagueInfo!$D$4*LeagueInfo!$F$2,IF(C495="WR",LeagueInfo!$D$5*LeagueInfo!$F$2,IF(C495="TE",LeagueInfo!$D$6*LeagueInfo!$F$2,LeagueInfo!$D$3*LeagueInfo!$F$2)))</f>
        <v>24</v>
      </c>
    </row>
    <row r="496" spans="1:9" x14ac:dyDescent="0.35">
      <c r="A496">
        <f t="shared" ca="1" si="38"/>
        <v>509</v>
      </c>
      <c r="B496" t="s">
        <v>1021</v>
      </c>
      <c r="C496" t="s">
        <v>32</v>
      </c>
      <c r="D496">
        <f t="shared" ca="1" si="43"/>
        <v>4.16</v>
      </c>
      <c r="E496" s="5">
        <f t="shared" ca="1" si="39"/>
        <v>-97.92</v>
      </c>
      <c r="F496" t="str">
        <f ca="1">IF(H496&lt;=I496,"Starter",IF(G496&gt;=LARGE(G:G,FlexOn*LeagueInfo!$F$2),"Starter","Bench"))</f>
        <v>Bench</v>
      </c>
      <c r="G496">
        <f t="shared" ca="1" si="44"/>
        <v>4.16</v>
      </c>
      <c r="H496">
        <f t="shared" ca="1" si="45"/>
        <v>209</v>
      </c>
      <c r="I496">
        <f>IF(C496="RB",LeagueInfo!$D$4*LeagueInfo!$F$2,IF(C496="WR",LeagueInfo!$D$5*LeagueInfo!$F$2,IF(C496="TE",LeagueInfo!$D$6*LeagueInfo!$F$2,LeagueInfo!$D$3*LeagueInfo!$F$2)))</f>
        <v>24</v>
      </c>
    </row>
    <row r="497" spans="1:9" x14ac:dyDescent="0.35">
      <c r="A497">
        <f t="shared" ca="1" si="38"/>
        <v>507</v>
      </c>
      <c r="B497" t="s">
        <v>848</v>
      </c>
      <c r="C497" t="s">
        <v>32</v>
      </c>
      <c r="D497">
        <f t="shared" ca="1" si="43"/>
        <v>5.4700000000000006</v>
      </c>
      <c r="E497" s="5">
        <f t="shared" ca="1" si="39"/>
        <v>-96.61</v>
      </c>
      <c r="F497" t="str">
        <f ca="1">IF(H497&lt;=I497,"Starter",IF(G497&gt;=LARGE(G:G,FlexOn*LeagueInfo!$F$2),"Starter","Bench"))</f>
        <v>Bench</v>
      </c>
      <c r="G497">
        <f t="shared" ca="1" si="44"/>
        <v>5.4700000000000006</v>
      </c>
      <c r="H497">
        <f t="shared" ca="1" si="45"/>
        <v>208</v>
      </c>
      <c r="I497">
        <f>IF(C497="RB",LeagueInfo!$D$4*LeagueInfo!$F$2,IF(C497="WR",LeagueInfo!$D$5*LeagueInfo!$F$2,IF(C497="TE",LeagueInfo!$D$6*LeagueInfo!$F$2,LeagueInfo!$D$3*LeagueInfo!$F$2)))</f>
        <v>24</v>
      </c>
    </row>
    <row r="498" spans="1:9" x14ac:dyDescent="0.35">
      <c r="A498">
        <f t="shared" ca="1" si="38"/>
        <v>488</v>
      </c>
      <c r="B498" t="s">
        <v>1027</v>
      </c>
      <c r="C498" t="s">
        <v>32</v>
      </c>
      <c r="D498">
        <f t="shared" ca="1" si="43"/>
        <v>7.7500000000000009</v>
      </c>
      <c r="E498" s="5">
        <f t="shared" ca="1" si="39"/>
        <v>-94.33</v>
      </c>
      <c r="F498" t="str">
        <f ca="1">IF(H498&lt;=I498,"Starter",IF(G498&gt;=LARGE(G:G,FlexOn*LeagueInfo!$F$2),"Starter","Bench"))</f>
        <v>Bench</v>
      </c>
      <c r="G498">
        <f t="shared" ca="1" si="44"/>
        <v>7.7500000000000009</v>
      </c>
      <c r="H498">
        <f t="shared" ca="1" si="45"/>
        <v>201</v>
      </c>
      <c r="I498">
        <f>IF(C498="RB",LeagueInfo!$D$4*LeagueInfo!$F$2,IF(C498="WR",LeagueInfo!$D$5*LeagueInfo!$F$2,IF(C498="TE",LeagueInfo!$D$6*LeagueInfo!$F$2,LeagueInfo!$D$3*LeagueInfo!$F$2)))</f>
        <v>24</v>
      </c>
    </row>
    <row r="499" spans="1:9" x14ac:dyDescent="0.35">
      <c r="A499">
        <f t="shared" ca="1" si="38"/>
        <v>417</v>
      </c>
      <c r="B499" t="s">
        <v>645</v>
      </c>
      <c r="C499" t="s">
        <v>40</v>
      </c>
      <c r="D499">
        <f t="shared" ca="1" si="43"/>
        <v>17.03</v>
      </c>
      <c r="E499" s="5">
        <f t="shared" ca="1" si="39"/>
        <v>-85.05</v>
      </c>
      <c r="F499" t="str">
        <f ca="1">IF(H499&lt;=I499,"Starter",IF(G499&gt;=LARGE(G:G,FlexOn*LeagueInfo!$F$2),"Starter","Bench"))</f>
        <v>Bench</v>
      </c>
      <c r="G499">
        <f t="shared" ca="1" si="44"/>
        <v>17.03</v>
      </c>
      <c r="H499">
        <f t="shared" ca="1" si="45"/>
        <v>88</v>
      </c>
      <c r="I499">
        <f>IF(C499="RB",LeagueInfo!$D$4*LeagueInfo!$F$2,IF(C499="WR",LeagueInfo!$D$5*LeagueInfo!$F$2,IF(C499="TE",LeagueInfo!$D$6*LeagueInfo!$F$2,LeagueInfo!$D$3*LeagueInfo!$F$2)))</f>
        <v>12</v>
      </c>
    </row>
    <row r="500" spans="1:9" x14ac:dyDescent="0.35">
      <c r="A500">
        <f t="shared" ca="1" si="38"/>
        <v>421</v>
      </c>
      <c r="B500" t="s">
        <v>1082</v>
      </c>
      <c r="C500" t="s">
        <v>40</v>
      </c>
      <c r="D500">
        <f t="shared" ca="1" si="43"/>
        <v>16.559999999999999</v>
      </c>
      <c r="E500" s="5">
        <f t="shared" ca="1" si="39"/>
        <v>-85.52</v>
      </c>
      <c r="F500" t="str">
        <f ca="1">IF(H500&lt;=I500,"Starter",IF(G500&gt;=LARGE(G:G,FlexOn*LeagueInfo!$F$2),"Starter","Bench"))</f>
        <v>Bench</v>
      </c>
      <c r="G500">
        <f t="shared" ca="1" si="44"/>
        <v>16.559999999999999</v>
      </c>
      <c r="H500">
        <f t="shared" ca="1" si="45"/>
        <v>90</v>
      </c>
      <c r="I500">
        <f>IF(C500="RB",LeagueInfo!$D$4*LeagueInfo!$F$2,IF(C500="WR",LeagueInfo!$D$5*LeagueInfo!$F$2,IF(C500="TE",LeagueInfo!$D$6*LeagueInfo!$F$2,LeagueInfo!$D$3*LeagueInfo!$F$2)))</f>
        <v>12</v>
      </c>
    </row>
    <row r="501" spans="1:9" x14ac:dyDescent="0.35">
      <c r="A501">
        <f t="shared" ca="1" si="38"/>
        <v>462</v>
      </c>
      <c r="B501" t="s">
        <v>838</v>
      </c>
      <c r="C501" t="s">
        <v>40</v>
      </c>
      <c r="D501">
        <f t="shared" ca="1" si="43"/>
        <v>11.39</v>
      </c>
      <c r="E501" s="5">
        <f t="shared" ca="1" si="39"/>
        <v>-90.69</v>
      </c>
      <c r="F501" t="str">
        <f ca="1">IF(H501&lt;=I501,"Starter",IF(G501&gt;=LARGE(G:G,FlexOn*LeagueInfo!$F$2),"Starter","Bench"))</f>
        <v>Bench</v>
      </c>
      <c r="G501">
        <f t="shared" ca="1" si="44"/>
        <v>11.39</v>
      </c>
      <c r="H501">
        <f t="shared" ca="1" si="45"/>
        <v>101</v>
      </c>
      <c r="I501">
        <f>IF(C501="RB",LeagueInfo!$D$4*LeagueInfo!$F$2,IF(C501="WR",LeagueInfo!$D$5*LeagueInfo!$F$2,IF(C501="TE",LeagueInfo!$D$6*LeagueInfo!$F$2,LeagueInfo!$D$3*LeagueInfo!$F$2)))</f>
        <v>12</v>
      </c>
    </row>
    <row r="502" spans="1:9" x14ac:dyDescent="0.35">
      <c r="A502">
        <f t="shared" ca="1" si="38"/>
        <v>468</v>
      </c>
      <c r="B502" t="s">
        <v>1006</v>
      </c>
      <c r="C502" t="s">
        <v>40</v>
      </c>
      <c r="D502">
        <f t="shared" ca="1" si="43"/>
        <v>11</v>
      </c>
      <c r="E502" s="5">
        <f t="shared" ca="1" si="39"/>
        <v>-91.08</v>
      </c>
      <c r="F502" t="str">
        <f ca="1">IF(H502&lt;=I502,"Starter",IF(G502&gt;=LARGE(G:G,FlexOn*LeagueInfo!$F$2),"Starter","Bench"))</f>
        <v>Bench</v>
      </c>
      <c r="G502">
        <f t="shared" ca="1" si="44"/>
        <v>11</v>
      </c>
      <c r="H502">
        <f t="shared" ca="1" si="45"/>
        <v>104</v>
      </c>
      <c r="I502">
        <f>IF(C502="RB",LeagueInfo!$D$4*LeagueInfo!$F$2,IF(C502="WR",LeagueInfo!$D$5*LeagueInfo!$F$2,IF(C502="TE",LeagueInfo!$D$6*LeagueInfo!$F$2,LeagueInfo!$D$3*LeagueInfo!$F$2)))</f>
        <v>12</v>
      </c>
    </row>
    <row r="503" spans="1:9" x14ac:dyDescent="0.35">
      <c r="A503">
        <f t="shared" ca="1" si="38"/>
        <v>409</v>
      </c>
      <c r="B503" t="s">
        <v>944</v>
      </c>
      <c r="C503" t="s">
        <v>40</v>
      </c>
      <c r="D503">
        <f t="shared" ca="1" si="43"/>
        <v>18.200000000000003</v>
      </c>
      <c r="E503" s="5">
        <f t="shared" ca="1" si="39"/>
        <v>-83.88</v>
      </c>
      <c r="F503" t="str">
        <f ca="1">IF(H503&lt;=I503,"Starter",IF(G503&gt;=LARGE(G:G,FlexOn*LeagueInfo!$F$2),"Starter","Bench"))</f>
        <v>Bench</v>
      </c>
      <c r="G503">
        <f t="shared" ca="1" si="44"/>
        <v>18.200000000000003</v>
      </c>
      <c r="H503">
        <f t="shared" ca="1" si="45"/>
        <v>87</v>
      </c>
      <c r="I503">
        <f>IF(C503="RB",LeagueInfo!$D$4*LeagueInfo!$F$2,IF(C503="WR",LeagueInfo!$D$5*LeagueInfo!$F$2,IF(C503="TE",LeagueInfo!$D$6*LeagueInfo!$F$2,LeagueInfo!$D$3*LeagueInfo!$F$2)))</f>
        <v>12</v>
      </c>
    </row>
    <row r="504" spans="1:9" x14ac:dyDescent="0.35">
      <c r="A504">
        <f t="shared" ca="1" si="38"/>
        <v>510</v>
      </c>
      <c r="B504" t="s">
        <v>650</v>
      </c>
      <c r="C504" t="s">
        <v>40</v>
      </c>
      <c r="D504">
        <f t="shared" ca="1" si="43"/>
        <v>4.1399999999999997</v>
      </c>
      <c r="E504" s="5">
        <f t="shared" ca="1" si="39"/>
        <v>-97.94</v>
      </c>
      <c r="F504" t="str">
        <f ca="1">IF(H504&lt;=I504,"Starter",IF(G504&gt;=LARGE(G:G,FlexOn*LeagueInfo!$F$2),"Starter","Bench"))</f>
        <v>Bench</v>
      </c>
      <c r="G504">
        <f t="shared" ca="1" si="44"/>
        <v>4.1399999999999997</v>
      </c>
      <c r="H504">
        <f t="shared" ca="1" si="45"/>
        <v>113</v>
      </c>
      <c r="I504">
        <f>IF(C504="RB",LeagueInfo!$D$4*LeagueInfo!$F$2,IF(C504="WR",LeagueInfo!$D$5*LeagueInfo!$F$2,IF(C504="TE",LeagueInfo!$D$6*LeagueInfo!$F$2,LeagueInfo!$D$3*LeagueInfo!$F$2)))</f>
        <v>12</v>
      </c>
    </row>
    <row r="505" spans="1:9" x14ac:dyDescent="0.35">
      <c r="A505">
        <f t="shared" ca="1" si="38"/>
        <v>467</v>
      </c>
      <c r="B505" t="s">
        <v>1007</v>
      </c>
      <c r="C505" t="s">
        <v>40</v>
      </c>
      <c r="D505">
        <f t="shared" ca="1" si="43"/>
        <v>11.06</v>
      </c>
      <c r="E505" s="5">
        <f t="shared" ca="1" si="39"/>
        <v>-91.02</v>
      </c>
      <c r="F505" t="str">
        <f ca="1">IF(H505&lt;=I505,"Starter",IF(G505&gt;=LARGE(G:G,FlexOn*LeagueInfo!$F$2),"Starter","Bench"))</f>
        <v>Bench</v>
      </c>
      <c r="G505">
        <f t="shared" ca="1" si="44"/>
        <v>11.06</v>
      </c>
      <c r="H505">
        <f t="shared" ca="1" si="45"/>
        <v>103</v>
      </c>
      <c r="I505">
        <f>IF(C505="RB",LeagueInfo!$D$4*LeagueInfo!$F$2,IF(C505="WR",LeagueInfo!$D$5*LeagueInfo!$F$2,IF(C505="TE",LeagueInfo!$D$6*LeagueInfo!$F$2,LeagueInfo!$D$3*LeagueInfo!$F$2)))</f>
        <v>12</v>
      </c>
    </row>
    <row r="506" spans="1:9" x14ac:dyDescent="0.35">
      <c r="A506">
        <f t="shared" ca="1" si="38"/>
        <v>486</v>
      </c>
      <c r="B506" t="s">
        <v>1008</v>
      </c>
      <c r="C506" t="s">
        <v>40</v>
      </c>
      <c r="D506">
        <f t="shared" ca="1" si="43"/>
        <v>7.98</v>
      </c>
      <c r="E506" s="5">
        <f t="shared" ca="1" si="39"/>
        <v>-94.1</v>
      </c>
      <c r="F506" t="str">
        <f ca="1">IF(H506&lt;=I506,"Starter",IF(G506&gt;=LARGE(G:G,FlexOn*LeagueInfo!$F$2),"Starter","Bench"))</f>
        <v>Bench</v>
      </c>
      <c r="G506">
        <f t="shared" ca="1" si="44"/>
        <v>7.98</v>
      </c>
      <c r="H506">
        <f t="shared" ca="1" si="45"/>
        <v>109</v>
      </c>
      <c r="I506">
        <f>IF(C506="RB",LeagueInfo!$D$4*LeagueInfo!$F$2,IF(C506="WR",LeagueInfo!$D$5*LeagueInfo!$F$2,IF(C506="TE",LeagueInfo!$D$6*LeagueInfo!$F$2,LeagueInfo!$D$3*LeagueInfo!$F$2)))</f>
        <v>12</v>
      </c>
    </row>
    <row r="507" spans="1:9" x14ac:dyDescent="0.35">
      <c r="A507">
        <f t="shared" ca="1" si="38"/>
        <v>484</v>
      </c>
      <c r="B507" t="s">
        <v>1093</v>
      </c>
      <c r="C507" t="s">
        <v>40</v>
      </c>
      <c r="D507">
        <f t="shared" ca="1" si="43"/>
        <v>8.14</v>
      </c>
      <c r="E507" s="5">
        <f t="shared" ca="1" si="39"/>
        <v>-93.94</v>
      </c>
      <c r="F507" t="str">
        <f ca="1">IF(H507&lt;=I507,"Starter",IF(G507&gt;=LARGE(G:G,FlexOn*LeagueInfo!$F$2),"Starter","Bench"))</f>
        <v>Bench</v>
      </c>
      <c r="G507">
        <f t="shared" ca="1" si="44"/>
        <v>8.14</v>
      </c>
      <c r="H507">
        <f t="shared" ca="1" si="45"/>
        <v>108</v>
      </c>
      <c r="I507">
        <f>IF(C507="RB",LeagueInfo!$D$4*LeagueInfo!$F$2,IF(C507="WR",LeagueInfo!$D$5*LeagueInfo!$F$2,IF(C507="TE",LeagueInfo!$D$6*LeagueInfo!$F$2,LeagueInfo!$D$3*LeagueInfo!$F$2)))</f>
        <v>12</v>
      </c>
    </row>
    <row r="508" spans="1:9" x14ac:dyDescent="0.35">
      <c r="A508">
        <f t="shared" ca="1" si="38"/>
        <v>474</v>
      </c>
      <c r="B508" t="s">
        <v>987</v>
      </c>
      <c r="C508" t="s">
        <v>26</v>
      </c>
      <c r="D508">
        <f t="shared" ref="D508:D514" ca="1" si="46">INDEX(INDIRECT($C508&amp;"!P:P"),MATCH($B508,INDIRECT($C508&amp;"!B:B"),0))</f>
        <v>10.3</v>
      </c>
      <c r="E508" s="5">
        <f t="shared" ca="1" si="39"/>
        <v>-91.78</v>
      </c>
      <c r="F508" t="str">
        <f ca="1">IF(H508&lt;=I508,"Starter",IF(G508&gt;=LARGE(G:G,FlexOn*LeagueInfo!$F$2),"Starter","Bench"))</f>
        <v>Bench</v>
      </c>
      <c r="G508">
        <f t="shared" ref="G508:G514" ca="1" si="47">IF(H508&gt;I508,D508,0)</f>
        <v>10.3</v>
      </c>
      <c r="H508">
        <f t="shared" ref="H508:H514" ca="1" si="48">INDEX(INDIRECT(""&amp;C508&amp;"!A2:A489"),MATCH(B508,INDIRECT(""&amp;C508&amp;"!B2:B489"),0))</f>
        <v>73</v>
      </c>
      <c r="I508">
        <f>IF(C508="RB",LeagueInfo!$D$4*LeagueInfo!$F$2,IF(C508="WR",LeagueInfo!$D$5*LeagueInfo!$F$2,IF(C508="TE",LeagueInfo!$D$6*LeagueInfo!$F$2,LeagueInfo!$D$3*LeagueInfo!$F$2)))</f>
        <v>24</v>
      </c>
    </row>
    <row r="509" spans="1:9" x14ac:dyDescent="0.35">
      <c r="A509">
        <f t="shared" ca="1" si="38"/>
        <v>481</v>
      </c>
      <c r="B509" t="s">
        <v>749</v>
      </c>
      <c r="C509" t="s">
        <v>26</v>
      </c>
      <c r="D509">
        <f t="shared" ca="1" si="46"/>
        <v>8.98</v>
      </c>
      <c r="E509" s="5">
        <f t="shared" ca="1" si="39"/>
        <v>-93.1</v>
      </c>
      <c r="F509" t="str">
        <f ca="1">IF(H509&lt;=I509,"Starter",IF(G509&gt;=LARGE(G:G,FlexOn*LeagueInfo!$F$2),"Starter","Bench"))</f>
        <v>Bench</v>
      </c>
      <c r="G509">
        <f t="shared" ca="1" si="47"/>
        <v>8.98</v>
      </c>
      <c r="H509">
        <f t="shared" ca="1" si="48"/>
        <v>79</v>
      </c>
      <c r="I509">
        <f>IF(C509="RB",LeagueInfo!$D$4*LeagueInfo!$F$2,IF(C509="WR",LeagueInfo!$D$5*LeagueInfo!$F$2,IF(C509="TE",LeagueInfo!$D$6*LeagueInfo!$F$2,LeagueInfo!$D$3*LeagueInfo!$F$2)))</f>
        <v>24</v>
      </c>
    </row>
    <row r="510" spans="1:9" x14ac:dyDescent="0.35">
      <c r="A510">
        <f t="shared" ca="1" si="38"/>
        <v>482</v>
      </c>
      <c r="B510" t="s">
        <v>988</v>
      </c>
      <c r="C510" t="s">
        <v>26</v>
      </c>
      <c r="D510">
        <f t="shared" ca="1" si="46"/>
        <v>8.6999999999999993</v>
      </c>
      <c r="E510" s="5">
        <f t="shared" ca="1" si="39"/>
        <v>-93.38</v>
      </c>
      <c r="F510" t="str">
        <f ca="1">IF(H510&lt;=I510,"Starter",IF(G510&gt;=LARGE(G:G,FlexOn*LeagueInfo!$F$2),"Starter","Bench"))</f>
        <v>Bench</v>
      </c>
      <c r="G510">
        <f t="shared" ca="1" si="47"/>
        <v>8.6999999999999993</v>
      </c>
      <c r="H510">
        <f t="shared" ca="1" si="48"/>
        <v>80</v>
      </c>
      <c r="I510">
        <f>IF(C510="RB",LeagueInfo!$D$4*LeagueInfo!$F$2,IF(C510="WR",LeagueInfo!$D$5*LeagueInfo!$F$2,IF(C510="TE",LeagueInfo!$D$6*LeagueInfo!$F$2,LeagueInfo!$D$3*LeagueInfo!$F$2)))</f>
        <v>24</v>
      </c>
    </row>
    <row r="511" spans="1:9" x14ac:dyDescent="0.35">
      <c r="A511">
        <f t="shared" ca="1" si="38"/>
        <v>485</v>
      </c>
      <c r="B511" t="s">
        <v>989</v>
      </c>
      <c r="C511" t="s">
        <v>26</v>
      </c>
      <c r="D511">
        <f t="shared" ca="1" si="46"/>
        <v>8</v>
      </c>
      <c r="E511" s="5">
        <f t="shared" ca="1" si="39"/>
        <v>-94.08</v>
      </c>
      <c r="F511" t="str">
        <f ca="1">IF(H511&lt;=I511,"Starter",IF(G511&gt;=LARGE(G:G,FlexOn*LeagueInfo!$F$2),"Starter","Bench"))</f>
        <v>Bench</v>
      </c>
      <c r="G511">
        <f t="shared" ca="1" si="47"/>
        <v>8</v>
      </c>
      <c r="H511">
        <f t="shared" ca="1" si="48"/>
        <v>82</v>
      </c>
      <c r="I511">
        <f>IF(C511="RB",LeagueInfo!$D$4*LeagueInfo!$F$2,IF(C511="WR",LeagueInfo!$D$5*LeagueInfo!$F$2,IF(C511="TE",LeagueInfo!$D$6*LeagueInfo!$F$2,LeagueInfo!$D$3*LeagueInfo!$F$2)))</f>
        <v>24</v>
      </c>
    </row>
    <row r="512" spans="1:9" x14ac:dyDescent="0.35">
      <c r="A512">
        <f t="shared" ca="1" si="38"/>
        <v>487</v>
      </c>
      <c r="B512" t="s">
        <v>990</v>
      </c>
      <c r="C512" t="s">
        <v>26</v>
      </c>
      <c r="D512">
        <f t="shared" ca="1" si="46"/>
        <v>7.84</v>
      </c>
      <c r="E512" s="5">
        <f t="shared" ca="1" si="39"/>
        <v>-94.24</v>
      </c>
      <c r="F512" t="str">
        <f ca="1">IF(H512&lt;=I512,"Starter",IF(G512&gt;=LARGE(G:G,FlexOn*LeagueInfo!$F$2),"Starter","Bench"))</f>
        <v>Bench</v>
      </c>
      <c r="G512">
        <f t="shared" ca="1" si="47"/>
        <v>7.84</v>
      </c>
      <c r="H512">
        <f t="shared" ca="1" si="48"/>
        <v>83</v>
      </c>
      <c r="I512">
        <f>IF(C512="RB",LeagueInfo!$D$4*LeagueInfo!$F$2,IF(C512="WR",LeagueInfo!$D$5*LeagueInfo!$F$2,IF(C512="TE",LeagueInfo!$D$6*LeagueInfo!$F$2,LeagueInfo!$D$3*LeagueInfo!$F$2)))</f>
        <v>24</v>
      </c>
    </row>
    <row r="513" spans="1:9" x14ac:dyDescent="0.35">
      <c r="A513">
        <f t="shared" ca="1" si="38"/>
        <v>483</v>
      </c>
      <c r="B513" t="s">
        <v>991</v>
      </c>
      <c r="C513" t="s">
        <v>26</v>
      </c>
      <c r="D513">
        <f t="shared" ca="1" si="46"/>
        <v>8.4600000000000009</v>
      </c>
      <c r="E513" s="5">
        <f t="shared" ca="1" si="39"/>
        <v>-93.62</v>
      </c>
      <c r="F513" t="str">
        <f ca="1">IF(H513&lt;=I513,"Starter",IF(G513&gt;=LARGE(G:G,FlexOn*LeagueInfo!$F$2),"Starter","Bench"))</f>
        <v>Bench</v>
      </c>
      <c r="G513">
        <f t="shared" ca="1" si="47"/>
        <v>8.4600000000000009</v>
      </c>
      <c r="H513">
        <f t="shared" ca="1" si="48"/>
        <v>81</v>
      </c>
      <c r="I513">
        <f>IF(C513="RB",LeagueInfo!$D$4*LeagueInfo!$F$2,IF(C513="WR",LeagueInfo!$D$5*LeagueInfo!$F$2,IF(C513="TE",LeagueInfo!$D$6*LeagueInfo!$F$2,LeagueInfo!$D$3*LeagueInfo!$F$2)))</f>
        <v>24</v>
      </c>
    </row>
    <row r="514" spans="1:9" x14ac:dyDescent="0.35">
      <c r="A514">
        <f t="shared" ca="1" si="38"/>
        <v>512</v>
      </c>
      <c r="B514" t="s">
        <v>992</v>
      </c>
      <c r="C514" t="s">
        <v>26</v>
      </c>
      <c r="D514">
        <f t="shared" ca="1" si="46"/>
        <v>2.6</v>
      </c>
      <c r="E514" s="5">
        <f t="shared" ref="E514" ca="1" si="49">D514-LARGE(D:D,RBCount+WRCount+TECount+QBCount)</f>
        <v>-99.48</v>
      </c>
      <c r="F514" t="str">
        <f ca="1">IF(H514&lt;=I514,"Starter",IF(G514&gt;=LARGE(G:G,FlexOn*LeagueInfo!$F$2),"Starter","Bench"))</f>
        <v>Bench</v>
      </c>
      <c r="G514">
        <f t="shared" ca="1" si="47"/>
        <v>2.6</v>
      </c>
      <c r="H514">
        <f t="shared" ca="1" si="48"/>
        <v>84</v>
      </c>
      <c r="I514">
        <f>IF(C514="RB",LeagueInfo!$D$4*LeagueInfo!$F$2,IF(C514="WR",LeagueInfo!$D$5*LeagueInfo!$F$2,IF(C514="TE",LeagueInfo!$D$6*LeagueInfo!$F$2,LeagueInfo!$D$3*LeagueInfo!$F$2)))</f>
        <v>24</v>
      </c>
    </row>
  </sheetData>
  <autoFilter ref="A1:I514" xr:uid="{00000000-0001-0000-0900-000000000000}">
    <sortState xmlns:xlrd2="http://schemas.microsoft.com/office/spreadsheetml/2017/richdata2" ref="A2:I514">
      <sortCondition ref="A1:A514"/>
    </sortState>
  </autoFilter>
  <sortState xmlns:xlrd2="http://schemas.microsoft.com/office/spreadsheetml/2017/richdata2" ref="A2:P514">
    <sortCondition descending="1" ref="E2"/>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dimension ref="A1:I327"/>
  <sheetViews>
    <sheetView zoomScaleNormal="100" workbookViewId="0">
      <selection activeCell="E38" sqref="E38"/>
    </sheetView>
  </sheetViews>
  <sheetFormatPr defaultColWidth="8.90625" defaultRowHeight="14.5" x14ac:dyDescent="0.35"/>
  <cols>
    <col min="2" max="2" width="23.453125" bestFit="1" customWidth="1"/>
    <col min="3" max="3" width="4.453125" bestFit="1" customWidth="1"/>
    <col min="9" max="9" width="12.1796875" customWidth="1"/>
  </cols>
  <sheetData>
    <row r="1" spans="1:9" ht="15" thickBot="1" x14ac:dyDescent="0.4">
      <c r="A1" s="208" t="s">
        <v>167</v>
      </c>
      <c r="B1" s="208" t="s">
        <v>250</v>
      </c>
      <c r="C1" s="208" t="s">
        <v>17</v>
      </c>
      <c r="D1" s="1" t="s">
        <v>177</v>
      </c>
      <c r="E1" s="2" t="s">
        <v>11</v>
      </c>
      <c r="F1" s="2" t="s">
        <v>251</v>
      </c>
      <c r="G1" s="2" t="s">
        <v>252</v>
      </c>
      <c r="H1" s="2" t="s">
        <v>253</v>
      </c>
      <c r="I1" s="2" t="s">
        <v>254</v>
      </c>
    </row>
    <row r="2" spans="1:9" x14ac:dyDescent="0.35">
      <c r="A2">
        <f t="shared" ref="A2:A65" ca="1" si="0">RANK(E2,E:E)</f>
        <v>1</v>
      </c>
      <c r="B2" t="s">
        <v>97</v>
      </c>
      <c r="C2" t="s">
        <v>25</v>
      </c>
      <c r="D2">
        <f t="shared" ref="D2:D65" ca="1" si="1">INDEX(INDIRECT($C2&amp;"!P:P"),MATCH($B2,INDIRECT($C2&amp;"!B:B"),0))</f>
        <v>315.62000000000006</v>
      </c>
      <c r="E2" s="5">
        <f t="shared" ref="E2:E65" ca="1" si="2">D2-LARGE(D:D,RBCount+WRCount)</f>
        <v>206.26000000000005</v>
      </c>
      <c r="F2" t="str">
        <f ca="1">IF(H2&lt;=I2,"Starter",IF(G2&gt;=LARGE(G:G,FlexOn*LeagueInfo!$F$2),"Starter","Bench"))</f>
        <v>Starter</v>
      </c>
      <c r="G2">
        <f t="shared" ref="G2:G65" ca="1" si="3">IF(H2&gt;I2,D2,0)</f>
        <v>0</v>
      </c>
      <c r="H2">
        <f t="shared" ref="H2:H65" ca="1" si="4">INDEX(INDIRECT(""&amp;C2&amp;"!A2:A489"),MATCH(B2,INDIRECT(""&amp;C2&amp;"!B2:B489"),0))</f>
        <v>1</v>
      </c>
      <c r="I2">
        <f>IF(C2="RB",LeagueInfo!$D$4*LeagueInfo!$F$2,LeagueInfo!$D$5*LeagueInfo!$F$2)</f>
        <v>24</v>
      </c>
    </row>
    <row r="3" spans="1:9" x14ac:dyDescent="0.35">
      <c r="A3">
        <f t="shared" ca="1" si="0"/>
        <v>2</v>
      </c>
      <c r="B3" t="s">
        <v>488</v>
      </c>
      <c r="C3" t="s">
        <v>32</v>
      </c>
      <c r="D3">
        <f t="shared" ca="1" si="1"/>
        <v>274.55</v>
      </c>
      <c r="E3" s="5">
        <f t="shared" ca="1" si="2"/>
        <v>165.19</v>
      </c>
      <c r="F3" t="str">
        <f ca="1">IF(H3&lt;=I3,"Starter",IF(G3&gt;=LARGE(G:G,FlexOn*LeagueInfo!$F$2),"Starter","Bench"))</f>
        <v>Starter</v>
      </c>
      <c r="G3">
        <f t="shared" ca="1" si="3"/>
        <v>0</v>
      </c>
      <c r="H3">
        <f t="shared" ca="1" si="4"/>
        <v>1</v>
      </c>
      <c r="I3">
        <f>IF(C3="RB",LeagueInfo!$D$4*LeagueInfo!$F$2,LeagueInfo!$D$5*LeagueInfo!$F$2)</f>
        <v>24</v>
      </c>
    </row>
    <row r="4" spans="1:9" x14ac:dyDescent="0.35">
      <c r="A4">
        <f t="shared" ca="1" si="0"/>
        <v>3</v>
      </c>
      <c r="B4" t="s">
        <v>102</v>
      </c>
      <c r="C4" t="s">
        <v>32</v>
      </c>
      <c r="D4">
        <f t="shared" ca="1" si="1"/>
        <v>270.54000000000002</v>
      </c>
      <c r="E4" s="5">
        <f t="shared" ca="1" si="2"/>
        <v>161.18</v>
      </c>
      <c r="F4" t="str">
        <f ca="1">IF(H4&lt;=I4,"Starter",IF(G4&gt;=LARGE(G:G,FlexOn*LeagueInfo!$F$2),"Starter","Bench"))</f>
        <v>Starter</v>
      </c>
      <c r="G4">
        <f t="shared" ca="1" si="3"/>
        <v>0</v>
      </c>
      <c r="H4">
        <f t="shared" ca="1" si="4"/>
        <v>2</v>
      </c>
      <c r="I4">
        <f>IF(C4="RB",LeagueInfo!$D$4*LeagueInfo!$F$2,LeagueInfo!$D$5*LeagueInfo!$F$2)</f>
        <v>24</v>
      </c>
    </row>
    <row r="5" spans="1:9" x14ac:dyDescent="0.35">
      <c r="A5">
        <f t="shared" ca="1" si="0"/>
        <v>4</v>
      </c>
      <c r="B5" t="s">
        <v>613</v>
      </c>
      <c r="C5" t="s">
        <v>25</v>
      </c>
      <c r="D5">
        <f t="shared" ca="1" si="1"/>
        <v>267.93</v>
      </c>
      <c r="E5" s="5">
        <f t="shared" ca="1" si="2"/>
        <v>158.57</v>
      </c>
      <c r="F5" t="str">
        <f ca="1">IF(H5&lt;=I5,"Starter",IF(G5&gt;=LARGE(G:G,FlexOn*LeagueInfo!$F$2),"Starter","Bench"))</f>
        <v>Starter</v>
      </c>
      <c r="G5">
        <f t="shared" ca="1" si="3"/>
        <v>0</v>
      </c>
      <c r="H5">
        <f t="shared" ca="1" si="4"/>
        <v>2</v>
      </c>
      <c r="I5">
        <f>IF(C5="RB",LeagueInfo!$D$4*LeagueInfo!$F$2,LeagueInfo!$D$5*LeagueInfo!$F$2)</f>
        <v>24</v>
      </c>
    </row>
    <row r="6" spans="1:9" x14ac:dyDescent="0.35">
      <c r="A6">
        <f t="shared" ca="1" si="0"/>
        <v>5</v>
      </c>
      <c r="B6" t="s">
        <v>710</v>
      </c>
      <c r="C6" t="s">
        <v>25</v>
      </c>
      <c r="D6">
        <f t="shared" ca="1" si="1"/>
        <v>263.27000000000004</v>
      </c>
      <c r="E6" s="5">
        <f t="shared" ca="1" si="2"/>
        <v>153.91000000000003</v>
      </c>
      <c r="F6" t="str">
        <f ca="1">IF(H6&lt;=I6,"Starter",IF(G6&gt;=LARGE(G:G,FlexOn*LeagueInfo!$F$2),"Starter","Bench"))</f>
        <v>Starter</v>
      </c>
      <c r="G6">
        <f t="shared" ca="1" si="3"/>
        <v>0</v>
      </c>
      <c r="H6">
        <f t="shared" ca="1" si="4"/>
        <v>3</v>
      </c>
      <c r="I6">
        <f>IF(C6="RB",LeagueInfo!$D$4*LeagueInfo!$F$2,LeagueInfo!$D$5*LeagueInfo!$F$2)</f>
        <v>24</v>
      </c>
    </row>
    <row r="7" spans="1:9" x14ac:dyDescent="0.35">
      <c r="A7">
        <f t="shared" ca="1" si="0"/>
        <v>6</v>
      </c>
      <c r="B7" t="s">
        <v>550</v>
      </c>
      <c r="C7" t="s">
        <v>32</v>
      </c>
      <c r="D7">
        <f t="shared" ca="1" si="1"/>
        <v>244.05</v>
      </c>
      <c r="E7" s="5">
        <f t="shared" ca="1" si="2"/>
        <v>134.69</v>
      </c>
      <c r="F7" t="str">
        <f ca="1">IF(H7&lt;=I7,"Starter",IF(G7&gt;=LARGE(G:G,FlexOn*LeagueInfo!$F$2),"Starter","Bench"))</f>
        <v>Starter</v>
      </c>
      <c r="G7">
        <f t="shared" ca="1" si="3"/>
        <v>0</v>
      </c>
      <c r="H7">
        <f t="shared" ca="1" si="4"/>
        <v>3</v>
      </c>
      <c r="I7">
        <f>IF(C7="RB",LeagueInfo!$D$4*LeagueInfo!$F$2,LeagueInfo!$D$5*LeagueInfo!$F$2)</f>
        <v>24</v>
      </c>
    </row>
    <row r="8" spans="1:9" x14ac:dyDescent="0.35">
      <c r="A8">
        <f t="shared" ca="1" si="0"/>
        <v>10</v>
      </c>
      <c r="B8" t="s">
        <v>490</v>
      </c>
      <c r="C8" t="s">
        <v>32</v>
      </c>
      <c r="D8">
        <f t="shared" ca="1" si="1"/>
        <v>240.29</v>
      </c>
      <c r="E8" s="5">
        <f t="shared" ca="1" si="2"/>
        <v>130.93</v>
      </c>
      <c r="F8" t="str">
        <f ca="1">IF(H8&lt;=I8,"Starter",IF(G8&gt;=LARGE(G:G,FlexOn*LeagueInfo!$F$2),"Starter","Bench"))</f>
        <v>Starter</v>
      </c>
      <c r="G8">
        <f t="shared" ca="1" si="3"/>
        <v>0</v>
      </c>
      <c r="H8">
        <f t="shared" ca="1" si="4"/>
        <v>5</v>
      </c>
      <c r="I8">
        <f>IF(C8="RB",LeagueInfo!$D$4*LeagueInfo!$F$2,LeagueInfo!$D$5*LeagueInfo!$F$2)</f>
        <v>24</v>
      </c>
    </row>
    <row r="9" spans="1:9" x14ac:dyDescent="0.35">
      <c r="A9">
        <f t="shared" ca="1" si="0"/>
        <v>9</v>
      </c>
      <c r="B9" t="s">
        <v>516</v>
      </c>
      <c r="C9" t="s">
        <v>25</v>
      </c>
      <c r="D9">
        <f t="shared" ca="1" si="1"/>
        <v>241.04999999999998</v>
      </c>
      <c r="E9" s="5">
        <f t="shared" ca="1" si="2"/>
        <v>131.69</v>
      </c>
      <c r="F9" t="str">
        <f ca="1">IF(H9&lt;=I9,"Starter",IF(G9&gt;=LARGE(G:G,FlexOn*LeagueInfo!$F$2),"Starter","Bench"))</f>
        <v>Starter</v>
      </c>
      <c r="G9">
        <f t="shared" ca="1" si="3"/>
        <v>0</v>
      </c>
      <c r="H9">
        <f t="shared" ca="1" si="4"/>
        <v>5</v>
      </c>
      <c r="I9">
        <f>IF(C9="RB",LeagueInfo!$D$4*LeagueInfo!$F$2,LeagueInfo!$D$5*LeagueInfo!$F$2)</f>
        <v>24</v>
      </c>
    </row>
    <row r="10" spans="1:9" x14ac:dyDescent="0.35">
      <c r="A10">
        <f t="shared" ca="1" si="0"/>
        <v>8</v>
      </c>
      <c r="B10" t="s">
        <v>351</v>
      </c>
      <c r="C10" t="s">
        <v>25</v>
      </c>
      <c r="D10">
        <f t="shared" ca="1" si="1"/>
        <v>241.67999999999998</v>
      </c>
      <c r="E10" s="5">
        <f t="shared" ca="1" si="2"/>
        <v>132.32</v>
      </c>
      <c r="F10" t="str">
        <f ca="1">IF(H10&lt;=I10,"Starter",IF(G10&gt;=LARGE(G:G,FlexOn*LeagueInfo!$F$2),"Starter","Bench"))</f>
        <v>Starter</v>
      </c>
      <c r="G10">
        <f t="shared" ca="1" si="3"/>
        <v>0</v>
      </c>
      <c r="H10">
        <f t="shared" ca="1" si="4"/>
        <v>4</v>
      </c>
      <c r="I10">
        <f>IF(C10="RB",LeagueInfo!$D$4*LeagueInfo!$F$2,LeagueInfo!$D$5*LeagueInfo!$F$2)</f>
        <v>24</v>
      </c>
    </row>
    <row r="11" spans="1:9" x14ac:dyDescent="0.35">
      <c r="A11">
        <f t="shared" ca="1" si="0"/>
        <v>7</v>
      </c>
      <c r="B11" t="s">
        <v>557</v>
      </c>
      <c r="C11" t="s">
        <v>32</v>
      </c>
      <c r="D11">
        <f t="shared" ca="1" si="1"/>
        <v>241.72999999999996</v>
      </c>
      <c r="E11" s="5">
        <f t="shared" ca="1" si="2"/>
        <v>132.36999999999995</v>
      </c>
      <c r="F11" t="str">
        <f ca="1">IF(H11&lt;=I11,"Starter",IF(G11&gt;=LARGE(G:G,FlexOn*LeagueInfo!$F$2),"Starter","Bench"))</f>
        <v>Starter</v>
      </c>
      <c r="G11">
        <f t="shared" ca="1" si="3"/>
        <v>0</v>
      </c>
      <c r="H11">
        <f t="shared" ca="1" si="4"/>
        <v>4</v>
      </c>
      <c r="I11">
        <f>IF(C11="RB",LeagueInfo!$D$4*LeagueInfo!$F$2,LeagueInfo!$D$5*LeagueInfo!$F$2)</f>
        <v>24</v>
      </c>
    </row>
    <row r="12" spans="1:9" x14ac:dyDescent="0.35">
      <c r="A12">
        <f t="shared" ca="1" si="0"/>
        <v>12</v>
      </c>
      <c r="B12" t="s">
        <v>434</v>
      </c>
      <c r="C12" t="s">
        <v>32</v>
      </c>
      <c r="D12">
        <f t="shared" ca="1" si="1"/>
        <v>225.01000000000002</v>
      </c>
      <c r="E12" s="5">
        <f t="shared" ca="1" si="2"/>
        <v>115.65000000000002</v>
      </c>
      <c r="F12" t="str">
        <f ca="1">IF(H12&lt;=I12,"Starter",IF(G12&gt;=LARGE(G:G,FlexOn*LeagueInfo!$F$2),"Starter","Bench"))</f>
        <v>Starter</v>
      </c>
      <c r="G12">
        <f t="shared" ca="1" si="3"/>
        <v>0</v>
      </c>
      <c r="H12">
        <f t="shared" ca="1" si="4"/>
        <v>7</v>
      </c>
      <c r="I12">
        <f>IF(C12="RB",LeagueInfo!$D$4*LeagueInfo!$F$2,LeagueInfo!$D$5*LeagueInfo!$F$2)</f>
        <v>24</v>
      </c>
    </row>
    <row r="13" spans="1:9" x14ac:dyDescent="0.35">
      <c r="A13">
        <f t="shared" ca="1" si="0"/>
        <v>14</v>
      </c>
      <c r="B13" t="s">
        <v>626</v>
      </c>
      <c r="C13" t="s">
        <v>25</v>
      </c>
      <c r="D13">
        <f t="shared" ca="1" si="1"/>
        <v>222.9</v>
      </c>
      <c r="E13" s="5">
        <f t="shared" ca="1" si="2"/>
        <v>113.54</v>
      </c>
      <c r="F13" t="str">
        <f ca="1">IF(H13&lt;=I13,"Starter",IF(G13&gt;=LARGE(G:G,FlexOn*LeagueInfo!$F$2),"Starter","Bench"))</f>
        <v>Starter</v>
      </c>
      <c r="G13">
        <f t="shared" ca="1" si="3"/>
        <v>0</v>
      </c>
      <c r="H13">
        <f t="shared" ca="1" si="4"/>
        <v>7</v>
      </c>
      <c r="I13">
        <f>IF(C13="RB",LeagueInfo!$D$4*LeagueInfo!$F$2,LeagueInfo!$D$5*LeagueInfo!$F$2)</f>
        <v>24</v>
      </c>
    </row>
    <row r="14" spans="1:9" x14ac:dyDescent="0.35">
      <c r="A14">
        <f t="shared" ca="1" si="0"/>
        <v>11</v>
      </c>
      <c r="B14" t="s">
        <v>789</v>
      </c>
      <c r="C14" t="s">
        <v>32</v>
      </c>
      <c r="D14">
        <f t="shared" ca="1" si="1"/>
        <v>225.78</v>
      </c>
      <c r="E14" s="5">
        <f t="shared" ca="1" si="2"/>
        <v>116.42</v>
      </c>
      <c r="F14" t="str">
        <f ca="1">IF(H14&lt;=I14,"Starter",IF(G14&gt;=LARGE(G:G,FlexOn*LeagueInfo!$F$2),"Starter","Bench"))</f>
        <v>Starter</v>
      </c>
      <c r="G14">
        <f t="shared" ca="1" si="3"/>
        <v>0</v>
      </c>
      <c r="H14">
        <f t="shared" ca="1" si="4"/>
        <v>6</v>
      </c>
      <c r="I14">
        <f>IF(C14="RB",LeagueInfo!$D$4*LeagueInfo!$F$2,LeagueInfo!$D$5*LeagueInfo!$F$2)</f>
        <v>24</v>
      </c>
    </row>
    <row r="15" spans="1:9" x14ac:dyDescent="0.35">
      <c r="A15">
        <f t="shared" ca="1" si="0"/>
        <v>13</v>
      </c>
      <c r="B15" t="s">
        <v>107</v>
      </c>
      <c r="C15" t="s">
        <v>25</v>
      </c>
      <c r="D15">
        <f t="shared" ca="1" si="1"/>
        <v>223.28999999999996</v>
      </c>
      <c r="E15" s="5">
        <f t="shared" ca="1" si="2"/>
        <v>113.92999999999996</v>
      </c>
      <c r="F15" t="str">
        <f ca="1">IF(H15&lt;=I15,"Starter",IF(G15&gt;=LARGE(G:G,FlexOn*LeagueInfo!$F$2),"Starter","Bench"))</f>
        <v>Starter</v>
      </c>
      <c r="G15">
        <f t="shared" ca="1" si="3"/>
        <v>0</v>
      </c>
      <c r="H15">
        <f t="shared" ca="1" si="4"/>
        <v>6</v>
      </c>
      <c r="I15">
        <f>IF(C15="RB",LeagueInfo!$D$4*LeagueInfo!$F$2,LeagueInfo!$D$5*LeagueInfo!$F$2)</f>
        <v>24</v>
      </c>
    </row>
    <row r="16" spans="1:9" x14ac:dyDescent="0.35">
      <c r="A16">
        <f t="shared" ca="1" si="0"/>
        <v>19</v>
      </c>
      <c r="B16" t="s">
        <v>629</v>
      </c>
      <c r="C16" t="s">
        <v>25</v>
      </c>
      <c r="D16">
        <f t="shared" ca="1" si="1"/>
        <v>211.42</v>
      </c>
      <c r="E16" s="5">
        <f t="shared" ca="1" si="2"/>
        <v>102.05999999999999</v>
      </c>
      <c r="F16" t="str">
        <f ca="1">IF(H16&lt;=I16,"Starter",IF(G16&gt;=LARGE(G:G,FlexOn*LeagueInfo!$F$2),"Starter","Bench"))</f>
        <v>Starter</v>
      </c>
      <c r="G16">
        <f t="shared" ca="1" si="3"/>
        <v>0</v>
      </c>
      <c r="H16">
        <f t="shared" ca="1" si="4"/>
        <v>11</v>
      </c>
      <c r="I16">
        <f>IF(C16="RB",LeagueInfo!$D$4*LeagueInfo!$F$2,LeagueInfo!$D$5*LeagueInfo!$F$2)</f>
        <v>24</v>
      </c>
    </row>
    <row r="17" spans="1:9" x14ac:dyDescent="0.35">
      <c r="A17">
        <f t="shared" ca="1" si="0"/>
        <v>15</v>
      </c>
      <c r="B17" t="s">
        <v>724</v>
      </c>
      <c r="C17" t="s">
        <v>25</v>
      </c>
      <c r="D17">
        <f t="shared" ca="1" si="1"/>
        <v>221.12</v>
      </c>
      <c r="E17" s="5">
        <f t="shared" ca="1" si="2"/>
        <v>111.76</v>
      </c>
      <c r="F17" t="str">
        <f ca="1">IF(H17&lt;=I17,"Starter",IF(G17&gt;=LARGE(G:G,FlexOn*LeagueInfo!$F$2),"Starter","Bench"))</f>
        <v>Starter</v>
      </c>
      <c r="G17">
        <f t="shared" ca="1" si="3"/>
        <v>0</v>
      </c>
      <c r="H17">
        <f t="shared" ca="1" si="4"/>
        <v>8</v>
      </c>
      <c r="I17">
        <f>IF(C17="RB",LeagueInfo!$D$4*LeagueInfo!$F$2,LeagueInfo!$D$5*LeagueInfo!$F$2)</f>
        <v>24</v>
      </c>
    </row>
    <row r="18" spans="1:9" x14ac:dyDescent="0.35">
      <c r="A18">
        <f t="shared" ca="1" si="0"/>
        <v>16</v>
      </c>
      <c r="B18" t="s">
        <v>590</v>
      </c>
      <c r="C18" t="s">
        <v>32</v>
      </c>
      <c r="D18">
        <f t="shared" ca="1" si="1"/>
        <v>215.74</v>
      </c>
      <c r="E18" s="5">
        <f t="shared" ca="1" si="2"/>
        <v>106.38000000000001</v>
      </c>
      <c r="F18" t="str">
        <f ca="1">IF(H18&lt;=I18,"Starter",IF(G18&gt;=LARGE(G:G,FlexOn*LeagueInfo!$F$2),"Starter","Bench"))</f>
        <v>Starter</v>
      </c>
      <c r="G18">
        <f t="shared" ca="1" si="3"/>
        <v>0</v>
      </c>
      <c r="H18">
        <f t="shared" ca="1" si="4"/>
        <v>8</v>
      </c>
      <c r="I18">
        <f>IF(C18="RB",LeagueInfo!$D$4*LeagueInfo!$F$2,LeagueInfo!$D$5*LeagueInfo!$F$2)</f>
        <v>24</v>
      </c>
    </row>
    <row r="19" spans="1:9" x14ac:dyDescent="0.35">
      <c r="A19">
        <f t="shared" ca="1" si="0"/>
        <v>17</v>
      </c>
      <c r="B19" t="s">
        <v>614</v>
      </c>
      <c r="C19" t="s">
        <v>25</v>
      </c>
      <c r="D19">
        <f t="shared" ca="1" si="1"/>
        <v>215.13</v>
      </c>
      <c r="E19" s="5">
        <f t="shared" ca="1" si="2"/>
        <v>105.77</v>
      </c>
      <c r="F19" t="str">
        <f ca="1">IF(H19&lt;=I19,"Starter",IF(G19&gt;=LARGE(G:G,FlexOn*LeagueInfo!$F$2),"Starter","Bench"))</f>
        <v>Starter</v>
      </c>
      <c r="G19">
        <f t="shared" ca="1" si="3"/>
        <v>0</v>
      </c>
      <c r="H19">
        <f t="shared" ca="1" si="4"/>
        <v>9</v>
      </c>
      <c r="I19">
        <f>IF(C19="RB",LeagueInfo!$D$4*LeagueInfo!$F$2,LeagueInfo!$D$5*LeagueInfo!$F$2)</f>
        <v>24</v>
      </c>
    </row>
    <row r="20" spans="1:9" x14ac:dyDescent="0.35">
      <c r="A20">
        <f t="shared" ca="1" si="0"/>
        <v>20</v>
      </c>
      <c r="B20" t="s">
        <v>615</v>
      </c>
      <c r="C20" t="s">
        <v>25</v>
      </c>
      <c r="D20">
        <f t="shared" ca="1" si="1"/>
        <v>208.68</v>
      </c>
      <c r="E20" s="5">
        <f t="shared" ca="1" si="2"/>
        <v>99.320000000000007</v>
      </c>
      <c r="F20" t="str">
        <f ca="1">IF(H20&lt;=I20,"Starter",IF(G20&gt;=LARGE(G:G,FlexOn*LeagueInfo!$F$2),"Starter","Bench"))</f>
        <v>Starter</v>
      </c>
      <c r="G20">
        <f t="shared" ca="1" si="3"/>
        <v>0</v>
      </c>
      <c r="H20">
        <f t="shared" ca="1" si="4"/>
        <v>12</v>
      </c>
      <c r="I20">
        <f>IF(C20="RB",LeagueInfo!$D$4*LeagueInfo!$F$2,LeagueInfo!$D$5*LeagueInfo!$F$2)</f>
        <v>24</v>
      </c>
    </row>
    <row r="21" spans="1:9" x14ac:dyDescent="0.35">
      <c r="A21">
        <f t="shared" ca="1" si="0"/>
        <v>18</v>
      </c>
      <c r="B21" t="s">
        <v>421</v>
      </c>
      <c r="C21" t="s">
        <v>25</v>
      </c>
      <c r="D21">
        <f t="shared" ca="1" si="1"/>
        <v>211.60999999999999</v>
      </c>
      <c r="E21" s="5">
        <f t="shared" ca="1" si="2"/>
        <v>102.24999999999999</v>
      </c>
      <c r="F21" t="str">
        <f ca="1">IF(H21&lt;=I21,"Starter",IF(G21&gt;=LARGE(G:G,FlexOn*LeagueInfo!$F$2),"Starter","Bench"))</f>
        <v>Starter</v>
      </c>
      <c r="G21">
        <f t="shared" ca="1" si="3"/>
        <v>0</v>
      </c>
      <c r="H21">
        <f t="shared" ca="1" si="4"/>
        <v>10</v>
      </c>
      <c r="I21">
        <f>IF(C21="RB",LeagueInfo!$D$4*LeagueInfo!$F$2,LeagueInfo!$D$5*LeagueInfo!$F$2)</f>
        <v>24</v>
      </c>
    </row>
    <row r="22" spans="1:9" x14ac:dyDescent="0.35">
      <c r="A22">
        <f t="shared" ca="1" si="0"/>
        <v>24</v>
      </c>
      <c r="B22" t="s">
        <v>98</v>
      </c>
      <c r="C22" t="s">
        <v>25</v>
      </c>
      <c r="D22">
        <f t="shared" ca="1" si="1"/>
        <v>203.67</v>
      </c>
      <c r="E22" s="5">
        <f t="shared" ca="1" si="2"/>
        <v>94.309999999999988</v>
      </c>
      <c r="F22" t="str">
        <f ca="1">IF(H22&lt;=I22,"Starter",IF(G22&gt;=LARGE(G:G,FlexOn*LeagueInfo!$F$2),"Starter","Bench"))</f>
        <v>Starter</v>
      </c>
      <c r="G22">
        <f t="shared" ca="1" si="3"/>
        <v>0</v>
      </c>
      <c r="H22">
        <f t="shared" ca="1" si="4"/>
        <v>16</v>
      </c>
      <c r="I22">
        <f>IF(C22="RB",LeagueInfo!$D$4*LeagueInfo!$F$2,LeagueInfo!$D$5*LeagueInfo!$F$2)</f>
        <v>24</v>
      </c>
    </row>
    <row r="23" spans="1:9" x14ac:dyDescent="0.35">
      <c r="A23">
        <f t="shared" ca="1" si="0"/>
        <v>22</v>
      </c>
      <c r="B23" t="s">
        <v>780</v>
      </c>
      <c r="C23" t="s">
        <v>25</v>
      </c>
      <c r="D23">
        <f t="shared" ca="1" si="1"/>
        <v>207.67</v>
      </c>
      <c r="E23" s="5">
        <f t="shared" ca="1" si="2"/>
        <v>98.309999999999988</v>
      </c>
      <c r="F23" t="str">
        <f ca="1">IF(H23&lt;=I23,"Starter",IF(G23&gt;=LARGE(G:G,FlexOn*LeagueInfo!$F$2),"Starter","Bench"))</f>
        <v>Starter</v>
      </c>
      <c r="G23">
        <f t="shared" ca="1" si="3"/>
        <v>0</v>
      </c>
      <c r="H23">
        <f t="shared" ca="1" si="4"/>
        <v>14</v>
      </c>
      <c r="I23">
        <f>IF(C23="RB",LeagueInfo!$D$4*LeagueInfo!$F$2,LeagueInfo!$D$5*LeagueInfo!$F$2)</f>
        <v>24</v>
      </c>
    </row>
    <row r="24" spans="1:9" x14ac:dyDescent="0.35">
      <c r="A24">
        <f t="shared" ca="1" si="0"/>
        <v>23</v>
      </c>
      <c r="B24" t="s">
        <v>617</v>
      </c>
      <c r="C24" t="s">
        <v>25</v>
      </c>
      <c r="D24">
        <f t="shared" ca="1" si="1"/>
        <v>207.3</v>
      </c>
      <c r="E24" s="5">
        <f t="shared" ca="1" si="2"/>
        <v>97.940000000000012</v>
      </c>
      <c r="F24" t="str">
        <f ca="1">IF(H24&lt;=I24,"Starter",IF(G24&gt;=LARGE(G:G,FlexOn*LeagueInfo!$F$2),"Starter","Bench"))</f>
        <v>Starter</v>
      </c>
      <c r="G24">
        <f t="shared" ca="1" si="3"/>
        <v>0</v>
      </c>
      <c r="H24">
        <f t="shared" ca="1" si="4"/>
        <v>15</v>
      </c>
      <c r="I24">
        <f>IF(C24="RB",LeagueInfo!$D$4*LeagueInfo!$F$2,LeagueInfo!$D$5*LeagueInfo!$F$2)</f>
        <v>24</v>
      </c>
    </row>
    <row r="25" spans="1:9" x14ac:dyDescent="0.35">
      <c r="A25">
        <f t="shared" ca="1" si="0"/>
        <v>32</v>
      </c>
      <c r="B25" t="s">
        <v>779</v>
      </c>
      <c r="C25" t="s">
        <v>25</v>
      </c>
      <c r="D25">
        <f t="shared" ca="1" si="1"/>
        <v>195.64000000000001</v>
      </c>
      <c r="E25" s="5">
        <f t="shared" ca="1" si="2"/>
        <v>86.280000000000015</v>
      </c>
      <c r="F25" t="str">
        <f ca="1">IF(H25&lt;=I25,"Starter",IF(G25&gt;=LARGE(G:G,FlexOn*LeagueInfo!$F$2),"Starter","Bench"))</f>
        <v>Starter</v>
      </c>
      <c r="G25">
        <f t="shared" ca="1" si="3"/>
        <v>0</v>
      </c>
      <c r="H25">
        <f t="shared" ca="1" si="4"/>
        <v>17</v>
      </c>
      <c r="I25">
        <f>IF(C25="RB",LeagueInfo!$D$4*LeagueInfo!$F$2,LeagueInfo!$D$5*LeagueInfo!$F$2)</f>
        <v>24</v>
      </c>
    </row>
    <row r="26" spans="1:9" x14ac:dyDescent="0.35">
      <c r="A26">
        <f t="shared" ca="1" si="0"/>
        <v>28</v>
      </c>
      <c r="B26" t="s">
        <v>906</v>
      </c>
      <c r="C26" t="s">
        <v>32</v>
      </c>
      <c r="D26">
        <f t="shared" ca="1" si="1"/>
        <v>198.92000000000002</v>
      </c>
      <c r="E26" s="5">
        <f t="shared" ca="1" si="2"/>
        <v>89.560000000000016</v>
      </c>
      <c r="F26" t="str">
        <f ca="1">IF(H26&lt;=I26,"Starter",IF(G26&gt;=LARGE(G:G,FlexOn*LeagueInfo!$F$2),"Starter","Bench"))</f>
        <v>Starter</v>
      </c>
      <c r="G26">
        <f t="shared" ca="1" si="3"/>
        <v>0</v>
      </c>
      <c r="H26">
        <f t="shared" ca="1" si="4"/>
        <v>12</v>
      </c>
      <c r="I26">
        <f>IF(C26="RB",LeagueInfo!$D$4*LeagueInfo!$F$2,LeagueInfo!$D$5*LeagueInfo!$F$2)</f>
        <v>24</v>
      </c>
    </row>
    <row r="27" spans="1:9" x14ac:dyDescent="0.35">
      <c r="A27">
        <f t="shared" ca="1" si="0"/>
        <v>27</v>
      </c>
      <c r="B27" t="s">
        <v>90</v>
      </c>
      <c r="C27" t="s">
        <v>32</v>
      </c>
      <c r="D27">
        <f t="shared" ca="1" si="1"/>
        <v>199.36</v>
      </c>
      <c r="E27" s="5">
        <f t="shared" ca="1" si="2"/>
        <v>90.000000000000014</v>
      </c>
      <c r="F27" t="str">
        <f ca="1">IF(H27&lt;=I27,"Starter",IF(G27&gt;=LARGE(G:G,FlexOn*LeagueInfo!$F$2),"Starter","Bench"))</f>
        <v>Starter</v>
      </c>
      <c r="G27">
        <f t="shared" ca="1" si="3"/>
        <v>0</v>
      </c>
      <c r="H27">
        <f t="shared" ca="1" si="4"/>
        <v>11</v>
      </c>
      <c r="I27">
        <f>IF(C27="RB",LeagueInfo!$D$4*LeagueInfo!$F$2,LeagueInfo!$D$5*LeagueInfo!$F$2)</f>
        <v>24</v>
      </c>
    </row>
    <row r="28" spans="1:9" x14ac:dyDescent="0.35">
      <c r="A28">
        <f t="shared" ca="1" si="0"/>
        <v>30</v>
      </c>
      <c r="B28" t="s">
        <v>559</v>
      </c>
      <c r="C28" t="s">
        <v>32</v>
      </c>
      <c r="D28">
        <f t="shared" ca="1" si="1"/>
        <v>198.71</v>
      </c>
      <c r="E28" s="5">
        <f t="shared" ca="1" si="2"/>
        <v>89.350000000000009</v>
      </c>
      <c r="F28" t="str">
        <f ca="1">IF(H28&lt;=I28,"Starter",IF(G28&gt;=LARGE(G:G,FlexOn*LeagueInfo!$F$2),"Starter","Bench"))</f>
        <v>Starter</v>
      </c>
      <c r="G28">
        <f t="shared" ca="1" si="3"/>
        <v>0</v>
      </c>
      <c r="H28">
        <f t="shared" ca="1" si="4"/>
        <v>14</v>
      </c>
      <c r="I28">
        <f>IF(C28="RB",LeagueInfo!$D$4*LeagueInfo!$F$2,LeagueInfo!$D$5*LeagueInfo!$F$2)</f>
        <v>24</v>
      </c>
    </row>
    <row r="29" spans="1:9" x14ac:dyDescent="0.35">
      <c r="A29">
        <f t="shared" ca="1" si="0"/>
        <v>25</v>
      </c>
      <c r="B29" t="s">
        <v>589</v>
      </c>
      <c r="C29" t="s">
        <v>32</v>
      </c>
      <c r="D29">
        <f t="shared" ca="1" si="1"/>
        <v>203.34000000000003</v>
      </c>
      <c r="E29" s="5">
        <f t="shared" ca="1" si="2"/>
        <v>93.980000000000032</v>
      </c>
      <c r="F29" t="str">
        <f ca="1">IF(H29&lt;=I29,"Starter",IF(G29&gt;=LARGE(G:G,FlexOn*LeagueInfo!$F$2),"Starter","Bench"))</f>
        <v>Starter</v>
      </c>
      <c r="G29">
        <f t="shared" ca="1" si="3"/>
        <v>0</v>
      </c>
      <c r="H29">
        <f t="shared" ca="1" si="4"/>
        <v>9</v>
      </c>
      <c r="I29">
        <f>IF(C29="RB",LeagueInfo!$D$4*LeagueInfo!$F$2,LeagueInfo!$D$5*LeagueInfo!$F$2)</f>
        <v>24</v>
      </c>
    </row>
    <row r="30" spans="1:9" x14ac:dyDescent="0.35">
      <c r="A30">
        <f t="shared" ca="1" si="0"/>
        <v>26</v>
      </c>
      <c r="B30" t="s">
        <v>907</v>
      </c>
      <c r="C30" t="s">
        <v>32</v>
      </c>
      <c r="D30">
        <f t="shared" ca="1" si="1"/>
        <v>199.93</v>
      </c>
      <c r="E30" s="5">
        <f t="shared" ca="1" si="2"/>
        <v>90.570000000000007</v>
      </c>
      <c r="F30" t="str">
        <f ca="1">IF(H30&lt;=I30,"Starter",IF(G30&gt;=LARGE(G:G,FlexOn*LeagueInfo!$F$2),"Starter","Bench"))</f>
        <v>Starter</v>
      </c>
      <c r="G30">
        <f t="shared" ca="1" si="3"/>
        <v>0</v>
      </c>
      <c r="H30">
        <f t="shared" ca="1" si="4"/>
        <v>10</v>
      </c>
      <c r="I30">
        <f>IF(C30="RB",LeagueInfo!$D$4*LeagueInfo!$F$2,LeagueInfo!$D$5*LeagueInfo!$F$2)</f>
        <v>24</v>
      </c>
    </row>
    <row r="31" spans="1:9" x14ac:dyDescent="0.35">
      <c r="A31">
        <f t="shared" ca="1" si="0"/>
        <v>29</v>
      </c>
      <c r="B31" t="s">
        <v>588</v>
      </c>
      <c r="C31" t="s">
        <v>32</v>
      </c>
      <c r="D31">
        <f t="shared" ca="1" si="1"/>
        <v>198.76999999999998</v>
      </c>
      <c r="E31" s="5">
        <f t="shared" ca="1" si="2"/>
        <v>89.409999999999982</v>
      </c>
      <c r="F31" t="str">
        <f ca="1">IF(H31&lt;=I31,"Starter",IF(G31&gt;=LARGE(G:G,FlexOn*LeagueInfo!$F$2),"Starter","Bench"))</f>
        <v>Starter</v>
      </c>
      <c r="G31">
        <f t="shared" ca="1" si="3"/>
        <v>0</v>
      </c>
      <c r="H31">
        <f t="shared" ca="1" si="4"/>
        <v>13</v>
      </c>
      <c r="I31">
        <f>IF(C31="RB",LeagueInfo!$D$4*LeagueInfo!$F$2,LeagueInfo!$D$5*LeagueInfo!$F$2)</f>
        <v>24</v>
      </c>
    </row>
    <row r="32" spans="1:9" x14ac:dyDescent="0.35">
      <c r="A32">
        <f t="shared" ca="1" si="0"/>
        <v>35</v>
      </c>
      <c r="B32" t="s">
        <v>586</v>
      </c>
      <c r="C32" t="s">
        <v>32</v>
      </c>
      <c r="D32">
        <f t="shared" ca="1" si="1"/>
        <v>191.42999999999998</v>
      </c>
      <c r="E32" s="5">
        <f t="shared" ca="1" si="2"/>
        <v>82.069999999999979</v>
      </c>
      <c r="F32" t="str">
        <f ca="1">IF(H32&lt;=I32,"Starter",IF(G32&gt;=LARGE(G:G,FlexOn*LeagueInfo!$F$2),"Starter","Bench"))</f>
        <v>Starter</v>
      </c>
      <c r="G32">
        <f t="shared" ca="1" si="3"/>
        <v>0</v>
      </c>
      <c r="H32">
        <f t="shared" ca="1" si="4"/>
        <v>18</v>
      </c>
      <c r="I32">
        <f>IF(C32="RB",LeagueInfo!$D$4*LeagueInfo!$F$2,LeagueInfo!$D$5*LeagueInfo!$F$2)</f>
        <v>24</v>
      </c>
    </row>
    <row r="33" spans="1:9" x14ac:dyDescent="0.35">
      <c r="A33">
        <f t="shared" ca="1" si="0"/>
        <v>21</v>
      </c>
      <c r="B33" t="s">
        <v>229</v>
      </c>
      <c r="C33" t="s">
        <v>25</v>
      </c>
      <c r="D33">
        <f t="shared" ca="1" si="1"/>
        <v>208.59</v>
      </c>
      <c r="E33" s="5">
        <f t="shared" ca="1" si="2"/>
        <v>99.23</v>
      </c>
      <c r="F33" t="str">
        <f ca="1">IF(H33&lt;=I33,"Starter",IF(G33&gt;=LARGE(G:G,FlexOn*LeagueInfo!$F$2),"Starter","Bench"))</f>
        <v>Starter</v>
      </c>
      <c r="G33">
        <f t="shared" ca="1" si="3"/>
        <v>0</v>
      </c>
      <c r="H33">
        <f t="shared" ca="1" si="4"/>
        <v>13</v>
      </c>
      <c r="I33">
        <f>IF(C33="RB",LeagueInfo!$D$4*LeagueInfo!$F$2,LeagueInfo!$D$5*LeagueInfo!$F$2)</f>
        <v>24</v>
      </c>
    </row>
    <row r="34" spans="1:9" x14ac:dyDescent="0.35">
      <c r="A34">
        <f t="shared" ca="1" si="0"/>
        <v>31</v>
      </c>
      <c r="B34" t="s">
        <v>100</v>
      </c>
      <c r="C34" t="s">
        <v>32</v>
      </c>
      <c r="D34">
        <f t="shared" ca="1" si="1"/>
        <v>197.62</v>
      </c>
      <c r="E34" s="5">
        <f t="shared" ca="1" si="2"/>
        <v>88.26</v>
      </c>
      <c r="F34" t="str">
        <f ca="1">IF(H34&lt;=I34,"Starter",IF(G34&gt;=LARGE(G:G,FlexOn*LeagueInfo!$F$2),"Starter","Bench"))</f>
        <v>Starter</v>
      </c>
      <c r="G34">
        <f t="shared" ca="1" si="3"/>
        <v>0</v>
      </c>
      <c r="H34">
        <f t="shared" ca="1" si="4"/>
        <v>15</v>
      </c>
      <c r="I34">
        <f>IF(C34="RB",LeagueInfo!$D$4*LeagueInfo!$F$2,LeagueInfo!$D$5*LeagueInfo!$F$2)</f>
        <v>24</v>
      </c>
    </row>
    <row r="35" spans="1:9" x14ac:dyDescent="0.35">
      <c r="A35">
        <f t="shared" ca="1" si="0"/>
        <v>36</v>
      </c>
      <c r="B35" t="s">
        <v>492</v>
      </c>
      <c r="C35" t="s">
        <v>32</v>
      </c>
      <c r="D35">
        <f t="shared" ca="1" si="1"/>
        <v>190.1</v>
      </c>
      <c r="E35" s="5">
        <f t="shared" ca="1" si="2"/>
        <v>80.739999999999995</v>
      </c>
      <c r="F35" t="str">
        <f ca="1">IF(H35&lt;=I35,"Starter",IF(G35&gt;=LARGE(G:G,FlexOn*LeagueInfo!$F$2),"Starter","Bench"))</f>
        <v>Starter</v>
      </c>
      <c r="G35">
        <f t="shared" ca="1" si="3"/>
        <v>0</v>
      </c>
      <c r="H35">
        <f t="shared" ca="1" si="4"/>
        <v>19</v>
      </c>
      <c r="I35">
        <f>IF(C35="RB",LeagueInfo!$D$4*LeagueInfo!$F$2,LeagueInfo!$D$5*LeagueInfo!$F$2)</f>
        <v>24</v>
      </c>
    </row>
    <row r="36" spans="1:9" x14ac:dyDescent="0.35">
      <c r="A36">
        <f t="shared" ca="1" si="0"/>
        <v>34</v>
      </c>
      <c r="B36" t="s">
        <v>551</v>
      </c>
      <c r="C36" t="s">
        <v>32</v>
      </c>
      <c r="D36">
        <f t="shared" ca="1" si="1"/>
        <v>191.54999999999998</v>
      </c>
      <c r="E36" s="5">
        <f t="shared" ca="1" si="2"/>
        <v>82.189999999999984</v>
      </c>
      <c r="F36" t="str">
        <f ca="1">IF(H36&lt;=I36,"Starter",IF(G36&gt;=LARGE(G:G,FlexOn*LeagueInfo!$F$2),"Starter","Bench"))</f>
        <v>Starter</v>
      </c>
      <c r="G36">
        <f t="shared" ca="1" si="3"/>
        <v>0</v>
      </c>
      <c r="H36">
        <f t="shared" ca="1" si="4"/>
        <v>17</v>
      </c>
      <c r="I36">
        <f>IF(C36="RB",LeagueInfo!$D$4*LeagueInfo!$F$2,LeagueInfo!$D$5*LeagueInfo!$F$2)</f>
        <v>24</v>
      </c>
    </row>
    <row r="37" spans="1:9" x14ac:dyDescent="0.35">
      <c r="A37">
        <f t="shared" ca="1" si="0"/>
        <v>33</v>
      </c>
      <c r="B37" t="s">
        <v>239</v>
      </c>
      <c r="C37" t="s">
        <v>32</v>
      </c>
      <c r="D37">
        <f t="shared" ca="1" si="1"/>
        <v>194.21000000000004</v>
      </c>
      <c r="E37" s="5">
        <f t="shared" ca="1" si="2"/>
        <v>84.850000000000037</v>
      </c>
      <c r="F37" t="str">
        <f ca="1">IF(H37&lt;=I37,"Starter",IF(G37&gt;=LARGE(G:G,FlexOn*LeagueInfo!$F$2),"Starter","Bench"))</f>
        <v>Starter</v>
      </c>
      <c r="G37">
        <f t="shared" ca="1" si="3"/>
        <v>0</v>
      </c>
      <c r="H37">
        <f t="shared" ca="1" si="4"/>
        <v>16</v>
      </c>
      <c r="I37">
        <f>IF(C37="RB",LeagueInfo!$D$4*LeagueInfo!$F$2,LeagueInfo!$D$5*LeagueInfo!$F$2)</f>
        <v>24</v>
      </c>
    </row>
    <row r="38" spans="1:9" x14ac:dyDescent="0.35">
      <c r="A38">
        <f t="shared" ca="1" si="0"/>
        <v>37</v>
      </c>
      <c r="B38" t="s">
        <v>552</v>
      </c>
      <c r="C38" t="s">
        <v>32</v>
      </c>
      <c r="D38">
        <f t="shared" ca="1" si="1"/>
        <v>189.19</v>
      </c>
      <c r="E38" s="5">
        <f t="shared" ca="1" si="2"/>
        <v>79.83</v>
      </c>
      <c r="F38" t="str">
        <f ca="1">IF(H38&lt;=I38,"Starter",IF(G38&gt;=LARGE(G:G,FlexOn*LeagueInfo!$F$2),"Starter","Bench"))</f>
        <v>Starter</v>
      </c>
      <c r="G38">
        <f t="shared" ca="1" si="3"/>
        <v>0</v>
      </c>
      <c r="H38">
        <f t="shared" ca="1" si="4"/>
        <v>20</v>
      </c>
      <c r="I38">
        <f>IF(C38="RB",LeagueInfo!$D$4*LeagueInfo!$F$2,LeagueInfo!$D$5*LeagueInfo!$F$2)</f>
        <v>24</v>
      </c>
    </row>
    <row r="39" spans="1:9" x14ac:dyDescent="0.35">
      <c r="A39">
        <f t="shared" ca="1" si="0"/>
        <v>39</v>
      </c>
      <c r="B39" t="s">
        <v>585</v>
      </c>
      <c r="C39" t="s">
        <v>32</v>
      </c>
      <c r="D39">
        <f t="shared" ca="1" si="1"/>
        <v>184.46</v>
      </c>
      <c r="E39" s="5">
        <f t="shared" ca="1" si="2"/>
        <v>75.100000000000009</v>
      </c>
      <c r="F39" t="str">
        <f ca="1">IF(H39&lt;=I39,"Starter",IF(G39&gt;=LARGE(G:G,FlexOn*LeagueInfo!$F$2),"Starter","Bench"))</f>
        <v>Starter</v>
      </c>
      <c r="G39">
        <f t="shared" ca="1" si="3"/>
        <v>0</v>
      </c>
      <c r="H39">
        <f t="shared" ca="1" si="4"/>
        <v>22</v>
      </c>
      <c r="I39">
        <f>IF(C39="RB",LeagueInfo!$D$4*LeagueInfo!$F$2,LeagueInfo!$D$5*LeagueInfo!$F$2)</f>
        <v>24</v>
      </c>
    </row>
    <row r="40" spans="1:9" x14ac:dyDescent="0.35">
      <c r="A40">
        <f t="shared" ca="1" si="0"/>
        <v>40</v>
      </c>
      <c r="B40" t="s">
        <v>92</v>
      </c>
      <c r="C40" t="s">
        <v>32</v>
      </c>
      <c r="D40">
        <f t="shared" ca="1" si="1"/>
        <v>183.40999999999997</v>
      </c>
      <c r="E40" s="5">
        <f t="shared" ca="1" si="2"/>
        <v>74.049999999999969</v>
      </c>
      <c r="F40" t="str">
        <f ca="1">IF(H40&lt;=I40,"Starter",IF(G40&gt;=LARGE(G:G,FlexOn*LeagueInfo!$F$2),"Starter","Bench"))</f>
        <v>Starter</v>
      </c>
      <c r="G40">
        <f t="shared" ca="1" si="3"/>
        <v>0</v>
      </c>
      <c r="H40">
        <f t="shared" ca="1" si="4"/>
        <v>23</v>
      </c>
      <c r="I40">
        <f>IF(C40="RB",LeagueInfo!$D$4*LeagueInfo!$F$2,LeagueInfo!$D$5*LeagueInfo!$F$2)</f>
        <v>24</v>
      </c>
    </row>
    <row r="41" spans="1:9" x14ac:dyDescent="0.35">
      <c r="A41">
        <f t="shared" ca="1" si="0"/>
        <v>46</v>
      </c>
      <c r="B41" t="s">
        <v>597</v>
      </c>
      <c r="C41" t="s">
        <v>32</v>
      </c>
      <c r="D41">
        <f t="shared" ca="1" si="1"/>
        <v>180.14999999999998</v>
      </c>
      <c r="E41" s="5">
        <f t="shared" ca="1" si="2"/>
        <v>70.789999999999978</v>
      </c>
      <c r="F41" t="str">
        <f ca="1">IF(H41&lt;=I41,"Starter",IF(G41&gt;=LARGE(G:G,FlexOn*LeagueInfo!$F$2),"Starter","Bench"))</f>
        <v>Starter</v>
      </c>
      <c r="G41">
        <f t="shared" ca="1" si="3"/>
        <v>180.14999999999998</v>
      </c>
      <c r="H41">
        <f t="shared" ca="1" si="4"/>
        <v>27</v>
      </c>
      <c r="I41">
        <f>IF(C41="RB",LeagueInfo!$D$4*LeagueInfo!$F$2,LeagueInfo!$D$5*LeagueInfo!$F$2)</f>
        <v>24</v>
      </c>
    </row>
    <row r="42" spans="1:9" x14ac:dyDescent="0.35">
      <c r="A42">
        <f t="shared" ca="1" si="0"/>
        <v>42</v>
      </c>
      <c r="B42" t="s">
        <v>493</v>
      </c>
      <c r="C42" t="s">
        <v>32</v>
      </c>
      <c r="D42">
        <f t="shared" ca="1" si="1"/>
        <v>182.53</v>
      </c>
      <c r="E42" s="5">
        <f t="shared" ca="1" si="2"/>
        <v>73.17</v>
      </c>
      <c r="F42" t="str">
        <f ca="1">IF(H42&lt;=I42,"Starter",IF(G42&gt;=LARGE(G:G,FlexOn*LeagueInfo!$F$2),"Starter","Bench"))</f>
        <v>Starter</v>
      </c>
      <c r="G42">
        <f t="shared" ca="1" si="3"/>
        <v>182.53</v>
      </c>
      <c r="H42">
        <f t="shared" ca="1" si="4"/>
        <v>25</v>
      </c>
      <c r="I42">
        <f>IF(C42="RB",LeagueInfo!$D$4*LeagueInfo!$F$2,LeagueInfo!$D$5*LeagueInfo!$F$2)</f>
        <v>24</v>
      </c>
    </row>
    <row r="43" spans="1:9" x14ac:dyDescent="0.35">
      <c r="A43">
        <f t="shared" ca="1" si="0"/>
        <v>53</v>
      </c>
      <c r="B43" t="s">
        <v>230</v>
      </c>
      <c r="C43" t="s">
        <v>25</v>
      </c>
      <c r="D43">
        <f t="shared" ca="1" si="1"/>
        <v>173.70000000000002</v>
      </c>
      <c r="E43" s="5">
        <f t="shared" ca="1" si="2"/>
        <v>64.340000000000018</v>
      </c>
      <c r="F43" t="str">
        <f ca="1">IF(H43&lt;=I43,"Starter",IF(G43&gt;=LARGE(G:G,FlexOn*LeagueInfo!$F$2),"Starter","Bench"))</f>
        <v>Starter</v>
      </c>
      <c r="G43">
        <f t="shared" ca="1" si="3"/>
        <v>0</v>
      </c>
      <c r="H43">
        <f t="shared" ca="1" si="4"/>
        <v>22</v>
      </c>
      <c r="I43">
        <f>IF(C43="RB",LeagueInfo!$D$4*LeagueInfo!$F$2,LeagueInfo!$D$5*LeagueInfo!$F$2)</f>
        <v>24</v>
      </c>
    </row>
    <row r="44" spans="1:9" x14ac:dyDescent="0.35">
      <c r="A44">
        <f t="shared" ca="1" si="0"/>
        <v>38</v>
      </c>
      <c r="B44" t="s">
        <v>120</v>
      </c>
      <c r="C44" t="s">
        <v>32</v>
      </c>
      <c r="D44">
        <f t="shared" ca="1" si="1"/>
        <v>184.84</v>
      </c>
      <c r="E44" s="5">
        <f t="shared" ca="1" si="2"/>
        <v>75.48</v>
      </c>
      <c r="F44" t="str">
        <f ca="1">IF(H44&lt;=I44,"Starter",IF(G44&gt;=LARGE(G:G,FlexOn*LeagueInfo!$F$2),"Starter","Bench"))</f>
        <v>Starter</v>
      </c>
      <c r="G44">
        <f t="shared" ca="1" si="3"/>
        <v>0</v>
      </c>
      <c r="H44">
        <f t="shared" ca="1" si="4"/>
        <v>21</v>
      </c>
      <c r="I44">
        <f>IF(C44="RB",LeagueInfo!$D$4*LeagueInfo!$F$2,LeagueInfo!$D$5*LeagueInfo!$F$2)</f>
        <v>24</v>
      </c>
    </row>
    <row r="45" spans="1:9" x14ac:dyDescent="0.35">
      <c r="A45">
        <f t="shared" ca="1" si="0"/>
        <v>48</v>
      </c>
      <c r="B45" t="s">
        <v>790</v>
      </c>
      <c r="C45" t="s">
        <v>32</v>
      </c>
      <c r="D45">
        <f t="shared" ca="1" si="1"/>
        <v>178.60000000000002</v>
      </c>
      <c r="E45" s="5">
        <f t="shared" ca="1" si="2"/>
        <v>69.240000000000023</v>
      </c>
      <c r="F45" t="str">
        <f ca="1">IF(H45&lt;=I45,"Starter",IF(G45&gt;=LARGE(G:G,FlexOn*LeagueInfo!$F$2),"Starter","Bench"))</f>
        <v>Starter</v>
      </c>
      <c r="G45">
        <f t="shared" ca="1" si="3"/>
        <v>178.60000000000002</v>
      </c>
      <c r="H45">
        <f t="shared" ca="1" si="4"/>
        <v>29</v>
      </c>
      <c r="I45">
        <f>IF(C45="RB",LeagueInfo!$D$4*LeagueInfo!$F$2,LeagueInfo!$D$5*LeagueInfo!$F$2)</f>
        <v>24</v>
      </c>
    </row>
    <row r="46" spans="1:9" x14ac:dyDescent="0.35">
      <c r="A46">
        <f t="shared" ca="1" si="0"/>
        <v>44</v>
      </c>
      <c r="B46" t="s">
        <v>908</v>
      </c>
      <c r="C46" t="s">
        <v>32</v>
      </c>
      <c r="D46">
        <f t="shared" ca="1" si="1"/>
        <v>181.76</v>
      </c>
      <c r="E46" s="5">
        <f t="shared" ca="1" si="2"/>
        <v>72.399999999999991</v>
      </c>
      <c r="F46" t="str">
        <f ca="1">IF(H46&lt;=I46,"Starter",IF(G46&gt;=LARGE(G:G,FlexOn*LeagueInfo!$F$2),"Starter","Bench"))</f>
        <v>Starter</v>
      </c>
      <c r="G46">
        <f t="shared" ca="1" si="3"/>
        <v>181.76</v>
      </c>
      <c r="H46">
        <f t="shared" ca="1" si="4"/>
        <v>26</v>
      </c>
      <c r="I46">
        <f>IF(C46="RB",LeagueInfo!$D$4*LeagueInfo!$F$2,LeagueInfo!$D$5*LeagueInfo!$F$2)</f>
        <v>24</v>
      </c>
    </row>
    <row r="47" spans="1:9" x14ac:dyDescent="0.35">
      <c r="A47">
        <f t="shared" ca="1" si="0"/>
        <v>47</v>
      </c>
      <c r="B47" t="s">
        <v>711</v>
      </c>
      <c r="C47" t="s">
        <v>32</v>
      </c>
      <c r="D47">
        <f t="shared" ca="1" si="1"/>
        <v>179.56</v>
      </c>
      <c r="E47" s="5">
        <f t="shared" ca="1" si="2"/>
        <v>70.2</v>
      </c>
      <c r="F47" t="str">
        <f ca="1">IF(H47&lt;=I47,"Starter",IF(G47&gt;=LARGE(G:G,FlexOn*LeagueInfo!$F$2),"Starter","Bench"))</f>
        <v>Starter</v>
      </c>
      <c r="G47">
        <f t="shared" ca="1" si="3"/>
        <v>179.56</v>
      </c>
      <c r="H47">
        <f t="shared" ca="1" si="4"/>
        <v>28</v>
      </c>
      <c r="I47">
        <f>IF(C47="RB",LeagueInfo!$D$4*LeagueInfo!$F$2,LeagueInfo!$D$5*LeagueInfo!$F$2)</f>
        <v>24</v>
      </c>
    </row>
    <row r="48" spans="1:9" x14ac:dyDescent="0.35">
      <c r="A48">
        <f t="shared" ca="1" si="0"/>
        <v>55</v>
      </c>
      <c r="B48" t="s">
        <v>540</v>
      </c>
      <c r="C48" t="s">
        <v>25</v>
      </c>
      <c r="D48">
        <f t="shared" ca="1" si="1"/>
        <v>172.45999999999998</v>
      </c>
      <c r="E48" s="5">
        <f t="shared" ca="1" si="2"/>
        <v>63.09999999999998</v>
      </c>
      <c r="F48" t="str">
        <f ca="1">IF(H48&lt;=I48,"Starter",IF(G48&gt;=LARGE(G:G,FlexOn*LeagueInfo!$F$2),"Starter","Bench"))</f>
        <v>Starter</v>
      </c>
      <c r="G48">
        <f t="shared" ca="1" si="3"/>
        <v>0</v>
      </c>
      <c r="H48">
        <f t="shared" ca="1" si="4"/>
        <v>23</v>
      </c>
      <c r="I48">
        <f>IF(C48="RB",LeagueInfo!$D$4*LeagueInfo!$F$2,LeagueInfo!$D$5*LeagueInfo!$F$2)</f>
        <v>24</v>
      </c>
    </row>
    <row r="49" spans="1:9" x14ac:dyDescent="0.35">
      <c r="A49">
        <f t="shared" ca="1" si="0"/>
        <v>51</v>
      </c>
      <c r="B49" t="s">
        <v>359</v>
      </c>
      <c r="C49" t="s">
        <v>32</v>
      </c>
      <c r="D49">
        <f t="shared" ca="1" si="1"/>
        <v>175.06</v>
      </c>
      <c r="E49" s="5">
        <f t="shared" ca="1" si="2"/>
        <v>65.7</v>
      </c>
      <c r="F49" t="str">
        <f ca="1">IF(H49&lt;=I49,"Starter",IF(G49&gt;=LARGE(G:G,FlexOn*LeagueInfo!$F$2),"Starter","Bench"))</f>
        <v>Starter</v>
      </c>
      <c r="G49">
        <f t="shared" ca="1" si="3"/>
        <v>175.06</v>
      </c>
      <c r="H49">
        <f t="shared" ca="1" si="4"/>
        <v>31</v>
      </c>
      <c r="I49">
        <f>IF(C49="RB",LeagueInfo!$D$4*LeagueInfo!$F$2,LeagueInfo!$D$5*LeagueInfo!$F$2)</f>
        <v>24</v>
      </c>
    </row>
    <row r="50" spans="1:9" x14ac:dyDescent="0.35">
      <c r="A50">
        <f t="shared" ca="1" si="0"/>
        <v>41</v>
      </c>
      <c r="B50" t="s">
        <v>491</v>
      </c>
      <c r="C50" t="s">
        <v>32</v>
      </c>
      <c r="D50">
        <f t="shared" ca="1" si="1"/>
        <v>182.72</v>
      </c>
      <c r="E50" s="5">
        <f t="shared" ca="1" si="2"/>
        <v>73.36</v>
      </c>
      <c r="F50" t="str">
        <f ca="1">IF(H50&lt;=I50,"Starter",IF(G50&gt;=LARGE(G:G,FlexOn*LeagueInfo!$F$2),"Starter","Bench"))</f>
        <v>Starter</v>
      </c>
      <c r="G50">
        <f t="shared" ca="1" si="3"/>
        <v>0</v>
      </c>
      <c r="H50">
        <f t="shared" ca="1" si="4"/>
        <v>24</v>
      </c>
      <c r="I50">
        <f>IF(C50="RB",LeagueInfo!$D$4*LeagueInfo!$F$2,LeagueInfo!$D$5*LeagueInfo!$F$2)</f>
        <v>24</v>
      </c>
    </row>
    <row r="51" spans="1:9" x14ac:dyDescent="0.35">
      <c r="A51">
        <f t="shared" ca="1" si="0"/>
        <v>52</v>
      </c>
      <c r="B51" t="s">
        <v>621</v>
      </c>
      <c r="C51" t="s">
        <v>25</v>
      </c>
      <c r="D51">
        <f t="shared" ca="1" si="1"/>
        <v>174.61</v>
      </c>
      <c r="E51" s="5">
        <f t="shared" ca="1" si="2"/>
        <v>65.250000000000014</v>
      </c>
      <c r="F51" t="str">
        <f ca="1">IF(H51&lt;=I51,"Starter",IF(G51&gt;=LARGE(G:G,FlexOn*LeagueInfo!$F$2),"Starter","Bench"))</f>
        <v>Starter</v>
      </c>
      <c r="G51">
        <f t="shared" ca="1" si="3"/>
        <v>0</v>
      </c>
      <c r="H51">
        <f t="shared" ca="1" si="4"/>
        <v>21</v>
      </c>
      <c r="I51">
        <f>IF(C51="RB",LeagueInfo!$D$4*LeagueInfo!$F$2,LeagueInfo!$D$5*LeagueInfo!$F$2)</f>
        <v>24</v>
      </c>
    </row>
    <row r="52" spans="1:9" x14ac:dyDescent="0.35">
      <c r="A52">
        <f t="shared" ca="1" si="0"/>
        <v>43</v>
      </c>
      <c r="B52" t="s">
        <v>232</v>
      </c>
      <c r="C52" t="s">
        <v>25</v>
      </c>
      <c r="D52">
        <f t="shared" ca="1" si="1"/>
        <v>182.06</v>
      </c>
      <c r="E52" s="5">
        <f t="shared" ca="1" si="2"/>
        <v>72.7</v>
      </c>
      <c r="F52" t="str">
        <f ca="1">IF(H52&lt;=I52,"Starter",IF(G52&gt;=LARGE(G:G,FlexOn*LeagueInfo!$F$2),"Starter","Bench"))</f>
        <v>Starter</v>
      </c>
      <c r="G52">
        <f t="shared" ca="1" si="3"/>
        <v>0</v>
      </c>
      <c r="H52">
        <f t="shared" ca="1" si="4"/>
        <v>18</v>
      </c>
      <c r="I52">
        <f>IF(C52="RB",LeagueInfo!$D$4*LeagueInfo!$F$2,LeagueInfo!$D$5*LeagueInfo!$F$2)</f>
        <v>24</v>
      </c>
    </row>
    <row r="53" spans="1:9" x14ac:dyDescent="0.35">
      <c r="A53">
        <f t="shared" ca="1" si="0"/>
        <v>45</v>
      </c>
      <c r="B53" t="s">
        <v>422</v>
      </c>
      <c r="C53" t="s">
        <v>25</v>
      </c>
      <c r="D53">
        <f t="shared" ca="1" si="1"/>
        <v>180.53</v>
      </c>
      <c r="E53" s="5">
        <f t="shared" ca="1" si="2"/>
        <v>71.17</v>
      </c>
      <c r="F53" t="str">
        <f ca="1">IF(H53&lt;=I53,"Starter",IF(G53&gt;=LARGE(G:G,FlexOn*LeagueInfo!$F$2),"Starter","Bench"))</f>
        <v>Starter</v>
      </c>
      <c r="G53">
        <f t="shared" ca="1" si="3"/>
        <v>0</v>
      </c>
      <c r="H53">
        <f t="shared" ca="1" si="4"/>
        <v>19</v>
      </c>
      <c r="I53">
        <f>IF(C53="RB",LeagueInfo!$D$4*LeagueInfo!$F$2,LeagueInfo!$D$5*LeagueInfo!$F$2)</f>
        <v>24</v>
      </c>
    </row>
    <row r="54" spans="1:9" x14ac:dyDescent="0.35">
      <c r="A54">
        <f t="shared" ca="1" si="0"/>
        <v>50</v>
      </c>
      <c r="B54" t="s">
        <v>240</v>
      </c>
      <c r="C54" t="s">
        <v>32</v>
      </c>
      <c r="D54">
        <f t="shared" ca="1" si="1"/>
        <v>175.10000000000002</v>
      </c>
      <c r="E54" s="5">
        <f t="shared" ca="1" si="2"/>
        <v>65.740000000000023</v>
      </c>
      <c r="F54" t="str">
        <f ca="1">IF(H54&lt;=I54,"Starter",IF(G54&gt;=LARGE(G:G,FlexOn*LeagueInfo!$F$2),"Starter","Bench"))</f>
        <v>Starter</v>
      </c>
      <c r="G54">
        <f t="shared" ca="1" si="3"/>
        <v>175.10000000000002</v>
      </c>
      <c r="H54">
        <f t="shared" ca="1" si="4"/>
        <v>30</v>
      </c>
      <c r="I54">
        <f>IF(C54="RB",LeagueInfo!$D$4*LeagueInfo!$F$2,LeagueInfo!$D$5*LeagueInfo!$F$2)</f>
        <v>24</v>
      </c>
    </row>
    <row r="55" spans="1:9" x14ac:dyDescent="0.35">
      <c r="A55">
        <f t="shared" ca="1" si="0"/>
        <v>57</v>
      </c>
      <c r="B55" t="s">
        <v>233</v>
      </c>
      <c r="C55" t="s">
        <v>25</v>
      </c>
      <c r="D55">
        <f t="shared" ca="1" si="1"/>
        <v>167.85999999999999</v>
      </c>
      <c r="E55" s="5">
        <f t="shared" ca="1" si="2"/>
        <v>58.499999999999986</v>
      </c>
      <c r="F55" t="str">
        <f ca="1">IF(H55&lt;=I55,"Starter",IF(G55&gt;=LARGE(G:G,FlexOn*LeagueInfo!$F$2),"Starter","Bench"))</f>
        <v>Starter</v>
      </c>
      <c r="G55">
        <f t="shared" ca="1" si="3"/>
        <v>0</v>
      </c>
      <c r="H55">
        <f t="shared" ca="1" si="4"/>
        <v>24</v>
      </c>
      <c r="I55">
        <f>IF(C55="RB",LeagueInfo!$D$4*LeagueInfo!$F$2,LeagueInfo!$D$5*LeagueInfo!$F$2)</f>
        <v>24</v>
      </c>
    </row>
    <row r="56" spans="1:9" x14ac:dyDescent="0.35">
      <c r="A56">
        <f t="shared" ca="1" si="0"/>
        <v>56</v>
      </c>
      <c r="B56" t="s">
        <v>362</v>
      </c>
      <c r="C56" t="s">
        <v>32</v>
      </c>
      <c r="D56">
        <f t="shared" ca="1" si="1"/>
        <v>171.73000000000002</v>
      </c>
      <c r="E56" s="5">
        <f t="shared" ca="1" si="2"/>
        <v>62.370000000000019</v>
      </c>
      <c r="F56" t="str">
        <f ca="1">IF(H56&lt;=I56,"Starter",IF(G56&gt;=LARGE(G:G,FlexOn*LeagueInfo!$F$2),"Starter","Bench"))</f>
        <v>Starter</v>
      </c>
      <c r="G56">
        <f t="shared" ca="1" si="3"/>
        <v>171.73000000000002</v>
      </c>
      <c r="H56">
        <f t="shared" ca="1" si="4"/>
        <v>33</v>
      </c>
      <c r="I56">
        <f>IF(C56="RB",LeagueInfo!$D$4*LeagueInfo!$F$2,LeagueInfo!$D$5*LeagueInfo!$F$2)</f>
        <v>24</v>
      </c>
    </row>
    <row r="57" spans="1:9" x14ac:dyDescent="0.35">
      <c r="A57">
        <f t="shared" ca="1" si="0"/>
        <v>49</v>
      </c>
      <c r="B57" t="s">
        <v>545</v>
      </c>
      <c r="C57" t="s">
        <v>25</v>
      </c>
      <c r="D57">
        <f t="shared" ca="1" si="1"/>
        <v>175.12000000000003</v>
      </c>
      <c r="E57" s="5">
        <f t="shared" ca="1" si="2"/>
        <v>65.760000000000034</v>
      </c>
      <c r="F57" t="str">
        <f ca="1">IF(H57&lt;=I57,"Starter",IF(G57&gt;=LARGE(G:G,FlexOn*LeagueInfo!$F$2),"Starter","Bench"))</f>
        <v>Starter</v>
      </c>
      <c r="G57">
        <f t="shared" ca="1" si="3"/>
        <v>0</v>
      </c>
      <c r="H57">
        <f t="shared" ca="1" si="4"/>
        <v>20</v>
      </c>
      <c r="I57">
        <f>IF(C57="RB",LeagueInfo!$D$4*LeagueInfo!$F$2,LeagueInfo!$D$5*LeagueInfo!$F$2)</f>
        <v>24</v>
      </c>
    </row>
    <row r="58" spans="1:9" x14ac:dyDescent="0.35">
      <c r="A58">
        <f t="shared" ca="1" si="0"/>
        <v>54</v>
      </c>
      <c r="B58" t="s">
        <v>743</v>
      </c>
      <c r="C58" t="s">
        <v>32</v>
      </c>
      <c r="D58">
        <f t="shared" ca="1" si="1"/>
        <v>172.64000000000001</v>
      </c>
      <c r="E58" s="5">
        <f t="shared" ca="1" si="2"/>
        <v>63.280000000000015</v>
      </c>
      <c r="F58" t="str">
        <f ca="1">IF(H58&lt;=I58,"Starter",IF(G58&gt;=LARGE(G:G,FlexOn*LeagueInfo!$F$2),"Starter","Bench"))</f>
        <v>Starter</v>
      </c>
      <c r="G58">
        <f t="shared" ca="1" si="3"/>
        <v>172.64000000000001</v>
      </c>
      <c r="H58">
        <f t="shared" ca="1" si="4"/>
        <v>32</v>
      </c>
      <c r="I58">
        <f>IF(C58="RB",LeagueInfo!$D$4*LeagueInfo!$F$2,LeagueInfo!$D$5*LeagueInfo!$F$2)</f>
        <v>24</v>
      </c>
    </row>
    <row r="59" spans="1:9" x14ac:dyDescent="0.35">
      <c r="A59">
        <f t="shared" ca="1" si="0"/>
        <v>60</v>
      </c>
      <c r="B59" t="s">
        <v>517</v>
      </c>
      <c r="C59" t="s">
        <v>25</v>
      </c>
      <c r="D59">
        <f t="shared" ca="1" si="1"/>
        <v>163.26000000000002</v>
      </c>
      <c r="E59" s="5">
        <f t="shared" ca="1" si="2"/>
        <v>53.90000000000002</v>
      </c>
      <c r="F59" t="str">
        <f ca="1">IF(H59&lt;=I59,"Starter",IF(G59&gt;=LARGE(G:G,FlexOn*LeagueInfo!$F$2),"Starter","Bench"))</f>
        <v>Starter</v>
      </c>
      <c r="G59">
        <f t="shared" ca="1" si="3"/>
        <v>163.26000000000002</v>
      </c>
      <c r="H59">
        <f t="shared" ca="1" si="4"/>
        <v>26</v>
      </c>
      <c r="I59">
        <f>IF(C59="RB",LeagueInfo!$D$4*LeagueInfo!$F$2,LeagueInfo!$D$5*LeagueInfo!$F$2)</f>
        <v>24</v>
      </c>
    </row>
    <row r="60" spans="1:9" x14ac:dyDescent="0.35">
      <c r="A60">
        <f t="shared" ca="1" si="0"/>
        <v>64</v>
      </c>
      <c r="B60" t="s">
        <v>727</v>
      </c>
      <c r="C60" t="s">
        <v>32</v>
      </c>
      <c r="D60">
        <f t="shared" ca="1" si="1"/>
        <v>160.50000000000003</v>
      </c>
      <c r="E60" s="5">
        <f t="shared" ca="1" si="2"/>
        <v>51.140000000000029</v>
      </c>
      <c r="F60" t="str">
        <f ca="1">IF(H60&lt;=I60,"Starter",IF(G60&gt;=LARGE(G:G,FlexOn*LeagueInfo!$F$2),"Starter","Bench"))</f>
        <v>Bench</v>
      </c>
      <c r="G60">
        <f t="shared" ca="1" si="3"/>
        <v>160.50000000000003</v>
      </c>
      <c r="H60">
        <f t="shared" ca="1" si="4"/>
        <v>37</v>
      </c>
      <c r="I60">
        <f>IF(C60="RB",LeagueInfo!$D$4*LeagueInfo!$F$2,LeagueInfo!$D$5*LeagueInfo!$F$2)</f>
        <v>24</v>
      </c>
    </row>
    <row r="61" spans="1:9" x14ac:dyDescent="0.35">
      <c r="A61">
        <f t="shared" ca="1" si="0"/>
        <v>58</v>
      </c>
      <c r="B61" t="s">
        <v>435</v>
      </c>
      <c r="C61" t="s">
        <v>32</v>
      </c>
      <c r="D61">
        <f t="shared" ca="1" si="1"/>
        <v>165.96</v>
      </c>
      <c r="E61" s="5">
        <f t="shared" ca="1" si="2"/>
        <v>56.600000000000009</v>
      </c>
      <c r="F61" t="str">
        <f ca="1">IF(H61&lt;=I61,"Starter",IF(G61&gt;=LARGE(G:G,FlexOn*LeagueInfo!$F$2),"Starter","Bench"))</f>
        <v>Starter</v>
      </c>
      <c r="G61">
        <f t="shared" ca="1" si="3"/>
        <v>165.96</v>
      </c>
      <c r="H61">
        <f t="shared" ca="1" si="4"/>
        <v>34</v>
      </c>
      <c r="I61">
        <f>IF(C61="RB",LeagueInfo!$D$4*LeagueInfo!$F$2,LeagueInfo!$D$5*LeagueInfo!$F$2)</f>
        <v>24</v>
      </c>
    </row>
    <row r="62" spans="1:9" x14ac:dyDescent="0.35">
      <c r="A62">
        <f t="shared" ca="1" si="0"/>
        <v>63</v>
      </c>
      <c r="B62" t="s">
        <v>437</v>
      </c>
      <c r="C62" t="s">
        <v>32</v>
      </c>
      <c r="D62">
        <f t="shared" ca="1" si="1"/>
        <v>160.71000000000004</v>
      </c>
      <c r="E62" s="5">
        <f t="shared" ca="1" si="2"/>
        <v>51.350000000000037</v>
      </c>
      <c r="F62" t="str">
        <f ca="1">IF(H62&lt;=I62,"Starter",IF(G62&gt;=LARGE(G:G,FlexOn*LeagueInfo!$F$2),"Starter","Bench"))</f>
        <v>Bench</v>
      </c>
      <c r="G62">
        <f t="shared" ca="1" si="3"/>
        <v>160.71000000000004</v>
      </c>
      <c r="H62">
        <f t="shared" ca="1" si="4"/>
        <v>36</v>
      </c>
      <c r="I62">
        <f>IF(C62="RB",LeagueInfo!$D$4*LeagueInfo!$F$2,LeagueInfo!$D$5*LeagueInfo!$F$2)</f>
        <v>24</v>
      </c>
    </row>
    <row r="63" spans="1:9" x14ac:dyDescent="0.35">
      <c r="A63">
        <f t="shared" ca="1" si="0"/>
        <v>72</v>
      </c>
      <c r="B63" t="s">
        <v>595</v>
      </c>
      <c r="C63" t="s">
        <v>32</v>
      </c>
      <c r="D63">
        <f t="shared" ca="1" si="1"/>
        <v>150.15</v>
      </c>
      <c r="E63" s="5">
        <f t="shared" ca="1" si="2"/>
        <v>40.790000000000006</v>
      </c>
      <c r="F63" t="str">
        <f ca="1">IF(H63&lt;=I63,"Starter",IF(G63&gt;=LARGE(G:G,FlexOn*LeagueInfo!$F$2),"Starter","Bench"))</f>
        <v>Bench</v>
      </c>
      <c r="G63">
        <f t="shared" ca="1" si="3"/>
        <v>150.15</v>
      </c>
      <c r="H63">
        <f t="shared" ca="1" si="4"/>
        <v>41</v>
      </c>
      <c r="I63">
        <f>IF(C63="RB",LeagueInfo!$D$4*LeagueInfo!$F$2,LeagueInfo!$D$5*LeagueInfo!$F$2)</f>
        <v>24</v>
      </c>
    </row>
    <row r="64" spans="1:9" x14ac:dyDescent="0.35">
      <c r="A64">
        <f t="shared" ca="1" si="0"/>
        <v>61</v>
      </c>
      <c r="B64" t="s">
        <v>427</v>
      </c>
      <c r="C64" t="s">
        <v>25</v>
      </c>
      <c r="D64">
        <f t="shared" ca="1" si="1"/>
        <v>163.19000000000003</v>
      </c>
      <c r="E64" s="5">
        <f t="shared" ca="1" si="2"/>
        <v>53.830000000000027</v>
      </c>
      <c r="F64" t="str">
        <f ca="1">IF(H64&lt;=I64,"Starter",IF(G64&gt;=LARGE(G:G,FlexOn*LeagueInfo!$F$2),"Starter","Bench"))</f>
        <v>Bench</v>
      </c>
      <c r="G64">
        <f t="shared" ca="1" si="3"/>
        <v>163.19000000000003</v>
      </c>
      <c r="H64">
        <f t="shared" ca="1" si="4"/>
        <v>27</v>
      </c>
      <c r="I64">
        <f>IF(C64="RB",LeagueInfo!$D$4*LeagueInfo!$F$2,LeagueInfo!$D$5*LeagueInfo!$F$2)</f>
        <v>24</v>
      </c>
    </row>
    <row r="65" spans="1:9" x14ac:dyDescent="0.35">
      <c r="A65">
        <f t="shared" ca="1" si="0"/>
        <v>66</v>
      </c>
      <c r="B65" t="s">
        <v>620</v>
      </c>
      <c r="C65" t="s">
        <v>25</v>
      </c>
      <c r="D65">
        <f t="shared" ca="1" si="1"/>
        <v>155.73000000000002</v>
      </c>
      <c r="E65" s="5">
        <f t="shared" ca="1" si="2"/>
        <v>46.370000000000019</v>
      </c>
      <c r="F65" t="str">
        <f ca="1">IF(H65&lt;=I65,"Starter",IF(G65&gt;=LARGE(G:G,FlexOn*LeagueInfo!$F$2),"Starter","Bench"))</f>
        <v>Bench</v>
      </c>
      <c r="G65">
        <f t="shared" ca="1" si="3"/>
        <v>155.73000000000002</v>
      </c>
      <c r="H65">
        <f t="shared" ca="1" si="4"/>
        <v>29</v>
      </c>
      <c r="I65">
        <f>IF(C65="RB",LeagueInfo!$D$4*LeagueInfo!$F$2,LeagueInfo!$D$5*LeagueInfo!$F$2)</f>
        <v>24</v>
      </c>
    </row>
    <row r="66" spans="1:9" x14ac:dyDescent="0.35">
      <c r="A66">
        <f t="shared" ref="A66:A129" ca="1" si="5">RANK(E66,E:E)</f>
        <v>78</v>
      </c>
      <c r="B66" t="s">
        <v>717</v>
      </c>
      <c r="C66" t="s">
        <v>25</v>
      </c>
      <c r="D66">
        <f t="shared" ref="D66:D128" ca="1" si="6">INDEX(INDIRECT($C66&amp;"!P:P"),MATCH($B66,INDIRECT($C66&amp;"!B:B"),0))</f>
        <v>145.16000000000005</v>
      </c>
      <c r="E66" s="5">
        <f t="shared" ref="E66:E129" ca="1" si="7">D66-LARGE(D:D,RBCount+WRCount)</f>
        <v>35.800000000000054</v>
      </c>
      <c r="F66" t="str">
        <f ca="1">IF(H66&lt;=I66,"Starter",IF(G66&gt;=LARGE(G:G,FlexOn*LeagueInfo!$F$2),"Starter","Bench"))</f>
        <v>Bench</v>
      </c>
      <c r="G66">
        <f t="shared" ref="G66:G128" ca="1" si="8">IF(H66&gt;I66,D66,0)</f>
        <v>145.16000000000005</v>
      </c>
      <c r="H66">
        <f t="shared" ref="H66:H128" ca="1" si="9">INDEX(INDIRECT(""&amp;C66&amp;"!A2:A489"),MATCH(B66,INDIRECT(""&amp;C66&amp;"!B2:B489"),0))</f>
        <v>34</v>
      </c>
      <c r="I66">
        <f>IF(C66="RB",LeagueInfo!$D$4*LeagueInfo!$F$2,LeagueInfo!$D$5*LeagueInfo!$F$2)</f>
        <v>24</v>
      </c>
    </row>
    <row r="67" spans="1:9" x14ac:dyDescent="0.35">
      <c r="A67">
        <f t="shared" ca="1" si="5"/>
        <v>67</v>
      </c>
      <c r="B67" t="s">
        <v>426</v>
      </c>
      <c r="C67" t="s">
        <v>25</v>
      </c>
      <c r="D67">
        <f t="shared" ca="1" si="6"/>
        <v>154.72999999999999</v>
      </c>
      <c r="E67" s="5">
        <f t="shared" ca="1" si="7"/>
        <v>45.36999999999999</v>
      </c>
      <c r="F67" t="str">
        <f ca="1">IF(H67&lt;=I67,"Starter",IF(G67&gt;=LARGE(G:G,FlexOn*LeagueInfo!$F$2),"Starter","Bench"))</f>
        <v>Bench</v>
      </c>
      <c r="G67">
        <f t="shared" ca="1" si="8"/>
        <v>154.72999999999999</v>
      </c>
      <c r="H67">
        <f t="shared" ca="1" si="9"/>
        <v>30</v>
      </c>
      <c r="I67">
        <f>IF(C67="RB",LeagueInfo!$D$4*LeagueInfo!$F$2,LeagueInfo!$D$5*LeagueInfo!$F$2)</f>
        <v>24</v>
      </c>
    </row>
    <row r="68" spans="1:9" x14ac:dyDescent="0.35">
      <c r="A68">
        <f t="shared" ca="1" si="5"/>
        <v>83</v>
      </c>
      <c r="B68" t="s">
        <v>406</v>
      </c>
      <c r="C68" t="s">
        <v>25</v>
      </c>
      <c r="D68">
        <f t="shared" ca="1" si="6"/>
        <v>140.43</v>
      </c>
      <c r="E68" s="5">
        <f t="shared" ca="1" si="7"/>
        <v>31.070000000000007</v>
      </c>
      <c r="F68" t="str">
        <f ca="1">IF(H68&lt;=I68,"Starter",IF(G68&gt;=LARGE(G:G,FlexOn*LeagueInfo!$F$2),"Starter","Bench"))</f>
        <v>Bench</v>
      </c>
      <c r="G68">
        <f t="shared" ca="1" si="8"/>
        <v>140.43</v>
      </c>
      <c r="H68">
        <f t="shared" ca="1" si="9"/>
        <v>35</v>
      </c>
      <c r="I68">
        <f>IF(C68="RB",LeagueInfo!$D$4*LeagueInfo!$F$2,LeagueInfo!$D$5*LeagueInfo!$F$2)</f>
        <v>24</v>
      </c>
    </row>
    <row r="69" spans="1:9" x14ac:dyDescent="0.35">
      <c r="A69">
        <f t="shared" ca="1" si="5"/>
        <v>62</v>
      </c>
      <c r="B69" t="s">
        <v>101</v>
      </c>
      <c r="C69" t="s">
        <v>32</v>
      </c>
      <c r="D69">
        <f t="shared" ca="1" si="6"/>
        <v>161.6</v>
      </c>
      <c r="E69" s="5">
        <f t="shared" ca="1" si="7"/>
        <v>52.239999999999995</v>
      </c>
      <c r="F69" t="str">
        <f ca="1">IF(H69&lt;=I69,"Starter",IF(G69&gt;=LARGE(G:G,FlexOn*LeagueInfo!$F$2),"Starter","Bench"))</f>
        <v>Bench</v>
      </c>
      <c r="G69">
        <f t="shared" ca="1" si="8"/>
        <v>161.6</v>
      </c>
      <c r="H69">
        <f t="shared" ca="1" si="9"/>
        <v>35</v>
      </c>
      <c r="I69">
        <f>IF(C69="RB",LeagueInfo!$D$4*LeagueInfo!$F$2,LeagueInfo!$D$5*LeagueInfo!$F$2)</f>
        <v>24</v>
      </c>
    </row>
    <row r="70" spans="1:9" x14ac:dyDescent="0.35">
      <c r="A70">
        <f t="shared" ca="1" si="5"/>
        <v>74</v>
      </c>
      <c r="B70" t="s">
        <v>910</v>
      </c>
      <c r="C70" t="s">
        <v>32</v>
      </c>
      <c r="D70">
        <f t="shared" ca="1" si="6"/>
        <v>148.91</v>
      </c>
      <c r="E70" s="5">
        <f t="shared" ca="1" si="7"/>
        <v>39.549999999999997</v>
      </c>
      <c r="F70" t="str">
        <f ca="1">IF(H70&lt;=I70,"Starter",IF(G70&gt;=LARGE(G:G,FlexOn*LeagueInfo!$F$2),"Starter","Bench"))</f>
        <v>Bench</v>
      </c>
      <c r="G70">
        <f t="shared" ca="1" si="8"/>
        <v>148.91</v>
      </c>
      <c r="H70">
        <f t="shared" ca="1" si="9"/>
        <v>43</v>
      </c>
      <c r="I70">
        <f>IF(C70="RB",LeagueInfo!$D$4*LeagueInfo!$F$2,LeagueInfo!$D$5*LeagueInfo!$F$2)</f>
        <v>24</v>
      </c>
    </row>
    <row r="71" spans="1:9" x14ac:dyDescent="0.35">
      <c r="A71">
        <f t="shared" ca="1" si="5"/>
        <v>70</v>
      </c>
      <c r="B71" t="s">
        <v>520</v>
      </c>
      <c r="C71" t="s">
        <v>25</v>
      </c>
      <c r="D71">
        <f t="shared" ca="1" si="6"/>
        <v>151.25</v>
      </c>
      <c r="E71" s="5">
        <f t="shared" ca="1" si="7"/>
        <v>41.89</v>
      </c>
      <c r="F71" t="str">
        <f ca="1">IF(H71&lt;=I71,"Starter",IF(G71&gt;=LARGE(G:G,FlexOn*LeagueInfo!$F$2),"Starter","Bench"))</f>
        <v>Bench</v>
      </c>
      <c r="G71">
        <f t="shared" ca="1" si="8"/>
        <v>151.25</v>
      </c>
      <c r="H71">
        <f t="shared" ca="1" si="9"/>
        <v>31</v>
      </c>
      <c r="I71">
        <f>IF(C71="RB",LeagueInfo!$D$4*LeagueInfo!$F$2,LeagueInfo!$D$5*LeagueInfo!$F$2)</f>
        <v>24</v>
      </c>
    </row>
    <row r="72" spans="1:9" x14ac:dyDescent="0.35">
      <c r="A72">
        <f t="shared" ca="1" si="5"/>
        <v>71</v>
      </c>
      <c r="B72" t="s">
        <v>93</v>
      </c>
      <c r="C72" t="s">
        <v>32</v>
      </c>
      <c r="D72">
        <f t="shared" ca="1" si="6"/>
        <v>150.95999999999998</v>
      </c>
      <c r="E72" s="5">
        <f t="shared" ca="1" si="7"/>
        <v>41.59999999999998</v>
      </c>
      <c r="F72" t="str">
        <f ca="1">IF(H72&lt;=I72,"Starter",IF(G72&gt;=LARGE(G:G,FlexOn*LeagueInfo!$F$2),"Starter","Bench"))</f>
        <v>Bench</v>
      </c>
      <c r="G72">
        <f t="shared" ca="1" si="8"/>
        <v>150.95999999999998</v>
      </c>
      <c r="H72">
        <f t="shared" ca="1" si="9"/>
        <v>40</v>
      </c>
      <c r="I72">
        <f>IF(C72="RB",LeagueInfo!$D$4*LeagueInfo!$F$2,LeagueInfo!$D$5*LeagueInfo!$F$2)</f>
        <v>24</v>
      </c>
    </row>
    <row r="73" spans="1:9" x14ac:dyDescent="0.35">
      <c r="A73">
        <f t="shared" ca="1" si="5"/>
        <v>73</v>
      </c>
      <c r="B73" t="s">
        <v>753</v>
      </c>
      <c r="C73" t="s">
        <v>32</v>
      </c>
      <c r="D73">
        <f t="shared" ca="1" si="6"/>
        <v>149.97000000000003</v>
      </c>
      <c r="E73" s="5">
        <f t="shared" ca="1" si="7"/>
        <v>40.610000000000028</v>
      </c>
      <c r="F73" t="str">
        <f ca="1">IF(H73&lt;=I73,"Starter",IF(G73&gt;=LARGE(G:G,FlexOn*LeagueInfo!$F$2),"Starter","Bench"))</f>
        <v>Bench</v>
      </c>
      <c r="G73">
        <f t="shared" ca="1" si="8"/>
        <v>149.97000000000003</v>
      </c>
      <c r="H73">
        <f t="shared" ca="1" si="9"/>
        <v>42</v>
      </c>
      <c r="I73">
        <f>IF(C73="RB",LeagueInfo!$D$4*LeagueInfo!$F$2,LeagueInfo!$D$5*LeagueInfo!$F$2)</f>
        <v>24</v>
      </c>
    </row>
    <row r="74" spans="1:9" x14ac:dyDescent="0.35">
      <c r="A74">
        <f t="shared" ca="1" si="5"/>
        <v>68</v>
      </c>
      <c r="B74" t="s">
        <v>360</v>
      </c>
      <c r="C74" t="s">
        <v>32</v>
      </c>
      <c r="D74">
        <f t="shared" ca="1" si="6"/>
        <v>152.02000000000001</v>
      </c>
      <c r="E74" s="5">
        <f t="shared" ca="1" si="7"/>
        <v>42.660000000000011</v>
      </c>
      <c r="F74" t="str">
        <f ca="1">IF(H74&lt;=I74,"Starter",IF(G74&gt;=LARGE(G:G,FlexOn*LeagueInfo!$F$2),"Starter","Bench"))</f>
        <v>Bench</v>
      </c>
      <c r="G74">
        <f t="shared" ca="1" si="8"/>
        <v>152.02000000000001</v>
      </c>
      <c r="H74">
        <f t="shared" ca="1" si="9"/>
        <v>38</v>
      </c>
      <c r="I74">
        <f>IF(C74="RB",LeagueInfo!$D$4*LeagueInfo!$F$2,LeagueInfo!$D$5*LeagueInfo!$F$2)</f>
        <v>24</v>
      </c>
    </row>
    <row r="75" spans="1:9" x14ac:dyDescent="0.35">
      <c r="A75">
        <f t="shared" ca="1" si="5"/>
        <v>75</v>
      </c>
      <c r="B75" t="s">
        <v>912</v>
      </c>
      <c r="C75" t="s">
        <v>32</v>
      </c>
      <c r="D75">
        <f t="shared" ca="1" si="6"/>
        <v>147.33000000000004</v>
      </c>
      <c r="E75" s="5">
        <f t="shared" ca="1" si="7"/>
        <v>37.970000000000041</v>
      </c>
      <c r="F75" t="str">
        <f ca="1">IF(H75&lt;=I75,"Starter",IF(G75&gt;=LARGE(G:G,FlexOn*LeagueInfo!$F$2),"Starter","Bench"))</f>
        <v>Bench</v>
      </c>
      <c r="G75">
        <f t="shared" ca="1" si="8"/>
        <v>147.33000000000004</v>
      </c>
      <c r="H75">
        <f t="shared" ca="1" si="9"/>
        <v>44</v>
      </c>
      <c r="I75">
        <f>IF(C75="RB",LeagueInfo!$D$4*LeagueInfo!$F$2,LeagueInfo!$D$5*LeagueInfo!$F$2)</f>
        <v>24</v>
      </c>
    </row>
    <row r="76" spans="1:9" x14ac:dyDescent="0.35">
      <c r="A76">
        <f t="shared" ca="1" si="5"/>
        <v>65</v>
      </c>
      <c r="B76" t="s">
        <v>688</v>
      </c>
      <c r="C76" t="s">
        <v>25</v>
      </c>
      <c r="D76">
        <f t="shared" ca="1" si="6"/>
        <v>156.07999999999998</v>
      </c>
      <c r="E76" s="5">
        <f t="shared" ca="1" si="7"/>
        <v>46.719999999999985</v>
      </c>
      <c r="F76" t="str">
        <f ca="1">IF(H76&lt;=I76,"Starter",IF(G76&gt;=LARGE(G:G,FlexOn*LeagueInfo!$F$2),"Starter","Bench"))</f>
        <v>Bench</v>
      </c>
      <c r="G76">
        <f t="shared" ca="1" si="8"/>
        <v>156.07999999999998</v>
      </c>
      <c r="H76">
        <f t="shared" ca="1" si="9"/>
        <v>28</v>
      </c>
      <c r="I76">
        <f>IF(C76="RB",LeagueInfo!$D$4*LeagueInfo!$F$2,LeagueInfo!$D$5*LeagueInfo!$F$2)</f>
        <v>24</v>
      </c>
    </row>
    <row r="77" spans="1:9" x14ac:dyDescent="0.35">
      <c r="A77">
        <f t="shared" ca="1" si="5"/>
        <v>84</v>
      </c>
      <c r="B77" t="s">
        <v>88</v>
      </c>
      <c r="C77" t="s">
        <v>25</v>
      </c>
      <c r="D77">
        <f t="shared" ca="1" si="6"/>
        <v>140.30000000000001</v>
      </c>
      <c r="E77" s="5">
        <f t="shared" ca="1" si="7"/>
        <v>30.940000000000012</v>
      </c>
      <c r="F77" t="str">
        <f ca="1">IF(H77&lt;=I77,"Starter",IF(G77&gt;=LARGE(G:G,FlexOn*LeagueInfo!$F$2),"Starter","Bench"))</f>
        <v>Bench</v>
      </c>
      <c r="G77">
        <f t="shared" ca="1" si="8"/>
        <v>140.30000000000001</v>
      </c>
      <c r="H77">
        <f t="shared" ca="1" si="9"/>
        <v>36</v>
      </c>
      <c r="I77">
        <f>IF(C77="RB",LeagueInfo!$D$4*LeagueInfo!$F$2,LeagueInfo!$D$5*LeagueInfo!$F$2)</f>
        <v>24</v>
      </c>
    </row>
    <row r="78" spans="1:9" x14ac:dyDescent="0.35">
      <c r="A78">
        <f t="shared" ca="1" si="5"/>
        <v>98</v>
      </c>
      <c r="B78" t="s">
        <v>354</v>
      </c>
      <c r="C78" t="s">
        <v>25</v>
      </c>
      <c r="D78">
        <f t="shared" ca="1" si="6"/>
        <v>127.62</v>
      </c>
      <c r="E78" s="5">
        <f t="shared" ca="1" si="7"/>
        <v>18.260000000000005</v>
      </c>
      <c r="F78" t="str">
        <f ca="1">IF(H78&lt;=I78,"Starter",IF(G78&gt;=LARGE(G:G,FlexOn*LeagueInfo!$F$2),"Starter","Bench"))</f>
        <v>Bench</v>
      </c>
      <c r="G78">
        <f t="shared" ca="1" si="8"/>
        <v>127.62</v>
      </c>
      <c r="H78">
        <f t="shared" ca="1" si="9"/>
        <v>38</v>
      </c>
      <c r="I78">
        <f>IF(C78="RB",LeagueInfo!$D$4*LeagueInfo!$F$2,LeagueInfo!$D$5*LeagueInfo!$F$2)</f>
        <v>24</v>
      </c>
    </row>
    <row r="79" spans="1:9" x14ac:dyDescent="0.35">
      <c r="A79">
        <f t="shared" ca="1" si="5"/>
        <v>82</v>
      </c>
      <c r="B79" t="s">
        <v>596</v>
      </c>
      <c r="C79" t="s">
        <v>32</v>
      </c>
      <c r="D79">
        <f t="shared" ca="1" si="6"/>
        <v>141.13</v>
      </c>
      <c r="E79" s="5">
        <f t="shared" ca="1" si="7"/>
        <v>31.769999999999996</v>
      </c>
      <c r="F79" t="str">
        <f ca="1">IF(H79&lt;=I79,"Starter",IF(G79&gt;=LARGE(G:G,FlexOn*LeagueInfo!$F$2),"Starter","Bench"))</f>
        <v>Bench</v>
      </c>
      <c r="G79">
        <f t="shared" ca="1" si="8"/>
        <v>141.13</v>
      </c>
      <c r="H79">
        <f t="shared" ca="1" si="9"/>
        <v>48</v>
      </c>
      <c r="I79">
        <f>IF(C79="RB",LeagueInfo!$D$4*LeagueInfo!$F$2,LeagueInfo!$D$5*LeagueInfo!$F$2)</f>
        <v>24</v>
      </c>
    </row>
    <row r="80" spans="1:9" x14ac:dyDescent="0.35">
      <c r="A80">
        <f t="shared" ca="1" si="5"/>
        <v>79</v>
      </c>
      <c r="B80" t="s">
        <v>914</v>
      </c>
      <c r="C80" t="s">
        <v>32</v>
      </c>
      <c r="D80">
        <f t="shared" ca="1" si="6"/>
        <v>144.48000000000002</v>
      </c>
      <c r="E80" s="5">
        <f t="shared" ca="1" si="7"/>
        <v>35.120000000000019</v>
      </c>
      <c r="F80" t="str">
        <f ca="1">IF(H80&lt;=I80,"Starter",IF(G80&gt;=LARGE(G:G,FlexOn*LeagueInfo!$F$2),"Starter","Bench"))</f>
        <v>Bench</v>
      </c>
      <c r="G80">
        <f t="shared" ca="1" si="8"/>
        <v>144.48000000000002</v>
      </c>
      <c r="H80">
        <f t="shared" ca="1" si="9"/>
        <v>45</v>
      </c>
      <c r="I80">
        <f>IF(C80="RB",LeagueInfo!$D$4*LeagueInfo!$F$2,LeagueInfo!$D$5*LeagueInfo!$F$2)</f>
        <v>24</v>
      </c>
    </row>
    <row r="81" spans="1:9" x14ac:dyDescent="0.35">
      <c r="A81">
        <f t="shared" ca="1" si="5"/>
        <v>85</v>
      </c>
      <c r="B81" t="s">
        <v>139</v>
      </c>
      <c r="C81" t="s">
        <v>32</v>
      </c>
      <c r="D81">
        <f t="shared" ca="1" si="6"/>
        <v>139.79000000000002</v>
      </c>
      <c r="E81" s="5">
        <f t="shared" ca="1" si="7"/>
        <v>30.430000000000021</v>
      </c>
      <c r="F81" t="str">
        <f ca="1">IF(H81&lt;=I81,"Starter",IF(G81&gt;=LARGE(G:G,FlexOn*LeagueInfo!$F$2),"Starter","Bench"))</f>
        <v>Bench</v>
      </c>
      <c r="G81">
        <f t="shared" ca="1" si="8"/>
        <v>139.79000000000002</v>
      </c>
      <c r="H81">
        <f t="shared" ca="1" si="9"/>
        <v>49</v>
      </c>
      <c r="I81">
        <f>IF(C81="RB",LeagueInfo!$D$4*LeagueInfo!$F$2,LeagueInfo!$D$5*LeagueInfo!$F$2)</f>
        <v>24</v>
      </c>
    </row>
    <row r="82" spans="1:9" x14ac:dyDescent="0.35">
      <c r="A82">
        <f t="shared" ca="1" si="5"/>
        <v>59</v>
      </c>
      <c r="B82" t="s">
        <v>541</v>
      </c>
      <c r="C82" t="s">
        <v>25</v>
      </c>
      <c r="D82">
        <f t="shared" ca="1" si="6"/>
        <v>164.16000000000003</v>
      </c>
      <c r="E82" s="5">
        <f t="shared" ca="1" si="7"/>
        <v>54.800000000000026</v>
      </c>
      <c r="F82" t="str">
        <f ca="1">IF(H82&lt;=I82,"Starter",IF(G82&gt;=LARGE(G:G,FlexOn*LeagueInfo!$F$2),"Starter","Bench"))</f>
        <v>Starter</v>
      </c>
      <c r="G82">
        <f t="shared" ca="1" si="8"/>
        <v>164.16000000000003</v>
      </c>
      <c r="H82">
        <f t="shared" ca="1" si="9"/>
        <v>25</v>
      </c>
      <c r="I82">
        <f>IF(C82="RB",LeagueInfo!$D$4*LeagueInfo!$F$2,LeagueInfo!$D$5*LeagueInfo!$F$2)</f>
        <v>24</v>
      </c>
    </row>
    <row r="83" spans="1:9" x14ac:dyDescent="0.35">
      <c r="A83">
        <f t="shared" ca="1" si="5"/>
        <v>77</v>
      </c>
      <c r="B83" t="s">
        <v>355</v>
      </c>
      <c r="C83" t="s">
        <v>25</v>
      </c>
      <c r="D83">
        <f t="shared" ca="1" si="6"/>
        <v>146.03</v>
      </c>
      <c r="E83" s="5">
        <f t="shared" ca="1" si="7"/>
        <v>36.67</v>
      </c>
      <c r="F83" t="str">
        <f ca="1">IF(H83&lt;=I83,"Starter",IF(G83&gt;=LARGE(G:G,FlexOn*LeagueInfo!$F$2),"Starter","Bench"))</f>
        <v>Bench</v>
      </c>
      <c r="G83">
        <f t="shared" ca="1" si="8"/>
        <v>146.03</v>
      </c>
      <c r="H83">
        <f t="shared" ca="1" si="9"/>
        <v>33</v>
      </c>
      <c r="I83">
        <f>IF(C83="RB",LeagueInfo!$D$4*LeagueInfo!$F$2,LeagueInfo!$D$5*LeagueInfo!$F$2)</f>
        <v>24</v>
      </c>
    </row>
    <row r="84" spans="1:9" x14ac:dyDescent="0.35">
      <c r="A84">
        <f t="shared" ca="1" si="5"/>
        <v>80</v>
      </c>
      <c r="B84" t="s">
        <v>911</v>
      </c>
      <c r="C84" t="s">
        <v>32</v>
      </c>
      <c r="D84">
        <f t="shared" ca="1" si="6"/>
        <v>144.28000000000003</v>
      </c>
      <c r="E84" s="5">
        <f t="shared" ca="1" si="7"/>
        <v>34.92000000000003</v>
      </c>
      <c r="F84" t="str">
        <f ca="1">IF(H84&lt;=I84,"Starter",IF(G84&gt;=LARGE(G:G,FlexOn*LeagueInfo!$F$2),"Starter","Bench"))</f>
        <v>Bench</v>
      </c>
      <c r="G84">
        <f t="shared" ca="1" si="8"/>
        <v>144.28000000000003</v>
      </c>
      <c r="H84">
        <f t="shared" ca="1" si="9"/>
        <v>46</v>
      </c>
      <c r="I84">
        <f>IF(C84="RB",LeagueInfo!$D$4*LeagueInfo!$F$2,LeagueInfo!$D$5*LeagueInfo!$F$2)</f>
        <v>24</v>
      </c>
    </row>
    <row r="85" spans="1:9" x14ac:dyDescent="0.35">
      <c r="A85">
        <f t="shared" ca="1" si="5"/>
        <v>81</v>
      </c>
      <c r="B85" t="s">
        <v>489</v>
      </c>
      <c r="C85" t="s">
        <v>32</v>
      </c>
      <c r="D85">
        <f t="shared" ca="1" si="6"/>
        <v>141.19000000000003</v>
      </c>
      <c r="E85" s="5">
        <f t="shared" ca="1" si="7"/>
        <v>31.830000000000027</v>
      </c>
      <c r="F85" t="str">
        <f ca="1">IF(H85&lt;=I85,"Starter",IF(G85&gt;=LARGE(G:G,FlexOn*LeagueInfo!$F$2),"Starter","Bench"))</f>
        <v>Bench</v>
      </c>
      <c r="G85">
        <f t="shared" ca="1" si="8"/>
        <v>141.19000000000003</v>
      </c>
      <c r="H85">
        <f t="shared" ca="1" si="9"/>
        <v>47</v>
      </c>
      <c r="I85">
        <f>IF(C85="RB",LeagueInfo!$D$4*LeagueInfo!$F$2,LeagueInfo!$D$5*LeagueInfo!$F$2)</f>
        <v>24</v>
      </c>
    </row>
    <row r="86" spans="1:9" x14ac:dyDescent="0.35">
      <c r="A86">
        <f t="shared" ca="1" si="5"/>
        <v>69</v>
      </c>
      <c r="B86" t="s">
        <v>769</v>
      </c>
      <c r="C86" t="s">
        <v>32</v>
      </c>
      <c r="D86">
        <f t="shared" ca="1" si="6"/>
        <v>151.70000000000005</v>
      </c>
      <c r="E86" s="5">
        <f t="shared" ca="1" si="7"/>
        <v>42.340000000000046</v>
      </c>
      <c r="F86" t="str">
        <f ca="1">IF(H86&lt;=I86,"Starter",IF(G86&gt;=LARGE(G:G,FlexOn*LeagueInfo!$F$2),"Starter","Bench"))</f>
        <v>Bench</v>
      </c>
      <c r="G86">
        <f t="shared" ca="1" si="8"/>
        <v>151.70000000000005</v>
      </c>
      <c r="H86">
        <f t="shared" ca="1" si="9"/>
        <v>39</v>
      </c>
      <c r="I86">
        <f>IF(C86="RB",LeagueInfo!$D$4*LeagueInfo!$F$2,LeagueInfo!$D$5*LeagueInfo!$F$2)</f>
        <v>24</v>
      </c>
    </row>
    <row r="87" spans="1:9" x14ac:dyDescent="0.35">
      <c r="A87">
        <f t="shared" ca="1" si="5"/>
        <v>88</v>
      </c>
      <c r="B87" t="s">
        <v>236</v>
      </c>
      <c r="C87" t="s">
        <v>32</v>
      </c>
      <c r="D87">
        <f t="shared" ca="1" si="6"/>
        <v>136.07</v>
      </c>
      <c r="E87" s="5">
        <f t="shared" ca="1" si="7"/>
        <v>26.709999999999994</v>
      </c>
      <c r="F87" t="str">
        <f ca="1">IF(H87&lt;=I87,"Starter",IF(G87&gt;=LARGE(G:G,FlexOn*LeagueInfo!$F$2),"Starter","Bench"))</f>
        <v>Bench</v>
      </c>
      <c r="G87">
        <f t="shared" ca="1" si="8"/>
        <v>136.07</v>
      </c>
      <c r="H87">
        <f t="shared" ca="1" si="9"/>
        <v>52</v>
      </c>
      <c r="I87">
        <f>IF(C87="RB",LeagueInfo!$D$4*LeagueInfo!$F$2,LeagueInfo!$D$5*LeagueInfo!$F$2)</f>
        <v>24</v>
      </c>
    </row>
    <row r="88" spans="1:9" x14ac:dyDescent="0.35">
      <c r="A88">
        <f t="shared" ca="1" si="5"/>
        <v>93</v>
      </c>
      <c r="B88" t="s">
        <v>913</v>
      </c>
      <c r="C88" t="s">
        <v>32</v>
      </c>
      <c r="D88">
        <f t="shared" ca="1" si="6"/>
        <v>130.71</v>
      </c>
      <c r="E88" s="5">
        <f t="shared" ca="1" si="7"/>
        <v>21.350000000000009</v>
      </c>
      <c r="F88" t="str">
        <f ca="1">IF(H88&lt;=I88,"Starter",IF(G88&gt;=LARGE(G:G,FlexOn*LeagueInfo!$F$2),"Starter","Bench"))</f>
        <v>Bench</v>
      </c>
      <c r="G88">
        <f t="shared" ca="1" si="8"/>
        <v>130.71</v>
      </c>
      <c r="H88">
        <f t="shared" ca="1" si="9"/>
        <v>57</v>
      </c>
      <c r="I88">
        <f>IF(C88="RB",LeagueInfo!$D$4*LeagueInfo!$F$2,LeagueInfo!$D$5*LeagueInfo!$F$2)</f>
        <v>24</v>
      </c>
    </row>
    <row r="89" spans="1:9" x14ac:dyDescent="0.35">
      <c r="A89">
        <f t="shared" ca="1" si="5"/>
        <v>76</v>
      </c>
      <c r="B89" t="s">
        <v>775</v>
      </c>
      <c r="C89" t="s">
        <v>25</v>
      </c>
      <c r="D89">
        <f t="shared" ca="1" si="6"/>
        <v>146.76</v>
      </c>
      <c r="E89" s="5">
        <f t="shared" ca="1" si="7"/>
        <v>37.399999999999991</v>
      </c>
      <c r="F89" t="str">
        <f ca="1">IF(H89&lt;=I89,"Starter",IF(G89&gt;=LARGE(G:G,FlexOn*LeagueInfo!$F$2),"Starter","Bench"))</f>
        <v>Bench</v>
      </c>
      <c r="G89">
        <f t="shared" ca="1" si="8"/>
        <v>146.76</v>
      </c>
      <c r="H89">
        <f t="shared" ca="1" si="9"/>
        <v>32</v>
      </c>
      <c r="I89">
        <f>IF(C89="RB",LeagueInfo!$D$4*LeagueInfo!$F$2,LeagueInfo!$D$5*LeagueInfo!$F$2)</f>
        <v>24</v>
      </c>
    </row>
    <row r="90" spans="1:9" x14ac:dyDescent="0.35">
      <c r="A90">
        <f t="shared" ca="1" si="5"/>
        <v>90</v>
      </c>
      <c r="B90" t="s">
        <v>607</v>
      </c>
      <c r="C90" t="s">
        <v>32</v>
      </c>
      <c r="D90">
        <f t="shared" ca="1" si="6"/>
        <v>134.1</v>
      </c>
      <c r="E90" s="5">
        <f t="shared" ca="1" si="7"/>
        <v>24.739999999999995</v>
      </c>
      <c r="F90" t="str">
        <f ca="1">IF(H90&lt;=I90,"Starter",IF(G90&gt;=LARGE(G:G,FlexOn*LeagueInfo!$F$2),"Starter","Bench"))</f>
        <v>Bench</v>
      </c>
      <c r="G90">
        <f t="shared" ca="1" si="8"/>
        <v>134.1</v>
      </c>
      <c r="H90">
        <f t="shared" ca="1" si="9"/>
        <v>54</v>
      </c>
      <c r="I90">
        <f>IF(C90="RB",LeagueInfo!$D$4*LeagueInfo!$F$2,LeagueInfo!$D$5*LeagueInfo!$F$2)</f>
        <v>24</v>
      </c>
    </row>
    <row r="91" spans="1:9" x14ac:dyDescent="0.35">
      <c r="A91">
        <f t="shared" ca="1" si="5"/>
        <v>92</v>
      </c>
      <c r="B91" t="s">
        <v>127</v>
      </c>
      <c r="C91" t="s">
        <v>32</v>
      </c>
      <c r="D91">
        <f t="shared" ca="1" si="6"/>
        <v>132.62</v>
      </c>
      <c r="E91" s="5">
        <f t="shared" ca="1" si="7"/>
        <v>23.260000000000005</v>
      </c>
      <c r="F91" t="str">
        <f ca="1">IF(H91&lt;=I91,"Starter",IF(G91&gt;=LARGE(G:G,FlexOn*LeagueInfo!$F$2),"Starter","Bench"))</f>
        <v>Bench</v>
      </c>
      <c r="G91">
        <f t="shared" ca="1" si="8"/>
        <v>132.62</v>
      </c>
      <c r="H91">
        <f t="shared" ca="1" si="9"/>
        <v>56</v>
      </c>
      <c r="I91">
        <f>IF(C91="RB",LeagueInfo!$D$4*LeagueInfo!$F$2,LeagueInfo!$D$5*LeagueInfo!$F$2)</f>
        <v>24</v>
      </c>
    </row>
    <row r="92" spans="1:9" x14ac:dyDescent="0.35">
      <c r="A92">
        <f t="shared" ca="1" si="5"/>
        <v>95</v>
      </c>
      <c r="B92" t="s">
        <v>785</v>
      </c>
      <c r="C92" t="s">
        <v>32</v>
      </c>
      <c r="D92">
        <f t="shared" ca="1" si="6"/>
        <v>130.22999999999999</v>
      </c>
      <c r="E92" s="5">
        <f t="shared" ca="1" si="7"/>
        <v>20.86999999999999</v>
      </c>
      <c r="F92" t="str">
        <f ca="1">IF(H92&lt;=I92,"Starter",IF(G92&gt;=LARGE(G:G,FlexOn*LeagueInfo!$F$2),"Starter","Bench"))</f>
        <v>Bench</v>
      </c>
      <c r="G92">
        <f t="shared" ca="1" si="8"/>
        <v>130.22999999999999</v>
      </c>
      <c r="H92">
        <f t="shared" ca="1" si="9"/>
        <v>59</v>
      </c>
      <c r="I92">
        <f>IF(C92="RB",LeagueInfo!$D$4*LeagueInfo!$F$2,LeagueInfo!$D$5*LeagueInfo!$F$2)</f>
        <v>24</v>
      </c>
    </row>
    <row r="93" spans="1:9" x14ac:dyDescent="0.35">
      <c r="A93">
        <f t="shared" ca="1" si="5"/>
        <v>89</v>
      </c>
      <c r="B93" t="s">
        <v>466</v>
      </c>
      <c r="C93" t="s">
        <v>32</v>
      </c>
      <c r="D93">
        <f t="shared" ca="1" si="6"/>
        <v>135.18</v>
      </c>
      <c r="E93" s="5">
        <f t="shared" ca="1" si="7"/>
        <v>25.820000000000007</v>
      </c>
      <c r="F93" t="str">
        <f ca="1">IF(H93&lt;=I93,"Starter",IF(G93&gt;=LARGE(G:G,FlexOn*LeagueInfo!$F$2),"Starter","Bench"))</f>
        <v>Bench</v>
      </c>
      <c r="G93">
        <f t="shared" ca="1" si="8"/>
        <v>135.18</v>
      </c>
      <c r="H93">
        <f t="shared" ca="1" si="9"/>
        <v>53</v>
      </c>
      <c r="I93">
        <f>IF(C93="RB",LeagueInfo!$D$4*LeagueInfo!$F$2,LeagueInfo!$D$5*LeagueInfo!$F$2)</f>
        <v>24</v>
      </c>
    </row>
    <row r="94" spans="1:9" x14ac:dyDescent="0.35">
      <c r="A94">
        <f t="shared" ca="1" si="5"/>
        <v>91</v>
      </c>
      <c r="B94" t="s">
        <v>96</v>
      </c>
      <c r="C94" t="s">
        <v>32</v>
      </c>
      <c r="D94">
        <f t="shared" ca="1" si="6"/>
        <v>132.79000000000002</v>
      </c>
      <c r="E94" s="5">
        <f t="shared" ca="1" si="7"/>
        <v>23.430000000000021</v>
      </c>
      <c r="F94" t="str">
        <f ca="1">IF(H94&lt;=I94,"Starter",IF(G94&gt;=LARGE(G:G,FlexOn*LeagueInfo!$F$2),"Starter","Bench"))</f>
        <v>Bench</v>
      </c>
      <c r="G94">
        <f t="shared" ca="1" si="8"/>
        <v>132.79000000000002</v>
      </c>
      <c r="H94">
        <f t="shared" ca="1" si="9"/>
        <v>55</v>
      </c>
      <c r="I94">
        <f>IF(C94="RB",LeagueInfo!$D$4*LeagueInfo!$F$2,LeagueInfo!$D$5*LeagueInfo!$F$2)</f>
        <v>24</v>
      </c>
    </row>
    <row r="95" spans="1:9" x14ac:dyDescent="0.35">
      <c r="A95">
        <f t="shared" ca="1" si="5"/>
        <v>94</v>
      </c>
      <c r="B95" t="s">
        <v>138</v>
      </c>
      <c r="C95" t="s">
        <v>32</v>
      </c>
      <c r="D95">
        <f t="shared" ca="1" si="6"/>
        <v>130.27000000000001</v>
      </c>
      <c r="E95" s="5">
        <f t="shared" ca="1" si="7"/>
        <v>20.910000000000011</v>
      </c>
      <c r="F95" t="str">
        <f ca="1">IF(H95&lt;=I95,"Starter",IF(G95&gt;=LARGE(G:G,FlexOn*LeagueInfo!$F$2),"Starter","Bench"))</f>
        <v>Bench</v>
      </c>
      <c r="G95">
        <f t="shared" ca="1" si="8"/>
        <v>130.27000000000001</v>
      </c>
      <c r="H95">
        <f t="shared" ca="1" si="9"/>
        <v>58</v>
      </c>
      <c r="I95">
        <f>IF(C95="RB",LeagueInfo!$D$4*LeagueInfo!$F$2,LeagueInfo!$D$5*LeagueInfo!$F$2)</f>
        <v>24</v>
      </c>
    </row>
    <row r="96" spans="1:9" x14ac:dyDescent="0.35">
      <c r="A96">
        <f t="shared" ca="1" si="5"/>
        <v>100</v>
      </c>
      <c r="B96" t="s">
        <v>861</v>
      </c>
      <c r="C96" t="s">
        <v>25</v>
      </c>
      <c r="D96">
        <f t="shared" ca="1" si="6"/>
        <v>124.36000000000001</v>
      </c>
      <c r="E96" s="5">
        <f t="shared" ca="1" si="7"/>
        <v>15.000000000000014</v>
      </c>
      <c r="F96" t="str">
        <f ca="1">IF(H96&lt;=I96,"Starter",IF(G96&gt;=LARGE(G:G,FlexOn*LeagueInfo!$F$2),"Starter","Bench"))</f>
        <v>Bench</v>
      </c>
      <c r="G96">
        <f t="shared" ca="1" si="8"/>
        <v>124.36000000000001</v>
      </c>
      <c r="H96">
        <f t="shared" ca="1" si="9"/>
        <v>39</v>
      </c>
      <c r="I96">
        <f>IF(C96="RB",LeagueInfo!$D$4*LeagueInfo!$F$2,LeagueInfo!$D$5*LeagueInfo!$F$2)</f>
        <v>24</v>
      </c>
    </row>
    <row r="97" spans="1:9" x14ac:dyDescent="0.35">
      <c r="A97">
        <f t="shared" ca="1" si="5"/>
        <v>96</v>
      </c>
      <c r="B97" t="s">
        <v>604</v>
      </c>
      <c r="C97" t="s">
        <v>32</v>
      </c>
      <c r="D97">
        <f t="shared" ca="1" si="6"/>
        <v>129.30000000000001</v>
      </c>
      <c r="E97" s="5">
        <f t="shared" ca="1" si="7"/>
        <v>19.940000000000012</v>
      </c>
      <c r="F97" t="str">
        <f ca="1">IF(H97&lt;=I97,"Starter",IF(G97&gt;=LARGE(G:G,FlexOn*LeagueInfo!$F$2),"Starter","Bench"))</f>
        <v>Bench</v>
      </c>
      <c r="G97">
        <f t="shared" ca="1" si="8"/>
        <v>129.30000000000001</v>
      </c>
      <c r="H97">
        <f t="shared" ca="1" si="9"/>
        <v>60</v>
      </c>
      <c r="I97">
        <f>IF(C97="RB",LeagueInfo!$D$4*LeagueInfo!$F$2,LeagueInfo!$D$5*LeagueInfo!$F$2)</f>
        <v>24</v>
      </c>
    </row>
    <row r="98" spans="1:9" x14ac:dyDescent="0.35">
      <c r="A98">
        <f t="shared" ca="1" si="5"/>
        <v>99</v>
      </c>
      <c r="B98" t="s">
        <v>759</v>
      </c>
      <c r="C98" t="s">
        <v>32</v>
      </c>
      <c r="D98">
        <f t="shared" ca="1" si="6"/>
        <v>124.75</v>
      </c>
      <c r="E98" s="5">
        <f t="shared" ca="1" si="7"/>
        <v>15.39</v>
      </c>
      <c r="F98" t="str">
        <f ca="1">IF(H98&lt;=I98,"Starter",IF(G98&gt;=LARGE(G:G,FlexOn*LeagueInfo!$F$2),"Starter","Bench"))</f>
        <v>Bench</v>
      </c>
      <c r="G98">
        <f t="shared" ca="1" si="8"/>
        <v>124.75</v>
      </c>
      <c r="H98">
        <f t="shared" ca="1" si="9"/>
        <v>62</v>
      </c>
      <c r="I98">
        <f>IF(C98="RB",LeagueInfo!$D$4*LeagueInfo!$F$2,LeagueInfo!$D$5*LeagueInfo!$F$2)</f>
        <v>24</v>
      </c>
    </row>
    <row r="99" spans="1:9" x14ac:dyDescent="0.35">
      <c r="A99">
        <f t="shared" ca="1" si="5"/>
        <v>87</v>
      </c>
      <c r="B99" t="s">
        <v>578</v>
      </c>
      <c r="C99" t="s">
        <v>32</v>
      </c>
      <c r="D99">
        <f t="shared" ca="1" si="6"/>
        <v>136.45999999999998</v>
      </c>
      <c r="E99" s="5">
        <f t="shared" ca="1" si="7"/>
        <v>27.09999999999998</v>
      </c>
      <c r="F99" t="str">
        <f ca="1">IF(H99&lt;=I99,"Starter",IF(G99&gt;=LARGE(G:G,FlexOn*LeagueInfo!$F$2),"Starter","Bench"))</f>
        <v>Bench</v>
      </c>
      <c r="G99">
        <f t="shared" ca="1" si="8"/>
        <v>136.45999999999998</v>
      </c>
      <c r="H99">
        <f t="shared" ca="1" si="9"/>
        <v>51</v>
      </c>
      <c r="I99">
        <f>IF(C99="RB",LeagueInfo!$D$4*LeagueInfo!$F$2,LeagueInfo!$D$5*LeagueInfo!$F$2)</f>
        <v>24</v>
      </c>
    </row>
    <row r="100" spans="1:9" x14ac:dyDescent="0.35">
      <c r="A100">
        <f t="shared" ca="1" si="5"/>
        <v>86</v>
      </c>
      <c r="B100" t="s">
        <v>627</v>
      </c>
      <c r="C100" t="s">
        <v>25</v>
      </c>
      <c r="D100">
        <f t="shared" ca="1" si="6"/>
        <v>138.13000000000002</v>
      </c>
      <c r="E100" s="5">
        <f t="shared" ca="1" si="7"/>
        <v>28.770000000000024</v>
      </c>
      <c r="F100" t="str">
        <f ca="1">IF(H100&lt;=I100,"Starter",IF(G100&gt;=LARGE(G:G,FlexOn*LeagueInfo!$F$2),"Starter","Bench"))</f>
        <v>Bench</v>
      </c>
      <c r="G100">
        <f t="shared" ca="1" si="8"/>
        <v>138.13000000000002</v>
      </c>
      <c r="H100">
        <f t="shared" ca="1" si="9"/>
        <v>37</v>
      </c>
      <c r="I100">
        <f>IF(C100="RB",LeagueInfo!$D$4*LeagueInfo!$F$2,LeagueInfo!$D$5*LeagueInfo!$F$2)</f>
        <v>24</v>
      </c>
    </row>
    <row r="101" spans="1:9" x14ac:dyDescent="0.35">
      <c r="A101">
        <f t="shared" ca="1" si="5"/>
        <v>97</v>
      </c>
      <c r="B101" t="s">
        <v>915</v>
      </c>
      <c r="C101" t="s">
        <v>32</v>
      </c>
      <c r="D101">
        <f t="shared" ca="1" si="6"/>
        <v>127.62000000000002</v>
      </c>
      <c r="E101" s="5">
        <f t="shared" ca="1" si="7"/>
        <v>18.260000000000019</v>
      </c>
      <c r="F101" t="str">
        <f ca="1">IF(H101&lt;=I101,"Starter",IF(G101&gt;=LARGE(G:G,FlexOn*LeagueInfo!$F$2),"Starter","Bench"))</f>
        <v>Bench</v>
      </c>
      <c r="G101">
        <f t="shared" ca="1" si="8"/>
        <v>127.62000000000002</v>
      </c>
      <c r="H101">
        <f t="shared" ca="1" si="9"/>
        <v>61</v>
      </c>
      <c r="I101">
        <f>IF(C101="RB",LeagueInfo!$D$4*LeagueInfo!$F$2,LeagueInfo!$D$5*LeagueInfo!$F$2)</f>
        <v>24</v>
      </c>
    </row>
    <row r="102" spans="1:9" x14ac:dyDescent="0.35">
      <c r="A102">
        <f t="shared" ca="1" si="5"/>
        <v>101</v>
      </c>
      <c r="B102" t="s">
        <v>502</v>
      </c>
      <c r="C102" t="s">
        <v>32</v>
      </c>
      <c r="D102">
        <f t="shared" ca="1" si="6"/>
        <v>122.07</v>
      </c>
      <c r="E102" s="5">
        <f t="shared" ca="1" si="7"/>
        <v>12.709999999999994</v>
      </c>
      <c r="F102" t="str">
        <f ca="1">IF(H102&lt;=I102,"Starter",IF(G102&gt;=LARGE(G:G,FlexOn*LeagueInfo!$F$2),"Starter","Bench"))</f>
        <v>Bench</v>
      </c>
      <c r="G102">
        <f t="shared" ca="1" si="8"/>
        <v>122.07</v>
      </c>
      <c r="H102">
        <f t="shared" ca="1" si="9"/>
        <v>63</v>
      </c>
      <c r="I102">
        <f>IF(C102="RB",LeagueInfo!$D$4*LeagueInfo!$F$2,LeagueInfo!$D$5*LeagueInfo!$F$2)</f>
        <v>24</v>
      </c>
    </row>
    <row r="103" spans="1:9" x14ac:dyDescent="0.35">
      <c r="A103">
        <f t="shared" ca="1" si="5"/>
        <v>105</v>
      </c>
      <c r="B103" t="s">
        <v>628</v>
      </c>
      <c r="C103" t="s">
        <v>25</v>
      </c>
      <c r="D103">
        <f t="shared" ca="1" si="6"/>
        <v>113.66999999999999</v>
      </c>
      <c r="E103" s="5">
        <f t="shared" ca="1" si="7"/>
        <v>4.3099999999999881</v>
      </c>
      <c r="F103" t="str">
        <f ca="1">IF(H103&lt;=I103,"Starter",IF(G103&gt;=LARGE(G:G,FlexOn*LeagueInfo!$F$2),"Starter","Bench"))</f>
        <v>Bench</v>
      </c>
      <c r="G103">
        <f t="shared" ca="1" si="8"/>
        <v>113.66999999999999</v>
      </c>
      <c r="H103">
        <f t="shared" ca="1" si="9"/>
        <v>42</v>
      </c>
      <c r="I103">
        <f>IF(C103="RB",LeagueInfo!$D$4*LeagueInfo!$F$2,LeagueInfo!$D$5*LeagueInfo!$F$2)</f>
        <v>24</v>
      </c>
    </row>
    <row r="104" spans="1:9" x14ac:dyDescent="0.35">
      <c r="A104">
        <f t="shared" ca="1" si="5"/>
        <v>106</v>
      </c>
      <c r="B104" t="s">
        <v>728</v>
      </c>
      <c r="C104" t="s">
        <v>32</v>
      </c>
      <c r="D104">
        <f t="shared" ca="1" si="6"/>
        <v>112.76</v>
      </c>
      <c r="E104" s="5">
        <f t="shared" ca="1" si="7"/>
        <v>3.4000000000000057</v>
      </c>
      <c r="F104" t="str">
        <f ca="1">IF(H104&lt;=I104,"Starter",IF(G104&gt;=LARGE(G:G,FlexOn*LeagueInfo!$F$2),"Starter","Bench"))</f>
        <v>Bench</v>
      </c>
      <c r="G104">
        <f t="shared" ca="1" si="8"/>
        <v>112.76</v>
      </c>
      <c r="H104">
        <f t="shared" ca="1" si="9"/>
        <v>66</v>
      </c>
      <c r="I104">
        <f>IF(C104="RB",LeagueInfo!$D$4*LeagueInfo!$F$2,LeagueInfo!$D$5*LeagueInfo!$F$2)</f>
        <v>24</v>
      </c>
    </row>
    <row r="105" spans="1:9" x14ac:dyDescent="0.35">
      <c r="A105">
        <f t="shared" ca="1" si="5"/>
        <v>112</v>
      </c>
      <c r="B105" t="s">
        <v>619</v>
      </c>
      <c r="C105" t="s">
        <v>25</v>
      </c>
      <c r="D105">
        <f t="shared" ca="1" si="6"/>
        <v>110.66000000000001</v>
      </c>
      <c r="E105" s="5">
        <f t="shared" ca="1" si="7"/>
        <v>1.3000000000000114</v>
      </c>
      <c r="F105" t="str">
        <f ca="1">IF(H105&lt;=I105,"Starter",IF(G105&gt;=LARGE(G:G,FlexOn*LeagueInfo!$F$2),"Starter","Bench"))</f>
        <v>Bench</v>
      </c>
      <c r="G105">
        <f t="shared" ca="1" si="8"/>
        <v>110.66000000000001</v>
      </c>
      <c r="H105">
        <f t="shared" ca="1" si="9"/>
        <v>45</v>
      </c>
      <c r="I105">
        <f>IF(C105="RB",LeagueInfo!$D$4*LeagueInfo!$F$2,LeagueInfo!$D$5*LeagueInfo!$F$2)</f>
        <v>24</v>
      </c>
    </row>
    <row r="106" spans="1:9" x14ac:dyDescent="0.35">
      <c r="A106">
        <f t="shared" ca="1" si="5"/>
        <v>104</v>
      </c>
      <c r="B106" t="s">
        <v>519</v>
      </c>
      <c r="C106" t="s">
        <v>25</v>
      </c>
      <c r="D106">
        <f t="shared" ca="1" si="6"/>
        <v>118.18000000000002</v>
      </c>
      <c r="E106" s="5">
        <f t="shared" ca="1" si="7"/>
        <v>8.8200000000000216</v>
      </c>
      <c r="F106" t="str">
        <f ca="1">IF(H106&lt;=I106,"Starter",IF(G106&gt;=LARGE(G:G,FlexOn*LeagueInfo!$F$2),"Starter","Bench"))</f>
        <v>Bench</v>
      </c>
      <c r="G106">
        <f t="shared" ca="1" si="8"/>
        <v>118.18000000000002</v>
      </c>
      <c r="H106">
        <f t="shared" ca="1" si="9"/>
        <v>41</v>
      </c>
      <c r="I106">
        <f>IF(C106="RB",LeagueInfo!$D$4*LeagueInfo!$F$2,LeagueInfo!$D$5*LeagueInfo!$F$2)</f>
        <v>24</v>
      </c>
    </row>
    <row r="107" spans="1:9" x14ac:dyDescent="0.35">
      <c r="A107">
        <f t="shared" ca="1" si="5"/>
        <v>107</v>
      </c>
      <c r="B107" t="s">
        <v>529</v>
      </c>
      <c r="C107" t="s">
        <v>25</v>
      </c>
      <c r="D107">
        <f t="shared" ca="1" si="6"/>
        <v>112.36000000000001</v>
      </c>
      <c r="E107" s="5">
        <f t="shared" ca="1" si="7"/>
        <v>3.0000000000000142</v>
      </c>
      <c r="F107" t="str">
        <f ca="1">IF(H107&lt;=I107,"Starter",IF(G107&gt;=LARGE(G:G,FlexOn*LeagueInfo!$F$2),"Starter","Bench"))</f>
        <v>Bench</v>
      </c>
      <c r="G107">
        <f t="shared" ca="1" si="8"/>
        <v>112.36000000000001</v>
      </c>
      <c r="H107">
        <f t="shared" ca="1" si="9"/>
        <v>43</v>
      </c>
      <c r="I107">
        <f>IF(C107="RB",LeagueInfo!$D$4*LeagueInfo!$F$2,LeagueInfo!$D$5*LeagueInfo!$F$2)</f>
        <v>24</v>
      </c>
    </row>
    <row r="108" spans="1:9" x14ac:dyDescent="0.35">
      <c r="A108">
        <f t="shared" ca="1" si="5"/>
        <v>110</v>
      </c>
      <c r="B108" t="s">
        <v>917</v>
      </c>
      <c r="C108" t="s">
        <v>32</v>
      </c>
      <c r="D108">
        <f t="shared" ca="1" si="6"/>
        <v>111.62</v>
      </c>
      <c r="E108" s="5">
        <f t="shared" ca="1" si="7"/>
        <v>2.2600000000000051</v>
      </c>
      <c r="F108" t="str">
        <f ca="1">IF(H108&lt;=I108,"Starter",IF(G108&gt;=LARGE(G:G,FlexOn*LeagueInfo!$F$2),"Starter","Bench"))</f>
        <v>Bench</v>
      </c>
      <c r="G108">
        <f t="shared" ca="1" si="8"/>
        <v>111.62</v>
      </c>
      <c r="H108">
        <f t="shared" ca="1" si="9"/>
        <v>69</v>
      </c>
      <c r="I108">
        <f>IF(C108="RB",LeagueInfo!$D$4*LeagueInfo!$F$2,LeagueInfo!$D$5*LeagueInfo!$F$2)</f>
        <v>24</v>
      </c>
    </row>
    <row r="109" spans="1:9" x14ac:dyDescent="0.35">
      <c r="A109">
        <f t="shared" ca="1" si="5"/>
        <v>119</v>
      </c>
      <c r="B109" t="s">
        <v>553</v>
      </c>
      <c r="C109" t="s">
        <v>32</v>
      </c>
      <c r="D109">
        <f t="shared" ca="1" si="6"/>
        <v>104.62</v>
      </c>
      <c r="E109" s="5">
        <f t="shared" ca="1" si="7"/>
        <v>-4.7399999999999949</v>
      </c>
      <c r="F109" t="str">
        <f ca="1">IF(H109&lt;=I109,"Starter",IF(G109&gt;=LARGE(G:G,FlexOn*LeagueInfo!$F$2),"Starter","Bench"))</f>
        <v>Bench</v>
      </c>
      <c r="G109">
        <f t="shared" ca="1" si="8"/>
        <v>104.62</v>
      </c>
      <c r="H109">
        <f t="shared" ca="1" si="9"/>
        <v>72</v>
      </c>
      <c r="I109">
        <f>IF(C109="RB",LeagueInfo!$D$4*LeagueInfo!$F$2,LeagueInfo!$D$5*LeagueInfo!$F$2)</f>
        <v>24</v>
      </c>
    </row>
    <row r="110" spans="1:9" x14ac:dyDescent="0.35">
      <c r="A110">
        <f t="shared" ca="1" si="5"/>
        <v>116</v>
      </c>
      <c r="B110" t="s">
        <v>245</v>
      </c>
      <c r="C110" t="s">
        <v>32</v>
      </c>
      <c r="D110">
        <f t="shared" ca="1" si="6"/>
        <v>107.62</v>
      </c>
      <c r="E110" s="5">
        <f t="shared" ca="1" si="7"/>
        <v>-1.7399999999999949</v>
      </c>
      <c r="F110" t="str">
        <f ca="1">IF(H110&lt;=I110,"Starter",IF(G110&gt;=LARGE(G:G,FlexOn*LeagueInfo!$F$2),"Starter","Bench"))</f>
        <v>Bench</v>
      </c>
      <c r="G110">
        <f t="shared" ca="1" si="8"/>
        <v>107.62</v>
      </c>
      <c r="H110">
        <f t="shared" ca="1" si="9"/>
        <v>71</v>
      </c>
      <c r="I110">
        <f>IF(C110="RB",LeagueInfo!$D$4*LeagueInfo!$F$2,LeagueInfo!$D$5*LeagueInfo!$F$2)</f>
        <v>24</v>
      </c>
    </row>
    <row r="111" spans="1:9" x14ac:dyDescent="0.35">
      <c r="A111">
        <f t="shared" ca="1" si="5"/>
        <v>115</v>
      </c>
      <c r="B111" t="s">
        <v>736</v>
      </c>
      <c r="C111" t="s">
        <v>32</v>
      </c>
      <c r="D111">
        <f t="shared" ca="1" si="6"/>
        <v>109.36</v>
      </c>
      <c r="E111" s="5">
        <f t="shared" ca="1" si="7"/>
        <v>0</v>
      </c>
      <c r="F111" t="str">
        <f ca="1">IF(H111&lt;=I111,"Starter",IF(G111&gt;=LARGE(G:G,FlexOn*LeagueInfo!$F$2),"Starter","Bench"))</f>
        <v>Bench</v>
      </c>
      <c r="G111">
        <f t="shared" ca="1" si="8"/>
        <v>109.36</v>
      </c>
      <c r="H111">
        <f t="shared" ca="1" si="9"/>
        <v>70</v>
      </c>
      <c r="I111">
        <f>IF(C111="RB",LeagueInfo!$D$4*LeagueInfo!$F$2,LeagueInfo!$D$5*LeagueInfo!$F$2)</f>
        <v>24</v>
      </c>
    </row>
    <row r="112" spans="1:9" x14ac:dyDescent="0.35">
      <c r="A112">
        <f t="shared" ca="1" si="5"/>
        <v>102</v>
      </c>
      <c r="B112" t="s">
        <v>544</v>
      </c>
      <c r="C112" t="s">
        <v>25</v>
      </c>
      <c r="D112">
        <f t="shared" ca="1" si="6"/>
        <v>120.5</v>
      </c>
      <c r="E112" s="5">
        <f t="shared" ca="1" si="7"/>
        <v>11.14</v>
      </c>
      <c r="F112" t="str">
        <f ca="1">IF(H112&lt;=I112,"Starter",IF(G112&gt;=LARGE(G:G,FlexOn*LeagueInfo!$F$2),"Starter","Bench"))</f>
        <v>Bench</v>
      </c>
      <c r="G112">
        <f t="shared" ca="1" si="8"/>
        <v>120.5</v>
      </c>
      <c r="H112">
        <f t="shared" ca="1" si="9"/>
        <v>40</v>
      </c>
      <c r="I112">
        <f>IF(C112="RB",LeagueInfo!$D$4*LeagueInfo!$F$2,LeagueInfo!$D$5*LeagueInfo!$F$2)</f>
        <v>24</v>
      </c>
    </row>
    <row r="113" spans="1:9" x14ac:dyDescent="0.35">
      <c r="A113">
        <f t="shared" ca="1" si="5"/>
        <v>111</v>
      </c>
      <c r="B113" t="s">
        <v>863</v>
      </c>
      <c r="C113" t="s">
        <v>25</v>
      </c>
      <c r="D113">
        <f t="shared" ca="1" si="6"/>
        <v>110.90999999999998</v>
      </c>
      <c r="E113" s="5">
        <f t="shared" ca="1" si="7"/>
        <v>1.5499999999999829</v>
      </c>
      <c r="F113" t="str">
        <f ca="1">IF(H113&lt;=I113,"Starter",IF(G113&gt;=LARGE(G:G,FlexOn*LeagueInfo!$F$2),"Starter","Bench"))</f>
        <v>Bench</v>
      </c>
      <c r="G113">
        <f t="shared" ca="1" si="8"/>
        <v>110.90999999999998</v>
      </c>
      <c r="H113">
        <f t="shared" ca="1" si="9"/>
        <v>44</v>
      </c>
      <c r="I113">
        <f>IF(C113="RB",LeagueInfo!$D$4*LeagueInfo!$F$2,LeagueInfo!$D$5*LeagueInfo!$F$2)</f>
        <v>24</v>
      </c>
    </row>
    <row r="114" spans="1:9" x14ac:dyDescent="0.35">
      <c r="A114">
        <f t="shared" ca="1" si="5"/>
        <v>120</v>
      </c>
      <c r="B114" t="s">
        <v>548</v>
      </c>
      <c r="C114" t="s">
        <v>25</v>
      </c>
      <c r="D114">
        <f t="shared" ca="1" si="6"/>
        <v>103.68</v>
      </c>
      <c r="E114" s="5">
        <f t="shared" ca="1" si="7"/>
        <v>-5.6799999999999926</v>
      </c>
      <c r="F114" t="str">
        <f ca="1">IF(H114&lt;=I114,"Starter",IF(G114&gt;=LARGE(G:G,FlexOn*LeagueInfo!$F$2),"Starter","Bench"))</f>
        <v>Bench</v>
      </c>
      <c r="G114">
        <f t="shared" ca="1" si="8"/>
        <v>103.68</v>
      </c>
      <c r="H114">
        <f t="shared" ca="1" si="9"/>
        <v>50</v>
      </c>
      <c r="I114">
        <f>IF(C114="RB",LeagueInfo!$D$4*LeagueInfo!$F$2,LeagueInfo!$D$5*LeagueInfo!$F$2)</f>
        <v>24</v>
      </c>
    </row>
    <row r="115" spans="1:9" x14ac:dyDescent="0.35">
      <c r="A115">
        <f t="shared" ca="1" si="5"/>
        <v>138</v>
      </c>
      <c r="B115" t="s">
        <v>594</v>
      </c>
      <c r="C115" t="s">
        <v>32</v>
      </c>
      <c r="D115">
        <f t="shared" ca="1" si="6"/>
        <v>81.78</v>
      </c>
      <c r="E115" s="5">
        <f t="shared" ca="1" si="7"/>
        <v>-27.58</v>
      </c>
      <c r="F115" t="str">
        <f ca="1">IF(H115&lt;=I115,"Starter",IF(G115&gt;=LARGE(G:G,FlexOn*LeagueInfo!$F$2),"Starter","Bench"))</f>
        <v>Bench</v>
      </c>
      <c r="G115">
        <f t="shared" ca="1" si="8"/>
        <v>81.78</v>
      </c>
      <c r="H115">
        <f t="shared" ca="1" si="9"/>
        <v>87</v>
      </c>
      <c r="I115">
        <f>IF(C115="RB",LeagueInfo!$D$4*LeagueInfo!$F$2,LeagueInfo!$D$5*LeagueInfo!$F$2)</f>
        <v>24</v>
      </c>
    </row>
    <row r="116" spans="1:9" x14ac:dyDescent="0.35">
      <c r="A116">
        <f t="shared" ca="1" si="5"/>
        <v>121</v>
      </c>
      <c r="B116" t="s">
        <v>591</v>
      </c>
      <c r="C116" t="s">
        <v>32</v>
      </c>
      <c r="D116">
        <f t="shared" ca="1" si="6"/>
        <v>102.98</v>
      </c>
      <c r="E116" s="5">
        <f t="shared" ca="1" si="7"/>
        <v>-6.3799999999999955</v>
      </c>
      <c r="F116" t="str">
        <f ca="1">IF(H116&lt;=I116,"Starter",IF(G116&gt;=LARGE(G:G,FlexOn*LeagueInfo!$F$2),"Starter","Bench"))</f>
        <v>Bench</v>
      </c>
      <c r="G116">
        <f t="shared" ca="1" si="8"/>
        <v>102.98</v>
      </c>
      <c r="H116">
        <f t="shared" ca="1" si="9"/>
        <v>73</v>
      </c>
      <c r="I116">
        <f>IF(C116="RB",LeagueInfo!$D$4*LeagueInfo!$F$2,LeagueInfo!$D$5*LeagueInfo!$F$2)</f>
        <v>24</v>
      </c>
    </row>
    <row r="117" spans="1:9" x14ac:dyDescent="0.35">
      <c r="A117">
        <f t="shared" ca="1" si="5"/>
        <v>117</v>
      </c>
      <c r="B117" t="s">
        <v>862</v>
      </c>
      <c r="C117" t="s">
        <v>25</v>
      </c>
      <c r="D117">
        <f t="shared" ca="1" si="6"/>
        <v>107.21000000000001</v>
      </c>
      <c r="E117" s="5">
        <f t="shared" ca="1" si="7"/>
        <v>-2.1499999999999915</v>
      </c>
      <c r="F117" t="str">
        <f ca="1">IF(H117&lt;=I117,"Starter",IF(G117&gt;=LARGE(G:G,FlexOn*LeagueInfo!$F$2),"Starter","Bench"))</f>
        <v>Bench</v>
      </c>
      <c r="G117">
        <f t="shared" ca="1" si="8"/>
        <v>107.21000000000001</v>
      </c>
      <c r="H117">
        <f t="shared" ca="1" si="9"/>
        <v>48</v>
      </c>
      <c r="I117">
        <f>IF(C117="RB",LeagueInfo!$D$4*LeagueInfo!$F$2,LeagueInfo!$D$5*LeagueInfo!$F$2)</f>
        <v>24</v>
      </c>
    </row>
    <row r="118" spans="1:9" x14ac:dyDescent="0.35">
      <c r="A118">
        <f t="shared" ca="1" si="5"/>
        <v>108</v>
      </c>
      <c r="B118" t="s">
        <v>709</v>
      </c>
      <c r="C118" t="s">
        <v>32</v>
      </c>
      <c r="D118">
        <f t="shared" ca="1" si="6"/>
        <v>111.99000000000001</v>
      </c>
      <c r="E118" s="5">
        <f t="shared" ca="1" si="7"/>
        <v>2.6300000000000097</v>
      </c>
      <c r="F118" t="str">
        <f ca="1">IF(H118&lt;=I118,"Starter",IF(G118&gt;=LARGE(G:G,FlexOn*LeagueInfo!$F$2),"Starter","Bench"))</f>
        <v>Bench</v>
      </c>
      <c r="G118">
        <f t="shared" ca="1" si="8"/>
        <v>111.99000000000001</v>
      </c>
      <c r="H118">
        <f t="shared" ca="1" si="9"/>
        <v>67</v>
      </c>
      <c r="I118">
        <f>IF(C118="RB",LeagueInfo!$D$4*LeagueInfo!$F$2,LeagueInfo!$D$5*LeagueInfo!$F$2)</f>
        <v>24</v>
      </c>
    </row>
    <row r="119" spans="1:9" x14ac:dyDescent="0.35">
      <c r="A119">
        <f t="shared" ca="1" si="5"/>
        <v>118</v>
      </c>
      <c r="B119" t="s">
        <v>767</v>
      </c>
      <c r="C119" t="s">
        <v>25</v>
      </c>
      <c r="D119">
        <f t="shared" ca="1" si="6"/>
        <v>106.46000000000001</v>
      </c>
      <c r="E119" s="5">
        <f t="shared" ca="1" si="7"/>
        <v>-2.8999999999999915</v>
      </c>
      <c r="F119" t="str">
        <f ca="1">IF(H119&lt;=I119,"Starter",IF(G119&gt;=LARGE(G:G,FlexOn*LeagueInfo!$F$2),"Starter","Bench"))</f>
        <v>Bench</v>
      </c>
      <c r="G119">
        <f t="shared" ca="1" si="8"/>
        <v>106.46000000000001</v>
      </c>
      <c r="H119">
        <f t="shared" ca="1" si="9"/>
        <v>49</v>
      </c>
      <c r="I119">
        <f>IF(C119="RB",LeagueInfo!$D$4*LeagueInfo!$F$2,LeagueInfo!$D$5*LeagueInfo!$F$2)</f>
        <v>24</v>
      </c>
    </row>
    <row r="120" spans="1:9" x14ac:dyDescent="0.35">
      <c r="A120">
        <f t="shared" ca="1" si="5"/>
        <v>113</v>
      </c>
      <c r="B120" t="s">
        <v>499</v>
      </c>
      <c r="C120" t="s">
        <v>25</v>
      </c>
      <c r="D120">
        <f t="shared" ca="1" si="6"/>
        <v>110.09</v>
      </c>
      <c r="E120" s="5">
        <f t="shared" ca="1" si="7"/>
        <v>0.73000000000000398</v>
      </c>
      <c r="F120" t="str">
        <f ca="1">IF(H120&lt;=I120,"Starter",IF(G120&gt;=LARGE(G:G,FlexOn*LeagueInfo!$F$2),"Starter","Bench"))</f>
        <v>Bench</v>
      </c>
      <c r="G120">
        <f t="shared" ca="1" si="8"/>
        <v>110.09</v>
      </c>
      <c r="H120">
        <f t="shared" ca="1" si="9"/>
        <v>46</v>
      </c>
      <c r="I120">
        <f>IF(C120="RB",LeagueInfo!$D$4*LeagueInfo!$F$2,LeagueInfo!$D$5*LeagueInfo!$F$2)</f>
        <v>24</v>
      </c>
    </row>
    <row r="121" spans="1:9" x14ac:dyDescent="0.35">
      <c r="A121">
        <f t="shared" ca="1" si="5"/>
        <v>132</v>
      </c>
      <c r="B121" t="s">
        <v>364</v>
      </c>
      <c r="C121" t="s">
        <v>32</v>
      </c>
      <c r="D121">
        <f t="shared" ca="1" si="6"/>
        <v>85.990000000000009</v>
      </c>
      <c r="E121" s="5">
        <f t="shared" ca="1" si="7"/>
        <v>-23.36999999999999</v>
      </c>
      <c r="F121" t="str">
        <f ca="1">IF(H121&lt;=I121,"Starter",IF(G121&gt;=LARGE(G:G,FlexOn*LeagueInfo!$F$2),"Starter","Bench"))</f>
        <v>Bench</v>
      </c>
      <c r="G121">
        <f t="shared" ca="1" si="8"/>
        <v>85.990000000000009</v>
      </c>
      <c r="H121">
        <f t="shared" ca="1" si="9"/>
        <v>83</v>
      </c>
      <c r="I121">
        <f>IF(C121="RB",LeagueInfo!$D$4*LeagueInfo!$F$2,LeagueInfo!$D$5*LeagueInfo!$F$2)</f>
        <v>24</v>
      </c>
    </row>
    <row r="122" spans="1:9" x14ac:dyDescent="0.35">
      <c r="A122">
        <f t="shared" ca="1" si="5"/>
        <v>123</v>
      </c>
      <c r="B122" t="s">
        <v>916</v>
      </c>
      <c r="C122" t="s">
        <v>32</v>
      </c>
      <c r="D122">
        <f t="shared" ca="1" si="6"/>
        <v>101.67</v>
      </c>
      <c r="E122" s="5">
        <f t="shared" ca="1" si="7"/>
        <v>-7.6899999999999977</v>
      </c>
      <c r="F122" t="str">
        <f ca="1">IF(H122&lt;=I122,"Starter",IF(G122&gt;=LARGE(G:G,FlexOn*LeagueInfo!$F$2),"Starter","Bench"))</f>
        <v>Bench</v>
      </c>
      <c r="G122">
        <f t="shared" ca="1" si="8"/>
        <v>101.67</v>
      </c>
      <c r="H122">
        <f t="shared" ca="1" si="9"/>
        <v>75</v>
      </c>
      <c r="I122">
        <f>IF(C122="RB",LeagueInfo!$D$4*LeagueInfo!$F$2,LeagueInfo!$D$5*LeagueInfo!$F$2)</f>
        <v>24</v>
      </c>
    </row>
    <row r="123" spans="1:9" x14ac:dyDescent="0.35">
      <c r="A123">
        <f t="shared" ca="1" si="5"/>
        <v>122</v>
      </c>
      <c r="B123" t="s">
        <v>438</v>
      </c>
      <c r="C123" t="s">
        <v>32</v>
      </c>
      <c r="D123">
        <f t="shared" ca="1" si="6"/>
        <v>102.08</v>
      </c>
      <c r="E123" s="5">
        <f t="shared" ca="1" si="7"/>
        <v>-7.2800000000000011</v>
      </c>
      <c r="F123" t="str">
        <f ca="1">IF(H123&lt;=I123,"Starter",IF(G123&gt;=LARGE(G:G,FlexOn*LeagueInfo!$F$2),"Starter","Bench"))</f>
        <v>Bench</v>
      </c>
      <c r="G123">
        <f t="shared" ca="1" si="8"/>
        <v>102.08</v>
      </c>
      <c r="H123">
        <f t="shared" ca="1" si="9"/>
        <v>74</v>
      </c>
      <c r="I123">
        <f>IF(C123="RB",LeagueInfo!$D$4*LeagueInfo!$F$2,LeagueInfo!$D$5*LeagueInfo!$F$2)</f>
        <v>24</v>
      </c>
    </row>
    <row r="124" spans="1:9" x14ac:dyDescent="0.35">
      <c r="A124">
        <f t="shared" ca="1" si="5"/>
        <v>103</v>
      </c>
      <c r="B124" t="s">
        <v>919</v>
      </c>
      <c r="C124" t="s">
        <v>32</v>
      </c>
      <c r="D124">
        <f t="shared" ca="1" si="6"/>
        <v>119.53000000000002</v>
      </c>
      <c r="E124" s="5">
        <f t="shared" ca="1" si="7"/>
        <v>10.170000000000016</v>
      </c>
      <c r="F124" t="str">
        <f ca="1">IF(H124&lt;=I124,"Starter",IF(G124&gt;=LARGE(G:G,FlexOn*LeagueInfo!$F$2),"Starter","Bench"))</f>
        <v>Bench</v>
      </c>
      <c r="G124">
        <f t="shared" ca="1" si="8"/>
        <v>119.53000000000002</v>
      </c>
      <c r="H124">
        <f t="shared" ca="1" si="9"/>
        <v>64</v>
      </c>
      <c r="I124">
        <f>IF(C124="RB",LeagueInfo!$D$4*LeagueInfo!$F$2,LeagueInfo!$D$5*LeagueInfo!$F$2)</f>
        <v>24</v>
      </c>
    </row>
    <row r="125" spans="1:9" x14ac:dyDescent="0.35">
      <c r="A125">
        <f t="shared" ca="1" si="5"/>
        <v>114</v>
      </c>
      <c r="B125" t="s">
        <v>830</v>
      </c>
      <c r="C125" t="s">
        <v>25</v>
      </c>
      <c r="D125">
        <f t="shared" ca="1" si="6"/>
        <v>109.56000000000003</v>
      </c>
      <c r="E125" s="5">
        <f t="shared" ca="1" si="7"/>
        <v>0.20000000000003126</v>
      </c>
      <c r="F125" t="str">
        <f ca="1">IF(H125&lt;=I125,"Starter",IF(G125&gt;=LARGE(G:G,FlexOn*LeagueInfo!$F$2),"Starter","Bench"))</f>
        <v>Bench</v>
      </c>
      <c r="G125">
        <f t="shared" ca="1" si="8"/>
        <v>109.56000000000003</v>
      </c>
      <c r="H125">
        <f t="shared" ca="1" si="9"/>
        <v>47</v>
      </c>
      <c r="I125">
        <f>IF(C125="RB",LeagueInfo!$D$4*LeagueInfo!$F$2,LeagueInfo!$D$5*LeagueInfo!$F$2)</f>
        <v>24</v>
      </c>
    </row>
    <row r="126" spans="1:9" x14ac:dyDescent="0.35">
      <c r="A126">
        <f t="shared" ca="1" si="5"/>
        <v>126</v>
      </c>
      <c r="B126" t="s">
        <v>722</v>
      </c>
      <c r="C126" t="s">
        <v>32</v>
      </c>
      <c r="D126">
        <f t="shared" ca="1" si="6"/>
        <v>92.670000000000016</v>
      </c>
      <c r="E126" s="5">
        <f t="shared" ca="1" si="7"/>
        <v>-16.689999999999984</v>
      </c>
      <c r="F126" t="str">
        <f ca="1">IF(H126&lt;=I126,"Starter",IF(G126&gt;=LARGE(G:G,FlexOn*LeagueInfo!$F$2),"Starter","Bench"))</f>
        <v>Bench</v>
      </c>
      <c r="G126">
        <f t="shared" ca="1" si="8"/>
        <v>92.670000000000016</v>
      </c>
      <c r="H126">
        <f t="shared" ca="1" si="9"/>
        <v>78</v>
      </c>
      <c r="I126">
        <f>IF(C126="RB",LeagueInfo!$D$4*LeagueInfo!$F$2,LeagueInfo!$D$5*LeagueInfo!$F$2)</f>
        <v>24</v>
      </c>
    </row>
    <row r="127" spans="1:9" x14ac:dyDescent="0.35">
      <c r="A127">
        <f t="shared" ca="1" si="5"/>
        <v>109</v>
      </c>
      <c r="B127" t="s">
        <v>602</v>
      </c>
      <c r="C127" t="s">
        <v>32</v>
      </c>
      <c r="D127">
        <f t="shared" ca="1" si="6"/>
        <v>111.92</v>
      </c>
      <c r="E127" s="5">
        <f t="shared" ca="1" si="7"/>
        <v>2.5600000000000023</v>
      </c>
      <c r="F127" t="str">
        <f ca="1">IF(H127&lt;=I127,"Starter",IF(G127&gt;=LARGE(G:G,FlexOn*LeagueInfo!$F$2),"Starter","Bench"))</f>
        <v>Bench</v>
      </c>
      <c r="G127">
        <f t="shared" ca="1" si="8"/>
        <v>111.92</v>
      </c>
      <c r="H127">
        <f t="shared" ca="1" si="9"/>
        <v>68</v>
      </c>
      <c r="I127">
        <f>IF(C127="RB",LeagueInfo!$D$4*LeagueInfo!$F$2,LeagueInfo!$D$5*LeagueInfo!$F$2)</f>
        <v>24</v>
      </c>
    </row>
    <row r="128" spans="1:9" x14ac:dyDescent="0.35">
      <c r="A128">
        <f t="shared" ca="1" si="5"/>
        <v>128</v>
      </c>
      <c r="B128" t="s">
        <v>746</v>
      </c>
      <c r="C128" t="s">
        <v>32</v>
      </c>
      <c r="D128">
        <f t="shared" ca="1" si="6"/>
        <v>90.43</v>
      </c>
      <c r="E128" s="5">
        <f t="shared" ca="1" si="7"/>
        <v>-18.929999999999993</v>
      </c>
      <c r="F128" t="str">
        <f ca="1">IF(H128&lt;=I128,"Starter",IF(G128&gt;=LARGE(G:G,FlexOn*LeagueInfo!$F$2),"Starter","Bench"))</f>
        <v>Bench</v>
      </c>
      <c r="G128">
        <f t="shared" ca="1" si="8"/>
        <v>90.43</v>
      </c>
      <c r="H128">
        <f t="shared" ca="1" si="9"/>
        <v>79</v>
      </c>
      <c r="I128">
        <f>IF(C128="RB",LeagueInfo!$D$4*LeagueInfo!$F$2,LeagueInfo!$D$5*LeagueInfo!$F$2)</f>
        <v>24</v>
      </c>
    </row>
    <row r="129" spans="1:9" x14ac:dyDescent="0.35">
      <c r="A129">
        <f t="shared" ca="1" si="5"/>
        <v>131</v>
      </c>
      <c r="B129" t="s">
        <v>923</v>
      </c>
      <c r="C129" t="s">
        <v>32</v>
      </c>
      <c r="D129">
        <f t="shared" ref="D129:D188" ca="1" si="10">INDEX(INDIRECT($C129&amp;"!P:P"),MATCH($B129,INDIRECT($C129&amp;"!B:B"),0))</f>
        <v>87.929999999999993</v>
      </c>
      <c r="E129" s="5">
        <f t="shared" ca="1" si="7"/>
        <v>-21.430000000000007</v>
      </c>
      <c r="F129" t="str">
        <f ca="1">IF(H129&lt;=I129,"Starter",IF(G129&gt;=LARGE(G:G,FlexOn*LeagueInfo!$F$2),"Starter","Bench"))</f>
        <v>Bench</v>
      </c>
      <c r="G129">
        <f t="shared" ref="G129:G188" ca="1" si="11">IF(H129&gt;I129,D129,0)</f>
        <v>87.929999999999993</v>
      </c>
      <c r="H129">
        <f t="shared" ref="H129:H188" ca="1" si="12">INDEX(INDIRECT(""&amp;C129&amp;"!A2:A489"),MATCH(B129,INDIRECT(""&amp;C129&amp;"!B2:B489"),0))</f>
        <v>82</v>
      </c>
      <c r="I129">
        <f>IF(C129="RB",LeagueInfo!$D$4*LeagueInfo!$F$2,LeagueInfo!$D$5*LeagueInfo!$F$2)</f>
        <v>24</v>
      </c>
    </row>
    <row r="130" spans="1:9" x14ac:dyDescent="0.35">
      <c r="A130">
        <f t="shared" ref="A130:A193" ca="1" si="13">RANK(E130,E:E)</f>
        <v>133</v>
      </c>
      <c r="B130" t="s">
        <v>408</v>
      </c>
      <c r="C130" t="s">
        <v>32</v>
      </c>
      <c r="D130">
        <f t="shared" ca="1" si="10"/>
        <v>84.6</v>
      </c>
      <c r="E130" s="5">
        <f t="shared" ref="E130:E193" ca="1" si="14">D130-LARGE(D:D,RBCount+WRCount)</f>
        <v>-24.760000000000005</v>
      </c>
      <c r="F130" t="str">
        <f ca="1">IF(H130&lt;=I130,"Starter",IF(G130&gt;=LARGE(G:G,FlexOn*LeagueInfo!$F$2),"Starter","Bench"))</f>
        <v>Bench</v>
      </c>
      <c r="G130">
        <f t="shared" ca="1" si="11"/>
        <v>84.6</v>
      </c>
      <c r="H130">
        <f t="shared" ca="1" si="12"/>
        <v>84</v>
      </c>
      <c r="I130">
        <f>IF(C130="RB",LeagueInfo!$D$4*LeagueInfo!$F$2,LeagueInfo!$D$5*LeagueInfo!$F$2)</f>
        <v>24</v>
      </c>
    </row>
    <row r="131" spans="1:9" x14ac:dyDescent="0.35">
      <c r="A131">
        <f t="shared" ca="1" si="13"/>
        <v>151</v>
      </c>
      <c r="B131" t="s">
        <v>921</v>
      </c>
      <c r="C131" t="s">
        <v>32</v>
      </c>
      <c r="D131">
        <f t="shared" ca="1" si="10"/>
        <v>74.67</v>
      </c>
      <c r="E131" s="5">
        <f t="shared" ca="1" si="14"/>
        <v>-34.69</v>
      </c>
      <c r="F131" t="str">
        <f ca="1">IF(H131&lt;=I131,"Starter",IF(G131&gt;=LARGE(G:G,FlexOn*LeagueInfo!$F$2),"Starter","Bench"))</f>
        <v>Bench</v>
      </c>
      <c r="G131">
        <f t="shared" ca="1" si="11"/>
        <v>74.67</v>
      </c>
      <c r="H131">
        <f t="shared" ca="1" si="12"/>
        <v>96</v>
      </c>
      <c r="I131">
        <f>IF(C131="RB",LeagueInfo!$D$4*LeagueInfo!$F$2,LeagueInfo!$D$5*LeagueInfo!$F$2)</f>
        <v>24</v>
      </c>
    </row>
    <row r="132" spans="1:9" x14ac:dyDescent="0.35">
      <c r="A132">
        <f t="shared" ca="1" si="13"/>
        <v>125</v>
      </c>
      <c r="B132" t="s">
        <v>925</v>
      </c>
      <c r="C132" t="s">
        <v>32</v>
      </c>
      <c r="D132">
        <f t="shared" ca="1" si="10"/>
        <v>93.220000000000013</v>
      </c>
      <c r="E132" s="5">
        <f t="shared" ca="1" si="14"/>
        <v>-16.139999999999986</v>
      </c>
      <c r="F132" t="str">
        <f ca="1">IF(H132&lt;=I132,"Starter",IF(G132&gt;=LARGE(G:G,FlexOn*LeagueInfo!$F$2),"Starter","Bench"))</f>
        <v>Bench</v>
      </c>
      <c r="G132">
        <f t="shared" ca="1" si="11"/>
        <v>93.220000000000013</v>
      </c>
      <c r="H132">
        <f t="shared" ca="1" si="12"/>
        <v>77</v>
      </c>
      <c r="I132">
        <f>IF(C132="RB",LeagueInfo!$D$4*LeagueInfo!$F$2,LeagueInfo!$D$5*LeagueInfo!$F$2)</f>
        <v>24</v>
      </c>
    </row>
    <row r="133" spans="1:9" x14ac:dyDescent="0.35">
      <c r="A133">
        <f t="shared" ca="1" si="13"/>
        <v>155</v>
      </c>
      <c r="B133" t="s">
        <v>89</v>
      </c>
      <c r="C133" t="s">
        <v>32</v>
      </c>
      <c r="D133">
        <f t="shared" ca="1" si="10"/>
        <v>66.900000000000006</v>
      </c>
      <c r="E133" s="5">
        <f t="shared" ca="1" si="14"/>
        <v>-42.459999999999994</v>
      </c>
      <c r="F133" t="str">
        <f ca="1">IF(H133&lt;=I133,"Starter",IF(G133&gt;=LARGE(G:G,FlexOn*LeagueInfo!$F$2),"Starter","Bench"))</f>
        <v>Bench</v>
      </c>
      <c r="G133">
        <f t="shared" ca="1" si="11"/>
        <v>66.900000000000006</v>
      </c>
      <c r="H133">
        <f t="shared" ca="1" si="12"/>
        <v>100</v>
      </c>
      <c r="I133">
        <f>IF(C133="RB",LeagueInfo!$D$4*LeagueInfo!$F$2,LeagueInfo!$D$5*LeagueInfo!$F$2)</f>
        <v>24</v>
      </c>
    </row>
    <row r="134" spans="1:9" x14ac:dyDescent="0.35">
      <c r="A134">
        <f t="shared" ca="1" si="13"/>
        <v>145</v>
      </c>
      <c r="B134" t="s">
        <v>918</v>
      </c>
      <c r="C134" t="s">
        <v>32</v>
      </c>
      <c r="D134">
        <f t="shared" ca="1" si="10"/>
        <v>78.199999999999989</v>
      </c>
      <c r="E134" s="5">
        <f t="shared" ca="1" si="14"/>
        <v>-31.160000000000011</v>
      </c>
      <c r="F134" t="str">
        <f ca="1">IF(H134&lt;=I134,"Starter",IF(G134&gt;=LARGE(G:G,FlexOn*LeagueInfo!$F$2),"Starter","Bench"))</f>
        <v>Bench</v>
      </c>
      <c r="G134">
        <f t="shared" ca="1" si="11"/>
        <v>78.199999999999989</v>
      </c>
      <c r="H134">
        <f t="shared" ca="1" si="12"/>
        <v>91</v>
      </c>
      <c r="I134">
        <f>IF(C134="RB",LeagueInfo!$D$4*LeagueInfo!$F$2,LeagueInfo!$D$5*LeagueInfo!$F$2)</f>
        <v>24</v>
      </c>
    </row>
    <row r="135" spans="1:9" x14ac:dyDescent="0.35">
      <c r="A135">
        <f t="shared" ca="1" si="13"/>
        <v>129</v>
      </c>
      <c r="B135" t="s">
        <v>787</v>
      </c>
      <c r="C135" t="s">
        <v>32</v>
      </c>
      <c r="D135">
        <f t="shared" ca="1" si="10"/>
        <v>90.070000000000022</v>
      </c>
      <c r="E135" s="5">
        <f t="shared" ca="1" si="14"/>
        <v>-19.289999999999978</v>
      </c>
      <c r="F135" t="str">
        <f ca="1">IF(H135&lt;=I135,"Starter",IF(G135&gt;=LARGE(G:G,FlexOn*LeagueInfo!$F$2),"Starter","Bench"))</f>
        <v>Bench</v>
      </c>
      <c r="G135">
        <f t="shared" ca="1" si="11"/>
        <v>90.070000000000022</v>
      </c>
      <c r="H135">
        <f t="shared" ca="1" si="12"/>
        <v>80</v>
      </c>
      <c r="I135">
        <f>IF(C135="RB",LeagueInfo!$D$4*LeagueInfo!$F$2,LeagueInfo!$D$5*LeagueInfo!$F$2)</f>
        <v>24</v>
      </c>
    </row>
    <row r="136" spans="1:9" x14ac:dyDescent="0.35">
      <c r="A136">
        <f t="shared" ca="1" si="13"/>
        <v>130</v>
      </c>
      <c r="B136" t="s">
        <v>238</v>
      </c>
      <c r="C136" t="s">
        <v>32</v>
      </c>
      <c r="D136">
        <f t="shared" ca="1" si="10"/>
        <v>89.68</v>
      </c>
      <c r="E136" s="5">
        <f t="shared" ca="1" si="14"/>
        <v>-19.679999999999993</v>
      </c>
      <c r="F136" t="str">
        <f ca="1">IF(H136&lt;=I136,"Starter",IF(G136&gt;=LARGE(G:G,FlexOn*LeagueInfo!$F$2),"Starter","Bench"))</f>
        <v>Bench</v>
      </c>
      <c r="G136">
        <f t="shared" ca="1" si="11"/>
        <v>89.68</v>
      </c>
      <c r="H136">
        <f t="shared" ca="1" si="12"/>
        <v>81</v>
      </c>
      <c r="I136">
        <f>IF(C136="RB",LeagueInfo!$D$4*LeagueInfo!$F$2,LeagueInfo!$D$5*LeagueInfo!$F$2)</f>
        <v>24</v>
      </c>
    </row>
    <row r="137" spans="1:9" x14ac:dyDescent="0.35">
      <c r="A137">
        <f t="shared" ca="1" si="13"/>
        <v>134</v>
      </c>
      <c r="B137" t="s">
        <v>864</v>
      </c>
      <c r="C137" t="s">
        <v>25</v>
      </c>
      <c r="D137">
        <f t="shared" ca="1" si="10"/>
        <v>83.890000000000015</v>
      </c>
      <c r="E137" s="5">
        <f t="shared" ca="1" si="14"/>
        <v>-25.469999999999985</v>
      </c>
      <c r="F137" t="str">
        <f ca="1">IF(H137&lt;=I137,"Starter",IF(G137&gt;=LARGE(G:G,FlexOn*LeagueInfo!$F$2),"Starter","Bench"))</f>
        <v>Bench</v>
      </c>
      <c r="G137">
        <f t="shared" ca="1" si="11"/>
        <v>83.890000000000015</v>
      </c>
      <c r="H137">
        <f t="shared" ca="1" si="12"/>
        <v>52</v>
      </c>
      <c r="I137">
        <f>IF(C137="RB",LeagueInfo!$D$4*LeagueInfo!$F$2,LeagueInfo!$D$5*LeagueInfo!$F$2)</f>
        <v>24</v>
      </c>
    </row>
    <row r="138" spans="1:9" x14ac:dyDescent="0.35">
      <c r="A138">
        <f t="shared" ca="1" si="13"/>
        <v>135</v>
      </c>
      <c r="B138" t="s">
        <v>920</v>
      </c>
      <c r="C138" t="s">
        <v>32</v>
      </c>
      <c r="D138">
        <f t="shared" ca="1" si="10"/>
        <v>83.490000000000009</v>
      </c>
      <c r="E138" s="5">
        <f t="shared" ca="1" si="14"/>
        <v>-25.86999999999999</v>
      </c>
      <c r="F138" t="str">
        <f ca="1">IF(H138&lt;=I138,"Starter",IF(G138&gt;=LARGE(G:G,FlexOn*LeagueInfo!$F$2),"Starter","Bench"))</f>
        <v>Bench</v>
      </c>
      <c r="G138">
        <f t="shared" ca="1" si="11"/>
        <v>83.490000000000009</v>
      </c>
      <c r="H138">
        <f t="shared" ca="1" si="12"/>
        <v>85</v>
      </c>
      <c r="I138">
        <f>IF(C138="RB",LeagueInfo!$D$4*LeagueInfo!$F$2,LeagueInfo!$D$5*LeagueInfo!$F$2)</f>
        <v>24</v>
      </c>
    </row>
    <row r="139" spans="1:9" x14ac:dyDescent="0.35">
      <c r="A139">
        <f t="shared" ca="1" si="13"/>
        <v>136</v>
      </c>
      <c r="B139" t="s">
        <v>592</v>
      </c>
      <c r="C139" t="s">
        <v>32</v>
      </c>
      <c r="D139">
        <f t="shared" ca="1" si="10"/>
        <v>83.02</v>
      </c>
      <c r="E139" s="5">
        <f t="shared" ca="1" si="14"/>
        <v>-26.340000000000003</v>
      </c>
      <c r="F139" t="str">
        <f ca="1">IF(H139&lt;=I139,"Starter",IF(G139&gt;=LARGE(G:G,FlexOn*LeagueInfo!$F$2),"Starter","Bench"))</f>
        <v>Bench</v>
      </c>
      <c r="G139">
        <f t="shared" ca="1" si="11"/>
        <v>83.02</v>
      </c>
      <c r="H139">
        <f t="shared" ca="1" si="12"/>
        <v>86</v>
      </c>
      <c r="I139">
        <f>IF(C139="RB",LeagueInfo!$D$4*LeagueInfo!$F$2,LeagueInfo!$D$5*LeagueInfo!$F$2)</f>
        <v>24</v>
      </c>
    </row>
    <row r="140" spans="1:9" x14ac:dyDescent="0.35">
      <c r="A140">
        <f t="shared" ca="1" si="13"/>
        <v>179</v>
      </c>
      <c r="B140" t="s">
        <v>758</v>
      </c>
      <c r="C140" t="s">
        <v>25</v>
      </c>
      <c r="D140">
        <f t="shared" ca="1" si="10"/>
        <v>52.17</v>
      </c>
      <c r="E140" s="5">
        <f t="shared" ca="1" si="14"/>
        <v>-57.19</v>
      </c>
      <c r="F140" t="str">
        <f ca="1">IF(H140&lt;=I140,"Starter",IF(G140&gt;=LARGE(G:G,FlexOn*LeagueInfo!$F$2),"Starter","Bench"))</f>
        <v>Bench</v>
      </c>
      <c r="G140">
        <f t="shared" ca="1" si="11"/>
        <v>52.17</v>
      </c>
      <c r="H140">
        <f t="shared" ca="1" si="12"/>
        <v>69</v>
      </c>
      <c r="I140">
        <f>IF(C140="RB",LeagueInfo!$D$4*LeagueInfo!$F$2,LeagueInfo!$D$5*LeagueInfo!$F$2)</f>
        <v>24</v>
      </c>
    </row>
    <row r="141" spans="1:9" x14ac:dyDescent="0.35">
      <c r="A141">
        <f t="shared" ca="1" si="13"/>
        <v>153</v>
      </c>
      <c r="B141" t="s">
        <v>924</v>
      </c>
      <c r="C141" t="s">
        <v>32</v>
      </c>
      <c r="D141">
        <f t="shared" ca="1" si="10"/>
        <v>72.530000000000015</v>
      </c>
      <c r="E141" s="5">
        <f t="shared" ca="1" si="14"/>
        <v>-36.829999999999984</v>
      </c>
      <c r="F141" t="str">
        <f ca="1">IF(H141&lt;=I141,"Starter",IF(G141&gt;=LARGE(G:G,FlexOn*LeagueInfo!$F$2),"Starter","Bench"))</f>
        <v>Bench</v>
      </c>
      <c r="G141">
        <f t="shared" ca="1" si="11"/>
        <v>72.530000000000015</v>
      </c>
      <c r="H141">
        <f t="shared" ca="1" si="12"/>
        <v>98</v>
      </c>
      <c r="I141">
        <f>IF(C141="RB",LeagueInfo!$D$4*LeagueInfo!$F$2,LeagueInfo!$D$5*LeagueInfo!$F$2)</f>
        <v>24</v>
      </c>
    </row>
    <row r="142" spans="1:9" x14ac:dyDescent="0.35">
      <c r="A142">
        <f t="shared" ca="1" si="13"/>
        <v>149</v>
      </c>
      <c r="B142" t="s">
        <v>922</v>
      </c>
      <c r="C142" t="s">
        <v>32</v>
      </c>
      <c r="D142">
        <f t="shared" ca="1" si="10"/>
        <v>77.180000000000007</v>
      </c>
      <c r="E142" s="5">
        <f t="shared" ca="1" si="14"/>
        <v>-32.179999999999993</v>
      </c>
      <c r="F142" t="str">
        <f ca="1">IF(H142&lt;=I142,"Starter",IF(G142&gt;=LARGE(G:G,FlexOn*LeagueInfo!$F$2),"Starter","Bench"))</f>
        <v>Bench</v>
      </c>
      <c r="G142">
        <f t="shared" ca="1" si="11"/>
        <v>77.180000000000007</v>
      </c>
      <c r="H142">
        <f t="shared" ca="1" si="12"/>
        <v>93</v>
      </c>
      <c r="I142">
        <f>IF(C142="RB",LeagueInfo!$D$4*LeagueInfo!$F$2,LeagueInfo!$D$5*LeagueInfo!$F$2)</f>
        <v>24</v>
      </c>
    </row>
    <row r="143" spans="1:9" x14ac:dyDescent="0.35">
      <c r="A143">
        <f t="shared" ca="1" si="13"/>
        <v>147</v>
      </c>
      <c r="B143" t="s">
        <v>867</v>
      </c>
      <c r="C143" t="s">
        <v>25</v>
      </c>
      <c r="D143">
        <f t="shared" ca="1" si="10"/>
        <v>78.11</v>
      </c>
      <c r="E143" s="5">
        <f t="shared" ca="1" si="14"/>
        <v>-31.25</v>
      </c>
      <c r="F143" t="str">
        <f ca="1">IF(H143&lt;=I143,"Starter",IF(G143&gt;=LARGE(G:G,FlexOn*LeagueInfo!$F$2),"Starter","Bench"))</f>
        <v>Bench</v>
      </c>
      <c r="G143">
        <f t="shared" ca="1" si="11"/>
        <v>78.11</v>
      </c>
      <c r="H143">
        <f t="shared" ca="1" si="12"/>
        <v>57</v>
      </c>
      <c r="I143">
        <f>IF(C143="RB",LeagueInfo!$D$4*LeagueInfo!$F$2,LeagueInfo!$D$5*LeagueInfo!$F$2)</f>
        <v>24</v>
      </c>
    </row>
    <row r="144" spans="1:9" x14ac:dyDescent="0.35">
      <c r="A144">
        <f t="shared" ca="1" si="13"/>
        <v>142</v>
      </c>
      <c r="B144" t="s">
        <v>424</v>
      </c>
      <c r="C144" t="s">
        <v>25</v>
      </c>
      <c r="D144">
        <f t="shared" ca="1" si="10"/>
        <v>79.220000000000013</v>
      </c>
      <c r="E144" s="5">
        <f t="shared" ca="1" si="14"/>
        <v>-30.139999999999986</v>
      </c>
      <c r="F144" t="str">
        <f ca="1">IF(H144&lt;=I144,"Starter",IF(G144&gt;=LARGE(G:G,FlexOn*LeagueInfo!$F$2),"Starter","Bench"))</f>
        <v>Bench</v>
      </c>
      <c r="G144">
        <f t="shared" ca="1" si="11"/>
        <v>79.220000000000013</v>
      </c>
      <c r="H144">
        <f t="shared" ca="1" si="12"/>
        <v>55</v>
      </c>
      <c r="I144">
        <f>IF(C144="RB",LeagueInfo!$D$4*LeagueInfo!$F$2,LeagueInfo!$D$5*LeagueInfo!$F$2)</f>
        <v>24</v>
      </c>
    </row>
    <row r="145" spans="1:9" x14ac:dyDescent="0.35">
      <c r="A145">
        <f t="shared" ca="1" si="13"/>
        <v>150</v>
      </c>
      <c r="B145" t="s">
        <v>554</v>
      </c>
      <c r="C145" t="s">
        <v>32</v>
      </c>
      <c r="D145">
        <f t="shared" ca="1" si="10"/>
        <v>77.14</v>
      </c>
      <c r="E145" s="5">
        <f t="shared" ca="1" si="14"/>
        <v>-32.22</v>
      </c>
      <c r="F145" t="str">
        <f ca="1">IF(H145&lt;=I145,"Starter",IF(G145&gt;=LARGE(G:G,FlexOn*LeagueInfo!$F$2),"Starter","Bench"))</f>
        <v>Bench</v>
      </c>
      <c r="G145">
        <f t="shared" ca="1" si="11"/>
        <v>77.14</v>
      </c>
      <c r="H145">
        <f t="shared" ca="1" si="12"/>
        <v>94</v>
      </c>
      <c r="I145">
        <f>IF(C145="RB",LeagueInfo!$D$4*LeagueInfo!$F$2,LeagueInfo!$D$5*LeagueInfo!$F$2)</f>
        <v>24</v>
      </c>
    </row>
    <row r="146" spans="1:9" x14ac:dyDescent="0.35">
      <c r="A146">
        <f t="shared" ca="1" si="13"/>
        <v>140</v>
      </c>
      <c r="B146" t="s">
        <v>445</v>
      </c>
      <c r="C146" t="s">
        <v>32</v>
      </c>
      <c r="D146">
        <f t="shared" ca="1" si="10"/>
        <v>80.06</v>
      </c>
      <c r="E146" s="5">
        <f t="shared" ca="1" si="14"/>
        <v>-29.299999999999997</v>
      </c>
      <c r="F146" t="str">
        <f ca="1">IF(H146&lt;=I146,"Starter",IF(G146&gt;=LARGE(G:G,FlexOn*LeagueInfo!$F$2),"Starter","Bench"))</f>
        <v>Bench</v>
      </c>
      <c r="G146">
        <f t="shared" ca="1" si="11"/>
        <v>80.06</v>
      </c>
      <c r="H146">
        <f t="shared" ca="1" si="12"/>
        <v>88</v>
      </c>
      <c r="I146">
        <f>IF(C146="RB",LeagueInfo!$D$4*LeagueInfo!$F$2,LeagueInfo!$D$5*LeagueInfo!$F$2)</f>
        <v>24</v>
      </c>
    </row>
    <row r="147" spans="1:9" x14ac:dyDescent="0.35">
      <c r="A147">
        <f t="shared" ca="1" si="13"/>
        <v>146</v>
      </c>
      <c r="B147" t="s">
        <v>674</v>
      </c>
      <c r="C147" t="s">
        <v>32</v>
      </c>
      <c r="D147">
        <f t="shared" ca="1" si="10"/>
        <v>78.14</v>
      </c>
      <c r="E147" s="5">
        <f t="shared" ca="1" si="14"/>
        <v>-31.22</v>
      </c>
      <c r="F147" t="str">
        <f ca="1">IF(H147&lt;=I147,"Starter",IF(G147&gt;=LARGE(G:G,FlexOn*LeagueInfo!$F$2),"Starter","Bench"))</f>
        <v>Bench</v>
      </c>
      <c r="G147">
        <f t="shared" ca="1" si="11"/>
        <v>78.14</v>
      </c>
      <c r="H147">
        <f t="shared" ca="1" si="12"/>
        <v>92</v>
      </c>
      <c r="I147">
        <f>IF(C147="RB",LeagueInfo!$D$4*LeagueInfo!$F$2,LeagueInfo!$D$5*LeagueInfo!$F$2)</f>
        <v>24</v>
      </c>
    </row>
    <row r="148" spans="1:9" x14ac:dyDescent="0.35">
      <c r="A148">
        <f t="shared" ca="1" si="13"/>
        <v>139</v>
      </c>
      <c r="B148" t="s">
        <v>868</v>
      </c>
      <c r="C148" t="s">
        <v>25</v>
      </c>
      <c r="D148">
        <f t="shared" ca="1" si="10"/>
        <v>80.099999999999994</v>
      </c>
      <c r="E148" s="5">
        <f t="shared" ca="1" si="14"/>
        <v>-29.260000000000005</v>
      </c>
      <c r="F148" t="str">
        <f ca="1">IF(H148&lt;=I148,"Starter",IF(G148&gt;=LARGE(G:G,FlexOn*LeagueInfo!$F$2),"Starter","Bench"))</f>
        <v>Bench</v>
      </c>
      <c r="G148">
        <f t="shared" ca="1" si="11"/>
        <v>80.099999999999994</v>
      </c>
      <c r="H148">
        <f t="shared" ca="1" si="12"/>
        <v>54</v>
      </c>
      <c r="I148">
        <f>IF(C148="RB",LeagueInfo!$D$4*LeagueInfo!$F$2,LeagueInfo!$D$5*LeagueInfo!$F$2)</f>
        <v>24</v>
      </c>
    </row>
    <row r="149" spans="1:9" x14ac:dyDescent="0.35">
      <c r="A149">
        <f t="shared" ca="1" si="13"/>
        <v>127</v>
      </c>
      <c r="B149" t="s">
        <v>869</v>
      </c>
      <c r="C149" t="s">
        <v>25</v>
      </c>
      <c r="D149">
        <f t="shared" ca="1" si="10"/>
        <v>90.490000000000009</v>
      </c>
      <c r="E149" s="5">
        <f t="shared" ca="1" si="14"/>
        <v>-18.86999999999999</v>
      </c>
      <c r="F149" t="str">
        <f ca="1">IF(H149&lt;=I149,"Starter",IF(G149&gt;=LARGE(G:G,FlexOn*LeagueInfo!$F$2),"Starter","Bench"))</f>
        <v>Bench</v>
      </c>
      <c r="G149">
        <f t="shared" ca="1" si="11"/>
        <v>90.490000000000009</v>
      </c>
      <c r="H149">
        <f t="shared" ca="1" si="12"/>
        <v>51</v>
      </c>
      <c r="I149">
        <f>IF(C149="RB",LeagueInfo!$D$4*LeagueInfo!$F$2,LeagueInfo!$D$5*LeagueInfo!$F$2)</f>
        <v>24</v>
      </c>
    </row>
    <row r="150" spans="1:9" x14ac:dyDescent="0.35">
      <c r="A150">
        <f t="shared" ca="1" si="13"/>
        <v>124</v>
      </c>
      <c r="B150" t="s">
        <v>243</v>
      </c>
      <c r="C150" t="s">
        <v>32</v>
      </c>
      <c r="D150">
        <f t="shared" ca="1" si="10"/>
        <v>94.5</v>
      </c>
      <c r="E150" s="5">
        <f t="shared" ca="1" si="14"/>
        <v>-14.86</v>
      </c>
      <c r="F150" t="str">
        <f ca="1">IF(H150&lt;=I150,"Starter",IF(G150&gt;=LARGE(G:G,FlexOn*LeagueInfo!$F$2),"Starter","Bench"))</f>
        <v>Bench</v>
      </c>
      <c r="G150">
        <f t="shared" ca="1" si="11"/>
        <v>94.5</v>
      </c>
      <c r="H150">
        <f t="shared" ca="1" si="12"/>
        <v>76</v>
      </c>
      <c r="I150">
        <f>IF(C150="RB",LeagueInfo!$D$4*LeagueInfo!$F$2,LeagueInfo!$D$5*LeagueInfo!$F$2)</f>
        <v>24</v>
      </c>
    </row>
    <row r="151" spans="1:9" x14ac:dyDescent="0.35">
      <c r="A151">
        <f t="shared" ca="1" si="13"/>
        <v>148</v>
      </c>
      <c r="B151" t="s">
        <v>866</v>
      </c>
      <c r="C151" t="s">
        <v>25</v>
      </c>
      <c r="D151">
        <f t="shared" ca="1" si="10"/>
        <v>77.33</v>
      </c>
      <c r="E151" s="5">
        <f t="shared" ca="1" si="14"/>
        <v>-32.03</v>
      </c>
      <c r="F151" t="str">
        <f ca="1">IF(H151&lt;=I151,"Starter",IF(G151&gt;=LARGE(G:G,FlexOn*LeagueInfo!$F$2),"Starter","Bench"))</f>
        <v>Bench</v>
      </c>
      <c r="G151">
        <f t="shared" ca="1" si="11"/>
        <v>77.33</v>
      </c>
      <c r="H151">
        <f t="shared" ca="1" si="12"/>
        <v>58</v>
      </c>
      <c r="I151">
        <f>IF(C151="RB",LeagueInfo!$D$4*LeagueInfo!$F$2,LeagueInfo!$D$5*LeagueInfo!$F$2)</f>
        <v>24</v>
      </c>
    </row>
    <row r="152" spans="1:9" x14ac:dyDescent="0.35">
      <c r="A152">
        <f t="shared" ca="1" si="13"/>
        <v>178</v>
      </c>
      <c r="B152" t="s">
        <v>143</v>
      </c>
      <c r="C152" t="s">
        <v>32</v>
      </c>
      <c r="D152">
        <f t="shared" ca="1" si="10"/>
        <v>52.37</v>
      </c>
      <c r="E152" s="5">
        <f t="shared" ca="1" si="14"/>
        <v>-56.99</v>
      </c>
      <c r="F152" t="str">
        <f ca="1">IF(H152&lt;=I152,"Starter",IF(G152&gt;=LARGE(G:G,FlexOn*LeagueInfo!$F$2),"Starter","Bench"))</f>
        <v>Bench</v>
      </c>
      <c r="G152">
        <f t="shared" ca="1" si="11"/>
        <v>52.37</v>
      </c>
      <c r="H152">
        <f t="shared" ca="1" si="12"/>
        <v>114</v>
      </c>
      <c r="I152">
        <f>IF(C152="RB",LeagueInfo!$D$4*LeagueInfo!$F$2,LeagueInfo!$D$5*LeagueInfo!$F$2)</f>
        <v>24</v>
      </c>
    </row>
    <row r="153" spans="1:9" x14ac:dyDescent="0.35">
      <c r="A153">
        <f t="shared" ca="1" si="13"/>
        <v>141</v>
      </c>
      <c r="B153" t="s">
        <v>796</v>
      </c>
      <c r="C153" t="s">
        <v>32</v>
      </c>
      <c r="D153">
        <f t="shared" ca="1" si="10"/>
        <v>79.8</v>
      </c>
      <c r="E153" s="5">
        <f t="shared" ca="1" si="14"/>
        <v>-29.560000000000002</v>
      </c>
      <c r="F153" t="str">
        <f ca="1">IF(H153&lt;=I153,"Starter",IF(G153&gt;=LARGE(G:G,FlexOn*LeagueInfo!$F$2),"Starter","Bench"))</f>
        <v>Bench</v>
      </c>
      <c r="G153">
        <f t="shared" ca="1" si="11"/>
        <v>79.8</v>
      </c>
      <c r="H153">
        <f t="shared" ca="1" si="12"/>
        <v>89</v>
      </c>
      <c r="I153">
        <f>IF(C153="RB",LeagueInfo!$D$4*LeagueInfo!$F$2,LeagueInfo!$D$5*LeagueInfo!$F$2)</f>
        <v>24</v>
      </c>
    </row>
    <row r="154" spans="1:9" x14ac:dyDescent="0.35">
      <c r="A154">
        <f t="shared" ca="1" si="13"/>
        <v>156</v>
      </c>
      <c r="B154" t="s">
        <v>515</v>
      </c>
      <c r="C154" t="s">
        <v>25</v>
      </c>
      <c r="D154">
        <f t="shared" ca="1" si="10"/>
        <v>66.279999999999987</v>
      </c>
      <c r="E154" s="5">
        <f t="shared" ca="1" si="14"/>
        <v>-43.080000000000013</v>
      </c>
      <c r="F154" t="str">
        <f ca="1">IF(H154&lt;=I154,"Starter",IF(G154&gt;=LARGE(G:G,FlexOn*LeagueInfo!$F$2),"Starter","Bench"))</f>
        <v>Bench</v>
      </c>
      <c r="G154">
        <f t="shared" ca="1" si="11"/>
        <v>66.279999999999987</v>
      </c>
      <c r="H154">
        <f t="shared" ca="1" si="12"/>
        <v>59</v>
      </c>
      <c r="I154">
        <f>IF(C154="RB",LeagueInfo!$D$4*LeagueInfo!$F$2,LeagueInfo!$D$5*LeagueInfo!$F$2)</f>
        <v>24</v>
      </c>
    </row>
    <row r="155" spans="1:9" x14ac:dyDescent="0.35">
      <c r="A155">
        <f t="shared" ca="1" si="13"/>
        <v>143</v>
      </c>
      <c r="B155" t="s">
        <v>126</v>
      </c>
      <c r="C155" t="s">
        <v>25</v>
      </c>
      <c r="D155">
        <f t="shared" ca="1" si="10"/>
        <v>79.03</v>
      </c>
      <c r="E155" s="5">
        <f t="shared" ca="1" si="14"/>
        <v>-30.33</v>
      </c>
      <c r="F155" t="str">
        <f ca="1">IF(H155&lt;=I155,"Starter",IF(G155&gt;=LARGE(G:G,FlexOn*LeagueInfo!$F$2),"Starter","Bench"))</f>
        <v>Bench</v>
      </c>
      <c r="G155">
        <f t="shared" ca="1" si="11"/>
        <v>79.03</v>
      </c>
      <c r="H155">
        <f t="shared" ca="1" si="12"/>
        <v>56</v>
      </c>
      <c r="I155">
        <f>IF(C155="RB",LeagueInfo!$D$4*LeagueInfo!$F$2,LeagueInfo!$D$5*LeagueInfo!$F$2)</f>
        <v>24</v>
      </c>
    </row>
    <row r="156" spans="1:9" x14ac:dyDescent="0.35">
      <c r="A156">
        <f t="shared" ca="1" si="13"/>
        <v>152</v>
      </c>
      <c r="B156" t="s">
        <v>715</v>
      </c>
      <c r="C156" t="s">
        <v>32</v>
      </c>
      <c r="D156">
        <f t="shared" ca="1" si="10"/>
        <v>72.98</v>
      </c>
      <c r="E156" s="5">
        <f t="shared" ca="1" si="14"/>
        <v>-36.379999999999995</v>
      </c>
      <c r="F156" t="str">
        <f ca="1">IF(H156&lt;=I156,"Starter",IF(G156&gt;=LARGE(G:G,FlexOn*LeagueInfo!$F$2),"Starter","Bench"))</f>
        <v>Bench</v>
      </c>
      <c r="G156">
        <f t="shared" ca="1" si="11"/>
        <v>72.98</v>
      </c>
      <c r="H156">
        <f t="shared" ca="1" si="12"/>
        <v>97</v>
      </c>
      <c r="I156">
        <f>IF(C156="RB",LeagueInfo!$D$4*LeagueInfo!$F$2,LeagueInfo!$D$5*LeagueInfo!$F$2)</f>
        <v>24</v>
      </c>
    </row>
    <row r="157" spans="1:9" x14ac:dyDescent="0.35">
      <c r="A157">
        <f t="shared" ca="1" si="13"/>
        <v>144</v>
      </c>
      <c r="B157" t="s">
        <v>744</v>
      </c>
      <c r="C157" t="s">
        <v>32</v>
      </c>
      <c r="D157">
        <f t="shared" ca="1" si="10"/>
        <v>78.980000000000018</v>
      </c>
      <c r="E157" s="5">
        <f t="shared" ca="1" si="14"/>
        <v>-30.379999999999981</v>
      </c>
      <c r="F157" t="str">
        <f ca="1">IF(H157&lt;=I157,"Starter",IF(G157&gt;=LARGE(G:G,FlexOn*LeagueInfo!$F$2),"Starter","Bench"))</f>
        <v>Bench</v>
      </c>
      <c r="G157">
        <f t="shared" ca="1" si="11"/>
        <v>78.980000000000018</v>
      </c>
      <c r="H157">
        <f t="shared" ca="1" si="12"/>
        <v>90</v>
      </c>
      <c r="I157">
        <f>IF(C157="RB",LeagueInfo!$D$4*LeagueInfo!$F$2,LeagueInfo!$D$5*LeagueInfo!$F$2)</f>
        <v>24</v>
      </c>
    </row>
    <row r="158" spans="1:9" x14ac:dyDescent="0.35">
      <c r="A158">
        <f t="shared" ca="1" si="13"/>
        <v>158</v>
      </c>
      <c r="B158" t="s">
        <v>423</v>
      </c>
      <c r="C158" t="s">
        <v>25</v>
      </c>
      <c r="D158">
        <f t="shared" ca="1" si="10"/>
        <v>63.269999999999989</v>
      </c>
      <c r="E158" s="5">
        <f t="shared" ca="1" si="14"/>
        <v>-46.090000000000011</v>
      </c>
      <c r="F158" t="str">
        <f ca="1">IF(H158&lt;=I158,"Starter",IF(G158&gt;=LARGE(G:G,FlexOn*LeagueInfo!$F$2),"Starter","Bench"))</f>
        <v>Bench</v>
      </c>
      <c r="G158">
        <f t="shared" ca="1" si="11"/>
        <v>63.269999999999989</v>
      </c>
      <c r="H158">
        <f t="shared" ca="1" si="12"/>
        <v>60</v>
      </c>
      <c r="I158">
        <f>IF(C158="RB",LeagueInfo!$D$4*LeagueInfo!$F$2,LeagueInfo!$D$5*LeagueInfo!$F$2)</f>
        <v>24</v>
      </c>
    </row>
    <row r="159" spans="1:9" x14ac:dyDescent="0.35">
      <c r="A159">
        <f t="shared" ca="1" si="13"/>
        <v>160</v>
      </c>
      <c r="B159" t="s">
        <v>587</v>
      </c>
      <c r="C159" t="s">
        <v>32</v>
      </c>
      <c r="D159">
        <f t="shared" ca="1" si="10"/>
        <v>61.34</v>
      </c>
      <c r="E159" s="5">
        <f t="shared" ca="1" si="14"/>
        <v>-48.019999999999996</v>
      </c>
      <c r="F159" t="str">
        <f ca="1">IF(H159&lt;=I159,"Starter",IF(G159&gt;=LARGE(G:G,FlexOn*LeagueInfo!$F$2),"Starter","Bench"))</f>
        <v>Bench</v>
      </c>
      <c r="G159">
        <f t="shared" ca="1" si="11"/>
        <v>61.34</v>
      </c>
      <c r="H159">
        <f t="shared" ca="1" si="12"/>
        <v>103</v>
      </c>
      <c r="I159">
        <f>IF(C159="RB",LeagueInfo!$D$4*LeagueInfo!$F$2,LeagueInfo!$D$5*LeagueInfo!$F$2)</f>
        <v>24</v>
      </c>
    </row>
    <row r="160" spans="1:9" x14ac:dyDescent="0.35">
      <c r="A160">
        <f t="shared" ca="1" si="13"/>
        <v>159</v>
      </c>
      <c r="B160" t="s">
        <v>599</v>
      </c>
      <c r="C160" t="s">
        <v>32</v>
      </c>
      <c r="D160">
        <f t="shared" ca="1" si="10"/>
        <v>61.78</v>
      </c>
      <c r="E160" s="5">
        <f t="shared" ca="1" si="14"/>
        <v>-47.58</v>
      </c>
      <c r="F160" t="str">
        <f ca="1">IF(H160&lt;=I160,"Starter",IF(G160&gt;=LARGE(G:G,FlexOn*LeagueInfo!$F$2),"Starter","Bench"))</f>
        <v>Bench</v>
      </c>
      <c r="G160">
        <f t="shared" ca="1" si="11"/>
        <v>61.78</v>
      </c>
      <c r="H160">
        <f t="shared" ca="1" si="12"/>
        <v>102</v>
      </c>
      <c r="I160">
        <f>IF(C160="RB",LeagueInfo!$D$4*LeagueInfo!$F$2,LeagueInfo!$D$5*LeagueInfo!$F$2)</f>
        <v>24</v>
      </c>
    </row>
    <row r="161" spans="1:9" x14ac:dyDescent="0.35">
      <c r="A161">
        <f t="shared" ca="1" si="13"/>
        <v>169</v>
      </c>
      <c r="B161" t="s">
        <v>616</v>
      </c>
      <c r="C161" t="s">
        <v>25</v>
      </c>
      <c r="D161">
        <f t="shared" ca="1" si="10"/>
        <v>56.940000000000005</v>
      </c>
      <c r="E161" s="5">
        <f t="shared" ca="1" si="14"/>
        <v>-52.419999999999995</v>
      </c>
      <c r="F161" t="str">
        <f ca="1">IF(H161&lt;=I161,"Starter",IF(G161&gt;=LARGE(G:G,FlexOn*LeagueInfo!$F$2),"Starter","Bench"))</f>
        <v>Bench</v>
      </c>
      <c r="G161">
        <f t="shared" ca="1" si="11"/>
        <v>56.940000000000005</v>
      </c>
      <c r="H161">
        <f t="shared" ca="1" si="12"/>
        <v>66</v>
      </c>
      <c r="I161">
        <f>IF(C161="RB",LeagueInfo!$D$4*LeagueInfo!$F$2,LeagueInfo!$D$5*LeagueInfo!$F$2)</f>
        <v>24</v>
      </c>
    </row>
    <row r="162" spans="1:9" x14ac:dyDescent="0.35">
      <c r="A162">
        <f t="shared" ca="1" si="13"/>
        <v>166</v>
      </c>
      <c r="B162" t="s">
        <v>865</v>
      </c>
      <c r="C162" t="s">
        <v>25</v>
      </c>
      <c r="D162">
        <f t="shared" ca="1" si="10"/>
        <v>59.140000000000008</v>
      </c>
      <c r="E162" s="5">
        <f t="shared" ca="1" si="14"/>
        <v>-50.219999999999992</v>
      </c>
      <c r="F162" t="str">
        <f ca="1">IF(H162&lt;=I162,"Starter",IF(G162&gt;=LARGE(G:G,FlexOn*LeagueInfo!$F$2),"Starter","Bench"))</f>
        <v>Bench</v>
      </c>
      <c r="G162">
        <f t="shared" ca="1" si="11"/>
        <v>59.140000000000008</v>
      </c>
      <c r="H162">
        <f t="shared" ca="1" si="12"/>
        <v>64</v>
      </c>
      <c r="I162">
        <f>IF(C162="RB",LeagueInfo!$D$4*LeagueInfo!$F$2,LeagueInfo!$D$5*LeagueInfo!$F$2)</f>
        <v>24</v>
      </c>
    </row>
    <row r="163" spans="1:9" x14ac:dyDescent="0.35">
      <c r="A163">
        <f t="shared" ca="1" si="13"/>
        <v>162</v>
      </c>
      <c r="B163" t="s">
        <v>794</v>
      </c>
      <c r="C163" t="s">
        <v>32</v>
      </c>
      <c r="D163">
        <f t="shared" ca="1" si="10"/>
        <v>60.809999999999995</v>
      </c>
      <c r="E163" s="5">
        <f t="shared" ca="1" si="14"/>
        <v>-48.550000000000004</v>
      </c>
      <c r="F163" t="str">
        <f ca="1">IF(H163&lt;=I163,"Starter",IF(G163&gt;=LARGE(G:G,FlexOn*LeagueInfo!$F$2),"Starter","Bench"))</f>
        <v>Bench</v>
      </c>
      <c r="G163">
        <f t="shared" ca="1" si="11"/>
        <v>60.809999999999995</v>
      </c>
      <c r="H163">
        <f t="shared" ca="1" si="12"/>
        <v>104</v>
      </c>
      <c r="I163">
        <f>IF(C163="RB",LeagueInfo!$D$4*LeagueInfo!$F$2,LeagueInfo!$D$5*LeagueInfo!$F$2)</f>
        <v>24</v>
      </c>
    </row>
    <row r="164" spans="1:9" x14ac:dyDescent="0.35">
      <c r="A164">
        <f t="shared" ca="1" si="13"/>
        <v>164</v>
      </c>
      <c r="B164" t="s">
        <v>716</v>
      </c>
      <c r="C164" t="s">
        <v>25</v>
      </c>
      <c r="D164">
        <f t="shared" ca="1" si="10"/>
        <v>59.889999999999993</v>
      </c>
      <c r="E164" s="5">
        <f t="shared" ca="1" si="14"/>
        <v>-49.470000000000006</v>
      </c>
      <c r="F164" t="str">
        <f ca="1">IF(H164&lt;=I164,"Starter",IF(G164&gt;=LARGE(G:G,FlexOn*LeagueInfo!$F$2),"Starter","Bench"))</f>
        <v>Bench</v>
      </c>
      <c r="G164">
        <f t="shared" ca="1" si="11"/>
        <v>59.889999999999993</v>
      </c>
      <c r="H164">
        <f t="shared" ca="1" si="12"/>
        <v>62</v>
      </c>
      <c r="I164">
        <f>IF(C164="RB",LeagueInfo!$D$4*LeagueInfo!$F$2,LeagueInfo!$D$5*LeagueInfo!$F$2)</f>
        <v>24</v>
      </c>
    </row>
    <row r="165" spans="1:9" x14ac:dyDescent="0.35">
      <c r="A165">
        <f t="shared" ca="1" si="13"/>
        <v>171</v>
      </c>
      <c r="B165" t="s">
        <v>703</v>
      </c>
      <c r="C165" t="s">
        <v>32</v>
      </c>
      <c r="D165">
        <f t="shared" ca="1" si="10"/>
        <v>55.870000000000005</v>
      </c>
      <c r="E165" s="5">
        <f t="shared" ca="1" si="14"/>
        <v>-53.489999999999995</v>
      </c>
      <c r="F165" t="str">
        <f ca="1">IF(H165&lt;=I165,"Starter",IF(G165&gt;=LARGE(G:G,FlexOn*LeagueInfo!$F$2),"Starter","Bench"))</f>
        <v>Bench</v>
      </c>
      <c r="G165">
        <f t="shared" ca="1" si="11"/>
        <v>55.870000000000005</v>
      </c>
      <c r="H165">
        <f t="shared" ca="1" si="12"/>
        <v>108</v>
      </c>
      <c r="I165">
        <f>IF(C165="RB",LeagueInfo!$D$4*LeagueInfo!$F$2,LeagueInfo!$D$5*LeagueInfo!$F$2)</f>
        <v>24</v>
      </c>
    </row>
    <row r="166" spans="1:9" x14ac:dyDescent="0.35">
      <c r="A166">
        <f t="shared" ca="1" si="13"/>
        <v>167</v>
      </c>
      <c r="B166" t="s">
        <v>543</v>
      </c>
      <c r="C166" t="s">
        <v>25</v>
      </c>
      <c r="D166">
        <f t="shared" ca="1" si="10"/>
        <v>58.09</v>
      </c>
      <c r="E166" s="5">
        <f t="shared" ca="1" si="14"/>
        <v>-51.269999999999996</v>
      </c>
      <c r="F166" t="str">
        <f ca="1">IF(H166&lt;=I166,"Starter",IF(G166&gt;=LARGE(G:G,FlexOn*LeagueInfo!$F$2),"Starter","Bench"))</f>
        <v>Bench</v>
      </c>
      <c r="G166">
        <f t="shared" ca="1" si="11"/>
        <v>58.09</v>
      </c>
      <c r="H166">
        <f t="shared" ca="1" si="12"/>
        <v>65</v>
      </c>
      <c r="I166">
        <f>IF(C166="RB",LeagueInfo!$D$4*LeagueInfo!$F$2,LeagueInfo!$D$5*LeagueInfo!$F$2)</f>
        <v>24</v>
      </c>
    </row>
    <row r="167" spans="1:9" x14ac:dyDescent="0.35">
      <c r="A167">
        <f t="shared" ca="1" si="13"/>
        <v>163</v>
      </c>
      <c r="B167" t="s">
        <v>598</v>
      </c>
      <c r="C167" t="s">
        <v>32</v>
      </c>
      <c r="D167">
        <f t="shared" ca="1" si="10"/>
        <v>60.23</v>
      </c>
      <c r="E167" s="5">
        <f t="shared" ca="1" si="14"/>
        <v>-49.13</v>
      </c>
      <c r="F167" t="str">
        <f ca="1">IF(H167&lt;=I167,"Starter",IF(G167&gt;=LARGE(G:G,FlexOn*LeagueInfo!$F$2),"Starter","Bench"))</f>
        <v>Bench</v>
      </c>
      <c r="G167">
        <f t="shared" ca="1" si="11"/>
        <v>60.23</v>
      </c>
      <c r="H167">
        <f t="shared" ca="1" si="12"/>
        <v>105</v>
      </c>
      <c r="I167">
        <f>IF(C167="RB",LeagueInfo!$D$4*LeagueInfo!$F$2,LeagueInfo!$D$5*LeagueInfo!$F$2)</f>
        <v>24</v>
      </c>
    </row>
    <row r="168" spans="1:9" x14ac:dyDescent="0.35">
      <c r="A168">
        <f t="shared" ca="1" si="13"/>
        <v>181</v>
      </c>
      <c r="B168" t="s">
        <v>926</v>
      </c>
      <c r="C168" t="s">
        <v>32</v>
      </c>
      <c r="D168">
        <f t="shared" ca="1" si="10"/>
        <v>50.81</v>
      </c>
      <c r="E168" s="5">
        <f t="shared" ca="1" si="14"/>
        <v>-58.55</v>
      </c>
      <c r="F168" t="str">
        <f ca="1">IF(H168&lt;=I168,"Starter",IF(G168&gt;=LARGE(G:G,FlexOn*LeagueInfo!$F$2),"Starter","Bench"))</f>
        <v>Bench</v>
      </c>
      <c r="G168">
        <f t="shared" ca="1" si="11"/>
        <v>50.81</v>
      </c>
      <c r="H168">
        <f t="shared" ca="1" si="12"/>
        <v>115</v>
      </c>
      <c r="I168">
        <f>IF(C168="RB",LeagueInfo!$D$4*LeagueInfo!$F$2,LeagueInfo!$D$5*LeagueInfo!$F$2)</f>
        <v>24</v>
      </c>
    </row>
    <row r="169" spans="1:9" x14ac:dyDescent="0.35">
      <c r="A169">
        <f t="shared" ca="1" si="13"/>
        <v>188</v>
      </c>
      <c r="B169" t="s">
        <v>782</v>
      </c>
      <c r="C169" t="s">
        <v>25</v>
      </c>
      <c r="D169">
        <f t="shared" ca="1" si="10"/>
        <v>46.140000000000008</v>
      </c>
      <c r="E169" s="5">
        <f t="shared" ca="1" si="14"/>
        <v>-63.219999999999992</v>
      </c>
      <c r="F169" t="str">
        <f ca="1">IF(H169&lt;=I169,"Starter",IF(G169&gt;=LARGE(G:G,FlexOn*LeagueInfo!$F$2),"Starter","Bench"))</f>
        <v>Bench</v>
      </c>
      <c r="G169">
        <f t="shared" ca="1" si="11"/>
        <v>46.140000000000008</v>
      </c>
      <c r="H169">
        <f t="shared" ca="1" si="12"/>
        <v>73</v>
      </c>
      <c r="I169">
        <f>IF(C169="RB",LeagueInfo!$D$4*LeagueInfo!$F$2,LeagueInfo!$D$5*LeagueInfo!$F$2)</f>
        <v>24</v>
      </c>
    </row>
    <row r="170" spans="1:9" x14ac:dyDescent="0.35">
      <c r="A170">
        <f t="shared" ca="1" si="13"/>
        <v>175</v>
      </c>
      <c r="B170" t="s">
        <v>792</v>
      </c>
      <c r="C170" t="s">
        <v>32</v>
      </c>
      <c r="D170">
        <f t="shared" ca="1" si="10"/>
        <v>54.019999999999996</v>
      </c>
      <c r="E170" s="5">
        <f t="shared" ca="1" si="14"/>
        <v>-55.34</v>
      </c>
      <c r="F170" t="str">
        <f ca="1">IF(H170&lt;=I170,"Starter",IF(G170&gt;=LARGE(G:G,FlexOn*LeagueInfo!$F$2),"Starter","Bench"))</f>
        <v>Bench</v>
      </c>
      <c r="G170">
        <f t="shared" ca="1" si="11"/>
        <v>54.019999999999996</v>
      </c>
      <c r="H170">
        <f t="shared" ca="1" si="12"/>
        <v>111</v>
      </c>
      <c r="I170">
        <f>IF(C170="RB",LeagueInfo!$D$4*LeagueInfo!$F$2,LeagueInfo!$D$5*LeagueInfo!$F$2)</f>
        <v>24</v>
      </c>
    </row>
    <row r="171" spans="1:9" x14ac:dyDescent="0.35">
      <c r="A171">
        <f t="shared" ca="1" si="13"/>
        <v>170</v>
      </c>
      <c r="B171" t="s">
        <v>498</v>
      </c>
      <c r="C171" t="s">
        <v>32</v>
      </c>
      <c r="D171">
        <f t="shared" ca="1" si="10"/>
        <v>56.36</v>
      </c>
      <c r="E171" s="5">
        <f t="shared" ca="1" si="14"/>
        <v>-53</v>
      </c>
      <c r="F171" t="str">
        <f ca="1">IF(H171&lt;=I171,"Starter",IF(G171&gt;=LARGE(G:G,FlexOn*LeagueInfo!$F$2),"Starter","Bench"))</f>
        <v>Bench</v>
      </c>
      <c r="G171">
        <f t="shared" ca="1" si="11"/>
        <v>56.36</v>
      </c>
      <c r="H171">
        <f t="shared" ca="1" si="12"/>
        <v>107</v>
      </c>
      <c r="I171">
        <f>IF(C171="RB",LeagueInfo!$D$4*LeagueInfo!$F$2,LeagueInfo!$D$5*LeagueInfo!$F$2)</f>
        <v>24</v>
      </c>
    </row>
    <row r="172" spans="1:9" x14ac:dyDescent="0.35">
      <c r="A172">
        <f t="shared" ca="1" si="13"/>
        <v>176</v>
      </c>
      <c r="B172" t="s">
        <v>242</v>
      </c>
      <c r="C172" t="s">
        <v>32</v>
      </c>
      <c r="D172">
        <f t="shared" ca="1" si="10"/>
        <v>53.42</v>
      </c>
      <c r="E172" s="5">
        <f t="shared" ca="1" si="14"/>
        <v>-55.94</v>
      </c>
      <c r="F172" t="str">
        <f ca="1">IF(H172&lt;=I172,"Starter",IF(G172&gt;=LARGE(G:G,FlexOn*LeagueInfo!$F$2),"Starter","Bench"))</f>
        <v>Bench</v>
      </c>
      <c r="G172">
        <f t="shared" ca="1" si="11"/>
        <v>53.42</v>
      </c>
      <c r="H172">
        <f t="shared" ca="1" si="12"/>
        <v>112</v>
      </c>
      <c r="I172">
        <f>IF(C172="RB",LeagueInfo!$D$4*LeagueInfo!$F$2,LeagueInfo!$D$5*LeagueInfo!$F$2)</f>
        <v>24</v>
      </c>
    </row>
    <row r="173" spans="1:9" x14ac:dyDescent="0.35">
      <c r="A173">
        <f t="shared" ca="1" si="13"/>
        <v>161</v>
      </c>
      <c r="B173" t="s">
        <v>739</v>
      </c>
      <c r="C173" t="s">
        <v>25</v>
      </c>
      <c r="D173">
        <f t="shared" ca="1" si="10"/>
        <v>61.339999999999996</v>
      </c>
      <c r="E173" s="5">
        <f t="shared" ca="1" si="14"/>
        <v>-48.02</v>
      </c>
      <c r="F173" t="str">
        <f ca="1">IF(H173&lt;=I173,"Starter",IF(G173&gt;=LARGE(G:G,FlexOn*LeagueInfo!$F$2),"Starter","Bench"))</f>
        <v>Bench</v>
      </c>
      <c r="G173">
        <f t="shared" ca="1" si="11"/>
        <v>61.339999999999996</v>
      </c>
      <c r="H173">
        <f t="shared" ca="1" si="12"/>
        <v>61</v>
      </c>
      <c r="I173">
        <f>IF(C173="RB",LeagueInfo!$D$4*LeagueInfo!$F$2,LeagueInfo!$D$5*LeagueInfo!$F$2)</f>
        <v>24</v>
      </c>
    </row>
    <row r="174" spans="1:9" x14ac:dyDescent="0.35">
      <c r="A174">
        <f t="shared" ca="1" si="13"/>
        <v>174</v>
      </c>
      <c r="B174" t="s">
        <v>719</v>
      </c>
      <c r="C174" t="s">
        <v>32</v>
      </c>
      <c r="D174">
        <f t="shared" ca="1" si="10"/>
        <v>54.660000000000004</v>
      </c>
      <c r="E174" s="5">
        <f t="shared" ca="1" si="14"/>
        <v>-54.699999999999996</v>
      </c>
      <c r="F174" t="str">
        <f ca="1">IF(H174&lt;=I174,"Starter",IF(G174&gt;=LARGE(G:G,FlexOn*LeagueInfo!$F$2),"Starter","Bench"))</f>
        <v>Bench</v>
      </c>
      <c r="G174">
        <f t="shared" ca="1" si="11"/>
        <v>54.660000000000004</v>
      </c>
      <c r="H174">
        <f t="shared" ca="1" si="12"/>
        <v>110</v>
      </c>
      <c r="I174">
        <f>IF(C174="RB",LeagueInfo!$D$4*LeagueInfo!$F$2,LeagueInfo!$D$5*LeagueInfo!$F$2)</f>
        <v>24</v>
      </c>
    </row>
    <row r="175" spans="1:9" x14ac:dyDescent="0.35">
      <c r="A175">
        <f t="shared" ca="1" si="13"/>
        <v>196</v>
      </c>
      <c r="B175" t="s">
        <v>740</v>
      </c>
      <c r="C175" t="s">
        <v>32</v>
      </c>
      <c r="D175">
        <f t="shared" ca="1" si="10"/>
        <v>41.910000000000004</v>
      </c>
      <c r="E175" s="5">
        <f t="shared" ca="1" si="14"/>
        <v>-67.449999999999989</v>
      </c>
      <c r="F175" t="str">
        <f ca="1">IF(H175&lt;=I175,"Starter",IF(G175&gt;=LARGE(G:G,FlexOn*LeagueInfo!$F$2),"Starter","Bench"))</f>
        <v>Bench</v>
      </c>
      <c r="G175">
        <f t="shared" ca="1" si="11"/>
        <v>41.910000000000004</v>
      </c>
      <c r="H175">
        <f t="shared" ca="1" si="12"/>
        <v>124</v>
      </c>
      <c r="I175">
        <f>IF(C175="RB",LeagueInfo!$D$4*LeagueInfo!$F$2,LeagueInfo!$D$5*LeagueInfo!$F$2)</f>
        <v>24</v>
      </c>
    </row>
    <row r="176" spans="1:9" x14ac:dyDescent="0.35">
      <c r="A176">
        <f t="shared" ca="1" si="13"/>
        <v>248</v>
      </c>
      <c r="B176" t="s">
        <v>1092</v>
      </c>
      <c r="C176" t="s">
        <v>25</v>
      </c>
      <c r="D176">
        <f t="shared" ca="1" si="10"/>
        <v>22.590000000000003</v>
      </c>
      <c r="E176" s="5">
        <f t="shared" ca="1" si="14"/>
        <v>-86.77</v>
      </c>
      <c r="F176" t="str">
        <f ca="1">IF(H176&lt;=I176,"Starter",IF(G176&gt;=LARGE(G:G,FlexOn*LeagueInfo!$F$2),"Starter","Bench"))</f>
        <v>Bench</v>
      </c>
      <c r="G176">
        <f t="shared" ca="1" si="11"/>
        <v>22.590000000000003</v>
      </c>
      <c r="H176">
        <f t="shared" ca="1" si="12"/>
        <v>99</v>
      </c>
      <c r="I176">
        <f>IF(C176="RB",LeagueInfo!$D$4*LeagueInfo!$F$2,LeagueInfo!$D$5*LeagueInfo!$F$2)</f>
        <v>24</v>
      </c>
    </row>
    <row r="177" spans="1:9" x14ac:dyDescent="0.35">
      <c r="A177">
        <f t="shared" ca="1" si="13"/>
        <v>157</v>
      </c>
      <c r="B177" t="s">
        <v>441</v>
      </c>
      <c r="C177" t="s">
        <v>32</v>
      </c>
      <c r="D177">
        <f t="shared" ca="1" si="10"/>
        <v>64.209999999999994</v>
      </c>
      <c r="E177" s="5">
        <f t="shared" ca="1" si="14"/>
        <v>-45.150000000000006</v>
      </c>
      <c r="F177" t="str">
        <f ca="1">IF(H177&lt;=I177,"Starter",IF(G177&gt;=LARGE(G:G,FlexOn*LeagueInfo!$F$2),"Starter","Bench"))</f>
        <v>Bench</v>
      </c>
      <c r="G177">
        <f t="shared" ca="1" si="11"/>
        <v>64.209999999999994</v>
      </c>
      <c r="H177">
        <f t="shared" ca="1" si="12"/>
        <v>101</v>
      </c>
      <c r="I177">
        <f>IF(C177="RB",LeagueInfo!$D$4*LeagueInfo!$F$2,LeagueInfo!$D$5*LeagueInfo!$F$2)</f>
        <v>24</v>
      </c>
    </row>
    <row r="178" spans="1:9" x14ac:dyDescent="0.35">
      <c r="A178">
        <f t="shared" ca="1" si="13"/>
        <v>186</v>
      </c>
      <c r="B178" t="s">
        <v>933</v>
      </c>
      <c r="C178" t="s">
        <v>32</v>
      </c>
      <c r="D178">
        <f t="shared" ca="1" si="10"/>
        <v>47.03</v>
      </c>
      <c r="E178" s="5">
        <f t="shared" ca="1" si="14"/>
        <v>-62.33</v>
      </c>
      <c r="F178" t="str">
        <f ca="1">IF(H178&lt;=I178,"Starter",IF(G178&gt;=LARGE(G:G,FlexOn*LeagueInfo!$F$2),"Starter","Bench"))</f>
        <v>Bench</v>
      </c>
      <c r="G178">
        <f t="shared" ca="1" si="11"/>
        <v>47.03</v>
      </c>
      <c r="H178">
        <f t="shared" ca="1" si="12"/>
        <v>118</v>
      </c>
      <c r="I178">
        <f>IF(C178="RB",LeagueInfo!$D$4*LeagueInfo!$F$2,LeagueInfo!$D$5*LeagueInfo!$F$2)</f>
        <v>24</v>
      </c>
    </row>
    <row r="179" spans="1:9" x14ac:dyDescent="0.35">
      <c r="A179">
        <f t="shared" ca="1" si="13"/>
        <v>184</v>
      </c>
      <c r="B179" t="s">
        <v>880</v>
      </c>
      <c r="C179" t="s">
        <v>25</v>
      </c>
      <c r="D179">
        <f t="shared" ca="1" si="10"/>
        <v>47.429999999999993</v>
      </c>
      <c r="E179" s="5">
        <f t="shared" ca="1" si="14"/>
        <v>-61.930000000000007</v>
      </c>
      <c r="F179" t="str">
        <f ca="1">IF(H179&lt;=I179,"Starter",IF(G179&gt;=LARGE(G:G,FlexOn*LeagueInfo!$F$2),"Starter","Bench"))</f>
        <v>Bench</v>
      </c>
      <c r="G179">
        <f t="shared" ca="1" si="11"/>
        <v>47.429999999999993</v>
      </c>
      <c r="H179">
        <f t="shared" ca="1" si="12"/>
        <v>72</v>
      </c>
      <c r="I179">
        <f>IF(C179="RB",LeagueInfo!$D$4*LeagueInfo!$F$2,LeagueInfo!$D$5*LeagueInfo!$F$2)</f>
        <v>24</v>
      </c>
    </row>
    <row r="180" spans="1:9" x14ac:dyDescent="0.35">
      <c r="A180">
        <f t="shared" ca="1" si="13"/>
        <v>194</v>
      </c>
      <c r="B180" t="s">
        <v>760</v>
      </c>
      <c r="C180" t="s">
        <v>25</v>
      </c>
      <c r="D180">
        <f t="shared" ca="1" si="10"/>
        <v>43.930000000000007</v>
      </c>
      <c r="E180" s="5">
        <f t="shared" ca="1" si="14"/>
        <v>-65.429999999999993</v>
      </c>
      <c r="F180" t="str">
        <f ca="1">IF(H180&lt;=I180,"Starter",IF(G180&gt;=LARGE(G:G,FlexOn*LeagueInfo!$F$2),"Starter","Bench"))</f>
        <v>Bench</v>
      </c>
      <c r="G180">
        <f t="shared" ca="1" si="11"/>
        <v>43.930000000000007</v>
      </c>
      <c r="H180">
        <f t="shared" ca="1" si="12"/>
        <v>78</v>
      </c>
      <c r="I180">
        <f>IF(C180="RB",LeagueInfo!$D$4*LeagueInfo!$F$2,LeagueInfo!$D$5*LeagueInfo!$F$2)</f>
        <v>24</v>
      </c>
    </row>
    <row r="181" spans="1:9" x14ac:dyDescent="0.35">
      <c r="A181">
        <f t="shared" ca="1" si="13"/>
        <v>172</v>
      </c>
      <c r="B181" t="s">
        <v>605</v>
      </c>
      <c r="C181" t="s">
        <v>32</v>
      </c>
      <c r="D181">
        <f t="shared" ca="1" si="10"/>
        <v>55.6</v>
      </c>
      <c r="E181" s="5">
        <f t="shared" ca="1" si="14"/>
        <v>-53.76</v>
      </c>
      <c r="F181" t="str">
        <f ca="1">IF(H181&lt;=I181,"Starter",IF(G181&gt;=LARGE(G:G,FlexOn*LeagueInfo!$F$2),"Starter","Bench"))</f>
        <v>Bench</v>
      </c>
      <c r="G181">
        <f t="shared" ca="1" si="11"/>
        <v>55.6</v>
      </c>
      <c r="H181">
        <f t="shared" ca="1" si="12"/>
        <v>109</v>
      </c>
      <c r="I181">
        <f>IF(C181="RB",LeagueInfo!$D$4*LeagueInfo!$F$2,LeagueInfo!$D$5*LeagueInfo!$F$2)</f>
        <v>24</v>
      </c>
    </row>
    <row r="182" spans="1:9" x14ac:dyDescent="0.35">
      <c r="A182">
        <f t="shared" ca="1" si="13"/>
        <v>168</v>
      </c>
      <c r="B182" t="s">
        <v>611</v>
      </c>
      <c r="C182" t="s">
        <v>32</v>
      </c>
      <c r="D182">
        <f t="shared" ca="1" si="10"/>
        <v>57.929999999999993</v>
      </c>
      <c r="E182" s="5">
        <f t="shared" ca="1" si="14"/>
        <v>-51.430000000000007</v>
      </c>
      <c r="F182" t="str">
        <f ca="1">IF(H182&lt;=I182,"Starter",IF(G182&gt;=LARGE(G:G,FlexOn*LeagueInfo!$F$2),"Starter","Bench"))</f>
        <v>Bench</v>
      </c>
      <c r="G182">
        <f t="shared" ca="1" si="11"/>
        <v>57.929999999999993</v>
      </c>
      <c r="H182">
        <f t="shared" ca="1" si="12"/>
        <v>106</v>
      </c>
      <c r="I182">
        <f>IF(C182="RB",LeagueInfo!$D$4*LeagueInfo!$F$2,LeagueInfo!$D$5*LeagueInfo!$F$2)</f>
        <v>24</v>
      </c>
    </row>
    <row r="183" spans="1:9" x14ac:dyDescent="0.35">
      <c r="A183">
        <f t="shared" ca="1" si="13"/>
        <v>180</v>
      </c>
      <c r="B183" t="s">
        <v>425</v>
      </c>
      <c r="C183" t="s">
        <v>25</v>
      </c>
      <c r="D183">
        <f t="shared" ca="1" si="10"/>
        <v>51.25</v>
      </c>
      <c r="E183" s="5">
        <f t="shared" ca="1" si="14"/>
        <v>-58.11</v>
      </c>
      <c r="F183" t="str">
        <f ca="1">IF(H183&lt;=I183,"Starter",IF(G183&gt;=LARGE(G:G,FlexOn*LeagueInfo!$F$2),"Starter","Bench"))</f>
        <v>Bench</v>
      </c>
      <c r="G183">
        <f t="shared" ca="1" si="11"/>
        <v>51.25</v>
      </c>
      <c r="H183">
        <f t="shared" ca="1" si="12"/>
        <v>70</v>
      </c>
      <c r="I183">
        <f>IF(C183="RB",LeagueInfo!$D$4*LeagueInfo!$F$2,LeagueInfo!$D$5*LeagueInfo!$F$2)</f>
        <v>24</v>
      </c>
    </row>
    <row r="184" spans="1:9" x14ac:dyDescent="0.35">
      <c r="A184">
        <f t="shared" ca="1" si="13"/>
        <v>187</v>
      </c>
      <c r="B184" t="s">
        <v>506</v>
      </c>
      <c r="C184" t="s">
        <v>32</v>
      </c>
      <c r="D184">
        <f t="shared" ca="1" si="10"/>
        <v>46.64</v>
      </c>
      <c r="E184" s="5">
        <f t="shared" ca="1" si="14"/>
        <v>-62.72</v>
      </c>
      <c r="F184" t="str">
        <f ca="1">IF(H184&lt;=I184,"Starter",IF(G184&gt;=LARGE(G:G,FlexOn*LeagueInfo!$F$2),"Starter","Bench"))</f>
        <v>Bench</v>
      </c>
      <c r="G184">
        <f t="shared" ca="1" si="11"/>
        <v>46.64</v>
      </c>
      <c r="H184">
        <f t="shared" ca="1" si="12"/>
        <v>119</v>
      </c>
      <c r="I184">
        <f>IF(C184="RB",LeagueInfo!$D$4*LeagueInfo!$F$2,LeagueInfo!$D$5*LeagueInfo!$F$2)</f>
        <v>24</v>
      </c>
    </row>
    <row r="185" spans="1:9" x14ac:dyDescent="0.35">
      <c r="A185">
        <f t="shared" ca="1" si="13"/>
        <v>189</v>
      </c>
      <c r="B185" t="s">
        <v>847</v>
      </c>
      <c r="C185" t="s">
        <v>32</v>
      </c>
      <c r="D185">
        <f t="shared" ca="1" si="10"/>
        <v>45.699999999999996</v>
      </c>
      <c r="E185" s="5">
        <f t="shared" ca="1" si="14"/>
        <v>-63.660000000000004</v>
      </c>
      <c r="F185" t="str">
        <f ca="1">IF(H185&lt;=I185,"Starter",IF(G185&gt;=LARGE(G:G,FlexOn*LeagueInfo!$F$2),"Starter","Bench"))</f>
        <v>Bench</v>
      </c>
      <c r="G185">
        <f t="shared" ca="1" si="11"/>
        <v>45.699999999999996</v>
      </c>
      <c r="H185">
        <f t="shared" ca="1" si="12"/>
        <v>120</v>
      </c>
      <c r="I185">
        <f>IF(C185="RB",LeagueInfo!$D$4*LeagueInfo!$F$2,LeagueInfo!$D$5*LeagueInfo!$F$2)</f>
        <v>24</v>
      </c>
    </row>
    <row r="186" spans="1:9" x14ac:dyDescent="0.35">
      <c r="A186">
        <f t="shared" ca="1" si="13"/>
        <v>173</v>
      </c>
      <c r="B186" t="s">
        <v>871</v>
      </c>
      <c r="C186" t="s">
        <v>25</v>
      </c>
      <c r="D186">
        <f t="shared" ca="1" si="10"/>
        <v>55.300000000000011</v>
      </c>
      <c r="E186" s="5">
        <f t="shared" ca="1" si="14"/>
        <v>-54.059999999999988</v>
      </c>
      <c r="F186" t="str">
        <f ca="1">IF(H186&lt;=I186,"Starter",IF(G186&gt;=LARGE(G:G,FlexOn*LeagueInfo!$F$2),"Starter","Bench"))</f>
        <v>Bench</v>
      </c>
      <c r="G186">
        <f t="shared" ca="1" si="11"/>
        <v>55.300000000000011</v>
      </c>
      <c r="H186">
        <f t="shared" ca="1" si="12"/>
        <v>67</v>
      </c>
      <c r="I186">
        <f>IF(C186="RB",LeagueInfo!$D$4*LeagueInfo!$F$2,LeagueInfo!$D$5*LeagueInfo!$F$2)</f>
        <v>24</v>
      </c>
    </row>
    <row r="187" spans="1:9" x14ac:dyDescent="0.35">
      <c r="A187">
        <f t="shared" ca="1" si="13"/>
        <v>165</v>
      </c>
      <c r="B187" t="s">
        <v>116</v>
      </c>
      <c r="C187" t="s">
        <v>25</v>
      </c>
      <c r="D187">
        <f t="shared" ca="1" si="10"/>
        <v>59.6</v>
      </c>
      <c r="E187" s="5">
        <f t="shared" ca="1" si="14"/>
        <v>-49.76</v>
      </c>
      <c r="F187" t="str">
        <f ca="1">IF(H187&lt;=I187,"Starter",IF(G187&gt;=LARGE(G:G,FlexOn*LeagueInfo!$F$2),"Starter","Bench"))</f>
        <v>Bench</v>
      </c>
      <c r="G187">
        <f t="shared" ca="1" si="11"/>
        <v>59.6</v>
      </c>
      <c r="H187">
        <f t="shared" ca="1" si="12"/>
        <v>63</v>
      </c>
      <c r="I187">
        <f>IF(C187="RB",LeagueInfo!$D$4*LeagueInfo!$F$2,LeagueInfo!$D$5*LeagueInfo!$F$2)</f>
        <v>24</v>
      </c>
    </row>
    <row r="188" spans="1:9" x14ac:dyDescent="0.35">
      <c r="A188">
        <f t="shared" ca="1" si="13"/>
        <v>185</v>
      </c>
      <c r="B188" t="s">
        <v>470</v>
      </c>
      <c r="C188" t="s">
        <v>32</v>
      </c>
      <c r="D188">
        <f t="shared" ca="1" si="10"/>
        <v>47.250000000000007</v>
      </c>
      <c r="E188" s="5">
        <f t="shared" ca="1" si="14"/>
        <v>-62.109999999999992</v>
      </c>
      <c r="F188" t="str">
        <f ca="1">IF(H188&lt;=I188,"Starter",IF(G188&gt;=LARGE(G:G,FlexOn*LeagueInfo!$F$2),"Starter","Bench"))</f>
        <v>Bench</v>
      </c>
      <c r="G188">
        <f t="shared" ca="1" si="11"/>
        <v>47.250000000000007</v>
      </c>
      <c r="H188">
        <f t="shared" ca="1" si="12"/>
        <v>117</v>
      </c>
      <c r="I188">
        <f>IF(C188="RB",LeagueInfo!$D$4*LeagueInfo!$F$2,LeagueInfo!$D$5*LeagueInfo!$F$2)</f>
        <v>24</v>
      </c>
    </row>
    <row r="189" spans="1:9" x14ac:dyDescent="0.35">
      <c r="A189">
        <f t="shared" ca="1" si="13"/>
        <v>177</v>
      </c>
      <c r="B189" t="s">
        <v>503</v>
      </c>
      <c r="C189" t="s">
        <v>32</v>
      </c>
      <c r="D189">
        <f t="shared" ref="D189:D239" ca="1" si="15">INDEX(INDIRECT($C189&amp;"!P:P"),MATCH($B189,INDIRECT($C189&amp;"!B:B"),0))</f>
        <v>52.510000000000005</v>
      </c>
      <c r="E189" s="5">
        <f t="shared" ca="1" si="14"/>
        <v>-56.849999999999994</v>
      </c>
      <c r="F189" t="str">
        <f ca="1">IF(H189&lt;=I189,"Starter",IF(G189&gt;=LARGE(G:G,FlexOn*LeagueInfo!$F$2),"Starter","Bench"))</f>
        <v>Bench</v>
      </c>
      <c r="G189">
        <f t="shared" ref="G189:G239" ca="1" si="16">IF(H189&gt;I189,D189,0)</f>
        <v>52.510000000000005</v>
      </c>
      <c r="H189">
        <f t="shared" ref="H189:H239" ca="1" si="17">INDEX(INDIRECT(""&amp;C189&amp;"!A2:A489"),MATCH(B189,INDIRECT(""&amp;C189&amp;"!B2:B489"),0))</f>
        <v>113</v>
      </c>
      <c r="I189">
        <f>IF(C189="RB",LeagueInfo!$D$4*LeagueInfo!$F$2,LeagueInfo!$D$5*LeagueInfo!$F$2)</f>
        <v>24</v>
      </c>
    </row>
    <row r="190" spans="1:9" x14ac:dyDescent="0.35">
      <c r="A190">
        <f t="shared" ca="1" si="13"/>
        <v>197</v>
      </c>
      <c r="B190" t="s">
        <v>561</v>
      </c>
      <c r="C190" t="s">
        <v>32</v>
      </c>
      <c r="D190">
        <f t="shared" ca="1" si="15"/>
        <v>41.509999999999991</v>
      </c>
      <c r="E190" s="5">
        <f t="shared" ca="1" si="14"/>
        <v>-67.850000000000009</v>
      </c>
      <c r="F190" t="str">
        <f ca="1">IF(H190&lt;=I190,"Starter",IF(G190&gt;=LARGE(G:G,FlexOn*LeagueInfo!$F$2),"Starter","Bench"))</f>
        <v>Bench</v>
      </c>
      <c r="G190">
        <f t="shared" ca="1" si="16"/>
        <v>41.509999999999991</v>
      </c>
      <c r="H190">
        <f t="shared" ca="1" si="17"/>
        <v>125</v>
      </c>
      <c r="I190">
        <f>IF(C190="RB",LeagueInfo!$D$4*LeagueInfo!$F$2,LeagueInfo!$D$5*LeagueInfo!$F$2)</f>
        <v>24</v>
      </c>
    </row>
    <row r="191" spans="1:9" x14ac:dyDescent="0.35">
      <c r="A191">
        <f t="shared" ca="1" si="13"/>
        <v>215</v>
      </c>
      <c r="B191" t="s">
        <v>870</v>
      </c>
      <c r="C191" t="s">
        <v>25</v>
      </c>
      <c r="D191">
        <f t="shared" ca="1" si="15"/>
        <v>31.140000000000004</v>
      </c>
      <c r="E191" s="5">
        <f t="shared" ca="1" si="14"/>
        <v>-78.22</v>
      </c>
      <c r="F191" t="str">
        <f ca="1">IF(H191&lt;=I191,"Starter",IF(G191&gt;=LARGE(G:G,FlexOn*LeagueInfo!$F$2),"Starter","Bench"))</f>
        <v>Bench</v>
      </c>
      <c r="G191">
        <f t="shared" ca="1" si="16"/>
        <v>31.140000000000004</v>
      </c>
      <c r="H191">
        <f t="shared" ca="1" si="17"/>
        <v>87</v>
      </c>
      <c r="I191">
        <f>IF(C191="RB",LeagueInfo!$D$4*LeagueInfo!$F$2,LeagueInfo!$D$5*LeagueInfo!$F$2)</f>
        <v>24</v>
      </c>
    </row>
    <row r="192" spans="1:9" x14ac:dyDescent="0.35">
      <c r="A192">
        <f t="shared" ca="1" si="13"/>
        <v>201</v>
      </c>
      <c r="B192" t="s">
        <v>873</v>
      </c>
      <c r="C192" t="s">
        <v>25</v>
      </c>
      <c r="D192">
        <f t="shared" ca="1" si="15"/>
        <v>37.69</v>
      </c>
      <c r="E192" s="5">
        <f t="shared" ca="1" si="14"/>
        <v>-71.67</v>
      </c>
      <c r="F192" t="str">
        <f ca="1">IF(H192&lt;=I192,"Starter",IF(G192&gt;=LARGE(G:G,FlexOn*LeagueInfo!$F$2),"Starter","Bench"))</f>
        <v>Bench</v>
      </c>
      <c r="G192">
        <f t="shared" ca="1" si="16"/>
        <v>37.69</v>
      </c>
      <c r="H192">
        <f t="shared" ca="1" si="17"/>
        <v>81</v>
      </c>
      <c r="I192">
        <f>IF(C192="RB",LeagueInfo!$D$4*LeagueInfo!$F$2,LeagueInfo!$D$5*LeagueInfo!$F$2)</f>
        <v>24</v>
      </c>
    </row>
    <row r="193" spans="1:9" x14ac:dyDescent="0.35">
      <c r="A193">
        <f t="shared" ca="1" si="13"/>
        <v>200</v>
      </c>
      <c r="B193" t="s">
        <v>837</v>
      </c>
      <c r="C193" t="s">
        <v>25</v>
      </c>
      <c r="D193">
        <f t="shared" ca="1" si="15"/>
        <v>38.67</v>
      </c>
      <c r="E193" s="5">
        <f t="shared" ca="1" si="14"/>
        <v>-70.69</v>
      </c>
      <c r="F193" t="str">
        <f ca="1">IF(H193&lt;=I193,"Starter",IF(G193&gt;=LARGE(G:G,FlexOn*LeagueInfo!$F$2),"Starter","Bench"))</f>
        <v>Bench</v>
      </c>
      <c r="G193">
        <f t="shared" ca="1" si="16"/>
        <v>38.67</v>
      </c>
      <c r="H193">
        <f t="shared" ca="1" si="17"/>
        <v>80</v>
      </c>
      <c r="I193">
        <f>IF(C193="RB",LeagueInfo!$D$4*LeagueInfo!$F$2,LeagueInfo!$D$5*LeagueInfo!$F$2)</f>
        <v>24</v>
      </c>
    </row>
    <row r="194" spans="1:9" x14ac:dyDescent="0.35">
      <c r="A194">
        <f t="shared" ref="A194:A257" ca="1" si="18">RANK(E194,E:E)</f>
        <v>198</v>
      </c>
      <c r="B194" t="s">
        <v>508</v>
      </c>
      <c r="C194" t="s">
        <v>32</v>
      </c>
      <c r="D194">
        <f t="shared" ca="1" si="15"/>
        <v>41.09</v>
      </c>
      <c r="E194" s="5">
        <f t="shared" ref="E194:E257" ca="1" si="19">D194-LARGE(D:D,RBCount+WRCount)</f>
        <v>-68.27</v>
      </c>
      <c r="F194" t="str">
        <f ca="1">IF(H194&lt;=I194,"Starter",IF(G194&gt;=LARGE(G:G,FlexOn*LeagueInfo!$F$2),"Starter","Bench"))</f>
        <v>Bench</v>
      </c>
      <c r="G194">
        <f t="shared" ca="1" si="16"/>
        <v>41.09</v>
      </c>
      <c r="H194">
        <f t="shared" ca="1" si="17"/>
        <v>126</v>
      </c>
      <c r="I194">
        <f>IF(C194="RB",LeagueInfo!$D$4*LeagueInfo!$F$2,LeagueInfo!$D$5*LeagueInfo!$F$2)</f>
        <v>24</v>
      </c>
    </row>
    <row r="195" spans="1:9" x14ac:dyDescent="0.35">
      <c r="A195">
        <f t="shared" ca="1" si="18"/>
        <v>222</v>
      </c>
      <c r="B195" t="s">
        <v>432</v>
      </c>
      <c r="C195" t="s">
        <v>32</v>
      </c>
      <c r="D195">
        <f t="shared" ca="1" si="15"/>
        <v>28.700000000000003</v>
      </c>
      <c r="E195" s="5">
        <f t="shared" ca="1" si="19"/>
        <v>-80.66</v>
      </c>
      <c r="F195" t="str">
        <f ca="1">IF(H195&lt;=I195,"Starter",IF(G195&gt;=LARGE(G:G,FlexOn*LeagueInfo!$F$2),"Starter","Bench"))</f>
        <v>Bench</v>
      </c>
      <c r="G195">
        <f t="shared" ca="1" si="16"/>
        <v>28.700000000000003</v>
      </c>
      <c r="H195">
        <f t="shared" ca="1" si="17"/>
        <v>140</v>
      </c>
      <c r="I195">
        <f>IF(C195="RB",LeagueInfo!$D$4*LeagueInfo!$F$2,LeagueInfo!$D$5*LeagueInfo!$F$2)</f>
        <v>24</v>
      </c>
    </row>
    <row r="196" spans="1:9" x14ac:dyDescent="0.35">
      <c r="A196">
        <f t="shared" ca="1" si="18"/>
        <v>192</v>
      </c>
      <c r="B196" t="s">
        <v>707</v>
      </c>
      <c r="C196" t="s">
        <v>25</v>
      </c>
      <c r="D196">
        <f t="shared" ca="1" si="15"/>
        <v>44.27</v>
      </c>
      <c r="E196" s="5">
        <f t="shared" ca="1" si="19"/>
        <v>-65.09</v>
      </c>
      <c r="F196" t="str">
        <f ca="1">IF(H196&lt;=I196,"Starter",IF(G196&gt;=LARGE(G:G,FlexOn*LeagueInfo!$F$2),"Starter","Bench"))</f>
        <v>Bench</v>
      </c>
      <c r="G196">
        <f t="shared" ca="1" si="16"/>
        <v>44.27</v>
      </c>
      <c r="H196">
        <f t="shared" ca="1" si="17"/>
        <v>76</v>
      </c>
      <c r="I196">
        <f>IF(C196="RB",LeagueInfo!$D$4*LeagueInfo!$F$2,LeagueInfo!$D$5*LeagueInfo!$F$2)</f>
        <v>24</v>
      </c>
    </row>
    <row r="197" spans="1:9" x14ac:dyDescent="0.35">
      <c r="A197">
        <f t="shared" ca="1" si="18"/>
        <v>191</v>
      </c>
      <c r="B197" t="s">
        <v>811</v>
      </c>
      <c r="C197" t="s">
        <v>25</v>
      </c>
      <c r="D197">
        <f t="shared" ca="1" si="15"/>
        <v>44.610000000000007</v>
      </c>
      <c r="E197" s="5">
        <f t="shared" ca="1" si="19"/>
        <v>-64.75</v>
      </c>
      <c r="F197" t="str">
        <f ca="1">IF(H197&lt;=I197,"Starter",IF(G197&gt;=LARGE(G:G,FlexOn*LeagueInfo!$F$2),"Starter","Bench"))</f>
        <v>Bench</v>
      </c>
      <c r="G197">
        <f t="shared" ca="1" si="16"/>
        <v>44.610000000000007</v>
      </c>
      <c r="H197">
        <f t="shared" ca="1" si="17"/>
        <v>75</v>
      </c>
      <c r="I197">
        <f>IF(C197="RB",LeagueInfo!$D$4*LeagueInfo!$F$2,LeagueInfo!$D$5*LeagueInfo!$F$2)</f>
        <v>24</v>
      </c>
    </row>
    <row r="198" spans="1:9" x14ac:dyDescent="0.35">
      <c r="A198">
        <f t="shared" ca="1" si="18"/>
        <v>137</v>
      </c>
      <c r="B198" t="s">
        <v>701</v>
      </c>
      <c r="C198" t="s">
        <v>25</v>
      </c>
      <c r="D198">
        <f t="shared" ca="1" si="15"/>
        <v>82.72999999999999</v>
      </c>
      <c r="E198" s="5">
        <f t="shared" ca="1" si="19"/>
        <v>-26.63000000000001</v>
      </c>
      <c r="F198" t="str">
        <f ca="1">IF(H198&lt;=I198,"Starter",IF(G198&gt;=LARGE(G:G,FlexOn*LeagueInfo!$F$2),"Starter","Bench"))</f>
        <v>Bench</v>
      </c>
      <c r="G198">
        <f t="shared" ca="1" si="16"/>
        <v>82.72999999999999</v>
      </c>
      <c r="H198">
        <f t="shared" ca="1" si="17"/>
        <v>53</v>
      </c>
      <c r="I198">
        <f>IF(C198="RB",LeagueInfo!$D$4*LeagueInfo!$F$2,LeagueInfo!$D$5*LeagueInfo!$F$2)</f>
        <v>24</v>
      </c>
    </row>
    <row r="199" spans="1:9" x14ac:dyDescent="0.35">
      <c r="A199">
        <f t="shared" ca="1" si="18"/>
        <v>214</v>
      </c>
      <c r="B199" t="s">
        <v>879</v>
      </c>
      <c r="C199" t="s">
        <v>25</v>
      </c>
      <c r="D199">
        <f t="shared" ca="1" si="15"/>
        <v>31.35</v>
      </c>
      <c r="E199" s="5">
        <f t="shared" ca="1" si="19"/>
        <v>-78.009999999999991</v>
      </c>
      <c r="F199" t="str">
        <f ca="1">IF(H199&lt;=I199,"Starter",IF(G199&gt;=LARGE(G:G,FlexOn*LeagueInfo!$F$2),"Starter","Bench"))</f>
        <v>Bench</v>
      </c>
      <c r="G199">
        <f t="shared" ca="1" si="16"/>
        <v>31.35</v>
      </c>
      <c r="H199">
        <f t="shared" ca="1" si="17"/>
        <v>86</v>
      </c>
      <c r="I199">
        <f>IF(C199="RB",LeagueInfo!$D$4*LeagueInfo!$F$2,LeagueInfo!$D$5*LeagueInfo!$F$2)</f>
        <v>24</v>
      </c>
    </row>
    <row r="200" spans="1:9" x14ac:dyDescent="0.35">
      <c r="A200">
        <f t="shared" ca="1" si="18"/>
        <v>203</v>
      </c>
      <c r="B200" t="s">
        <v>735</v>
      </c>
      <c r="C200" t="s">
        <v>25</v>
      </c>
      <c r="D200">
        <f t="shared" ca="1" si="15"/>
        <v>35.299999999999997</v>
      </c>
      <c r="E200" s="5">
        <f t="shared" ca="1" si="19"/>
        <v>-74.06</v>
      </c>
      <c r="F200" t="str">
        <f ca="1">IF(H200&lt;=I200,"Starter",IF(G200&gt;=LARGE(G:G,FlexOn*LeagueInfo!$F$2),"Starter","Bench"))</f>
        <v>Bench</v>
      </c>
      <c r="G200">
        <f t="shared" ca="1" si="16"/>
        <v>35.299999999999997</v>
      </c>
      <c r="H200">
        <f t="shared" ca="1" si="17"/>
        <v>83</v>
      </c>
      <c r="I200">
        <f>IF(C200="RB",LeagueInfo!$D$4*LeagueInfo!$F$2,LeagueInfo!$D$5*LeagueInfo!$F$2)</f>
        <v>24</v>
      </c>
    </row>
    <row r="201" spans="1:9" x14ac:dyDescent="0.35">
      <c r="A201">
        <f t="shared" ca="1" si="18"/>
        <v>199</v>
      </c>
      <c r="B201" t="s">
        <v>877</v>
      </c>
      <c r="C201" t="s">
        <v>25</v>
      </c>
      <c r="D201">
        <f t="shared" ca="1" si="15"/>
        <v>39.43</v>
      </c>
      <c r="E201" s="5">
        <f t="shared" ca="1" si="19"/>
        <v>-69.930000000000007</v>
      </c>
      <c r="F201" t="str">
        <f ca="1">IF(H201&lt;=I201,"Starter",IF(G201&gt;=LARGE(G:G,FlexOn*LeagueInfo!$F$2),"Starter","Bench"))</f>
        <v>Bench</v>
      </c>
      <c r="G201">
        <f t="shared" ca="1" si="16"/>
        <v>39.43</v>
      </c>
      <c r="H201">
        <f t="shared" ca="1" si="17"/>
        <v>79</v>
      </c>
      <c r="I201">
        <f>IF(C201="RB",LeagueInfo!$D$4*LeagueInfo!$F$2,LeagueInfo!$D$5*LeagueInfo!$F$2)</f>
        <v>24</v>
      </c>
    </row>
    <row r="202" spans="1:9" x14ac:dyDescent="0.35">
      <c r="A202">
        <f t="shared" ca="1" si="18"/>
        <v>209</v>
      </c>
      <c r="B202" t="s">
        <v>845</v>
      </c>
      <c r="C202" t="s">
        <v>32</v>
      </c>
      <c r="D202">
        <f t="shared" ca="1" si="15"/>
        <v>32.629999999999995</v>
      </c>
      <c r="E202" s="5">
        <f t="shared" ca="1" si="19"/>
        <v>-76.73</v>
      </c>
      <c r="F202" t="str">
        <f ca="1">IF(H202&lt;=I202,"Starter",IF(G202&gt;=LARGE(G:G,FlexOn*LeagueInfo!$F$2),"Starter","Bench"))</f>
        <v>Bench</v>
      </c>
      <c r="G202">
        <f t="shared" ca="1" si="16"/>
        <v>32.629999999999995</v>
      </c>
      <c r="H202">
        <f t="shared" ca="1" si="17"/>
        <v>130</v>
      </c>
      <c r="I202">
        <f>IF(C202="RB",LeagueInfo!$D$4*LeagueInfo!$F$2,LeagueInfo!$D$5*LeagueInfo!$F$2)</f>
        <v>24</v>
      </c>
    </row>
    <row r="203" spans="1:9" x14ac:dyDescent="0.35">
      <c r="A203">
        <f t="shared" ca="1" si="18"/>
        <v>221</v>
      </c>
      <c r="B203" t="s">
        <v>927</v>
      </c>
      <c r="C203" t="s">
        <v>32</v>
      </c>
      <c r="D203">
        <f t="shared" ca="1" si="15"/>
        <v>29.22</v>
      </c>
      <c r="E203" s="5">
        <f t="shared" ca="1" si="19"/>
        <v>-80.14</v>
      </c>
      <c r="F203" t="str">
        <f ca="1">IF(H203&lt;=I203,"Starter",IF(G203&gt;=LARGE(G:G,FlexOn*LeagueInfo!$F$2),"Starter","Bench"))</f>
        <v>Bench</v>
      </c>
      <c r="G203">
        <f t="shared" ca="1" si="16"/>
        <v>29.22</v>
      </c>
      <c r="H203">
        <f t="shared" ca="1" si="17"/>
        <v>139</v>
      </c>
      <c r="I203">
        <f>IF(C203="RB",LeagueInfo!$D$4*LeagueInfo!$F$2,LeagueInfo!$D$5*LeagueInfo!$F$2)</f>
        <v>24</v>
      </c>
    </row>
    <row r="204" spans="1:9" x14ac:dyDescent="0.35">
      <c r="A204">
        <f t="shared" ca="1" si="18"/>
        <v>210</v>
      </c>
      <c r="B204" t="s">
        <v>600</v>
      </c>
      <c r="C204" t="s">
        <v>32</v>
      </c>
      <c r="D204">
        <f t="shared" ca="1" si="15"/>
        <v>32.450000000000003</v>
      </c>
      <c r="E204" s="5">
        <f t="shared" ca="1" si="19"/>
        <v>-76.91</v>
      </c>
      <c r="F204" t="str">
        <f ca="1">IF(H204&lt;=I204,"Starter",IF(G204&gt;=LARGE(G:G,FlexOn*LeagueInfo!$F$2),"Starter","Bench"))</f>
        <v>Bench</v>
      </c>
      <c r="G204">
        <f t="shared" ca="1" si="16"/>
        <v>32.450000000000003</v>
      </c>
      <c r="H204">
        <f t="shared" ca="1" si="17"/>
        <v>131</v>
      </c>
      <c r="I204">
        <f>IF(C204="RB",LeagueInfo!$D$4*LeagueInfo!$F$2,LeagueInfo!$D$5*LeagueInfo!$F$2)</f>
        <v>24</v>
      </c>
    </row>
    <row r="205" spans="1:9" x14ac:dyDescent="0.35">
      <c r="A205">
        <f t="shared" ca="1" si="18"/>
        <v>225</v>
      </c>
      <c r="B205" t="s">
        <v>1095</v>
      </c>
      <c r="C205" t="s">
        <v>32</v>
      </c>
      <c r="D205">
        <f t="shared" ca="1" si="15"/>
        <v>28.1</v>
      </c>
      <c r="E205" s="5">
        <f t="shared" ca="1" si="19"/>
        <v>-81.259999999999991</v>
      </c>
      <c r="F205" t="str">
        <f ca="1">IF(H205&lt;=I205,"Starter",IF(G205&gt;=LARGE(G:G,FlexOn*LeagueInfo!$F$2),"Starter","Bench"))</f>
        <v>Bench</v>
      </c>
      <c r="G205">
        <f t="shared" ca="1" si="16"/>
        <v>28.1</v>
      </c>
      <c r="H205">
        <f t="shared" ca="1" si="17"/>
        <v>142</v>
      </c>
      <c r="I205">
        <f>IF(C205="RB",LeagueInfo!$D$4*LeagueInfo!$F$2,LeagueInfo!$D$5*LeagueInfo!$F$2)</f>
        <v>24</v>
      </c>
    </row>
    <row r="206" spans="1:9" x14ac:dyDescent="0.35">
      <c r="A206">
        <f t="shared" ca="1" si="18"/>
        <v>223</v>
      </c>
      <c r="B206" t="s">
        <v>875</v>
      </c>
      <c r="C206" t="s">
        <v>25</v>
      </c>
      <c r="D206">
        <f t="shared" ca="1" si="15"/>
        <v>28.39</v>
      </c>
      <c r="E206" s="5">
        <f t="shared" ca="1" si="19"/>
        <v>-80.97</v>
      </c>
      <c r="F206" t="str">
        <f ca="1">IF(H206&lt;=I206,"Starter",IF(G206&gt;=LARGE(G:G,FlexOn*LeagueInfo!$F$2),"Starter","Bench"))</f>
        <v>Bench</v>
      </c>
      <c r="G206">
        <f t="shared" ca="1" si="16"/>
        <v>28.39</v>
      </c>
      <c r="H206">
        <f t="shared" ca="1" si="17"/>
        <v>93</v>
      </c>
      <c r="I206">
        <f>IF(C206="RB",LeagueInfo!$D$4*LeagueInfo!$F$2,LeagueInfo!$D$5*LeagueInfo!$F$2)</f>
        <v>24</v>
      </c>
    </row>
    <row r="207" spans="1:9" x14ac:dyDescent="0.35">
      <c r="A207">
        <f t="shared" ca="1" si="18"/>
        <v>211</v>
      </c>
      <c r="B207" t="s">
        <v>367</v>
      </c>
      <c r="C207" t="s">
        <v>32</v>
      </c>
      <c r="D207">
        <f t="shared" ca="1" si="15"/>
        <v>31.860000000000003</v>
      </c>
      <c r="E207" s="5">
        <f t="shared" ca="1" si="19"/>
        <v>-77.5</v>
      </c>
      <c r="F207" t="str">
        <f ca="1">IF(H207&lt;=I207,"Starter",IF(G207&gt;=LARGE(G:G,FlexOn*LeagueInfo!$F$2),"Starter","Bench"))</f>
        <v>Bench</v>
      </c>
      <c r="G207">
        <f t="shared" ca="1" si="16"/>
        <v>31.860000000000003</v>
      </c>
      <c r="H207">
        <f t="shared" ca="1" si="17"/>
        <v>132</v>
      </c>
      <c r="I207">
        <f>IF(C207="RB",LeagueInfo!$D$4*LeagueInfo!$F$2,LeagueInfo!$D$5*LeagueInfo!$F$2)</f>
        <v>24</v>
      </c>
    </row>
    <row r="208" spans="1:9" x14ac:dyDescent="0.35">
      <c r="A208">
        <f t="shared" ca="1" si="18"/>
        <v>202</v>
      </c>
      <c r="B208" t="s">
        <v>244</v>
      </c>
      <c r="C208" t="s">
        <v>25</v>
      </c>
      <c r="D208">
        <f t="shared" ca="1" si="15"/>
        <v>36.22999999999999</v>
      </c>
      <c r="E208" s="5">
        <f t="shared" ca="1" si="19"/>
        <v>-73.13000000000001</v>
      </c>
      <c r="F208" t="str">
        <f ca="1">IF(H208&lt;=I208,"Starter",IF(G208&gt;=LARGE(G:G,FlexOn*LeagueInfo!$F$2),"Starter","Bench"))</f>
        <v>Bench</v>
      </c>
      <c r="G208">
        <f t="shared" ca="1" si="16"/>
        <v>36.22999999999999</v>
      </c>
      <c r="H208">
        <f t="shared" ca="1" si="17"/>
        <v>82</v>
      </c>
      <c r="I208">
        <f>IF(C208="RB",LeagueInfo!$D$4*LeagueInfo!$F$2,LeagueInfo!$D$5*LeagueInfo!$F$2)</f>
        <v>24</v>
      </c>
    </row>
    <row r="209" spans="1:9" x14ac:dyDescent="0.35">
      <c r="A209">
        <f t="shared" ca="1" si="18"/>
        <v>250</v>
      </c>
      <c r="B209" t="s">
        <v>108</v>
      </c>
      <c r="C209" t="s">
        <v>32</v>
      </c>
      <c r="D209">
        <f t="shared" ca="1" si="15"/>
        <v>22.029999999999998</v>
      </c>
      <c r="E209" s="5">
        <f t="shared" ca="1" si="19"/>
        <v>-87.33</v>
      </c>
      <c r="F209" t="str">
        <f ca="1">IF(H209&lt;=I209,"Starter",IF(G209&gt;=LARGE(G:G,FlexOn*LeagueInfo!$F$2),"Starter","Bench"))</f>
        <v>Bench</v>
      </c>
      <c r="G209">
        <f t="shared" ca="1" si="16"/>
        <v>22.029999999999998</v>
      </c>
      <c r="H209">
        <f t="shared" ca="1" si="17"/>
        <v>161</v>
      </c>
      <c r="I209">
        <f>IF(C209="RB",LeagueInfo!$D$4*LeagueInfo!$F$2,LeagueInfo!$D$5*LeagueInfo!$F$2)</f>
        <v>24</v>
      </c>
    </row>
    <row r="210" spans="1:9" x14ac:dyDescent="0.35">
      <c r="A210">
        <f t="shared" ca="1" si="18"/>
        <v>207</v>
      </c>
      <c r="B210" t="s">
        <v>720</v>
      </c>
      <c r="C210" t="s">
        <v>25</v>
      </c>
      <c r="D210">
        <f t="shared" ca="1" si="15"/>
        <v>33.770000000000003</v>
      </c>
      <c r="E210" s="5">
        <f t="shared" ca="1" si="19"/>
        <v>-75.59</v>
      </c>
      <c r="F210" t="str">
        <f ca="1">IF(H210&lt;=I210,"Starter",IF(G210&gt;=LARGE(G:G,FlexOn*LeagueInfo!$F$2),"Starter","Bench"))</f>
        <v>Bench</v>
      </c>
      <c r="G210">
        <f t="shared" ca="1" si="16"/>
        <v>33.770000000000003</v>
      </c>
      <c r="H210">
        <f t="shared" ca="1" si="17"/>
        <v>85</v>
      </c>
      <c r="I210">
        <f>IF(C210="RB",LeagueInfo!$D$4*LeagueInfo!$F$2,LeagueInfo!$D$5*LeagueInfo!$F$2)</f>
        <v>24</v>
      </c>
    </row>
    <row r="211" spans="1:9" x14ac:dyDescent="0.35">
      <c r="A211">
        <f t="shared" ca="1" si="18"/>
        <v>226</v>
      </c>
      <c r="B211" t="s">
        <v>878</v>
      </c>
      <c r="C211" t="s">
        <v>25</v>
      </c>
      <c r="D211">
        <f t="shared" ca="1" si="15"/>
        <v>27.76</v>
      </c>
      <c r="E211" s="5">
        <f t="shared" ca="1" si="19"/>
        <v>-81.599999999999994</v>
      </c>
      <c r="F211" t="str">
        <f ca="1">IF(H211&lt;=I211,"Starter",IF(G211&gt;=LARGE(G:G,FlexOn*LeagueInfo!$F$2),"Starter","Bench"))</f>
        <v>Bench</v>
      </c>
      <c r="G211">
        <f t="shared" ca="1" si="16"/>
        <v>27.76</v>
      </c>
      <c r="H211">
        <f t="shared" ca="1" si="17"/>
        <v>94</v>
      </c>
      <c r="I211">
        <f>IF(C211="RB",LeagueInfo!$D$4*LeagueInfo!$F$2,LeagueInfo!$D$5*LeagueInfo!$F$2)</f>
        <v>24</v>
      </c>
    </row>
    <row r="212" spans="1:9" x14ac:dyDescent="0.35">
      <c r="A212">
        <f t="shared" ca="1" si="18"/>
        <v>230</v>
      </c>
      <c r="B212" t="s">
        <v>1010</v>
      </c>
      <c r="C212" t="s">
        <v>32</v>
      </c>
      <c r="D212">
        <f t="shared" ca="1" si="15"/>
        <v>26.200000000000003</v>
      </c>
      <c r="E212" s="5">
        <f t="shared" ca="1" si="19"/>
        <v>-83.16</v>
      </c>
      <c r="F212" t="str">
        <f ca="1">IF(H212&lt;=I212,"Starter",IF(G212&gt;=LARGE(G:G,FlexOn*LeagueInfo!$F$2),"Starter","Bench"))</f>
        <v>Bench</v>
      </c>
      <c r="G212">
        <f t="shared" ca="1" si="16"/>
        <v>26.200000000000003</v>
      </c>
      <c r="H212">
        <f t="shared" ca="1" si="17"/>
        <v>146</v>
      </c>
      <c r="I212">
        <f>IF(C212="RB",LeagueInfo!$D$4*LeagueInfo!$F$2,LeagueInfo!$D$5*LeagueInfo!$F$2)</f>
        <v>24</v>
      </c>
    </row>
    <row r="213" spans="1:9" x14ac:dyDescent="0.35">
      <c r="A213">
        <f t="shared" ca="1" si="18"/>
        <v>208</v>
      </c>
      <c r="B213" t="s">
        <v>249</v>
      </c>
      <c r="C213" t="s">
        <v>32</v>
      </c>
      <c r="D213">
        <f t="shared" ca="1" si="15"/>
        <v>33.540000000000006</v>
      </c>
      <c r="E213" s="5">
        <f t="shared" ca="1" si="19"/>
        <v>-75.819999999999993</v>
      </c>
      <c r="F213" t="str">
        <f ca="1">IF(H213&lt;=I213,"Starter",IF(G213&gt;=LARGE(G:G,FlexOn*LeagueInfo!$F$2),"Starter","Bench"))</f>
        <v>Bench</v>
      </c>
      <c r="G213">
        <f t="shared" ca="1" si="16"/>
        <v>33.540000000000006</v>
      </c>
      <c r="H213">
        <f t="shared" ca="1" si="17"/>
        <v>129</v>
      </c>
      <c r="I213">
        <f>IF(C213="RB",LeagueInfo!$D$4*LeagueInfo!$F$2,LeagueInfo!$D$5*LeagueInfo!$F$2)</f>
        <v>24</v>
      </c>
    </row>
    <row r="214" spans="1:9" x14ac:dyDescent="0.35">
      <c r="A214">
        <f t="shared" ca="1" si="18"/>
        <v>193</v>
      </c>
      <c r="B214" t="s">
        <v>781</v>
      </c>
      <c r="C214" t="s">
        <v>25</v>
      </c>
      <c r="D214">
        <f t="shared" ca="1" si="15"/>
        <v>44.1</v>
      </c>
      <c r="E214" s="5">
        <f t="shared" ca="1" si="19"/>
        <v>-65.259999999999991</v>
      </c>
      <c r="F214" t="str">
        <f ca="1">IF(H214&lt;=I214,"Starter",IF(G214&gt;=LARGE(G:G,FlexOn*LeagueInfo!$F$2),"Starter","Bench"))</f>
        <v>Bench</v>
      </c>
      <c r="G214">
        <f t="shared" ca="1" si="16"/>
        <v>44.1</v>
      </c>
      <c r="H214">
        <f t="shared" ca="1" si="17"/>
        <v>77</v>
      </c>
      <c r="I214">
        <f>IF(C214="RB",LeagueInfo!$D$4*LeagueInfo!$F$2,LeagueInfo!$D$5*LeagueInfo!$F$2)</f>
        <v>24</v>
      </c>
    </row>
    <row r="215" spans="1:9" x14ac:dyDescent="0.35">
      <c r="A215">
        <f t="shared" ca="1" si="18"/>
        <v>217</v>
      </c>
      <c r="B215" t="s">
        <v>929</v>
      </c>
      <c r="C215" t="s">
        <v>32</v>
      </c>
      <c r="D215">
        <f t="shared" ca="1" si="15"/>
        <v>29.93</v>
      </c>
      <c r="E215" s="5">
        <f t="shared" ca="1" si="19"/>
        <v>-79.430000000000007</v>
      </c>
      <c r="F215" t="str">
        <f ca="1">IF(H215&lt;=I215,"Starter",IF(G215&gt;=LARGE(G:G,FlexOn*LeagueInfo!$F$2),"Starter","Bench"))</f>
        <v>Bench</v>
      </c>
      <c r="G215">
        <f t="shared" ca="1" si="16"/>
        <v>29.93</v>
      </c>
      <c r="H215">
        <f t="shared" ca="1" si="17"/>
        <v>136</v>
      </c>
      <c r="I215">
        <f>IF(C215="RB",LeagueInfo!$D$4*LeagueInfo!$F$2,LeagueInfo!$D$5*LeagueInfo!$F$2)</f>
        <v>24</v>
      </c>
    </row>
    <row r="216" spans="1:9" x14ac:dyDescent="0.35">
      <c r="A216">
        <f t="shared" ca="1" si="18"/>
        <v>227</v>
      </c>
      <c r="B216" t="s">
        <v>365</v>
      </c>
      <c r="C216" t="s">
        <v>32</v>
      </c>
      <c r="D216">
        <f t="shared" ca="1" si="15"/>
        <v>27.75</v>
      </c>
      <c r="E216" s="5">
        <f t="shared" ca="1" si="19"/>
        <v>-81.61</v>
      </c>
      <c r="F216" t="str">
        <f ca="1">IF(H216&lt;=I216,"Starter",IF(G216&gt;=LARGE(G:G,FlexOn*LeagueInfo!$F$2),"Starter","Bench"))</f>
        <v>Bench</v>
      </c>
      <c r="G216">
        <f t="shared" ca="1" si="16"/>
        <v>27.75</v>
      </c>
      <c r="H216">
        <f t="shared" ca="1" si="17"/>
        <v>143</v>
      </c>
      <c r="I216">
        <f>IF(C216="RB",LeagueInfo!$D$4*LeagueInfo!$F$2,LeagueInfo!$D$5*LeagueInfo!$F$2)</f>
        <v>24</v>
      </c>
    </row>
    <row r="217" spans="1:9" x14ac:dyDescent="0.35">
      <c r="A217">
        <f t="shared" ca="1" si="18"/>
        <v>190</v>
      </c>
      <c r="B217" t="s">
        <v>442</v>
      </c>
      <c r="C217" t="s">
        <v>32</v>
      </c>
      <c r="D217">
        <f t="shared" ca="1" si="15"/>
        <v>45.36999999999999</v>
      </c>
      <c r="E217" s="5">
        <f t="shared" ca="1" si="19"/>
        <v>-63.990000000000009</v>
      </c>
      <c r="F217" t="str">
        <f ca="1">IF(H217&lt;=I217,"Starter",IF(G217&gt;=LARGE(G:G,FlexOn*LeagueInfo!$F$2),"Starter","Bench"))</f>
        <v>Bench</v>
      </c>
      <c r="G217">
        <f t="shared" ca="1" si="16"/>
        <v>45.36999999999999</v>
      </c>
      <c r="H217">
        <f t="shared" ca="1" si="17"/>
        <v>121</v>
      </c>
      <c r="I217">
        <f>IF(C217="RB",LeagueInfo!$D$4*LeagueInfo!$F$2,LeagueInfo!$D$5*LeagueInfo!$F$2)</f>
        <v>24</v>
      </c>
    </row>
    <row r="218" spans="1:9" x14ac:dyDescent="0.35">
      <c r="A218">
        <f t="shared" ca="1" si="18"/>
        <v>216</v>
      </c>
      <c r="B218" t="s">
        <v>231</v>
      </c>
      <c r="C218" t="s">
        <v>25</v>
      </c>
      <c r="D218">
        <f t="shared" ca="1" si="15"/>
        <v>30.93</v>
      </c>
      <c r="E218" s="5">
        <f t="shared" ca="1" si="19"/>
        <v>-78.430000000000007</v>
      </c>
      <c r="F218" t="str">
        <f ca="1">IF(H218&lt;=I218,"Starter",IF(G218&gt;=LARGE(G:G,FlexOn*LeagueInfo!$F$2),"Starter","Bench"))</f>
        <v>Bench</v>
      </c>
      <c r="G218">
        <f t="shared" ca="1" si="16"/>
        <v>30.93</v>
      </c>
      <c r="H218">
        <f t="shared" ca="1" si="17"/>
        <v>88</v>
      </c>
      <c r="I218">
        <f>IF(C218="RB",LeagueInfo!$D$4*LeagueInfo!$F$2,LeagueInfo!$D$5*LeagueInfo!$F$2)</f>
        <v>24</v>
      </c>
    </row>
    <row r="219" spans="1:9" x14ac:dyDescent="0.35">
      <c r="A219">
        <f t="shared" ca="1" si="18"/>
        <v>154</v>
      </c>
      <c r="B219" t="s">
        <v>560</v>
      </c>
      <c r="C219" t="s">
        <v>32</v>
      </c>
      <c r="D219">
        <f t="shared" ca="1" si="15"/>
        <v>69.44</v>
      </c>
      <c r="E219" s="5">
        <f t="shared" ca="1" si="19"/>
        <v>-39.92</v>
      </c>
      <c r="F219" t="str">
        <f ca="1">IF(H219&lt;=I219,"Starter",IF(G219&gt;=LARGE(G:G,FlexOn*LeagueInfo!$F$2),"Starter","Bench"))</f>
        <v>Bench</v>
      </c>
      <c r="G219">
        <f t="shared" ca="1" si="16"/>
        <v>69.44</v>
      </c>
      <c r="H219">
        <f t="shared" ca="1" si="17"/>
        <v>99</v>
      </c>
      <c r="I219">
        <f>IF(C219="RB",LeagueInfo!$D$4*LeagueInfo!$F$2,LeagueInfo!$D$5*LeagueInfo!$F$2)</f>
        <v>24</v>
      </c>
    </row>
    <row r="220" spans="1:9" x14ac:dyDescent="0.35">
      <c r="A220">
        <f t="shared" ca="1" si="18"/>
        <v>229</v>
      </c>
      <c r="B220" t="s">
        <v>928</v>
      </c>
      <c r="C220" t="s">
        <v>32</v>
      </c>
      <c r="D220">
        <f t="shared" ca="1" si="15"/>
        <v>26.71</v>
      </c>
      <c r="E220" s="5">
        <f t="shared" ca="1" si="19"/>
        <v>-82.65</v>
      </c>
      <c r="F220" t="str">
        <f ca="1">IF(H220&lt;=I220,"Starter",IF(G220&gt;=LARGE(G:G,FlexOn*LeagueInfo!$F$2),"Starter","Bench"))</f>
        <v>Bench</v>
      </c>
      <c r="G220">
        <f t="shared" ca="1" si="16"/>
        <v>26.71</v>
      </c>
      <c r="H220">
        <f t="shared" ca="1" si="17"/>
        <v>145</v>
      </c>
      <c r="I220">
        <f>IF(C220="RB",LeagueInfo!$D$4*LeagueInfo!$F$2,LeagueInfo!$D$5*LeagueInfo!$F$2)</f>
        <v>24</v>
      </c>
    </row>
    <row r="221" spans="1:9" x14ac:dyDescent="0.35">
      <c r="A221">
        <f t="shared" ca="1" si="18"/>
        <v>224</v>
      </c>
      <c r="B221" t="s">
        <v>439</v>
      </c>
      <c r="C221" t="s">
        <v>32</v>
      </c>
      <c r="D221">
        <f t="shared" ca="1" si="15"/>
        <v>28.349999999999998</v>
      </c>
      <c r="E221" s="5">
        <f t="shared" ca="1" si="19"/>
        <v>-81.010000000000005</v>
      </c>
      <c r="F221" t="str">
        <f ca="1">IF(H221&lt;=I221,"Starter",IF(G221&gt;=LARGE(G:G,FlexOn*LeagueInfo!$F$2),"Starter","Bench"))</f>
        <v>Bench</v>
      </c>
      <c r="G221">
        <f t="shared" ca="1" si="16"/>
        <v>28.349999999999998</v>
      </c>
      <c r="H221">
        <f t="shared" ca="1" si="17"/>
        <v>141</v>
      </c>
      <c r="I221">
        <f>IF(C221="RB",LeagueInfo!$D$4*LeagueInfo!$F$2,LeagueInfo!$D$5*LeagueInfo!$F$2)</f>
        <v>24</v>
      </c>
    </row>
    <row r="222" spans="1:9" x14ac:dyDescent="0.35">
      <c r="A222">
        <f t="shared" ca="1" si="18"/>
        <v>275</v>
      </c>
      <c r="B222" t="s">
        <v>1088</v>
      </c>
      <c r="C222" t="s">
        <v>32</v>
      </c>
      <c r="D222">
        <f t="shared" ca="1" si="15"/>
        <v>16.059999999999999</v>
      </c>
      <c r="E222" s="5">
        <f t="shared" ca="1" si="19"/>
        <v>-93.3</v>
      </c>
      <c r="F222" t="str">
        <f ca="1">IF(H222&lt;=I222,"Starter",IF(G222&gt;=LARGE(G:G,FlexOn*LeagueInfo!$F$2),"Starter","Bench"))</f>
        <v>Bench</v>
      </c>
      <c r="G222">
        <f t="shared" ca="1" si="16"/>
        <v>16.059999999999999</v>
      </c>
      <c r="H222">
        <f t="shared" ca="1" si="17"/>
        <v>177</v>
      </c>
      <c r="I222">
        <f>IF(C222="RB",LeagueInfo!$D$4*LeagueInfo!$F$2,LeagueInfo!$D$5*LeagueInfo!$F$2)</f>
        <v>24</v>
      </c>
    </row>
    <row r="223" spans="1:9" x14ac:dyDescent="0.35">
      <c r="A223">
        <f t="shared" ca="1" si="18"/>
        <v>234</v>
      </c>
      <c r="B223" t="s">
        <v>1011</v>
      </c>
      <c r="C223" t="s">
        <v>32</v>
      </c>
      <c r="D223">
        <f t="shared" ca="1" si="15"/>
        <v>25.5</v>
      </c>
      <c r="E223" s="5">
        <f t="shared" ca="1" si="19"/>
        <v>-83.86</v>
      </c>
      <c r="F223" t="str">
        <f ca="1">IF(H223&lt;=I223,"Starter",IF(G223&gt;=LARGE(G:G,FlexOn*LeagueInfo!$F$2),"Starter","Bench"))</f>
        <v>Bench</v>
      </c>
      <c r="G223">
        <f t="shared" ca="1" si="16"/>
        <v>25.5</v>
      </c>
      <c r="H223">
        <f t="shared" ca="1" si="17"/>
        <v>149</v>
      </c>
      <c r="I223">
        <f>IF(C223="RB",LeagueInfo!$D$4*LeagueInfo!$F$2,LeagueInfo!$D$5*LeagueInfo!$F$2)</f>
        <v>24</v>
      </c>
    </row>
    <row r="224" spans="1:9" x14ac:dyDescent="0.35">
      <c r="A224">
        <f t="shared" ca="1" si="18"/>
        <v>237</v>
      </c>
      <c r="B224" t="s">
        <v>1080</v>
      </c>
      <c r="C224" t="s">
        <v>32</v>
      </c>
      <c r="D224">
        <f t="shared" ca="1" si="15"/>
        <v>24.6</v>
      </c>
      <c r="E224" s="5">
        <f t="shared" ca="1" si="19"/>
        <v>-84.759999999999991</v>
      </c>
      <c r="F224" t="str">
        <f ca="1">IF(H224&lt;=I224,"Starter",IF(G224&gt;=LARGE(G:G,FlexOn*LeagueInfo!$F$2),"Starter","Bench"))</f>
        <v>Bench</v>
      </c>
      <c r="G224">
        <f t="shared" ca="1" si="16"/>
        <v>24.6</v>
      </c>
      <c r="H224">
        <f t="shared" ca="1" si="17"/>
        <v>151</v>
      </c>
      <c r="I224">
        <f>IF(C224="RB",LeagueInfo!$D$4*LeagueInfo!$F$2,LeagueInfo!$D$5*LeagueInfo!$F$2)</f>
        <v>24</v>
      </c>
    </row>
    <row r="225" spans="1:9" x14ac:dyDescent="0.35">
      <c r="A225">
        <f t="shared" ca="1" si="18"/>
        <v>239</v>
      </c>
      <c r="B225" t="s">
        <v>1012</v>
      </c>
      <c r="C225" t="s">
        <v>32</v>
      </c>
      <c r="D225">
        <f t="shared" ca="1" si="15"/>
        <v>24.200000000000003</v>
      </c>
      <c r="E225" s="5">
        <f t="shared" ca="1" si="19"/>
        <v>-85.16</v>
      </c>
      <c r="F225" t="str">
        <f ca="1">IF(H225&lt;=I225,"Starter",IF(G225&gt;=LARGE(G:G,FlexOn*LeagueInfo!$F$2),"Starter","Bench"))</f>
        <v>Bench</v>
      </c>
      <c r="G225">
        <f t="shared" ca="1" si="16"/>
        <v>24.200000000000003</v>
      </c>
      <c r="H225">
        <f t="shared" ca="1" si="17"/>
        <v>153</v>
      </c>
      <c r="I225">
        <f>IF(C225="RB",LeagueInfo!$D$4*LeagueInfo!$F$2,LeagueInfo!$D$5*LeagueInfo!$F$2)</f>
        <v>24</v>
      </c>
    </row>
    <row r="226" spans="1:9" x14ac:dyDescent="0.35">
      <c r="A226">
        <f t="shared" ca="1" si="18"/>
        <v>235</v>
      </c>
      <c r="B226" t="s">
        <v>111</v>
      </c>
      <c r="C226" t="s">
        <v>25</v>
      </c>
      <c r="D226">
        <f t="shared" ca="1" si="15"/>
        <v>25.220000000000002</v>
      </c>
      <c r="E226" s="5">
        <f t="shared" ca="1" si="19"/>
        <v>-84.14</v>
      </c>
      <c r="F226" t="str">
        <f ca="1">IF(H226&lt;=I226,"Starter",IF(G226&gt;=LARGE(G:G,FlexOn*LeagueInfo!$F$2),"Starter","Bench"))</f>
        <v>Bench</v>
      </c>
      <c r="G226">
        <f t="shared" ca="1" si="16"/>
        <v>25.220000000000002</v>
      </c>
      <c r="H226">
        <f t="shared" ca="1" si="17"/>
        <v>96</v>
      </c>
      <c r="I226">
        <f>IF(C226="RB",LeagueInfo!$D$4*LeagueInfo!$F$2,LeagueInfo!$D$5*LeagueInfo!$F$2)</f>
        <v>24</v>
      </c>
    </row>
    <row r="227" spans="1:9" x14ac:dyDescent="0.35">
      <c r="A227">
        <f t="shared" ca="1" si="18"/>
        <v>257</v>
      </c>
      <c r="B227" t="s">
        <v>1079</v>
      </c>
      <c r="C227" t="s">
        <v>32</v>
      </c>
      <c r="D227">
        <f t="shared" ca="1" si="15"/>
        <v>19.73</v>
      </c>
      <c r="E227" s="5">
        <f t="shared" ca="1" si="19"/>
        <v>-89.63</v>
      </c>
      <c r="F227" t="str">
        <f ca="1">IF(H227&lt;=I227,"Starter",IF(G227&gt;=LARGE(G:G,FlexOn*LeagueInfo!$F$2),"Starter","Bench"))</f>
        <v>Bench</v>
      </c>
      <c r="G227">
        <f t="shared" ca="1" si="16"/>
        <v>19.73</v>
      </c>
      <c r="H227">
        <f t="shared" ca="1" si="17"/>
        <v>165</v>
      </c>
      <c r="I227">
        <f>IF(C227="RB",LeagueInfo!$D$4*LeagueInfo!$F$2,LeagueInfo!$D$5*LeagueInfo!$F$2)</f>
        <v>24</v>
      </c>
    </row>
    <row r="228" spans="1:9" x14ac:dyDescent="0.35">
      <c r="A228">
        <f t="shared" ca="1" si="18"/>
        <v>271</v>
      </c>
      <c r="B228" t="s">
        <v>1009</v>
      </c>
      <c r="C228" t="s">
        <v>32</v>
      </c>
      <c r="D228">
        <f t="shared" ca="1" si="15"/>
        <v>16.190000000000001</v>
      </c>
      <c r="E228" s="5">
        <f t="shared" ca="1" si="19"/>
        <v>-93.17</v>
      </c>
      <c r="F228" t="str">
        <f ca="1">IF(H228&lt;=I228,"Starter",IF(G228&gt;=LARGE(G:G,FlexOn*LeagueInfo!$F$2),"Starter","Bench"))</f>
        <v>Bench</v>
      </c>
      <c r="G228">
        <f t="shared" ca="1" si="16"/>
        <v>16.190000000000001</v>
      </c>
      <c r="H228">
        <f t="shared" ca="1" si="17"/>
        <v>174</v>
      </c>
      <c r="I228">
        <f>IF(C228="RB",LeagueInfo!$D$4*LeagueInfo!$F$2,LeagueInfo!$D$5*LeagueInfo!$F$2)</f>
        <v>24</v>
      </c>
    </row>
    <row r="229" spans="1:9" x14ac:dyDescent="0.35">
      <c r="A229">
        <f t="shared" ca="1" si="18"/>
        <v>242</v>
      </c>
      <c r="B229" t="s">
        <v>1097</v>
      </c>
      <c r="C229" t="s">
        <v>32</v>
      </c>
      <c r="D229">
        <f t="shared" ca="1" si="15"/>
        <v>23.700000000000003</v>
      </c>
      <c r="E229" s="5">
        <f t="shared" ca="1" si="19"/>
        <v>-85.66</v>
      </c>
      <c r="F229" t="str">
        <f ca="1">IF(H229&lt;=I229,"Starter",IF(G229&gt;=LARGE(G:G,FlexOn*LeagueInfo!$F$2),"Starter","Bench"))</f>
        <v>Bench</v>
      </c>
      <c r="G229">
        <f t="shared" ca="1" si="16"/>
        <v>23.700000000000003</v>
      </c>
      <c r="H229">
        <f t="shared" ca="1" si="17"/>
        <v>156</v>
      </c>
      <c r="I229">
        <f>IF(C229="RB",LeagueInfo!$D$4*LeagueInfo!$F$2,LeagueInfo!$D$5*LeagueInfo!$F$2)</f>
        <v>24</v>
      </c>
    </row>
    <row r="230" spans="1:9" x14ac:dyDescent="0.35">
      <c r="A230">
        <f t="shared" ca="1" si="18"/>
        <v>241</v>
      </c>
      <c r="B230" t="s">
        <v>930</v>
      </c>
      <c r="C230" t="s">
        <v>32</v>
      </c>
      <c r="D230">
        <f t="shared" ca="1" si="15"/>
        <v>23.759999999999998</v>
      </c>
      <c r="E230" s="5">
        <f t="shared" ca="1" si="19"/>
        <v>-85.6</v>
      </c>
      <c r="F230" t="str">
        <f ca="1">IF(H230&lt;=I230,"Starter",IF(G230&gt;=LARGE(G:G,FlexOn*LeagueInfo!$F$2),"Starter","Bench"))</f>
        <v>Bench</v>
      </c>
      <c r="G230">
        <f t="shared" ca="1" si="16"/>
        <v>23.759999999999998</v>
      </c>
      <c r="H230">
        <f t="shared" ca="1" si="17"/>
        <v>155</v>
      </c>
      <c r="I230">
        <f>IF(C230="RB",LeagueInfo!$D$4*LeagueInfo!$F$2,LeagueInfo!$D$5*LeagueInfo!$F$2)</f>
        <v>24</v>
      </c>
    </row>
    <row r="231" spans="1:9" x14ac:dyDescent="0.35">
      <c r="A231">
        <f t="shared" ca="1" si="18"/>
        <v>240</v>
      </c>
      <c r="B231" t="s">
        <v>1089</v>
      </c>
      <c r="C231" t="s">
        <v>32</v>
      </c>
      <c r="D231">
        <f t="shared" ca="1" si="15"/>
        <v>24</v>
      </c>
      <c r="E231" s="5">
        <f t="shared" ca="1" si="19"/>
        <v>-85.36</v>
      </c>
      <c r="F231" t="str">
        <f ca="1">IF(H231&lt;=I231,"Starter",IF(G231&gt;=LARGE(G:G,FlexOn*LeagueInfo!$F$2),"Starter","Bench"))</f>
        <v>Bench</v>
      </c>
      <c r="G231">
        <f t="shared" ca="1" si="16"/>
        <v>24</v>
      </c>
      <c r="H231">
        <f t="shared" ca="1" si="17"/>
        <v>154</v>
      </c>
      <c r="I231">
        <f>IF(C231="RB",LeagueInfo!$D$4*LeagueInfo!$F$2,LeagueInfo!$D$5*LeagueInfo!$F$2)</f>
        <v>24</v>
      </c>
    </row>
    <row r="232" spans="1:9" x14ac:dyDescent="0.35">
      <c r="A232">
        <f t="shared" ca="1" si="18"/>
        <v>230</v>
      </c>
      <c r="B232" t="s">
        <v>932</v>
      </c>
      <c r="C232" t="s">
        <v>32</v>
      </c>
      <c r="D232">
        <f t="shared" ca="1" si="15"/>
        <v>26.200000000000003</v>
      </c>
      <c r="E232" s="5">
        <f t="shared" ca="1" si="19"/>
        <v>-83.16</v>
      </c>
      <c r="F232" t="str">
        <f ca="1">IF(H232&lt;=I232,"Starter",IF(G232&gt;=LARGE(G:G,FlexOn*LeagueInfo!$F$2),"Starter","Bench"))</f>
        <v>Bench</v>
      </c>
      <c r="G232">
        <f t="shared" ca="1" si="16"/>
        <v>26.200000000000003</v>
      </c>
      <c r="H232">
        <f t="shared" ca="1" si="17"/>
        <v>146</v>
      </c>
      <c r="I232">
        <f>IF(C232="RB",LeagueInfo!$D$4*LeagueInfo!$F$2,LeagueInfo!$D$5*LeagueInfo!$F$2)</f>
        <v>24</v>
      </c>
    </row>
    <row r="233" spans="1:9" x14ac:dyDescent="0.35">
      <c r="A233">
        <f t="shared" ca="1" si="18"/>
        <v>251</v>
      </c>
      <c r="B233" t="s">
        <v>793</v>
      </c>
      <c r="C233" t="s">
        <v>32</v>
      </c>
      <c r="D233">
        <f t="shared" ca="1" si="15"/>
        <v>21.840000000000003</v>
      </c>
      <c r="E233" s="5">
        <f t="shared" ca="1" si="19"/>
        <v>-87.52</v>
      </c>
      <c r="F233" t="str">
        <f ca="1">IF(H233&lt;=I233,"Starter",IF(G233&gt;=LARGE(G:G,FlexOn*LeagueInfo!$F$2),"Starter","Bench"))</f>
        <v>Bench</v>
      </c>
      <c r="G233">
        <f t="shared" ca="1" si="16"/>
        <v>21.840000000000003</v>
      </c>
      <c r="H233">
        <f t="shared" ca="1" si="17"/>
        <v>162</v>
      </c>
      <c r="I233">
        <f>IF(C233="RB",LeagueInfo!$D$4*LeagueInfo!$F$2,LeagueInfo!$D$5*LeagueInfo!$F$2)</f>
        <v>24</v>
      </c>
    </row>
    <row r="234" spans="1:9" x14ac:dyDescent="0.35">
      <c r="A234">
        <f t="shared" ca="1" si="18"/>
        <v>236</v>
      </c>
      <c r="B234" t="s">
        <v>1096</v>
      </c>
      <c r="C234" t="s">
        <v>32</v>
      </c>
      <c r="D234">
        <f t="shared" ca="1" si="15"/>
        <v>25.21</v>
      </c>
      <c r="E234" s="5">
        <f t="shared" ca="1" si="19"/>
        <v>-84.15</v>
      </c>
      <c r="F234" t="str">
        <f ca="1">IF(H234&lt;=I234,"Starter",IF(G234&gt;=LARGE(G:G,FlexOn*LeagueInfo!$F$2),"Starter","Bench"))</f>
        <v>Bench</v>
      </c>
      <c r="G234">
        <f t="shared" ca="1" si="16"/>
        <v>25.21</v>
      </c>
      <c r="H234">
        <f t="shared" ca="1" si="17"/>
        <v>150</v>
      </c>
      <c r="I234">
        <f>IF(C234="RB",LeagueInfo!$D$4*LeagueInfo!$F$2,LeagueInfo!$D$5*LeagueInfo!$F$2)</f>
        <v>24</v>
      </c>
    </row>
    <row r="235" spans="1:9" x14ac:dyDescent="0.35">
      <c r="A235">
        <f t="shared" ca="1" si="18"/>
        <v>233</v>
      </c>
      <c r="B235" t="s">
        <v>934</v>
      </c>
      <c r="C235" t="s">
        <v>32</v>
      </c>
      <c r="D235">
        <f t="shared" ca="1" si="15"/>
        <v>25.549999999999997</v>
      </c>
      <c r="E235" s="5">
        <f t="shared" ca="1" si="19"/>
        <v>-83.81</v>
      </c>
      <c r="F235" t="str">
        <f ca="1">IF(H235&lt;=I235,"Starter",IF(G235&gt;=LARGE(G:G,FlexOn*LeagueInfo!$F$2),"Starter","Bench"))</f>
        <v>Bench</v>
      </c>
      <c r="G235">
        <f t="shared" ca="1" si="16"/>
        <v>25.549999999999997</v>
      </c>
      <c r="H235">
        <f t="shared" ca="1" si="17"/>
        <v>148</v>
      </c>
      <c r="I235">
        <f>IF(C235="RB",LeagueInfo!$D$4*LeagueInfo!$F$2,LeagueInfo!$D$5*LeagueInfo!$F$2)</f>
        <v>24</v>
      </c>
    </row>
    <row r="236" spans="1:9" x14ac:dyDescent="0.35">
      <c r="A236">
        <f t="shared" ca="1" si="18"/>
        <v>264</v>
      </c>
      <c r="B236" t="s">
        <v>994</v>
      </c>
      <c r="C236" t="s">
        <v>25</v>
      </c>
      <c r="D236">
        <f t="shared" ca="1" si="15"/>
        <v>18.07</v>
      </c>
      <c r="E236" s="5">
        <f t="shared" ca="1" si="19"/>
        <v>-91.289999999999992</v>
      </c>
      <c r="F236" t="str">
        <f ca="1">IF(H236&lt;=I236,"Starter",IF(G236&gt;=LARGE(G:G,FlexOn*LeagueInfo!$F$2),"Starter","Bench"))</f>
        <v>Bench</v>
      </c>
      <c r="G236">
        <f t="shared" ca="1" si="16"/>
        <v>18.07</v>
      </c>
      <c r="H236">
        <f t="shared" ca="1" si="17"/>
        <v>106</v>
      </c>
      <c r="I236">
        <f>IF(C236="RB",LeagueInfo!$D$4*LeagueInfo!$F$2,LeagueInfo!$D$5*LeagueInfo!$F$2)</f>
        <v>24</v>
      </c>
    </row>
    <row r="237" spans="1:9" x14ac:dyDescent="0.35">
      <c r="A237">
        <f t="shared" ca="1" si="18"/>
        <v>258</v>
      </c>
      <c r="B237" t="s">
        <v>808</v>
      </c>
      <c r="C237" t="s">
        <v>32</v>
      </c>
      <c r="D237">
        <f t="shared" ca="1" si="15"/>
        <v>19.48</v>
      </c>
      <c r="E237" s="5">
        <f t="shared" ca="1" si="19"/>
        <v>-89.88</v>
      </c>
      <c r="F237" t="str">
        <f ca="1">IF(H237&lt;=I237,"Starter",IF(G237&gt;=LARGE(G:G,FlexOn*LeagueInfo!$F$2),"Starter","Bench"))</f>
        <v>Bench</v>
      </c>
      <c r="G237">
        <f t="shared" ca="1" si="16"/>
        <v>19.48</v>
      </c>
      <c r="H237">
        <f t="shared" ca="1" si="17"/>
        <v>166</v>
      </c>
      <c r="I237">
        <f>IF(C237="RB",LeagueInfo!$D$4*LeagueInfo!$F$2,LeagueInfo!$D$5*LeagueInfo!$F$2)</f>
        <v>24</v>
      </c>
    </row>
    <row r="238" spans="1:9" x14ac:dyDescent="0.35">
      <c r="A238">
        <f t="shared" ca="1" si="18"/>
        <v>309</v>
      </c>
      <c r="B238" t="s">
        <v>356</v>
      </c>
      <c r="C238" t="s">
        <v>25</v>
      </c>
      <c r="D238">
        <f t="shared" ca="1" si="15"/>
        <v>7.1899999999999995</v>
      </c>
      <c r="E238" s="5">
        <f t="shared" ca="1" si="19"/>
        <v>-102.17</v>
      </c>
      <c r="F238" t="str">
        <f ca="1">IF(H238&lt;=I238,"Starter",IF(G238&gt;=LARGE(G:G,FlexOn*LeagueInfo!$F$2),"Starter","Bench"))</f>
        <v>Bench</v>
      </c>
      <c r="G238">
        <f t="shared" ca="1" si="16"/>
        <v>7.1899999999999995</v>
      </c>
      <c r="H238">
        <f t="shared" ca="1" si="17"/>
        <v>125</v>
      </c>
      <c r="I238">
        <f>IF(C238="RB",LeagueInfo!$D$4*LeagueInfo!$F$2,LeagueInfo!$D$5*LeagueInfo!$F$2)</f>
        <v>24</v>
      </c>
    </row>
    <row r="239" spans="1:9" x14ac:dyDescent="0.35">
      <c r="A239">
        <f t="shared" ca="1" si="18"/>
        <v>282</v>
      </c>
      <c r="B239" t="s">
        <v>505</v>
      </c>
      <c r="C239" t="s">
        <v>32</v>
      </c>
      <c r="D239">
        <f t="shared" ca="1" si="15"/>
        <v>14.799999999999999</v>
      </c>
      <c r="E239" s="5">
        <f t="shared" ca="1" si="19"/>
        <v>-94.56</v>
      </c>
      <c r="F239" t="str">
        <f ca="1">IF(H239&lt;=I239,"Starter",IF(G239&gt;=LARGE(G:G,FlexOn*LeagueInfo!$F$2),"Starter","Bench"))</f>
        <v>Bench</v>
      </c>
      <c r="G239">
        <f t="shared" ca="1" si="16"/>
        <v>14.799999999999999</v>
      </c>
      <c r="H239">
        <f t="shared" ca="1" si="17"/>
        <v>184</v>
      </c>
      <c r="I239">
        <f>IF(C239="RB",LeagueInfo!$D$4*LeagueInfo!$F$2,LeagueInfo!$D$5*LeagueInfo!$F$2)</f>
        <v>24</v>
      </c>
    </row>
    <row r="240" spans="1:9" x14ac:dyDescent="0.35">
      <c r="A240">
        <f t="shared" ca="1" si="18"/>
        <v>247</v>
      </c>
      <c r="B240" t="s">
        <v>783</v>
      </c>
      <c r="C240" t="s">
        <v>25</v>
      </c>
      <c r="D240">
        <f t="shared" ref="D240:D282" ca="1" si="20">INDEX(INDIRECT($C240&amp;"!P:P"),MATCH($B240,INDIRECT($C240&amp;"!B:B"),0))</f>
        <v>22.71</v>
      </c>
      <c r="E240" s="5">
        <f t="shared" ca="1" si="19"/>
        <v>-86.65</v>
      </c>
      <c r="F240" t="str">
        <f ca="1">IF(H240&lt;=I240,"Starter",IF(G240&gt;=LARGE(G:G,FlexOn*LeagueInfo!$F$2),"Starter","Bench"))</f>
        <v>Bench</v>
      </c>
      <c r="G240">
        <f t="shared" ref="G240:G282" ca="1" si="21">IF(H240&gt;I240,D240,0)</f>
        <v>22.71</v>
      </c>
      <c r="H240">
        <f t="shared" ref="H240:H282" ca="1" si="22">INDEX(INDIRECT(""&amp;C240&amp;"!A2:A489"),MATCH(B240,INDIRECT(""&amp;C240&amp;"!B2:B489"),0))</f>
        <v>98</v>
      </c>
      <c r="I240">
        <f>IF(C240="RB",LeagueInfo!$D$4*LeagueInfo!$F$2,LeagueInfo!$D$5*LeagueInfo!$F$2)</f>
        <v>24</v>
      </c>
    </row>
    <row r="241" spans="1:9" x14ac:dyDescent="0.35">
      <c r="A241">
        <f t="shared" ca="1" si="18"/>
        <v>252</v>
      </c>
      <c r="B241" t="s">
        <v>476</v>
      </c>
      <c r="C241" t="s">
        <v>25</v>
      </c>
      <c r="D241">
        <f t="shared" ca="1" si="20"/>
        <v>21.460000000000004</v>
      </c>
      <c r="E241" s="5">
        <f t="shared" ca="1" si="19"/>
        <v>-87.899999999999991</v>
      </c>
      <c r="F241" t="str">
        <f ca="1">IF(H241&lt;=I241,"Starter",IF(G241&gt;=LARGE(G:G,FlexOn*LeagueInfo!$F$2),"Starter","Bench"))</f>
        <v>Bench</v>
      </c>
      <c r="G241">
        <f t="shared" ca="1" si="21"/>
        <v>21.460000000000004</v>
      </c>
      <c r="H241">
        <f t="shared" ca="1" si="22"/>
        <v>101</v>
      </c>
      <c r="I241">
        <f>IF(C241="RB",LeagueInfo!$D$4*LeagueInfo!$F$2,LeagueInfo!$D$5*LeagueInfo!$F$2)</f>
        <v>24</v>
      </c>
    </row>
    <row r="242" spans="1:9" x14ac:dyDescent="0.35">
      <c r="A242">
        <f t="shared" ca="1" si="18"/>
        <v>253</v>
      </c>
      <c r="B242" t="s">
        <v>618</v>
      </c>
      <c r="C242" t="s">
        <v>25</v>
      </c>
      <c r="D242">
        <f t="shared" ca="1" si="20"/>
        <v>21.3</v>
      </c>
      <c r="E242" s="5">
        <f t="shared" ca="1" si="19"/>
        <v>-88.06</v>
      </c>
      <c r="F242" t="str">
        <f ca="1">IF(H242&lt;=I242,"Starter",IF(G242&gt;=LARGE(G:G,FlexOn*LeagueInfo!$F$2),"Starter","Bench"))</f>
        <v>Bench</v>
      </c>
      <c r="G242">
        <f t="shared" ca="1" si="21"/>
        <v>21.3</v>
      </c>
      <c r="H242">
        <f t="shared" ca="1" si="22"/>
        <v>102</v>
      </c>
      <c r="I242">
        <f>IF(C242="RB",LeagueInfo!$D$4*LeagueInfo!$F$2,LeagueInfo!$D$5*LeagueInfo!$F$2)</f>
        <v>24</v>
      </c>
    </row>
    <row r="243" spans="1:9" x14ac:dyDescent="0.35">
      <c r="A243">
        <f t="shared" ca="1" si="18"/>
        <v>259</v>
      </c>
      <c r="B243" t="s">
        <v>593</v>
      </c>
      <c r="C243" t="s">
        <v>32</v>
      </c>
      <c r="D243">
        <f t="shared" ca="1" si="20"/>
        <v>19.240000000000002</v>
      </c>
      <c r="E243" s="5">
        <f t="shared" ca="1" si="19"/>
        <v>-90.12</v>
      </c>
      <c r="F243" t="str">
        <f ca="1">IF(H243&lt;=I243,"Starter",IF(G243&gt;=LARGE(G:G,FlexOn*LeagueInfo!$F$2),"Starter","Bench"))</f>
        <v>Bench</v>
      </c>
      <c r="G243">
        <f t="shared" ca="1" si="21"/>
        <v>19.240000000000002</v>
      </c>
      <c r="H243">
        <f t="shared" ca="1" si="22"/>
        <v>167</v>
      </c>
      <c r="I243">
        <f>IF(C243="RB",LeagueInfo!$D$4*LeagueInfo!$F$2,LeagueInfo!$D$5*LeagueInfo!$F$2)</f>
        <v>24</v>
      </c>
    </row>
    <row r="244" spans="1:9" x14ac:dyDescent="0.35">
      <c r="A244">
        <f t="shared" ca="1" si="18"/>
        <v>255</v>
      </c>
      <c r="B244" t="s">
        <v>526</v>
      </c>
      <c r="C244" t="s">
        <v>25</v>
      </c>
      <c r="D244">
        <f t="shared" ca="1" si="20"/>
        <v>20.810000000000006</v>
      </c>
      <c r="E244" s="5">
        <f t="shared" ca="1" si="19"/>
        <v>-88.55</v>
      </c>
      <c r="F244" t="str">
        <f ca="1">IF(H244&lt;=I244,"Starter",IF(G244&gt;=LARGE(G:G,FlexOn*LeagueInfo!$F$2),"Starter","Bench"))</f>
        <v>Bench</v>
      </c>
      <c r="G244">
        <f t="shared" ca="1" si="21"/>
        <v>20.810000000000006</v>
      </c>
      <c r="H244">
        <f t="shared" ca="1" si="22"/>
        <v>103</v>
      </c>
      <c r="I244">
        <f>IF(C244="RB",LeagueInfo!$D$4*LeagueInfo!$F$2,LeagueInfo!$D$5*LeagueInfo!$F$2)</f>
        <v>24</v>
      </c>
    </row>
    <row r="245" spans="1:9" x14ac:dyDescent="0.35">
      <c r="A245">
        <f t="shared" ca="1" si="18"/>
        <v>219</v>
      </c>
      <c r="B245" t="s">
        <v>931</v>
      </c>
      <c r="C245" t="s">
        <v>32</v>
      </c>
      <c r="D245">
        <f t="shared" ca="1" si="20"/>
        <v>29.71</v>
      </c>
      <c r="E245" s="5">
        <f t="shared" ca="1" si="19"/>
        <v>-79.650000000000006</v>
      </c>
      <c r="F245" t="str">
        <f ca="1">IF(H245&lt;=I245,"Starter",IF(G245&gt;=LARGE(G:G,FlexOn*LeagueInfo!$F$2),"Starter","Bench"))</f>
        <v>Bench</v>
      </c>
      <c r="G245">
        <f t="shared" ca="1" si="21"/>
        <v>29.71</v>
      </c>
      <c r="H245">
        <f t="shared" ca="1" si="22"/>
        <v>137</v>
      </c>
      <c r="I245">
        <f>IF(C245="RB",LeagueInfo!$D$4*LeagueInfo!$F$2,LeagueInfo!$D$5*LeagueInfo!$F$2)</f>
        <v>24</v>
      </c>
    </row>
    <row r="246" spans="1:9" x14ac:dyDescent="0.35">
      <c r="A246">
        <f t="shared" ca="1" si="18"/>
        <v>238</v>
      </c>
      <c r="B246" t="s">
        <v>563</v>
      </c>
      <c r="C246" t="s">
        <v>32</v>
      </c>
      <c r="D246">
        <f t="shared" ca="1" si="20"/>
        <v>24.55</v>
      </c>
      <c r="E246" s="5">
        <f t="shared" ca="1" si="19"/>
        <v>-84.81</v>
      </c>
      <c r="F246" t="str">
        <f ca="1">IF(H246&lt;=I246,"Starter",IF(G246&gt;=LARGE(G:G,FlexOn*LeagueInfo!$F$2),"Starter","Bench"))</f>
        <v>Bench</v>
      </c>
      <c r="G246">
        <f t="shared" ca="1" si="21"/>
        <v>24.55</v>
      </c>
      <c r="H246">
        <f t="shared" ca="1" si="22"/>
        <v>152</v>
      </c>
      <c r="I246">
        <f>IF(C246="RB",LeagueInfo!$D$4*LeagueInfo!$F$2,LeagueInfo!$D$5*LeagueInfo!$F$2)</f>
        <v>24</v>
      </c>
    </row>
    <row r="247" spans="1:9" x14ac:dyDescent="0.35">
      <c r="A247">
        <f t="shared" ca="1" si="18"/>
        <v>232</v>
      </c>
      <c r="B247" t="s">
        <v>755</v>
      </c>
      <c r="C247" t="s">
        <v>25</v>
      </c>
      <c r="D247">
        <f t="shared" ca="1" si="20"/>
        <v>26.17</v>
      </c>
      <c r="E247" s="5">
        <f t="shared" ca="1" si="19"/>
        <v>-83.19</v>
      </c>
      <c r="F247" t="str">
        <f ca="1">IF(H247&lt;=I247,"Starter",IF(G247&gt;=LARGE(G:G,FlexOn*LeagueInfo!$F$2),"Starter","Bench"))</f>
        <v>Bench</v>
      </c>
      <c r="G247">
        <f t="shared" ca="1" si="21"/>
        <v>26.17</v>
      </c>
      <c r="H247">
        <f t="shared" ca="1" si="22"/>
        <v>95</v>
      </c>
      <c r="I247">
        <f>IF(C247="RB",LeagueInfo!$D$4*LeagueInfo!$F$2,LeagueInfo!$D$5*LeagueInfo!$F$2)</f>
        <v>24</v>
      </c>
    </row>
    <row r="248" spans="1:9" x14ac:dyDescent="0.35">
      <c r="A248">
        <f t="shared" ca="1" si="18"/>
        <v>254</v>
      </c>
      <c r="B248" t="s">
        <v>833</v>
      </c>
      <c r="C248" t="s">
        <v>32</v>
      </c>
      <c r="D248">
        <f t="shared" ca="1" si="20"/>
        <v>21.240000000000002</v>
      </c>
      <c r="E248" s="5">
        <f t="shared" ca="1" si="19"/>
        <v>-88.12</v>
      </c>
      <c r="F248" t="str">
        <f ca="1">IF(H248&lt;=I248,"Starter",IF(G248&gt;=LARGE(G:G,FlexOn*LeagueInfo!$F$2),"Starter","Bench"))</f>
        <v>Bench</v>
      </c>
      <c r="G248">
        <f t="shared" ca="1" si="21"/>
        <v>21.240000000000002</v>
      </c>
      <c r="H248">
        <f t="shared" ca="1" si="22"/>
        <v>163</v>
      </c>
      <c r="I248">
        <f>IF(C248="RB",LeagueInfo!$D$4*LeagueInfo!$F$2,LeagueInfo!$D$5*LeagueInfo!$F$2)</f>
        <v>24</v>
      </c>
    </row>
    <row r="249" spans="1:9" x14ac:dyDescent="0.35">
      <c r="A249">
        <f t="shared" ca="1" si="18"/>
        <v>249</v>
      </c>
      <c r="B249" t="s">
        <v>874</v>
      </c>
      <c r="C249" t="s">
        <v>25</v>
      </c>
      <c r="D249">
        <f t="shared" ca="1" si="20"/>
        <v>22.1</v>
      </c>
      <c r="E249" s="5">
        <f t="shared" ca="1" si="19"/>
        <v>-87.259999999999991</v>
      </c>
      <c r="F249" t="str">
        <f ca="1">IF(H249&lt;=I249,"Starter",IF(G249&gt;=LARGE(G:G,FlexOn*LeagueInfo!$F$2),"Starter","Bench"))</f>
        <v>Bench</v>
      </c>
      <c r="G249">
        <f t="shared" ca="1" si="21"/>
        <v>22.1</v>
      </c>
      <c r="H249">
        <f t="shared" ca="1" si="22"/>
        <v>100</v>
      </c>
      <c r="I249">
        <f>IF(C249="RB",LeagueInfo!$D$4*LeagueInfo!$F$2,LeagueInfo!$D$5*LeagueInfo!$F$2)</f>
        <v>24</v>
      </c>
    </row>
    <row r="250" spans="1:9" x14ac:dyDescent="0.35">
      <c r="A250">
        <f t="shared" ca="1" si="18"/>
        <v>212</v>
      </c>
      <c r="B250" t="s">
        <v>761</v>
      </c>
      <c r="C250" t="s">
        <v>32</v>
      </c>
      <c r="D250">
        <f t="shared" ca="1" si="20"/>
        <v>31.700000000000003</v>
      </c>
      <c r="E250" s="5">
        <f t="shared" ca="1" si="19"/>
        <v>-77.66</v>
      </c>
      <c r="F250" t="str">
        <f ca="1">IF(H250&lt;=I250,"Starter",IF(G250&gt;=LARGE(G:G,FlexOn*LeagueInfo!$F$2),"Starter","Bench"))</f>
        <v>Bench</v>
      </c>
      <c r="G250">
        <f t="shared" ca="1" si="21"/>
        <v>31.700000000000003</v>
      </c>
      <c r="H250">
        <f t="shared" ca="1" si="22"/>
        <v>133</v>
      </c>
      <c r="I250">
        <f>IF(C250="RB",LeagueInfo!$D$4*LeagueInfo!$F$2,LeagueInfo!$D$5*LeagueInfo!$F$2)</f>
        <v>24</v>
      </c>
    </row>
    <row r="251" spans="1:9" x14ac:dyDescent="0.35">
      <c r="A251">
        <f t="shared" ca="1" si="18"/>
        <v>263</v>
      </c>
      <c r="B251" t="s">
        <v>768</v>
      </c>
      <c r="C251" t="s">
        <v>25</v>
      </c>
      <c r="D251">
        <f t="shared" ca="1" si="20"/>
        <v>18.320000000000004</v>
      </c>
      <c r="E251" s="5">
        <f t="shared" ca="1" si="19"/>
        <v>-91.039999999999992</v>
      </c>
      <c r="F251" t="str">
        <f ca="1">IF(H251&lt;=I251,"Starter",IF(G251&gt;=LARGE(G:G,FlexOn*LeagueInfo!$F$2),"Starter","Bench"))</f>
        <v>Bench</v>
      </c>
      <c r="G251">
        <f t="shared" ca="1" si="21"/>
        <v>18.320000000000004</v>
      </c>
      <c r="H251">
        <f t="shared" ca="1" si="22"/>
        <v>105</v>
      </c>
      <c r="I251">
        <f>IF(C251="RB",LeagueInfo!$D$4*LeagueInfo!$F$2,LeagueInfo!$D$5*LeagueInfo!$F$2)</f>
        <v>24</v>
      </c>
    </row>
    <row r="252" spans="1:9" x14ac:dyDescent="0.35">
      <c r="A252">
        <f t="shared" ca="1" si="18"/>
        <v>206</v>
      </c>
      <c r="B252" t="s">
        <v>849</v>
      </c>
      <c r="C252" t="s">
        <v>32</v>
      </c>
      <c r="D252">
        <f t="shared" ca="1" si="20"/>
        <v>33.800000000000004</v>
      </c>
      <c r="E252" s="5">
        <f t="shared" ca="1" si="19"/>
        <v>-75.56</v>
      </c>
      <c r="F252" t="str">
        <f ca="1">IF(H252&lt;=I252,"Starter",IF(G252&gt;=LARGE(G:G,FlexOn*LeagueInfo!$F$2),"Starter","Bench"))</f>
        <v>Bench</v>
      </c>
      <c r="G252">
        <f t="shared" ca="1" si="21"/>
        <v>33.800000000000004</v>
      </c>
      <c r="H252">
        <f t="shared" ca="1" si="22"/>
        <v>128</v>
      </c>
      <c r="I252">
        <f>IF(C252="RB",LeagueInfo!$D$4*LeagueInfo!$F$2,LeagueInfo!$D$5*LeagueInfo!$F$2)</f>
        <v>24</v>
      </c>
    </row>
    <row r="253" spans="1:9" x14ac:dyDescent="0.35">
      <c r="A253">
        <f t="shared" ca="1" si="18"/>
        <v>280</v>
      </c>
      <c r="B253" t="s">
        <v>786</v>
      </c>
      <c r="C253" t="s">
        <v>32</v>
      </c>
      <c r="D253">
        <f t="shared" ca="1" si="20"/>
        <v>14.89</v>
      </c>
      <c r="E253" s="5">
        <f t="shared" ca="1" si="19"/>
        <v>-94.47</v>
      </c>
      <c r="F253" t="str">
        <f ca="1">IF(H253&lt;=I253,"Starter",IF(G253&gt;=LARGE(G:G,FlexOn*LeagueInfo!$F$2),"Starter","Bench"))</f>
        <v>Bench</v>
      </c>
      <c r="G253">
        <f t="shared" ca="1" si="21"/>
        <v>14.89</v>
      </c>
      <c r="H253">
        <f t="shared" ca="1" si="22"/>
        <v>182</v>
      </c>
      <c r="I253">
        <f>IF(C253="RB",LeagueInfo!$D$4*LeagueInfo!$F$2,LeagueInfo!$D$5*LeagueInfo!$F$2)</f>
        <v>24</v>
      </c>
    </row>
    <row r="254" spans="1:9" x14ac:dyDescent="0.35">
      <c r="A254">
        <f t="shared" ca="1" si="18"/>
        <v>277</v>
      </c>
      <c r="B254" t="s">
        <v>791</v>
      </c>
      <c r="C254" t="s">
        <v>32</v>
      </c>
      <c r="D254">
        <f t="shared" ca="1" si="20"/>
        <v>15.16</v>
      </c>
      <c r="E254" s="5">
        <f t="shared" ca="1" si="19"/>
        <v>-94.2</v>
      </c>
      <c r="F254" t="str">
        <f ca="1">IF(H254&lt;=I254,"Starter",IF(G254&gt;=LARGE(G:G,FlexOn*LeagueInfo!$F$2),"Starter","Bench"))</f>
        <v>Bench</v>
      </c>
      <c r="G254">
        <f t="shared" ca="1" si="21"/>
        <v>15.16</v>
      </c>
      <c r="H254">
        <f t="shared" ca="1" si="22"/>
        <v>178</v>
      </c>
      <c r="I254">
        <f>IF(C254="RB",LeagueInfo!$D$4*LeagueInfo!$F$2,LeagueInfo!$D$5*LeagueInfo!$F$2)</f>
        <v>24</v>
      </c>
    </row>
    <row r="255" spans="1:9" x14ac:dyDescent="0.35">
      <c r="A255">
        <f t="shared" ca="1" si="18"/>
        <v>218</v>
      </c>
      <c r="B255" t="s">
        <v>960</v>
      </c>
      <c r="C255" t="s">
        <v>25</v>
      </c>
      <c r="D255">
        <f t="shared" ca="1" si="20"/>
        <v>29.889999999999997</v>
      </c>
      <c r="E255" s="5">
        <f t="shared" ca="1" si="19"/>
        <v>-79.47</v>
      </c>
      <c r="F255" t="str">
        <f ca="1">IF(H255&lt;=I255,"Starter",IF(G255&gt;=LARGE(G:G,FlexOn*LeagueInfo!$F$2),"Starter","Bench"))</f>
        <v>Bench</v>
      </c>
      <c r="G255">
        <f t="shared" ca="1" si="21"/>
        <v>29.889999999999997</v>
      </c>
      <c r="H255">
        <f t="shared" ca="1" si="22"/>
        <v>89</v>
      </c>
      <c r="I255">
        <f>IF(C255="RB",LeagueInfo!$D$4*LeagueInfo!$F$2,LeagueInfo!$D$5*LeagueInfo!$F$2)</f>
        <v>24</v>
      </c>
    </row>
    <row r="256" spans="1:9" x14ac:dyDescent="0.35">
      <c r="A256">
        <f t="shared" ca="1" si="18"/>
        <v>268</v>
      </c>
      <c r="B256" t="s">
        <v>784</v>
      </c>
      <c r="C256" t="s">
        <v>25</v>
      </c>
      <c r="D256">
        <f t="shared" ca="1" si="20"/>
        <v>16.93</v>
      </c>
      <c r="E256" s="5">
        <f t="shared" ca="1" si="19"/>
        <v>-92.43</v>
      </c>
      <c r="F256" t="str">
        <f ca="1">IF(H256&lt;=I256,"Starter",IF(G256&gt;=LARGE(G:G,FlexOn*LeagueInfo!$F$2),"Starter","Bench"))</f>
        <v>Bench</v>
      </c>
      <c r="G256">
        <f t="shared" ca="1" si="21"/>
        <v>16.93</v>
      </c>
      <c r="H256">
        <f t="shared" ca="1" si="22"/>
        <v>109</v>
      </c>
      <c r="I256">
        <f>IF(C256="RB",LeagueInfo!$D$4*LeagueInfo!$F$2,LeagueInfo!$D$5*LeagueInfo!$F$2)</f>
        <v>24</v>
      </c>
    </row>
    <row r="257" spans="1:9" x14ac:dyDescent="0.35">
      <c r="A257">
        <f t="shared" ca="1" si="18"/>
        <v>271</v>
      </c>
      <c r="B257" t="s">
        <v>467</v>
      </c>
      <c r="C257" t="s">
        <v>25</v>
      </c>
      <c r="D257">
        <f t="shared" ca="1" si="20"/>
        <v>16.190000000000001</v>
      </c>
      <c r="E257" s="5">
        <f t="shared" ca="1" si="19"/>
        <v>-93.17</v>
      </c>
      <c r="F257" t="str">
        <f ca="1">IF(H257&lt;=I257,"Starter",IF(G257&gt;=LARGE(G:G,FlexOn*LeagueInfo!$F$2),"Starter","Bench"))</f>
        <v>Bench</v>
      </c>
      <c r="G257">
        <f t="shared" ca="1" si="21"/>
        <v>16.190000000000001</v>
      </c>
      <c r="H257">
        <f t="shared" ca="1" si="22"/>
        <v>110</v>
      </c>
      <c r="I257">
        <f>IF(C257="RB",LeagueInfo!$D$4*LeagueInfo!$F$2,LeagueInfo!$D$5*LeagueInfo!$F$2)</f>
        <v>24</v>
      </c>
    </row>
    <row r="258" spans="1:9" x14ac:dyDescent="0.35">
      <c r="A258">
        <f t="shared" ref="A258:A321" ca="1" si="23">RANK(E258,E:E)</f>
        <v>205</v>
      </c>
      <c r="B258" t="s">
        <v>624</v>
      </c>
      <c r="C258" t="s">
        <v>25</v>
      </c>
      <c r="D258">
        <f t="shared" ca="1" si="20"/>
        <v>34.040000000000006</v>
      </c>
      <c r="E258" s="5">
        <f t="shared" ref="E258:E321" ca="1" si="24">D258-LARGE(D:D,RBCount+WRCount)</f>
        <v>-75.319999999999993</v>
      </c>
      <c r="F258" t="str">
        <f ca="1">IF(H258&lt;=I258,"Starter",IF(G258&gt;=LARGE(G:G,FlexOn*LeagueInfo!$F$2),"Starter","Bench"))</f>
        <v>Bench</v>
      </c>
      <c r="G258">
        <f t="shared" ca="1" si="21"/>
        <v>34.040000000000006</v>
      </c>
      <c r="H258">
        <f t="shared" ca="1" si="22"/>
        <v>84</v>
      </c>
      <c r="I258">
        <f>IF(C258="RB",LeagueInfo!$D$4*LeagueInfo!$F$2,LeagueInfo!$D$5*LeagueInfo!$F$2)</f>
        <v>24</v>
      </c>
    </row>
    <row r="259" spans="1:9" x14ac:dyDescent="0.35">
      <c r="A259">
        <f t="shared" ca="1" si="23"/>
        <v>286</v>
      </c>
      <c r="B259" t="s">
        <v>961</v>
      </c>
      <c r="C259" t="s">
        <v>25</v>
      </c>
      <c r="D259">
        <f t="shared" ca="1" si="20"/>
        <v>14.33</v>
      </c>
      <c r="E259" s="5">
        <f t="shared" ca="1" si="24"/>
        <v>-95.03</v>
      </c>
      <c r="F259" t="str">
        <f ca="1">IF(H259&lt;=I259,"Starter",IF(G259&gt;=LARGE(G:G,FlexOn*LeagueInfo!$F$2),"Starter","Bench"))</f>
        <v>Bench</v>
      </c>
      <c r="G259">
        <f t="shared" ca="1" si="21"/>
        <v>14.33</v>
      </c>
      <c r="H259">
        <f t="shared" ca="1" si="22"/>
        <v>113</v>
      </c>
      <c r="I259">
        <f>IF(C259="RB",LeagueInfo!$D$4*LeagueInfo!$F$2,LeagueInfo!$D$5*LeagueInfo!$F$2)</f>
        <v>24</v>
      </c>
    </row>
    <row r="260" spans="1:9" x14ac:dyDescent="0.35">
      <c r="A260">
        <f t="shared" ca="1" si="23"/>
        <v>266</v>
      </c>
      <c r="B260" t="s">
        <v>431</v>
      </c>
      <c r="C260" t="s">
        <v>25</v>
      </c>
      <c r="D260">
        <f t="shared" ca="1" si="20"/>
        <v>17.810000000000002</v>
      </c>
      <c r="E260" s="5">
        <f t="shared" ca="1" si="24"/>
        <v>-91.55</v>
      </c>
      <c r="F260" t="str">
        <f ca="1">IF(H260&lt;=I260,"Starter",IF(G260&gt;=LARGE(G:G,FlexOn*LeagueInfo!$F$2),"Starter","Bench"))</f>
        <v>Bench</v>
      </c>
      <c r="G260">
        <f t="shared" ca="1" si="21"/>
        <v>17.810000000000002</v>
      </c>
      <c r="H260">
        <f t="shared" ca="1" si="22"/>
        <v>108</v>
      </c>
      <c r="I260">
        <f>IF(C260="RB",LeagueInfo!$D$4*LeagueInfo!$F$2,LeagueInfo!$D$5*LeagueInfo!$F$2)</f>
        <v>24</v>
      </c>
    </row>
    <row r="261" spans="1:9" x14ac:dyDescent="0.35">
      <c r="A261">
        <f t="shared" ca="1" si="23"/>
        <v>182</v>
      </c>
      <c r="B261" t="s">
        <v>840</v>
      </c>
      <c r="C261" t="s">
        <v>25</v>
      </c>
      <c r="D261">
        <f t="shared" ca="1" si="20"/>
        <v>48.23</v>
      </c>
      <c r="E261" s="5">
        <f t="shared" ca="1" si="24"/>
        <v>-61.13</v>
      </c>
      <c r="F261" t="str">
        <f ca="1">IF(H261&lt;=I261,"Starter",IF(G261&gt;=LARGE(G:G,FlexOn*LeagueInfo!$F$2),"Starter","Bench"))</f>
        <v>Bench</v>
      </c>
      <c r="G261">
        <f t="shared" ca="1" si="21"/>
        <v>48.23</v>
      </c>
      <c r="H261">
        <f t="shared" ca="1" si="22"/>
        <v>71</v>
      </c>
      <c r="I261">
        <f>IF(C261="RB",LeagueInfo!$D$4*LeagueInfo!$F$2,LeagueInfo!$D$5*LeagueInfo!$F$2)</f>
        <v>24</v>
      </c>
    </row>
    <row r="262" spans="1:9" x14ac:dyDescent="0.35">
      <c r="A262">
        <f t="shared" ca="1" si="23"/>
        <v>265</v>
      </c>
      <c r="B262" t="s">
        <v>690</v>
      </c>
      <c r="C262" t="s">
        <v>25</v>
      </c>
      <c r="D262">
        <f t="shared" ca="1" si="20"/>
        <v>17.830000000000002</v>
      </c>
      <c r="E262" s="5">
        <f t="shared" ca="1" si="24"/>
        <v>-91.53</v>
      </c>
      <c r="F262" t="str">
        <f ca="1">IF(H262&lt;=I262,"Starter",IF(G262&gt;=LARGE(G:G,FlexOn*LeagueInfo!$F$2),"Starter","Bench"))</f>
        <v>Bench</v>
      </c>
      <c r="G262">
        <f t="shared" ca="1" si="21"/>
        <v>17.830000000000002</v>
      </c>
      <c r="H262">
        <f t="shared" ca="1" si="22"/>
        <v>107</v>
      </c>
      <c r="I262">
        <f>IF(C262="RB",LeagueInfo!$D$4*LeagueInfo!$F$2,LeagueInfo!$D$5*LeagueInfo!$F$2)</f>
        <v>24</v>
      </c>
    </row>
    <row r="263" spans="1:9" x14ac:dyDescent="0.35">
      <c r="A263">
        <f t="shared" ca="1" si="23"/>
        <v>290</v>
      </c>
      <c r="B263" t="s">
        <v>876</v>
      </c>
      <c r="C263" t="s">
        <v>25</v>
      </c>
      <c r="D263">
        <f t="shared" ca="1" si="20"/>
        <v>13.1</v>
      </c>
      <c r="E263" s="5">
        <f t="shared" ca="1" si="24"/>
        <v>-96.26</v>
      </c>
      <c r="F263" t="str">
        <f ca="1">IF(H263&lt;=I263,"Starter",IF(G263&gt;=LARGE(G:G,FlexOn*LeagueInfo!$F$2),"Starter","Bench"))</f>
        <v>Bench</v>
      </c>
      <c r="G263">
        <f t="shared" ca="1" si="21"/>
        <v>13.1</v>
      </c>
      <c r="H263">
        <f t="shared" ca="1" si="22"/>
        <v>115</v>
      </c>
      <c r="I263">
        <f>IF(C263="RB",LeagueInfo!$D$4*LeagueInfo!$F$2,LeagueInfo!$D$5*LeagueInfo!$F$2)</f>
        <v>24</v>
      </c>
    </row>
    <row r="264" spans="1:9" x14ac:dyDescent="0.35">
      <c r="A264">
        <f t="shared" ca="1" si="23"/>
        <v>297</v>
      </c>
      <c r="B264" t="s">
        <v>762</v>
      </c>
      <c r="C264" t="s">
        <v>25</v>
      </c>
      <c r="D264">
        <f t="shared" ca="1" si="20"/>
        <v>11.200000000000001</v>
      </c>
      <c r="E264" s="5">
        <f t="shared" ca="1" si="24"/>
        <v>-98.16</v>
      </c>
      <c r="F264" t="str">
        <f ca="1">IF(H264&lt;=I264,"Starter",IF(G264&gt;=LARGE(G:G,FlexOn*LeagueInfo!$F$2),"Starter","Bench"))</f>
        <v>Bench</v>
      </c>
      <c r="G264">
        <f t="shared" ca="1" si="21"/>
        <v>11.200000000000001</v>
      </c>
      <c r="H264">
        <f t="shared" ca="1" si="22"/>
        <v>117</v>
      </c>
      <c r="I264">
        <f>IF(C264="RB",LeagueInfo!$D$4*LeagueInfo!$F$2,LeagueInfo!$D$5*LeagueInfo!$F$2)</f>
        <v>24</v>
      </c>
    </row>
    <row r="265" spans="1:9" x14ac:dyDescent="0.35">
      <c r="A265">
        <f t="shared" ca="1" si="23"/>
        <v>220</v>
      </c>
      <c r="B265" t="s">
        <v>518</v>
      </c>
      <c r="C265" t="s">
        <v>25</v>
      </c>
      <c r="D265">
        <f t="shared" ca="1" si="20"/>
        <v>29.360000000000007</v>
      </c>
      <c r="E265" s="5">
        <f t="shared" ca="1" si="24"/>
        <v>-80</v>
      </c>
      <c r="F265" t="str">
        <f ca="1">IF(H265&lt;=I265,"Starter",IF(G265&gt;=LARGE(G:G,FlexOn*LeagueInfo!$F$2),"Starter","Bench"))</f>
        <v>Bench</v>
      </c>
      <c r="G265">
        <f t="shared" ca="1" si="21"/>
        <v>29.360000000000007</v>
      </c>
      <c r="H265">
        <f t="shared" ca="1" si="22"/>
        <v>90</v>
      </c>
      <c r="I265">
        <f>IF(C265="RB",LeagueInfo!$D$4*LeagueInfo!$F$2,LeagueInfo!$D$5*LeagueInfo!$F$2)</f>
        <v>24</v>
      </c>
    </row>
    <row r="266" spans="1:9" x14ac:dyDescent="0.35">
      <c r="A266">
        <f t="shared" ca="1" si="23"/>
        <v>262</v>
      </c>
      <c r="B266" t="s">
        <v>524</v>
      </c>
      <c r="C266" t="s">
        <v>25</v>
      </c>
      <c r="D266">
        <f t="shared" ca="1" si="20"/>
        <v>18.670000000000002</v>
      </c>
      <c r="E266" s="5">
        <f t="shared" ca="1" si="24"/>
        <v>-90.69</v>
      </c>
      <c r="F266" t="str">
        <f ca="1">IF(H266&lt;=I266,"Starter",IF(G266&gt;=LARGE(G:G,FlexOn*LeagueInfo!$F$2),"Starter","Bench"))</f>
        <v>Bench</v>
      </c>
      <c r="G266">
        <f t="shared" ca="1" si="21"/>
        <v>18.670000000000002</v>
      </c>
      <c r="H266">
        <f t="shared" ca="1" si="22"/>
        <v>104</v>
      </c>
      <c r="I266">
        <f>IF(C266="RB",LeagueInfo!$D$4*LeagueInfo!$F$2,LeagueInfo!$D$5*LeagueInfo!$F$2)</f>
        <v>24</v>
      </c>
    </row>
    <row r="267" spans="1:9" x14ac:dyDescent="0.35">
      <c r="A267">
        <f t="shared" ca="1" si="23"/>
        <v>323</v>
      </c>
      <c r="B267" t="s">
        <v>625</v>
      </c>
      <c r="C267" t="s">
        <v>25</v>
      </c>
      <c r="D267">
        <f t="shared" ca="1" si="20"/>
        <v>5</v>
      </c>
      <c r="E267" s="5">
        <f t="shared" ca="1" si="24"/>
        <v>-104.36</v>
      </c>
      <c r="F267" t="str">
        <f ca="1">IF(H267&lt;=I267,"Starter",IF(G267&gt;=LARGE(G:G,FlexOn*LeagueInfo!$F$2),"Starter","Bench"))</f>
        <v>Bench</v>
      </c>
      <c r="G267">
        <f t="shared" ca="1" si="21"/>
        <v>5</v>
      </c>
      <c r="H267">
        <f t="shared" ca="1" si="22"/>
        <v>134</v>
      </c>
      <c r="I267">
        <f>IF(C267="RB",LeagueInfo!$D$4*LeagueInfo!$F$2,LeagueInfo!$D$5*LeagueInfo!$F$2)</f>
        <v>24</v>
      </c>
    </row>
    <row r="268" spans="1:9" x14ac:dyDescent="0.35">
      <c r="A268">
        <f t="shared" ca="1" si="23"/>
        <v>287</v>
      </c>
      <c r="B268" t="s">
        <v>1112</v>
      </c>
      <c r="C268" t="s">
        <v>25</v>
      </c>
      <c r="D268">
        <f t="shared" ca="1" si="20"/>
        <v>13.899999999999999</v>
      </c>
      <c r="E268" s="5">
        <f t="shared" ca="1" si="24"/>
        <v>-95.460000000000008</v>
      </c>
      <c r="F268" t="str">
        <f ca="1">IF(H268&lt;=I268,"Starter",IF(G268&gt;=LARGE(G:G,FlexOn*LeagueInfo!$F$2),"Starter","Bench"))</f>
        <v>Bench</v>
      </c>
      <c r="G268">
        <f t="shared" ca="1" si="21"/>
        <v>13.899999999999999</v>
      </c>
      <c r="H268">
        <f t="shared" ca="1" si="22"/>
        <v>114</v>
      </c>
      <c r="I268">
        <f>IF(C268="RB",LeagueInfo!$D$4*LeagueInfo!$F$2,LeagueInfo!$D$5*LeagueInfo!$F$2)</f>
        <v>24</v>
      </c>
    </row>
    <row r="269" spans="1:9" x14ac:dyDescent="0.35">
      <c r="A269">
        <f t="shared" ca="1" si="23"/>
        <v>300</v>
      </c>
      <c r="B269" t="s">
        <v>714</v>
      </c>
      <c r="C269" t="s">
        <v>25</v>
      </c>
      <c r="D269">
        <f t="shared" ca="1" si="20"/>
        <v>10.870000000000001</v>
      </c>
      <c r="E269" s="5">
        <f t="shared" ca="1" si="24"/>
        <v>-98.49</v>
      </c>
      <c r="F269" t="str">
        <f ca="1">IF(H269&lt;=I269,"Starter",IF(G269&gt;=LARGE(G:G,FlexOn*LeagueInfo!$F$2),"Starter","Bench"))</f>
        <v>Bench</v>
      </c>
      <c r="G269">
        <f t="shared" ca="1" si="21"/>
        <v>10.870000000000001</v>
      </c>
      <c r="H269">
        <f t="shared" ca="1" si="22"/>
        <v>118</v>
      </c>
      <c r="I269">
        <f>IF(C269="RB",LeagueInfo!$D$4*LeagueInfo!$F$2,LeagueInfo!$D$5*LeagueInfo!$F$2)</f>
        <v>24</v>
      </c>
    </row>
    <row r="270" spans="1:9" x14ac:dyDescent="0.35">
      <c r="A270">
        <f t="shared" ca="1" si="23"/>
        <v>295</v>
      </c>
      <c r="B270" t="s">
        <v>523</v>
      </c>
      <c r="C270" t="s">
        <v>25</v>
      </c>
      <c r="D270">
        <f t="shared" ca="1" si="20"/>
        <v>11.39</v>
      </c>
      <c r="E270" s="5">
        <f t="shared" ca="1" si="24"/>
        <v>-97.97</v>
      </c>
      <c r="F270" t="str">
        <f ca="1">IF(H270&lt;=I270,"Starter",IF(G270&gt;=LARGE(G:G,FlexOn*LeagueInfo!$F$2),"Starter","Bench"))</f>
        <v>Bench</v>
      </c>
      <c r="G270">
        <f t="shared" ca="1" si="21"/>
        <v>11.39</v>
      </c>
      <c r="H270">
        <f t="shared" ca="1" si="22"/>
        <v>116</v>
      </c>
      <c r="I270">
        <f>IF(C270="RB",LeagueInfo!$D$4*LeagueInfo!$F$2,LeagueInfo!$D$5*LeagueInfo!$F$2)</f>
        <v>24</v>
      </c>
    </row>
    <row r="271" spans="1:9" x14ac:dyDescent="0.35">
      <c r="A271">
        <f t="shared" ca="1" si="23"/>
        <v>276</v>
      </c>
      <c r="B271" t="s">
        <v>770</v>
      </c>
      <c r="C271" t="s">
        <v>25</v>
      </c>
      <c r="D271">
        <f t="shared" ca="1" si="20"/>
        <v>15.630000000000003</v>
      </c>
      <c r="E271" s="5">
        <f t="shared" ca="1" si="24"/>
        <v>-93.72999999999999</v>
      </c>
      <c r="F271" t="str">
        <f ca="1">IF(H271&lt;=I271,"Starter",IF(G271&gt;=LARGE(G:G,FlexOn*LeagueInfo!$F$2),"Starter","Bench"))</f>
        <v>Bench</v>
      </c>
      <c r="G271">
        <f t="shared" ca="1" si="21"/>
        <v>15.630000000000003</v>
      </c>
      <c r="H271">
        <f t="shared" ca="1" si="22"/>
        <v>111</v>
      </c>
      <c r="I271">
        <f>IF(C271="RB",LeagueInfo!$D$4*LeagueInfo!$F$2,LeagueInfo!$D$5*LeagueInfo!$F$2)</f>
        <v>24</v>
      </c>
    </row>
    <row r="272" spans="1:9" x14ac:dyDescent="0.35">
      <c r="A272">
        <f t="shared" ca="1" si="23"/>
        <v>307</v>
      </c>
      <c r="B272" t="s">
        <v>993</v>
      </c>
      <c r="C272" t="s">
        <v>25</v>
      </c>
      <c r="D272">
        <f t="shared" ca="1" si="20"/>
        <v>7.5</v>
      </c>
      <c r="E272" s="5">
        <f t="shared" ca="1" si="24"/>
        <v>-101.86</v>
      </c>
      <c r="F272" t="str">
        <f ca="1">IF(H272&lt;=I272,"Starter",IF(G272&gt;=LARGE(G:G,FlexOn*LeagueInfo!$F$2),"Starter","Bench"))</f>
        <v>Bench</v>
      </c>
      <c r="G272">
        <f t="shared" ca="1" si="21"/>
        <v>7.5</v>
      </c>
      <c r="H272">
        <f t="shared" ca="1" si="22"/>
        <v>123</v>
      </c>
      <c r="I272">
        <f>IF(C272="RB",LeagueInfo!$D$4*LeagueInfo!$F$2,LeagueInfo!$D$5*LeagueInfo!$F$2)</f>
        <v>24</v>
      </c>
    </row>
    <row r="273" spans="1:9" x14ac:dyDescent="0.35">
      <c r="A273">
        <f t="shared" ca="1" si="23"/>
        <v>312</v>
      </c>
      <c r="B273" t="s">
        <v>883</v>
      </c>
      <c r="C273" t="s">
        <v>25</v>
      </c>
      <c r="D273">
        <f t="shared" ca="1" si="20"/>
        <v>6.87</v>
      </c>
      <c r="E273" s="5">
        <f t="shared" ca="1" si="24"/>
        <v>-102.49</v>
      </c>
      <c r="F273" t="str">
        <f ca="1">IF(H273&lt;=I273,"Starter",IF(G273&gt;=LARGE(G:G,FlexOn*LeagueInfo!$F$2),"Starter","Bench"))</f>
        <v>Bench</v>
      </c>
      <c r="G273">
        <f t="shared" ca="1" si="21"/>
        <v>6.87</v>
      </c>
      <c r="H273">
        <f t="shared" ca="1" si="22"/>
        <v>128</v>
      </c>
      <c r="I273">
        <f>IF(C273="RB",LeagueInfo!$D$4*LeagueInfo!$F$2,LeagueInfo!$D$5*LeagueInfo!$F$2)</f>
        <v>24</v>
      </c>
    </row>
    <row r="274" spans="1:9" x14ac:dyDescent="0.35">
      <c r="A274">
        <f t="shared" ca="1" si="23"/>
        <v>316</v>
      </c>
      <c r="B274" t="s">
        <v>234</v>
      </c>
      <c r="C274" t="s">
        <v>25</v>
      </c>
      <c r="D274">
        <f t="shared" ca="1" si="20"/>
        <v>6.44</v>
      </c>
      <c r="E274" s="5">
        <f t="shared" ca="1" si="24"/>
        <v>-102.92</v>
      </c>
      <c r="F274" t="str">
        <f ca="1">IF(H274&lt;=I274,"Starter",IF(G274&gt;=LARGE(G:G,FlexOn*LeagueInfo!$F$2),"Starter","Bench"))</f>
        <v>Bench</v>
      </c>
      <c r="G274">
        <f t="shared" ca="1" si="21"/>
        <v>6.44</v>
      </c>
      <c r="H274">
        <f t="shared" ca="1" si="22"/>
        <v>131</v>
      </c>
      <c r="I274">
        <f>IF(C274="RB",LeagueInfo!$D$4*LeagueInfo!$F$2,LeagueInfo!$D$5*LeagueInfo!$F$2)</f>
        <v>24</v>
      </c>
    </row>
    <row r="275" spans="1:9" x14ac:dyDescent="0.35">
      <c r="A275">
        <f t="shared" ca="1" si="23"/>
        <v>301</v>
      </c>
      <c r="B275" t="s">
        <v>884</v>
      </c>
      <c r="C275" t="s">
        <v>25</v>
      </c>
      <c r="D275">
        <f t="shared" ca="1" si="20"/>
        <v>10.77</v>
      </c>
      <c r="E275" s="5">
        <f t="shared" ca="1" si="24"/>
        <v>-98.59</v>
      </c>
      <c r="F275" t="str">
        <f ca="1">IF(H275&lt;=I275,"Starter",IF(G275&gt;=LARGE(G:G,FlexOn*LeagueInfo!$F$2),"Starter","Bench"))</f>
        <v>Bench</v>
      </c>
      <c r="G275">
        <f t="shared" ca="1" si="21"/>
        <v>10.77</v>
      </c>
      <c r="H275">
        <f t="shared" ca="1" si="22"/>
        <v>119</v>
      </c>
      <c r="I275">
        <f>IF(C275="RB",LeagueInfo!$D$4*LeagueInfo!$F$2,LeagueInfo!$D$5*LeagueInfo!$F$2)</f>
        <v>24</v>
      </c>
    </row>
    <row r="276" spans="1:9" x14ac:dyDescent="0.35">
      <c r="A276">
        <f t="shared" ca="1" si="23"/>
        <v>310</v>
      </c>
      <c r="B276" t="s">
        <v>522</v>
      </c>
      <c r="C276" t="s">
        <v>25</v>
      </c>
      <c r="D276">
        <f t="shared" ca="1" si="20"/>
        <v>6.9500000000000011</v>
      </c>
      <c r="E276" s="5">
        <f t="shared" ca="1" si="24"/>
        <v>-102.41</v>
      </c>
      <c r="F276" t="str">
        <f ca="1">IF(H276&lt;=I276,"Starter",IF(G276&gt;=LARGE(G:G,FlexOn*LeagueInfo!$F$2),"Starter","Bench"))</f>
        <v>Bench</v>
      </c>
      <c r="G276">
        <f t="shared" ca="1" si="21"/>
        <v>6.9500000000000011</v>
      </c>
      <c r="H276">
        <f t="shared" ca="1" si="22"/>
        <v>126</v>
      </c>
      <c r="I276">
        <f>IF(C276="RB",LeagueInfo!$D$4*LeagueInfo!$F$2,LeagueInfo!$D$5*LeagueInfo!$F$2)</f>
        <v>24</v>
      </c>
    </row>
    <row r="277" spans="1:9" x14ac:dyDescent="0.35">
      <c r="A277">
        <f t="shared" ca="1" si="23"/>
        <v>305</v>
      </c>
      <c r="B277" t="s">
        <v>429</v>
      </c>
      <c r="C277" t="s">
        <v>25</v>
      </c>
      <c r="D277">
        <f t="shared" ca="1" si="20"/>
        <v>7.59</v>
      </c>
      <c r="E277" s="5">
        <f t="shared" ca="1" si="24"/>
        <v>-101.77</v>
      </c>
      <c r="F277" t="str">
        <f ca="1">IF(H277&lt;=I277,"Starter",IF(G277&gt;=LARGE(G:G,FlexOn*LeagueInfo!$F$2),"Starter","Bench"))</f>
        <v>Bench</v>
      </c>
      <c r="G277">
        <f t="shared" ca="1" si="21"/>
        <v>7.59</v>
      </c>
      <c r="H277">
        <f t="shared" ca="1" si="22"/>
        <v>122</v>
      </c>
      <c r="I277">
        <f>IF(C277="RB",LeagueInfo!$D$4*LeagueInfo!$F$2,LeagueInfo!$D$5*LeagueInfo!$F$2)</f>
        <v>24</v>
      </c>
    </row>
    <row r="278" spans="1:9" x14ac:dyDescent="0.35">
      <c r="A278">
        <f t="shared" ca="1" si="23"/>
        <v>303</v>
      </c>
      <c r="B278" t="s">
        <v>659</v>
      </c>
      <c r="C278" t="s">
        <v>25</v>
      </c>
      <c r="D278">
        <f t="shared" ca="1" si="20"/>
        <v>9.3000000000000007</v>
      </c>
      <c r="E278" s="5">
        <f t="shared" ca="1" si="24"/>
        <v>-100.06</v>
      </c>
      <c r="F278" t="str">
        <f ca="1">IF(H278&lt;=I278,"Starter",IF(G278&gt;=LARGE(G:G,FlexOn*LeagueInfo!$F$2),"Starter","Bench"))</f>
        <v>Bench</v>
      </c>
      <c r="G278">
        <f t="shared" ca="1" si="21"/>
        <v>9.3000000000000007</v>
      </c>
      <c r="H278">
        <f t="shared" ca="1" si="22"/>
        <v>120</v>
      </c>
      <c r="I278">
        <f>IF(C278="RB",LeagueInfo!$D$4*LeagueInfo!$F$2,LeagueInfo!$D$5*LeagueInfo!$F$2)</f>
        <v>24</v>
      </c>
    </row>
    <row r="279" spans="1:9" x14ac:dyDescent="0.35">
      <c r="A279">
        <f t="shared" ca="1" si="23"/>
        <v>308</v>
      </c>
      <c r="B279" t="s">
        <v>996</v>
      </c>
      <c r="C279" t="s">
        <v>25</v>
      </c>
      <c r="D279">
        <f t="shared" ca="1" si="20"/>
        <v>7.32</v>
      </c>
      <c r="E279" s="5">
        <f t="shared" ca="1" si="24"/>
        <v>-102.03999999999999</v>
      </c>
      <c r="F279" t="str">
        <f ca="1">IF(H279&lt;=I279,"Starter",IF(G279&gt;=LARGE(G:G,FlexOn*LeagueInfo!$F$2),"Starter","Bench"))</f>
        <v>Bench</v>
      </c>
      <c r="G279">
        <f t="shared" ca="1" si="21"/>
        <v>7.32</v>
      </c>
      <c r="H279">
        <f t="shared" ca="1" si="22"/>
        <v>124</v>
      </c>
      <c r="I279">
        <f>IF(C279="RB",LeagueInfo!$D$4*LeagueInfo!$F$2,LeagueInfo!$D$5*LeagueInfo!$F$2)</f>
        <v>24</v>
      </c>
    </row>
    <row r="280" spans="1:9" x14ac:dyDescent="0.35">
      <c r="A280">
        <f t="shared" ca="1" si="23"/>
        <v>314</v>
      </c>
      <c r="B280" t="s">
        <v>631</v>
      </c>
      <c r="C280" t="s">
        <v>25</v>
      </c>
      <c r="D280">
        <f t="shared" ca="1" si="20"/>
        <v>6.5600000000000005</v>
      </c>
      <c r="E280" s="5">
        <f t="shared" ca="1" si="24"/>
        <v>-102.8</v>
      </c>
      <c r="F280" t="str">
        <f ca="1">IF(H280&lt;=I280,"Starter",IF(G280&gt;=LARGE(G:G,FlexOn*LeagueInfo!$F$2),"Starter","Bench"))</f>
        <v>Bench</v>
      </c>
      <c r="G280">
        <f t="shared" ca="1" si="21"/>
        <v>6.5600000000000005</v>
      </c>
      <c r="H280">
        <f t="shared" ca="1" si="22"/>
        <v>130</v>
      </c>
      <c r="I280">
        <f>IF(C280="RB",LeagueInfo!$D$4*LeagueInfo!$F$2,LeagueInfo!$D$5*LeagueInfo!$F$2)</f>
        <v>24</v>
      </c>
    </row>
    <row r="281" spans="1:9" x14ac:dyDescent="0.35">
      <c r="A281">
        <f t="shared" ca="1" si="23"/>
        <v>319</v>
      </c>
      <c r="B281" t="s">
        <v>997</v>
      </c>
      <c r="C281" t="s">
        <v>25</v>
      </c>
      <c r="D281">
        <f t="shared" ca="1" si="20"/>
        <v>5.8000000000000007</v>
      </c>
      <c r="E281" s="5">
        <f t="shared" ca="1" si="24"/>
        <v>-103.56</v>
      </c>
      <c r="F281" t="str">
        <f ca="1">IF(H281&lt;=I281,"Starter",IF(G281&gt;=LARGE(G:G,FlexOn*LeagueInfo!$F$2),"Starter","Bench"))</f>
        <v>Bench</v>
      </c>
      <c r="G281">
        <f t="shared" ca="1" si="21"/>
        <v>5.8000000000000007</v>
      </c>
      <c r="H281">
        <f t="shared" ca="1" si="22"/>
        <v>132</v>
      </c>
      <c r="I281">
        <f>IF(C281="RB",LeagueInfo!$D$4*LeagueInfo!$F$2,LeagueInfo!$D$5*LeagueInfo!$F$2)</f>
        <v>24</v>
      </c>
    </row>
    <row r="282" spans="1:9" x14ac:dyDescent="0.35">
      <c r="A282">
        <f t="shared" ca="1" si="23"/>
        <v>320</v>
      </c>
      <c r="B282" t="s">
        <v>622</v>
      </c>
      <c r="C282" t="s">
        <v>25</v>
      </c>
      <c r="D282">
        <f t="shared" ca="1" si="20"/>
        <v>5.67</v>
      </c>
      <c r="E282" s="5">
        <f t="shared" ca="1" si="24"/>
        <v>-103.69</v>
      </c>
      <c r="F282" t="str">
        <f ca="1">IF(H282&lt;=I282,"Starter",IF(G282&gt;=LARGE(G:G,FlexOn*LeagueInfo!$F$2),"Starter","Bench"))</f>
        <v>Bench</v>
      </c>
      <c r="G282">
        <f t="shared" ca="1" si="21"/>
        <v>5.67</v>
      </c>
      <c r="H282">
        <f t="shared" ca="1" si="22"/>
        <v>133</v>
      </c>
      <c r="I282">
        <f>IF(C282="RB",LeagueInfo!$D$4*LeagueInfo!$F$2,LeagueInfo!$D$5*LeagueInfo!$F$2)</f>
        <v>24</v>
      </c>
    </row>
    <row r="283" spans="1:9" x14ac:dyDescent="0.35">
      <c r="A283">
        <f t="shared" ca="1" si="23"/>
        <v>313</v>
      </c>
      <c r="B283" t="s">
        <v>998</v>
      </c>
      <c r="C283" t="s">
        <v>25</v>
      </c>
      <c r="D283">
        <f t="shared" ref="D283:D321" ca="1" si="25">INDEX(INDIRECT($C283&amp;"!P:P"),MATCH($B283,INDIRECT($C283&amp;"!B:B"),0))</f>
        <v>6.7600000000000007</v>
      </c>
      <c r="E283" s="5">
        <f t="shared" ca="1" si="24"/>
        <v>-102.6</v>
      </c>
      <c r="F283" t="str">
        <f ca="1">IF(H283&lt;=I283,"Starter",IF(G283&gt;=LARGE(G:G,FlexOn*LeagueInfo!$F$2),"Starter","Bench"))</f>
        <v>Bench</v>
      </c>
      <c r="G283">
        <f t="shared" ref="G283:G321" ca="1" si="26">IF(H283&gt;I283,D283,0)</f>
        <v>6.7600000000000007</v>
      </c>
      <c r="H283">
        <f t="shared" ref="H283:H321" ca="1" si="27">INDEX(INDIRECT(""&amp;C283&amp;"!A2:A489"),MATCH(B283,INDIRECT(""&amp;C283&amp;"!B2:B489"),0))</f>
        <v>129</v>
      </c>
      <c r="I283">
        <f>IF(C283="RB",LeagueInfo!$D$4*LeagueInfo!$F$2,LeagueInfo!$D$5*LeagueInfo!$F$2)</f>
        <v>24</v>
      </c>
    </row>
    <row r="284" spans="1:9" x14ac:dyDescent="0.35">
      <c r="A284">
        <f t="shared" ca="1" si="23"/>
        <v>311</v>
      </c>
      <c r="B284" t="s">
        <v>999</v>
      </c>
      <c r="C284" t="s">
        <v>25</v>
      </c>
      <c r="D284">
        <f t="shared" ca="1" si="25"/>
        <v>6.9</v>
      </c>
      <c r="E284" s="5">
        <f t="shared" ca="1" si="24"/>
        <v>-102.46</v>
      </c>
      <c r="F284" t="str">
        <f ca="1">IF(H284&lt;=I284,"Starter",IF(G284&gt;=LARGE(G:G,FlexOn*LeagueInfo!$F$2),"Starter","Bench"))</f>
        <v>Bench</v>
      </c>
      <c r="G284">
        <f t="shared" ca="1" si="26"/>
        <v>6.9</v>
      </c>
      <c r="H284">
        <f t="shared" ca="1" si="27"/>
        <v>127</v>
      </c>
      <c r="I284">
        <f>IF(C284="RB",LeagueInfo!$D$4*LeagueInfo!$F$2,LeagueInfo!$D$5*LeagueInfo!$F$2)</f>
        <v>24</v>
      </c>
    </row>
    <row r="285" spans="1:9" x14ac:dyDescent="0.35">
      <c r="A285">
        <f t="shared" ca="1" si="23"/>
        <v>326</v>
      </c>
      <c r="B285" t="s">
        <v>623</v>
      </c>
      <c r="C285" t="s">
        <v>25</v>
      </c>
      <c r="D285">
        <f t="shared" ca="1" si="25"/>
        <v>2.5</v>
      </c>
      <c r="E285" s="5">
        <f t="shared" ca="1" si="24"/>
        <v>-106.86</v>
      </c>
      <c r="F285" t="str">
        <f ca="1">IF(H285&lt;=I285,"Starter",IF(G285&gt;=LARGE(G:G,FlexOn*LeagueInfo!$F$2),"Starter","Bench"))</f>
        <v>Bench</v>
      </c>
      <c r="G285">
        <f t="shared" ca="1" si="26"/>
        <v>2.5</v>
      </c>
      <c r="H285">
        <f t="shared" ca="1" si="27"/>
        <v>135</v>
      </c>
      <c r="I285">
        <f>IF(C285="RB",LeagueInfo!$D$4*LeagueInfo!$F$2,LeagueInfo!$D$5*LeagueInfo!$F$2)</f>
        <v>24</v>
      </c>
    </row>
    <row r="286" spans="1:9" x14ac:dyDescent="0.35">
      <c r="A286">
        <f t="shared" ca="1" si="23"/>
        <v>213</v>
      </c>
      <c r="B286" t="s">
        <v>809</v>
      </c>
      <c r="C286" t="s">
        <v>32</v>
      </c>
      <c r="D286">
        <f t="shared" ca="1" si="25"/>
        <v>31.5</v>
      </c>
      <c r="E286" s="5">
        <f t="shared" ca="1" si="24"/>
        <v>-77.86</v>
      </c>
      <c r="F286" t="str">
        <f ca="1">IF(H286&lt;=I286,"Starter",IF(G286&gt;=LARGE(G:G,FlexOn*LeagueInfo!$F$2),"Starter","Bench"))</f>
        <v>Bench</v>
      </c>
      <c r="G286">
        <f t="shared" ca="1" si="26"/>
        <v>31.5</v>
      </c>
      <c r="H286">
        <f t="shared" ca="1" si="27"/>
        <v>134</v>
      </c>
      <c r="I286">
        <f>IF(C286="RB",LeagueInfo!$D$4*LeagueInfo!$F$2,LeagueInfo!$D$5*LeagueInfo!$F$2)</f>
        <v>24</v>
      </c>
    </row>
    <row r="287" spans="1:9" x14ac:dyDescent="0.35">
      <c r="A287">
        <f t="shared" ca="1" si="23"/>
        <v>260</v>
      </c>
      <c r="B287" t="s">
        <v>409</v>
      </c>
      <c r="C287" t="s">
        <v>32</v>
      </c>
      <c r="D287">
        <f t="shared" ca="1" si="25"/>
        <v>19.010000000000002</v>
      </c>
      <c r="E287" s="5">
        <f t="shared" ca="1" si="24"/>
        <v>-90.35</v>
      </c>
      <c r="F287" t="str">
        <f ca="1">IF(H287&lt;=I287,"Starter",IF(G287&gt;=LARGE(G:G,FlexOn*LeagueInfo!$F$2),"Starter","Bench"))</f>
        <v>Bench</v>
      </c>
      <c r="G287">
        <f t="shared" ca="1" si="26"/>
        <v>19.010000000000002</v>
      </c>
      <c r="H287">
        <f t="shared" ca="1" si="27"/>
        <v>168</v>
      </c>
      <c r="I287">
        <f>IF(C287="RB",LeagueInfo!$D$4*LeagueInfo!$F$2,LeagueInfo!$D$5*LeagueInfo!$F$2)</f>
        <v>24</v>
      </c>
    </row>
    <row r="288" spans="1:9" x14ac:dyDescent="0.35">
      <c r="A288">
        <f t="shared" ca="1" si="23"/>
        <v>183</v>
      </c>
      <c r="B288" t="s">
        <v>500</v>
      </c>
      <c r="C288" t="s">
        <v>32</v>
      </c>
      <c r="D288">
        <f t="shared" ca="1" si="25"/>
        <v>47.98</v>
      </c>
      <c r="E288" s="5">
        <f t="shared" ca="1" si="24"/>
        <v>-61.38</v>
      </c>
      <c r="F288" t="str">
        <f ca="1">IF(H288&lt;=I288,"Starter",IF(G288&gt;=LARGE(G:G,FlexOn*LeagueInfo!$F$2),"Starter","Bench"))</f>
        <v>Bench</v>
      </c>
      <c r="G288">
        <f t="shared" ca="1" si="26"/>
        <v>47.98</v>
      </c>
      <c r="H288">
        <f t="shared" ca="1" si="27"/>
        <v>116</v>
      </c>
      <c r="I288">
        <f>IF(C288="RB",LeagueInfo!$D$4*LeagueInfo!$F$2,LeagueInfo!$D$5*LeagueInfo!$F$2)</f>
        <v>24</v>
      </c>
    </row>
    <row r="289" spans="1:9" x14ac:dyDescent="0.35">
      <c r="A289">
        <f t="shared" ca="1" si="23"/>
        <v>244</v>
      </c>
      <c r="B289" t="s">
        <v>549</v>
      </c>
      <c r="C289" t="s">
        <v>32</v>
      </c>
      <c r="D289">
        <f t="shared" ca="1" si="25"/>
        <v>23.200000000000003</v>
      </c>
      <c r="E289" s="5">
        <f t="shared" ca="1" si="24"/>
        <v>-86.16</v>
      </c>
      <c r="F289" t="str">
        <f ca="1">IF(H289&lt;=I289,"Starter",IF(G289&gt;=LARGE(G:G,FlexOn*LeagueInfo!$F$2),"Starter","Bench"))</f>
        <v>Bench</v>
      </c>
      <c r="G289">
        <f t="shared" ca="1" si="26"/>
        <v>23.200000000000003</v>
      </c>
      <c r="H289">
        <f t="shared" ca="1" si="27"/>
        <v>158</v>
      </c>
      <c r="I289">
        <f>IF(C289="RB",LeagueInfo!$D$4*LeagueInfo!$F$2,LeagueInfo!$D$5*LeagueInfo!$F$2)</f>
        <v>24</v>
      </c>
    </row>
    <row r="290" spans="1:9" x14ac:dyDescent="0.35">
      <c r="A290">
        <f t="shared" ca="1" si="23"/>
        <v>278</v>
      </c>
      <c r="B290" t="s">
        <v>935</v>
      </c>
      <c r="C290" t="s">
        <v>32</v>
      </c>
      <c r="D290">
        <f t="shared" ca="1" si="25"/>
        <v>15.07</v>
      </c>
      <c r="E290" s="5">
        <f t="shared" ca="1" si="24"/>
        <v>-94.289999999999992</v>
      </c>
      <c r="F290" t="str">
        <f ca="1">IF(H290&lt;=I290,"Starter",IF(G290&gt;=LARGE(G:G,FlexOn*LeagueInfo!$F$2),"Starter","Bench"))</f>
        <v>Bench</v>
      </c>
      <c r="G290">
        <f t="shared" ca="1" si="26"/>
        <v>15.07</v>
      </c>
      <c r="H290">
        <f t="shared" ca="1" si="27"/>
        <v>179</v>
      </c>
      <c r="I290">
        <f>IF(C290="RB",LeagueInfo!$D$4*LeagueInfo!$F$2,LeagueInfo!$D$5*LeagueInfo!$F$2)</f>
        <v>24</v>
      </c>
    </row>
    <row r="291" spans="1:9" x14ac:dyDescent="0.35">
      <c r="A291">
        <f t="shared" ca="1" si="23"/>
        <v>270</v>
      </c>
      <c r="B291" t="s">
        <v>246</v>
      </c>
      <c r="C291" t="s">
        <v>32</v>
      </c>
      <c r="D291">
        <f t="shared" ca="1" si="25"/>
        <v>16.450000000000003</v>
      </c>
      <c r="E291" s="5">
        <f t="shared" ca="1" si="24"/>
        <v>-92.91</v>
      </c>
      <c r="F291" t="str">
        <f ca="1">IF(H291&lt;=I291,"Starter",IF(G291&gt;=LARGE(G:G,FlexOn*LeagueInfo!$F$2),"Starter","Bench"))</f>
        <v>Bench</v>
      </c>
      <c r="G291">
        <f t="shared" ca="1" si="26"/>
        <v>16.450000000000003</v>
      </c>
      <c r="H291">
        <f t="shared" ca="1" si="27"/>
        <v>173</v>
      </c>
      <c r="I291">
        <f>IF(C291="RB",LeagueInfo!$D$4*LeagueInfo!$F$2,LeagueInfo!$D$5*LeagueInfo!$F$2)</f>
        <v>24</v>
      </c>
    </row>
    <row r="292" spans="1:9" x14ac:dyDescent="0.35">
      <c r="A292">
        <f t="shared" ca="1" si="23"/>
        <v>267</v>
      </c>
      <c r="B292" t="s">
        <v>497</v>
      </c>
      <c r="C292" t="s">
        <v>32</v>
      </c>
      <c r="D292">
        <f t="shared" ca="1" si="25"/>
        <v>17.739999999999998</v>
      </c>
      <c r="E292" s="5">
        <f t="shared" ca="1" si="24"/>
        <v>-91.62</v>
      </c>
      <c r="F292" t="str">
        <f ca="1">IF(H292&lt;=I292,"Starter",IF(G292&gt;=LARGE(G:G,FlexOn*LeagueInfo!$F$2),"Starter","Bench"))</f>
        <v>Bench</v>
      </c>
      <c r="G292">
        <f t="shared" ca="1" si="26"/>
        <v>17.739999999999998</v>
      </c>
      <c r="H292">
        <f t="shared" ca="1" si="27"/>
        <v>170</v>
      </c>
      <c r="I292">
        <f>IF(C292="RB",LeagueInfo!$D$4*LeagueInfo!$F$2,LeagueInfo!$D$5*LeagueInfo!$F$2)</f>
        <v>24</v>
      </c>
    </row>
    <row r="293" spans="1:9" x14ac:dyDescent="0.35">
      <c r="A293">
        <f t="shared" ca="1" si="23"/>
        <v>269</v>
      </c>
      <c r="B293" t="s">
        <v>235</v>
      </c>
      <c r="C293" t="s">
        <v>32</v>
      </c>
      <c r="D293">
        <f t="shared" ca="1" si="25"/>
        <v>16.82</v>
      </c>
      <c r="E293" s="5">
        <f t="shared" ca="1" si="24"/>
        <v>-92.539999999999992</v>
      </c>
      <c r="F293" t="str">
        <f ca="1">IF(H293&lt;=I293,"Starter",IF(G293&gt;=LARGE(G:G,FlexOn*LeagueInfo!$F$2),"Starter","Bench"))</f>
        <v>Bench</v>
      </c>
      <c r="G293">
        <f t="shared" ca="1" si="26"/>
        <v>16.82</v>
      </c>
      <c r="H293">
        <f t="shared" ca="1" si="27"/>
        <v>172</v>
      </c>
      <c r="I293">
        <f>IF(C293="RB",LeagueInfo!$D$4*LeagueInfo!$F$2,LeagueInfo!$D$5*LeagueInfo!$F$2)</f>
        <v>24</v>
      </c>
    </row>
    <row r="294" spans="1:9" x14ac:dyDescent="0.35">
      <c r="A294">
        <f t="shared" ca="1" si="23"/>
        <v>244</v>
      </c>
      <c r="B294" t="s">
        <v>248</v>
      </c>
      <c r="C294" t="s">
        <v>32</v>
      </c>
      <c r="D294">
        <f t="shared" ca="1" si="25"/>
        <v>23.200000000000003</v>
      </c>
      <c r="E294" s="5">
        <f t="shared" ca="1" si="24"/>
        <v>-86.16</v>
      </c>
      <c r="F294" t="str">
        <f ca="1">IF(H294&lt;=I294,"Starter",IF(G294&gt;=LARGE(G:G,FlexOn*LeagueInfo!$F$2),"Starter","Bench"))</f>
        <v>Bench</v>
      </c>
      <c r="G294">
        <f t="shared" ca="1" si="26"/>
        <v>23.200000000000003</v>
      </c>
      <c r="H294">
        <f t="shared" ca="1" si="27"/>
        <v>158</v>
      </c>
      <c r="I294">
        <f>IF(C294="RB",LeagueInfo!$D$4*LeagueInfo!$F$2,LeagueInfo!$D$5*LeagueInfo!$F$2)</f>
        <v>24</v>
      </c>
    </row>
    <row r="295" spans="1:9" x14ac:dyDescent="0.35">
      <c r="A295">
        <f t="shared" ca="1" si="23"/>
        <v>256</v>
      </c>
      <c r="B295" t="s">
        <v>795</v>
      </c>
      <c r="C295" t="s">
        <v>32</v>
      </c>
      <c r="D295">
        <f t="shared" ca="1" si="25"/>
        <v>20.3</v>
      </c>
      <c r="E295" s="5">
        <f t="shared" ca="1" si="24"/>
        <v>-89.06</v>
      </c>
      <c r="F295" t="str">
        <f ca="1">IF(H295&lt;=I295,"Starter",IF(G295&gt;=LARGE(G:G,FlexOn*LeagueInfo!$F$2),"Starter","Bench"))</f>
        <v>Bench</v>
      </c>
      <c r="G295">
        <f t="shared" ca="1" si="26"/>
        <v>20.3</v>
      </c>
      <c r="H295">
        <f t="shared" ca="1" si="27"/>
        <v>164</v>
      </c>
      <c r="I295">
        <f>IF(C295="RB",LeagueInfo!$D$4*LeagueInfo!$F$2,LeagueInfo!$D$5*LeagueInfo!$F$2)</f>
        <v>24</v>
      </c>
    </row>
    <row r="296" spans="1:9" x14ac:dyDescent="0.35">
      <c r="A296">
        <f t="shared" ca="1" si="23"/>
        <v>204</v>
      </c>
      <c r="B296" t="s">
        <v>606</v>
      </c>
      <c r="C296" t="s">
        <v>32</v>
      </c>
      <c r="D296">
        <f t="shared" ca="1" si="25"/>
        <v>34.47</v>
      </c>
      <c r="E296" s="5">
        <f t="shared" ca="1" si="24"/>
        <v>-74.89</v>
      </c>
      <c r="F296" t="str">
        <f ca="1">IF(H296&lt;=I296,"Starter",IF(G296&gt;=LARGE(G:G,FlexOn*LeagueInfo!$F$2),"Starter","Bench"))</f>
        <v>Bench</v>
      </c>
      <c r="G296">
        <f t="shared" ca="1" si="26"/>
        <v>34.47</v>
      </c>
      <c r="H296">
        <f t="shared" ca="1" si="27"/>
        <v>127</v>
      </c>
      <c r="I296">
        <f>IF(C296="RB",LeagueInfo!$D$4*LeagueInfo!$F$2,LeagueInfo!$D$5*LeagueInfo!$F$2)</f>
        <v>24</v>
      </c>
    </row>
    <row r="297" spans="1:9" x14ac:dyDescent="0.35">
      <c r="A297">
        <f t="shared" ca="1" si="23"/>
        <v>195</v>
      </c>
      <c r="B297" t="s">
        <v>733</v>
      </c>
      <c r="C297" t="s">
        <v>32</v>
      </c>
      <c r="D297">
        <f t="shared" ca="1" si="25"/>
        <v>42.19</v>
      </c>
      <c r="E297" s="5">
        <f t="shared" ca="1" si="24"/>
        <v>-67.17</v>
      </c>
      <c r="F297" t="str">
        <f ca="1">IF(H297&lt;=I297,"Starter",IF(G297&gt;=LARGE(G:G,FlexOn*LeagueInfo!$F$2),"Starter","Bench"))</f>
        <v>Bench</v>
      </c>
      <c r="G297">
        <f t="shared" ca="1" si="26"/>
        <v>42.19</v>
      </c>
      <c r="H297">
        <f t="shared" ca="1" si="27"/>
        <v>123</v>
      </c>
      <c r="I297">
        <f>IF(C297="RB",LeagueInfo!$D$4*LeagueInfo!$F$2,LeagueInfo!$D$5*LeagueInfo!$F$2)</f>
        <v>24</v>
      </c>
    </row>
    <row r="298" spans="1:9" x14ac:dyDescent="0.35">
      <c r="A298">
        <f t="shared" ca="1" si="23"/>
        <v>283</v>
      </c>
      <c r="B298" t="s">
        <v>810</v>
      </c>
      <c r="C298" t="s">
        <v>32</v>
      </c>
      <c r="D298">
        <f t="shared" ca="1" si="25"/>
        <v>14.559999999999999</v>
      </c>
      <c r="E298" s="5">
        <f t="shared" ca="1" si="24"/>
        <v>-94.8</v>
      </c>
      <c r="F298" t="str">
        <f ca="1">IF(H298&lt;=I298,"Starter",IF(G298&gt;=LARGE(G:G,FlexOn*LeagueInfo!$F$2),"Starter","Bench"))</f>
        <v>Bench</v>
      </c>
      <c r="G298">
        <f t="shared" ca="1" si="26"/>
        <v>14.559999999999999</v>
      </c>
      <c r="H298">
        <f t="shared" ca="1" si="27"/>
        <v>186</v>
      </c>
      <c r="I298">
        <f>IF(C298="RB",LeagueInfo!$D$4*LeagueInfo!$F$2,LeagueInfo!$D$5*LeagueInfo!$F$2)</f>
        <v>24</v>
      </c>
    </row>
    <row r="299" spans="1:9" x14ac:dyDescent="0.35">
      <c r="A299">
        <f t="shared" ca="1" si="23"/>
        <v>271</v>
      </c>
      <c r="B299" t="s">
        <v>788</v>
      </c>
      <c r="C299" t="s">
        <v>32</v>
      </c>
      <c r="D299">
        <f t="shared" ca="1" si="25"/>
        <v>16.190000000000001</v>
      </c>
      <c r="E299" s="5">
        <f t="shared" ca="1" si="24"/>
        <v>-93.17</v>
      </c>
      <c r="F299" t="str">
        <f ca="1">IF(H299&lt;=I299,"Starter",IF(G299&gt;=LARGE(G:G,FlexOn*LeagueInfo!$F$2),"Starter","Bench"))</f>
        <v>Bench</v>
      </c>
      <c r="G299">
        <f t="shared" ca="1" si="26"/>
        <v>16.190000000000001</v>
      </c>
      <c r="H299">
        <f t="shared" ca="1" si="27"/>
        <v>174</v>
      </c>
      <c r="I299">
        <f>IF(C299="RB",LeagueInfo!$D$4*LeagueInfo!$F$2,LeagueInfo!$D$5*LeagueInfo!$F$2)</f>
        <v>24</v>
      </c>
    </row>
    <row r="300" spans="1:9" x14ac:dyDescent="0.35">
      <c r="A300">
        <f t="shared" ca="1" si="23"/>
        <v>228</v>
      </c>
      <c r="B300" t="s">
        <v>440</v>
      </c>
      <c r="C300" t="s">
        <v>32</v>
      </c>
      <c r="D300">
        <f t="shared" ca="1" si="25"/>
        <v>26.73</v>
      </c>
      <c r="E300" s="5">
        <f t="shared" ca="1" si="24"/>
        <v>-82.63</v>
      </c>
      <c r="F300" t="str">
        <f ca="1">IF(H300&lt;=I300,"Starter",IF(G300&gt;=LARGE(G:G,FlexOn*LeagueInfo!$F$2),"Starter","Bench"))</f>
        <v>Bench</v>
      </c>
      <c r="G300">
        <f t="shared" ca="1" si="26"/>
        <v>26.73</v>
      </c>
      <c r="H300">
        <f t="shared" ca="1" si="27"/>
        <v>144</v>
      </c>
      <c r="I300">
        <f>IF(C300="RB",LeagueInfo!$D$4*LeagueInfo!$F$2,LeagueInfo!$D$5*LeagueInfo!$F$2)</f>
        <v>24</v>
      </c>
    </row>
    <row r="301" spans="1:9" x14ac:dyDescent="0.35">
      <c r="A301">
        <f t="shared" ca="1" si="23"/>
        <v>243</v>
      </c>
      <c r="B301" t="s">
        <v>495</v>
      </c>
      <c r="C301" t="s">
        <v>32</v>
      </c>
      <c r="D301">
        <f t="shared" ca="1" si="25"/>
        <v>23.5</v>
      </c>
      <c r="E301" s="5">
        <f t="shared" ca="1" si="24"/>
        <v>-85.86</v>
      </c>
      <c r="F301" t="str">
        <f ca="1">IF(H301&lt;=I301,"Starter",IF(G301&gt;=LARGE(G:G,FlexOn*LeagueInfo!$F$2),"Starter","Bench"))</f>
        <v>Bench</v>
      </c>
      <c r="G301">
        <f t="shared" ca="1" si="26"/>
        <v>23.5</v>
      </c>
      <c r="H301">
        <f t="shared" ca="1" si="27"/>
        <v>157</v>
      </c>
      <c r="I301">
        <f>IF(C301="RB",LeagueInfo!$D$4*LeagueInfo!$F$2,LeagueInfo!$D$5*LeagueInfo!$F$2)</f>
        <v>24</v>
      </c>
    </row>
    <row r="302" spans="1:9" x14ac:dyDescent="0.35">
      <c r="A302">
        <f t="shared" ca="1" si="23"/>
        <v>279</v>
      </c>
      <c r="B302" t="s">
        <v>609</v>
      </c>
      <c r="C302" t="s">
        <v>32</v>
      </c>
      <c r="D302">
        <f t="shared" ca="1" si="25"/>
        <v>14.97</v>
      </c>
      <c r="E302" s="5">
        <f t="shared" ca="1" si="24"/>
        <v>-94.39</v>
      </c>
      <c r="F302" t="str">
        <f ca="1">IF(H302&lt;=I302,"Starter",IF(G302&gt;=LARGE(G:G,FlexOn*LeagueInfo!$F$2),"Starter","Bench"))</f>
        <v>Bench</v>
      </c>
      <c r="G302">
        <f t="shared" ca="1" si="26"/>
        <v>14.97</v>
      </c>
      <c r="H302">
        <f t="shared" ca="1" si="27"/>
        <v>181</v>
      </c>
      <c r="I302">
        <f>IF(C302="RB",LeagueInfo!$D$4*LeagueInfo!$F$2,LeagueInfo!$D$5*LeagueInfo!$F$2)</f>
        <v>24</v>
      </c>
    </row>
    <row r="303" spans="1:9" x14ac:dyDescent="0.35">
      <c r="A303">
        <f t="shared" ca="1" si="23"/>
        <v>283</v>
      </c>
      <c r="B303" t="s">
        <v>444</v>
      </c>
      <c r="C303" t="s">
        <v>32</v>
      </c>
      <c r="D303">
        <f t="shared" ca="1" si="25"/>
        <v>14.56</v>
      </c>
      <c r="E303" s="5">
        <f t="shared" ca="1" si="24"/>
        <v>-94.8</v>
      </c>
      <c r="F303" t="str">
        <f ca="1">IF(H303&lt;=I303,"Starter",IF(G303&gt;=LARGE(G:G,FlexOn*LeagueInfo!$F$2),"Starter","Bench"))</f>
        <v>Bench</v>
      </c>
      <c r="G303">
        <f t="shared" ca="1" si="26"/>
        <v>14.56</v>
      </c>
      <c r="H303">
        <f t="shared" ca="1" si="27"/>
        <v>185</v>
      </c>
      <c r="I303">
        <f>IF(C303="RB",LeagueInfo!$D$4*LeagueInfo!$F$2,LeagueInfo!$D$5*LeagueInfo!$F$2)</f>
        <v>24</v>
      </c>
    </row>
    <row r="304" spans="1:9" x14ac:dyDescent="0.35">
      <c r="A304">
        <f t="shared" ca="1" si="23"/>
        <v>288</v>
      </c>
      <c r="B304" t="s">
        <v>496</v>
      </c>
      <c r="C304" t="s">
        <v>32</v>
      </c>
      <c r="D304">
        <f t="shared" ca="1" si="25"/>
        <v>13.350000000000001</v>
      </c>
      <c r="E304" s="5">
        <f t="shared" ca="1" si="24"/>
        <v>-96.009999999999991</v>
      </c>
      <c r="F304" t="str">
        <f ca="1">IF(H304&lt;=I304,"Starter",IF(G304&gt;=LARGE(G:G,FlexOn*LeagueInfo!$F$2),"Starter","Bench"))</f>
        <v>Bench</v>
      </c>
      <c r="G304">
        <f t="shared" ca="1" si="26"/>
        <v>13.350000000000001</v>
      </c>
      <c r="H304">
        <f t="shared" ca="1" si="27"/>
        <v>189</v>
      </c>
      <c r="I304">
        <f>IF(C304="RB",LeagueInfo!$D$4*LeagueInfo!$F$2,LeagueInfo!$D$5*LeagueInfo!$F$2)</f>
        <v>24</v>
      </c>
    </row>
    <row r="305" spans="1:9" x14ac:dyDescent="0.35">
      <c r="A305">
        <f t="shared" ca="1" si="23"/>
        <v>280</v>
      </c>
      <c r="B305" t="s">
        <v>718</v>
      </c>
      <c r="C305" t="s">
        <v>32</v>
      </c>
      <c r="D305">
        <f t="shared" ca="1" si="25"/>
        <v>14.89</v>
      </c>
      <c r="E305" s="5">
        <f t="shared" ca="1" si="24"/>
        <v>-94.47</v>
      </c>
      <c r="F305" t="str">
        <f ca="1">IF(H305&lt;=I305,"Starter",IF(G305&gt;=LARGE(G:G,FlexOn*LeagueInfo!$F$2),"Starter","Bench"))</f>
        <v>Bench</v>
      </c>
      <c r="G305">
        <f t="shared" ca="1" si="26"/>
        <v>14.89</v>
      </c>
      <c r="H305">
        <f t="shared" ca="1" si="27"/>
        <v>182</v>
      </c>
      <c r="I305">
        <f>IF(C305="RB",LeagueInfo!$D$4*LeagueInfo!$F$2,LeagueInfo!$D$5*LeagueInfo!$F$2)</f>
        <v>24</v>
      </c>
    </row>
    <row r="306" spans="1:9" x14ac:dyDescent="0.35">
      <c r="A306">
        <f t="shared" ca="1" si="23"/>
        <v>246</v>
      </c>
      <c r="B306" t="s">
        <v>1013</v>
      </c>
      <c r="C306" t="s">
        <v>32</v>
      </c>
      <c r="D306">
        <f t="shared" ca="1" si="25"/>
        <v>22.8</v>
      </c>
      <c r="E306" s="5">
        <f t="shared" ca="1" si="24"/>
        <v>-86.56</v>
      </c>
      <c r="F306" t="str">
        <f ca="1">IF(H306&lt;=I306,"Starter",IF(G306&gt;=LARGE(G:G,FlexOn*LeagueInfo!$F$2),"Starter","Bench"))</f>
        <v>Bench</v>
      </c>
      <c r="G306">
        <f t="shared" ca="1" si="26"/>
        <v>22.8</v>
      </c>
      <c r="H306">
        <f t="shared" ca="1" si="27"/>
        <v>160</v>
      </c>
      <c r="I306">
        <f>IF(C306="RB",LeagueInfo!$D$4*LeagueInfo!$F$2,LeagueInfo!$D$5*LeagueInfo!$F$2)</f>
        <v>24</v>
      </c>
    </row>
    <row r="307" spans="1:9" x14ac:dyDescent="0.35">
      <c r="A307">
        <f t="shared" ca="1" si="23"/>
        <v>274</v>
      </c>
      <c r="B307" t="s">
        <v>411</v>
      </c>
      <c r="C307" t="s">
        <v>32</v>
      </c>
      <c r="D307">
        <f t="shared" ca="1" si="25"/>
        <v>16.159999999999997</v>
      </c>
      <c r="E307" s="5">
        <f t="shared" ca="1" si="24"/>
        <v>-93.2</v>
      </c>
      <c r="F307" t="str">
        <f ca="1">IF(H307&lt;=I307,"Starter",IF(G307&gt;=LARGE(G:G,FlexOn*LeagueInfo!$F$2),"Starter","Bench"))</f>
        <v>Bench</v>
      </c>
      <c r="G307">
        <f t="shared" ca="1" si="26"/>
        <v>16.159999999999997</v>
      </c>
      <c r="H307">
        <f t="shared" ca="1" si="27"/>
        <v>176</v>
      </c>
      <c r="I307">
        <f>IF(C307="RB",LeagueInfo!$D$4*LeagueInfo!$F$2,LeagueInfo!$D$5*LeagueInfo!$F$2)</f>
        <v>24</v>
      </c>
    </row>
    <row r="308" spans="1:9" x14ac:dyDescent="0.35">
      <c r="A308">
        <f t="shared" ca="1" si="23"/>
        <v>289</v>
      </c>
      <c r="B308" t="s">
        <v>612</v>
      </c>
      <c r="C308" t="s">
        <v>32</v>
      </c>
      <c r="D308">
        <f t="shared" ca="1" si="25"/>
        <v>13.24</v>
      </c>
      <c r="E308" s="5">
        <f t="shared" ca="1" si="24"/>
        <v>-96.12</v>
      </c>
      <c r="F308" t="str">
        <f ca="1">IF(H308&lt;=I308,"Starter",IF(G308&gt;=LARGE(G:G,FlexOn*LeagueInfo!$F$2),"Starter","Bench"))</f>
        <v>Bench</v>
      </c>
      <c r="G308">
        <f t="shared" ca="1" si="26"/>
        <v>13.24</v>
      </c>
      <c r="H308">
        <f t="shared" ca="1" si="27"/>
        <v>190</v>
      </c>
      <c r="I308">
        <f>IF(C308="RB",LeagueInfo!$D$4*LeagueInfo!$F$2,LeagueInfo!$D$5*LeagueInfo!$F$2)</f>
        <v>24</v>
      </c>
    </row>
    <row r="309" spans="1:9" x14ac:dyDescent="0.35">
      <c r="A309">
        <f t="shared" ca="1" si="23"/>
        <v>291</v>
      </c>
      <c r="B309" t="s">
        <v>846</v>
      </c>
      <c r="C309" t="s">
        <v>32</v>
      </c>
      <c r="D309">
        <f t="shared" ca="1" si="25"/>
        <v>12.959999999999999</v>
      </c>
      <c r="E309" s="5">
        <f t="shared" ca="1" si="24"/>
        <v>-96.4</v>
      </c>
      <c r="F309" t="str">
        <f ca="1">IF(H309&lt;=I309,"Starter",IF(G309&gt;=LARGE(G:G,FlexOn*LeagueInfo!$F$2),"Starter","Bench"))</f>
        <v>Bench</v>
      </c>
      <c r="G309">
        <f t="shared" ca="1" si="26"/>
        <v>12.959999999999999</v>
      </c>
      <c r="H309">
        <f t="shared" ca="1" si="27"/>
        <v>191</v>
      </c>
      <c r="I309">
        <f>IF(C309="RB",LeagueInfo!$D$4*LeagueInfo!$F$2,LeagueInfo!$D$5*LeagueInfo!$F$2)</f>
        <v>24</v>
      </c>
    </row>
    <row r="310" spans="1:9" x14ac:dyDescent="0.35">
      <c r="A310">
        <f t="shared" ca="1" si="23"/>
        <v>296</v>
      </c>
      <c r="B310" t="s">
        <v>1014</v>
      </c>
      <c r="C310" t="s">
        <v>32</v>
      </c>
      <c r="D310">
        <f t="shared" ca="1" si="25"/>
        <v>11.22</v>
      </c>
      <c r="E310" s="5">
        <f t="shared" ca="1" si="24"/>
        <v>-98.14</v>
      </c>
      <c r="F310" t="str">
        <f ca="1">IF(H310&lt;=I310,"Starter",IF(G310&gt;=LARGE(G:G,FlexOn*LeagueInfo!$F$2),"Starter","Bench"))</f>
        <v>Bench</v>
      </c>
      <c r="G310">
        <f t="shared" ca="1" si="26"/>
        <v>11.22</v>
      </c>
      <c r="H310">
        <f t="shared" ca="1" si="27"/>
        <v>195</v>
      </c>
      <c r="I310">
        <f>IF(C310="RB",LeagueInfo!$D$4*LeagueInfo!$F$2,LeagueInfo!$D$5*LeagueInfo!$F$2)</f>
        <v>24</v>
      </c>
    </row>
    <row r="311" spans="1:9" x14ac:dyDescent="0.35">
      <c r="A311">
        <f t="shared" ca="1" si="23"/>
        <v>293</v>
      </c>
      <c r="B311" t="s">
        <v>1015</v>
      </c>
      <c r="C311" t="s">
        <v>32</v>
      </c>
      <c r="D311">
        <f t="shared" ca="1" si="25"/>
        <v>11.950000000000001</v>
      </c>
      <c r="E311" s="5">
        <f t="shared" ca="1" si="24"/>
        <v>-97.41</v>
      </c>
      <c r="F311" t="str">
        <f ca="1">IF(H311&lt;=I311,"Starter",IF(G311&gt;=LARGE(G:G,FlexOn*LeagueInfo!$F$2),"Starter","Bench"))</f>
        <v>Bench</v>
      </c>
      <c r="G311">
        <f t="shared" ca="1" si="26"/>
        <v>11.950000000000001</v>
      </c>
      <c r="H311">
        <f t="shared" ca="1" si="27"/>
        <v>193</v>
      </c>
      <c r="I311">
        <f>IF(C311="RB",LeagueInfo!$D$4*LeagueInfo!$F$2,LeagueInfo!$D$5*LeagueInfo!$F$2)</f>
        <v>24</v>
      </c>
    </row>
    <row r="312" spans="1:9" x14ac:dyDescent="0.35">
      <c r="A312">
        <f t="shared" ca="1" si="23"/>
        <v>261</v>
      </c>
      <c r="B312" t="s">
        <v>366</v>
      </c>
      <c r="C312" t="s">
        <v>32</v>
      </c>
      <c r="D312">
        <f t="shared" ca="1" si="25"/>
        <v>19</v>
      </c>
      <c r="E312" s="5">
        <f t="shared" ca="1" si="24"/>
        <v>-90.36</v>
      </c>
      <c r="F312" t="str">
        <f ca="1">IF(H312&lt;=I312,"Starter",IF(G312&gt;=LARGE(G:G,FlexOn*LeagueInfo!$F$2),"Starter","Bench"))</f>
        <v>Bench</v>
      </c>
      <c r="G312">
        <f t="shared" ca="1" si="26"/>
        <v>19</v>
      </c>
      <c r="H312">
        <f t="shared" ca="1" si="27"/>
        <v>169</v>
      </c>
      <c r="I312">
        <f>IF(C312="RB",LeagueInfo!$D$4*LeagueInfo!$F$2,LeagueInfo!$D$5*LeagueInfo!$F$2)</f>
        <v>24</v>
      </c>
    </row>
    <row r="313" spans="1:9" x14ac:dyDescent="0.35">
      <c r="A313">
        <f t="shared" ca="1" si="23"/>
        <v>294</v>
      </c>
      <c r="B313" t="s">
        <v>471</v>
      </c>
      <c r="C313" t="s">
        <v>32</v>
      </c>
      <c r="D313">
        <f t="shared" ca="1" si="25"/>
        <v>11.690000000000001</v>
      </c>
      <c r="E313" s="5">
        <f t="shared" ca="1" si="24"/>
        <v>-97.67</v>
      </c>
      <c r="F313" t="str">
        <f ca="1">IF(H313&lt;=I313,"Starter",IF(G313&gt;=LARGE(G:G,FlexOn*LeagueInfo!$F$2),"Starter","Bench"))</f>
        <v>Bench</v>
      </c>
      <c r="G313">
        <f t="shared" ca="1" si="26"/>
        <v>11.690000000000001</v>
      </c>
      <c r="H313">
        <f t="shared" ca="1" si="27"/>
        <v>194</v>
      </c>
      <c r="I313">
        <f>IF(C313="RB",LeagueInfo!$D$4*LeagueInfo!$F$2,LeagueInfo!$D$5*LeagueInfo!$F$2)</f>
        <v>24</v>
      </c>
    </row>
    <row r="314" spans="1:9" x14ac:dyDescent="0.35">
      <c r="A314">
        <f t="shared" ca="1" si="23"/>
        <v>325</v>
      </c>
      <c r="B314" t="s">
        <v>1090</v>
      </c>
      <c r="C314" t="s">
        <v>32</v>
      </c>
      <c r="D314">
        <f t="shared" ca="1" si="25"/>
        <v>3.54</v>
      </c>
      <c r="E314" s="5">
        <f t="shared" ca="1" si="24"/>
        <v>-105.82</v>
      </c>
      <c r="F314" t="str">
        <f ca="1">IF(H314&lt;=I314,"Starter",IF(G314&gt;=LARGE(G:G,FlexOn*LeagueInfo!$F$2),"Starter","Bench"))</f>
        <v>Bench</v>
      </c>
      <c r="G314">
        <f t="shared" ca="1" si="26"/>
        <v>3.54</v>
      </c>
      <c r="H314">
        <f t="shared" ca="1" si="27"/>
        <v>211</v>
      </c>
      <c r="I314">
        <f>IF(C314="RB",LeagueInfo!$D$4*LeagueInfo!$F$2,LeagueInfo!$D$5*LeagueInfo!$F$2)</f>
        <v>24</v>
      </c>
    </row>
    <row r="315" spans="1:9" x14ac:dyDescent="0.35">
      <c r="A315">
        <f t="shared" ca="1" si="23"/>
        <v>306</v>
      </c>
      <c r="B315" t="s">
        <v>813</v>
      </c>
      <c r="C315" t="s">
        <v>32</v>
      </c>
      <c r="D315">
        <f t="shared" ca="1" si="25"/>
        <v>7.54</v>
      </c>
      <c r="E315" s="5">
        <f t="shared" ca="1" si="24"/>
        <v>-101.82</v>
      </c>
      <c r="F315" t="str">
        <f ca="1">IF(H315&lt;=I315,"Starter",IF(G315&gt;=LARGE(G:G,FlexOn*LeagueInfo!$F$2),"Starter","Bench"))</f>
        <v>Bench</v>
      </c>
      <c r="G315">
        <f t="shared" ca="1" si="26"/>
        <v>7.54</v>
      </c>
      <c r="H315">
        <f t="shared" ca="1" si="27"/>
        <v>202</v>
      </c>
      <c r="I315">
        <f>IF(C315="RB",LeagueInfo!$D$4*LeagueInfo!$F$2,LeagueInfo!$D$5*LeagueInfo!$F$2)</f>
        <v>24</v>
      </c>
    </row>
    <row r="316" spans="1:9" x14ac:dyDescent="0.35">
      <c r="A316">
        <f t="shared" ca="1" si="23"/>
        <v>315</v>
      </c>
      <c r="B316" t="s">
        <v>564</v>
      </c>
      <c r="C316" t="s">
        <v>32</v>
      </c>
      <c r="D316">
        <f t="shared" ca="1" si="25"/>
        <v>6.5299999999999994</v>
      </c>
      <c r="E316" s="5">
        <f t="shared" ca="1" si="24"/>
        <v>-102.83</v>
      </c>
      <c r="F316" t="str">
        <f ca="1">IF(H316&lt;=I316,"Starter",IF(G316&gt;=LARGE(G:G,FlexOn*LeagueInfo!$F$2),"Starter","Bench"))</f>
        <v>Bench</v>
      </c>
      <c r="G316">
        <f t="shared" ca="1" si="26"/>
        <v>6.5299999999999994</v>
      </c>
      <c r="H316">
        <f t="shared" ca="1" si="27"/>
        <v>204</v>
      </c>
      <c r="I316">
        <f>IF(C316="RB",LeagueInfo!$D$4*LeagueInfo!$F$2,LeagueInfo!$D$5*LeagueInfo!$F$2)</f>
        <v>24</v>
      </c>
    </row>
    <row r="317" spans="1:9" x14ac:dyDescent="0.35">
      <c r="A317">
        <f t="shared" ca="1" si="23"/>
        <v>302</v>
      </c>
      <c r="B317" t="s">
        <v>1023</v>
      </c>
      <c r="C317" t="s">
        <v>32</v>
      </c>
      <c r="D317">
        <f t="shared" ca="1" si="25"/>
        <v>10.129999999999999</v>
      </c>
      <c r="E317" s="5">
        <f t="shared" ca="1" si="24"/>
        <v>-99.23</v>
      </c>
      <c r="F317" t="str">
        <f ca="1">IF(H317&lt;=I317,"Starter",IF(G317&gt;=LARGE(G:G,FlexOn*LeagueInfo!$F$2),"Starter","Bench"))</f>
        <v>Bench</v>
      </c>
      <c r="G317">
        <f t="shared" ca="1" si="26"/>
        <v>10.129999999999999</v>
      </c>
      <c r="H317">
        <f t="shared" ca="1" si="27"/>
        <v>198</v>
      </c>
      <c r="I317">
        <f>IF(C317="RB",LeagueInfo!$D$4*LeagueInfo!$F$2,LeagueInfo!$D$5*LeagueInfo!$F$2)</f>
        <v>24</v>
      </c>
    </row>
    <row r="318" spans="1:9" x14ac:dyDescent="0.35">
      <c r="A318">
        <f t="shared" ca="1" si="23"/>
        <v>285</v>
      </c>
      <c r="B318" t="s">
        <v>1017</v>
      </c>
      <c r="C318" t="s">
        <v>32</v>
      </c>
      <c r="D318">
        <f t="shared" ca="1" si="25"/>
        <v>14.34</v>
      </c>
      <c r="E318" s="5">
        <f t="shared" ca="1" si="24"/>
        <v>-95.02</v>
      </c>
      <c r="F318" t="str">
        <f ca="1">IF(H318&lt;=I318,"Starter",IF(G318&gt;=LARGE(G:G,FlexOn*LeagueInfo!$F$2),"Starter","Bench"))</f>
        <v>Bench</v>
      </c>
      <c r="G318">
        <f t="shared" ca="1" si="26"/>
        <v>14.34</v>
      </c>
      <c r="H318">
        <f t="shared" ca="1" si="27"/>
        <v>187</v>
      </c>
      <c r="I318">
        <f>IF(C318="RB",LeagueInfo!$D$4*LeagueInfo!$F$2,LeagueInfo!$D$5*LeagueInfo!$F$2)</f>
        <v>24</v>
      </c>
    </row>
    <row r="319" spans="1:9" x14ac:dyDescent="0.35">
      <c r="A319">
        <f t="shared" ca="1" si="23"/>
        <v>298</v>
      </c>
      <c r="B319" t="s">
        <v>1018</v>
      </c>
      <c r="C319" t="s">
        <v>32</v>
      </c>
      <c r="D319">
        <f t="shared" ca="1" si="25"/>
        <v>10.92</v>
      </c>
      <c r="E319" s="5">
        <f t="shared" ca="1" si="24"/>
        <v>-98.44</v>
      </c>
      <c r="F319" t="str">
        <f ca="1">IF(H319&lt;=I319,"Starter",IF(G319&gt;=LARGE(G:G,FlexOn*LeagueInfo!$F$2),"Starter","Bench"))</f>
        <v>Bench</v>
      </c>
      <c r="G319">
        <f t="shared" ca="1" si="26"/>
        <v>10.92</v>
      </c>
      <c r="H319">
        <f t="shared" ca="1" si="27"/>
        <v>196</v>
      </c>
      <c r="I319">
        <f>IF(C319="RB",LeagueInfo!$D$4*LeagueInfo!$F$2,LeagueInfo!$D$5*LeagueInfo!$F$2)</f>
        <v>24</v>
      </c>
    </row>
    <row r="320" spans="1:9" x14ac:dyDescent="0.35">
      <c r="A320">
        <f t="shared" ca="1" si="23"/>
        <v>299</v>
      </c>
      <c r="B320" t="s">
        <v>1019</v>
      </c>
      <c r="C320" t="s">
        <v>32</v>
      </c>
      <c r="D320">
        <f t="shared" ca="1" si="25"/>
        <v>10.88</v>
      </c>
      <c r="E320" s="5">
        <f t="shared" ca="1" si="24"/>
        <v>-98.48</v>
      </c>
      <c r="F320" t="str">
        <f ca="1">IF(H320&lt;=I320,"Starter",IF(G320&gt;=LARGE(G:G,FlexOn*LeagueInfo!$F$2),"Starter","Bench"))</f>
        <v>Bench</v>
      </c>
      <c r="G320">
        <f t="shared" ca="1" si="26"/>
        <v>10.88</v>
      </c>
      <c r="H320">
        <f t="shared" ca="1" si="27"/>
        <v>197</v>
      </c>
      <c r="I320">
        <f>IF(C320="RB",LeagueInfo!$D$4*LeagueInfo!$F$2,LeagueInfo!$D$5*LeagueInfo!$F$2)</f>
        <v>24</v>
      </c>
    </row>
    <row r="321" spans="1:9" x14ac:dyDescent="0.35">
      <c r="A321">
        <f t="shared" ca="1" si="23"/>
        <v>292</v>
      </c>
      <c r="B321" t="s">
        <v>363</v>
      </c>
      <c r="C321" t="s">
        <v>32</v>
      </c>
      <c r="D321">
        <f t="shared" ca="1" si="25"/>
        <v>12.9</v>
      </c>
      <c r="E321" s="5">
        <f t="shared" ca="1" si="24"/>
        <v>-96.46</v>
      </c>
      <c r="F321" t="str">
        <f ca="1">IF(H321&lt;=I321,"Starter",IF(G321&gt;=LARGE(G:G,FlexOn*LeagueInfo!$F$2),"Starter","Bench"))</f>
        <v>Bench</v>
      </c>
      <c r="G321">
        <f t="shared" ca="1" si="26"/>
        <v>12.9</v>
      </c>
      <c r="H321">
        <f t="shared" ca="1" si="27"/>
        <v>192</v>
      </c>
      <c r="I321">
        <f>IF(C321="RB",LeagueInfo!$D$4*LeagueInfo!$F$2,LeagueInfo!$D$5*LeagueInfo!$F$2)</f>
        <v>24</v>
      </c>
    </row>
    <row r="322" spans="1:9" x14ac:dyDescent="0.35">
      <c r="A322">
        <f t="shared" ref="A322:A327" ca="1" si="28">RANK(E322,E:E)</f>
        <v>317</v>
      </c>
      <c r="B322" t="s">
        <v>1024</v>
      </c>
      <c r="C322" t="s">
        <v>32</v>
      </c>
      <c r="D322">
        <f t="shared" ref="D322:D327" ca="1" si="29">INDEX(INDIRECT($C322&amp;"!P:P"),MATCH($B322,INDIRECT($C322&amp;"!B:B"),0))</f>
        <v>6.3900000000000006</v>
      </c>
      <c r="E322" s="5">
        <f t="shared" ref="E322:E327" ca="1" si="30">D322-LARGE(D:D,RBCount+WRCount)</f>
        <v>-102.97</v>
      </c>
      <c r="F322" t="str">
        <f ca="1">IF(H322&lt;=I322,"Starter",IF(G322&gt;=LARGE(G:G,FlexOn*LeagueInfo!$F$2),"Starter","Bench"))</f>
        <v>Bench</v>
      </c>
      <c r="G322">
        <f t="shared" ref="G322:G327" ca="1" si="31">IF(H322&gt;I322,D322,0)</f>
        <v>6.3900000000000006</v>
      </c>
      <c r="H322">
        <f t="shared" ref="H322:H327" ca="1" si="32">INDEX(INDIRECT(""&amp;C322&amp;"!A2:A489"),MATCH(B322,INDIRECT(""&amp;C322&amp;"!B2:B489"),0))</f>
        <v>205</v>
      </c>
      <c r="I322">
        <f>IF(C322="RB",LeagueInfo!$D$4*LeagueInfo!$F$2,LeagueInfo!$D$5*LeagueInfo!$F$2)</f>
        <v>24</v>
      </c>
    </row>
    <row r="323" spans="1:9" x14ac:dyDescent="0.35">
      <c r="A323">
        <f t="shared" ca="1" si="28"/>
        <v>318</v>
      </c>
      <c r="B323" t="s">
        <v>1098</v>
      </c>
      <c r="C323" t="s">
        <v>32</v>
      </c>
      <c r="D323">
        <f t="shared" ca="1" si="29"/>
        <v>6.1000000000000005</v>
      </c>
      <c r="E323" s="5">
        <f t="shared" ca="1" si="30"/>
        <v>-103.26</v>
      </c>
      <c r="F323" t="str">
        <f ca="1">IF(H323&lt;=I323,"Starter",IF(G323&gt;=LARGE(G:G,FlexOn*LeagueInfo!$F$2),"Starter","Bench"))</f>
        <v>Bench</v>
      </c>
      <c r="G323">
        <f t="shared" ca="1" si="31"/>
        <v>6.1000000000000005</v>
      </c>
      <c r="H323">
        <f t="shared" ca="1" si="32"/>
        <v>206</v>
      </c>
      <c r="I323">
        <f>IF(C323="RB",LeagueInfo!$D$4*LeagueInfo!$F$2,LeagueInfo!$D$5*LeagueInfo!$F$2)</f>
        <v>24</v>
      </c>
    </row>
    <row r="324" spans="1:9" x14ac:dyDescent="0.35">
      <c r="A324">
        <f t="shared" ca="1" si="28"/>
        <v>321</v>
      </c>
      <c r="B324" t="s">
        <v>601</v>
      </c>
      <c r="C324" t="s">
        <v>32</v>
      </c>
      <c r="D324">
        <f t="shared" ca="1" si="29"/>
        <v>5.6199999999999992</v>
      </c>
      <c r="E324" s="5">
        <f t="shared" ca="1" si="30"/>
        <v>-103.74</v>
      </c>
      <c r="F324" t="str">
        <f ca="1">IF(H324&lt;=I324,"Starter",IF(G324&gt;=LARGE(G:G,FlexOn*LeagueInfo!$F$2),"Starter","Bench"))</f>
        <v>Bench</v>
      </c>
      <c r="G324">
        <f t="shared" ca="1" si="31"/>
        <v>5.6199999999999992</v>
      </c>
      <c r="H324">
        <f t="shared" ca="1" si="32"/>
        <v>207</v>
      </c>
      <c r="I324">
        <f>IF(C324="RB",LeagueInfo!$D$4*LeagueInfo!$F$2,LeagueInfo!$D$5*LeagueInfo!$F$2)</f>
        <v>24</v>
      </c>
    </row>
    <row r="325" spans="1:9" x14ac:dyDescent="0.35">
      <c r="A325">
        <f t="shared" ca="1" si="28"/>
        <v>324</v>
      </c>
      <c r="B325" t="s">
        <v>1021</v>
      </c>
      <c r="C325" t="s">
        <v>32</v>
      </c>
      <c r="D325">
        <f t="shared" ca="1" si="29"/>
        <v>4.16</v>
      </c>
      <c r="E325" s="5">
        <f t="shared" ca="1" si="30"/>
        <v>-105.2</v>
      </c>
      <c r="F325" t="str">
        <f ca="1">IF(H325&lt;=I325,"Starter",IF(G325&gt;=LARGE(G:G,FlexOn*LeagueInfo!$F$2),"Starter","Bench"))</f>
        <v>Bench</v>
      </c>
      <c r="G325">
        <f t="shared" ca="1" si="31"/>
        <v>4.16</v>
      </c>
      <c r="H325">
        <f t="shared" ca="1" si="32"/>
        <v>209</v>
      </c>
      <c r="I325">
        <f>IF(C325="RB",LeagueInfo!$D$4*LeagueInfo!$F$2,LeagueInfo!$D$5*LeagueInfo!$F$2)</f>
        <v>24</v>
      </c>
    </row>
    <row r="326" spans="1:9" x14ac:dyDescent="0.35">
      <c r="A326">
        <f t="shared" ca="1" si="28"/>
        <v>322</v>
      </c>
      <c r="B326" t="s">
        <v>848</v>
      </c>
      <c r="C326" t="s">
        <v>32</v>
      </c>
      <c r="D326">
        <f t="shared" ca="1" si="29"/>
        <v>5.4700000000000006</v>
      </c>
      <c r="E326" s="5">
        <f t="shared" ca="1" si="30"/>
        <v>-103.89</v>
      </c>
      <c r="F326" t="str">
        <f ca="1">IF(H326&lt;=I326,"Starter",IF(G326&gt;=LARGE(G:G,FlexOn*LeagueInfo!$F$2),"Starter","Bench"))</f>
        <v>Bench</v>
      </c>
      <c r="G326">
        <f t="shared" ca="1" si="31"/>
        <v>5.4700000000000006</v>
      </c>
      <c r="H326">
        <f t="shared" ca="1" si="32"/>
        <v>208</v>
      </c>
      <c r="I326">
        <f>IF(C326="RB",LeagueInfo!$D$4*LeagueInfo!$F$2,LeagueInfo!$D$5*LeagueInfo!$F$2)</f>
        <v>24</v>
      </c>
    </row>
    <row r="327" spans="1:9" x14ac:dyDescent="0.35">
      <c r="A327">
        <f t="shared" ca="1" si="28"/>
        <v>304</v>
      </c>
      <c r="B327" t="s">
        <v>1027</v>
      </c>
      <c r="C327" t="s">
        <v>32</v>
      </c>
      <c r="D327">
        <f t="shared" ca="1" si="29"/>
        <v>7.7500000000000009</v>
      </c>
      <c r="E327" s="5">
        <f t="shared" ca="1" si="30"/>
        <v>-101.61</v>
      </c>
      <c r="F327" t="str">
        <f ca="1">IF(H327&lt;=I327,"Starter",IF(G327&gt;=LARGE(G:G,FlexOn*LeagueInfo!$F$2),"Starter","Bench"))</f>
        <v>Bench</v>
      </c>
      <c r="G327">
        <f t="shared" ca="1" si="31"/>
        <v>7.7500000000000009</v>
      </c>
      <c r="H327">
        <f t="shared" ca="1" si="32"/>
        <v>201</v>
      </c>
      <c r="I327">
        <f>IF(C327="RB",LeagueInfo!$D$4*LeagueInfo!$F$2,LeagueInfo!$D$5*LeagueInfo!$F$2)</f>
        <v>24</v>
      </c>
    </row>
  </sheetData>
  <autoFilter ref="A1:I327" xr:uid="{00000000-0001-0000-0A00-000000000000}"/>
  <sortState xmlns:xlrd2="http://schemas.microsoft.com/office/spreadsheetml/2017/richdata2" ref="A1:J326">
    <sortCondition descending="1" ref="E1"/>
  </sortState>
  <conditionalFormatting sqref="C220:C221 C217:C218 C207:C215 C205 C200:C203 C196:C198 C194 C190:C192 C180:C187 C168:C178 C223:C224">
    <cfRule type="expression" dxfId="81" priority="260">
      <formula>$J167="Yes"</formula>
    </cfRule>
  </conditionalFormatting>
  <conditionalFormatting sqref="C222 C219 C216 C206 C204 C199 C195 C193 C188:C189 C179 C167">
    <cfRule type="expression" dxfId="80" priority="356">
      <formula>#REF!="Yes"</formula>
    </cfRule>
  </conditionalFormatting>
  <conditionalFormatting sqref="C225">
    <cfRule type="expression" dxfId="79" priority="370">
      <formula>#REF!="Yes"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I432"/>
  <sheetViews>
    <sheetView workbookViewId="0">
      <selection activeCell="I1" sqref="A1:I1"/>
    </sheetView>
  </sheetViews>
  <sheetFormatPr defaultColWidth="8.90625" defaultRowHeight="14.5" x14ac:dyDescent="0.35"/>
  <cols>
    <col min="2" max="2" width="23.453125" bestFit="1" customWidth="1"/>
    <col min="3" max="3" width="4.453125" bestFit="1" customWidth="1"/>
    <col min="9" max="9" width="12" customWidth="1"/>
  </cols>
  <sheetData>
    <row r="1" spans="1:9" ht="15" thickBot="1" x14ac:dyDescent="0.4">
      <c r="A1" s="208" t="s">
        <v>167</v>
      </c>
      <c r="B1" s="208" t="s">
        <v>250</v>
      </c>
      <c r="C1" s="208" t="s">
        <v>17</v>
      </c>
      <c r="D1" s="1" t="s">
        <v>177</v>
      </c>
      <c r="E1" s="2" t="s">
        <v>11</v>
      </c>
      <c r="F1" s="2" t="s">
        <v>251</v>
      </c>
      <c r="G1" s="2" t="s">
        <v>252</v>
      </c>
      <c r="H1" s="2" t="s">
        <v>253</v>
      </c>
      <c r="I1" s="2" t="s">
        <v>254</v>
      </c>
    </row>
    <row r="2" spans="1:9" x14ac:dyDescent="0.35">
      <c r="A2">
        <f t="shared" ref="A2:A65" ca="1" si="0">RANK(E2,E:E)</f>
        <v>1</v>
      </c>
      <c r="B2" t="s">
        <v>97</v>
      </c>
      <c r="C2" t="s">
        <v>25</v>
      </c>
      <c r="D2">
        <f t="shared" ref="D2:D65" ca="1" si="1">INDEX(INDIRECT($C2&amp;"!P:P"),MATCH($B2,INDIRECT($C2&amp;"!B:B"),0))</f>
        <v>315.62000000000006</v>
      </c>
      <c r="E2" s="5">
        <f t="shared" ref="E2:E65" ca="1" si="2">D2-LARGE(D:D,RBCount+WRCount+TECount)</f>
        <v>213.54000000000008</v>
      </c>
      <c r="F2" t="str">
        <f ca="1">IF(H2&lt;=I2,"Starter",IF(G2&gt;=LARGE(G:G,FlexOn*LeagueInfo!$F$2),"Starter","Bench"))</f>
        <v>Starter</v>
      </c>
      <c r="G2">
        <f t="shared" ref="G2:G65" ca="1" si="3">IF(H2&gt;I2,D2,0)</f>
        <v>0</v>
      </c>
      <c r="H2">
        <f t="shared" ref="H2:H65" ca="1" si="4">INDEX(INDIRECT(""&amp;C2&amp;"!A2:A409"),MATCH(B2,INDIRECT(""&amp;C2&amp;"!B2:B409"),0))</f>
        <v>1</v>
      </c>
      <c r="I2">
        <f>IF(C2="RB",LeagueInfo!$D$4*LeagueInfo!$F$2,IF(C2="WR",LeagueInfo!$D$5*LeagueInfo!$F$2,IF(C2="TE",LeagueInfo!$D$6*LeagueInfo!$F$2)))</f>
        <v>24</v>
      </c>
    </row>
    <row r="3" spans="1:9" x14ac:dyDescent="0.35">
      <c r="A3">
        <f t="shared" ca="1" si="0"/>
        <v>2</v>
      </c>
      <c r="B3" t="s">
        <v>488</v>
      </c>
      <c r="C3" t="s">
        <v>32</v>
      </c>
      <c r="D3">
        <f t="shared" ca="1" si="1"/>
        <v>274.55</v>
      </c>
      <c r="E3" s="5">
        <f t="shared" ca="1" si="2"/>
        <v>172.47000000000003</v>
      </c>
      <c r="F3" t="str">
        <f ca="1">IF(H3&lt;=I3,"Starter",IF(G3&gt;=LARGE(G:G,FlexOn*LeagueInfo!$F$2),"Starter","Bench"))</f>
        <v>Starter</v>
      </c>
      <c r="G3">
        <f t="shared" ca="1" si="3"/>
        <v>0</v>
      </c>
      <c r="H3">
        <f t="shared" ca="1" si="4"/>
        <v>1</v>
      </c>
      <c r="I3">
        <f>IF(C3="RB",LeagueInfo!$D$4*LeagueInfo!$F$2,IF(C3="WR",LeagueInfo!$D$5*LeagueInfo!$F$2,IF(C3="TE",LeagueInfo!$D$6*LeagueInfo!$F$2)))</f>
        <v>24</v>
      </c>
    </row>
    <row r="4" spans="1:9" x14ac:dyDescent="0.35">
      <c r="A4">
        <f t="shared" ca="1" si="0"/>
        <v>3</v>
      </c>
      <c r="B4" t="s">
        <v>102</v>
      </c>
      <c r="C4" t="s">
        <v>32</v>
      </c>
      <c r="D4">
        <f t="shared" ca="1" si="1"/>
        <v>270.54000000000002</v>
      </c>
      <c r="E4" s="5">
        <f t="shared" ca="1" si="2"/>
        <v>168.46000000000004</v>
      </c>
      <c r="F4" t="str">
        <f ca="1">IF(H4&lt;=I4,"Starter",IF(G4&gt;=LARGE(G:G,FlexOn*LeagueInfo!$F$2),"Starter","Bench"))</f>
        <v>Starter</v>
      </c>
      <c r="G4">
        <f t="shared" ca="1" si="3"/>
        <v>0</v>
      </c>
      <c r="H4">
        <f t="shared" ca="1" si="4"/>
        <v>2</v>
      </c>
      <c r="I4">
        <f>IF(C4="RB",LeagueInfo!$D$4*LeagueInfo!$F$2,IF(C4="WR",LeagueInfo!$D$5*LeagueInfo!$F$2,IF(C4="TE",LeagueInfo!$D$6*LeagueInfo!$F$2)))</f>
        <v>24</v>
      </c>
    </row>
    <row r="5" spans="1:9" x14ac:dyDescent="0.35">
      <c r="A5">
        <f t="shared" ca="1" si="0"/>
        <v>4</v>
      </c>
      <c r="B5" t="s">
        <v>613</v>
      </c>
      <c r="C5" t="s">
        <v>25</v>
      </c>
      <c r="D5">
        <f t="shared" ca="1" si="1"/>
        <v>267.93</v>
      </c>
      <c r="E5" s="5">
        <f t="shared" ca="1" si="2"/>
        <v>165.85000000000002</v>
      </c>
      <c r="F5" t="str">
        <f ca="1">IF(H5&lt;=I5,"Starter",IF(G5&gt;=LARGE(G:G,FlexOn*LeagueInfo!$F$2),"Starter","Bench"))</f>
        <v>Starter</v>
      </c>
      <c r="G5">
        <f t="shared" ca="1" si="3"/>
        <v>0</v>
      </c>
      <c r="H5">
        <f t="shared" ca="1" si="4"/>
        <v>2</v>
      </c>
      <c r="I5">
        <f>IF(C5="RB",LeagueInfo!$D$4*LeagueInfo!$F$2,IF(C5="WR",LeagueInfo!$D$5*LeagueInfo!$F$2,IF(C5="TE",LeagueInfo!$D$6*LeagueInfo!$F$2)))</f>
        <v>24</v>
      </c>
    </row>
    <row r="6" spans="1:9" x14ac:dyDescent="0.35">
      <c r="A6">
        <f t="shared" ca="1" si="0"/>
        <v>5</v>
      </c>
      <c r="B6" t="s">
        <v>710</v>
      </c>
      <c r="C6" t="s">
        <v>25</v>
      </c>
      <c r="D6">
        <f t="shared" ca="1" si="1"/>
        <v>263.27000000000004</v>
      </c>
      <c r="E6" s="5">
        <f t="shared" ca="1" si="2"/>
        <v>161.19000000000005</v>
      </c>
      <c r="F6" t="str">
        <f ca="1">IF(H6&lt;=I6,"Starter",IF(G6&gt;=LARGE(G:G,FlexOn*LeagueInfo!$F$2),"Starter","Bench"))</f>
        <v>Starter</v>
      </c>
      <c r="G6">
        <f t="shared" ca="1" si="3"/>
        <v>0</v>
      </c>
      <c r="H6">
        <f t="shared" ca="1" si="4"/>
        <v>3</v>
      </c>
      <c r="I6">
        <f>IF(C6="RB",LeagueInfo!$D$4*LeagueInfo!$F$2,IF(C6="WR",LeagueInfo!$D$5*LeagueInfo!$F$2,IF(C6="TE",LeagueInfo!$D$6*LeagueInfo!$F$2)))</f>
        <v>24</v>
      </c>
    </row>
    <row r="7" spans="1:9" x14ac:dyDescent="0.35">
      <c r="A7">
        <f t="shared" ca="1" si="0"/>
        <v>6</v>
      </c>
      <c r="B7" t="s">
        <v>550</v>
      </c>
      <c r="C7" t="s">
        <v>32</v>
      </c>
      <c r="D7">
        <f t="shared" ca="1" si="1"/>
        <v>244.05</v>
      </c>
      <c r="E7" s="5">
        <f t="shared" ca="1" si="2"/>
        <v>141.97000000000003</v>
      </c>
      <c r="F7" t="str">
        <f ca="1">IF(H7&lt;=I7,"Starter",IF(G7&gt;=LARGE(G:G,FlexOn*LeagueInfo!$F$2),"Starter","Bench"))</f>
        <v>Starter</v>
      </c>
      <c r="G7">
        <f t="shared" ca="1" si="3"/>
        <v>0</v>
      </c>
      <c r="H7">
        <f t="shared" ca="1" si="4"/>
        <v>3</v>
      </c>
      <c r="I7">
        <f>IF(C7="RB",LeagueInfo!$D$4*LeagueInfo!$F$2,IF(C7="WR",LeagueInfo!$D$5*LeagueInfo!$F$2,IF(C7="TE",LeagueInfo!$D$6*LeagueInfo!$F$2)))</f>
        <v>24</v>
      </c>
    </row>
    <row r="8" spans="1:9" x14ac:dyDescent="0.35">
      <c r="A8">
        <f t="shared" ca="1" si="0"/>
        <v>10</v>
      </c>
      <c r="B8" t="s">
        <v>490</v>
      </c>
      <c r="C8" t="s">
        <v>32</v>
      </c>
      <c r="D8">
        <f t="shared" ca="1" si="1"/>
        <v>240.29</v>
      </c>
      <c r="E8" s="5">
        <f t="shared" ca="1" si="2"/>
        <v>138.20999999999998</v>
      </c>
      <c r="F8" t="str">
        <f ca="1">IF(H8&lt;=I8,"Starter",IF(G8&gt;=LARGE(G:G,FlexOn*LeagueInfo!$F$2),"Starter","Bench"))</f>
        <v>Starter</v>
      </c>
      <c r="G8">
        <f t="shared" ca="1" si="3"/>
        <v>0</v>
      </c>
      <c r="H8">
        <f t="shared" ca="1" si="4"/>
        <v>5</v>
      </c>
      <c r="I8">
        <f>IF(C8="RB",LeagueInfo!$D$4*LeagueInfo!$F$2,IF(C8="WR",LeagueInfo!$D$5*LeagueInfo!$F$2,IF(C8="TE",LeagueInfo!$D$6*LeagueInfo!$F$2)))</f>
        <v>24</v>
      </c>
    </row>
    <row r="9" spans="1:9" x14ac:dyDescent="0.35">
      <c r="A9">
        <f t="shared" ca="1" si="0"/>
        <v>9</v>
      </c>
      <c r="B9" t="s">
        <v>516</v>
      </c>
      <c r="C9" t="s">
        <v>25</v>
      </c>
      <c r="D9">
        <f t="shared" ca="1" si="1"/>
        <v>241.04999999999998</v>
      </c>
      <c r="E9" s="5">
        <f t="shared" ca="1" si="2"/>
        <v>138.96999999999997</v>
      </c>
      <c r="F9" t="str">
        <f ca="1">IF(H9&lt;=I9,"Starter",IF(G9&gt;=LARGE(G:G,FlexOn*LeagueInfo!$F$2),"Starter","Bench"))</f>
        <v>Starter</v>
      </c>
      <c r="G9">
        <f t="shared" ca="1" si="3"/>
        <v>0</v>
      </c>
      <c r="H9">
        <f t="shared" ca="1" si="4"/>
        <v>5</v>
      </c>
      <c r="I9">
        <f>IF(C9="RB",LeagueInfo!$D$4*LeagueInfo!$F$2,IF(C9="WR",LeagueInfo!$D$5*LeagueInfo!$F$2,IF(C9="TE",LeagueInfo!$D$6*LeagueInfo!$F$2)))</f>
        <v>24</v>
      </c>
    </row>
    <row r="10" spans="1:9" x14ac:dyDescent="0.35">
      <c r="A10">
        <f t="shared" ca="1" si="0"/>
        <v>8</v>
      </c>
      <c r="B10" t="s">
        <v>351</v>
      </c>
      <c r="C10" t="s">
        <v>25</v>
      </c>
      <c r="D10">
        <f t="shared" ca="1" si="1"/>
        <v>241.67999999999998</v>
      </c>
      <c r="E10" s="5">
        <f t="shared" ca="1" si="2"/>
        <v>139.59999999999997</v>
      </c>
      <c r="F10" t="str">
        <f ca="1">IF(H10&lt;=I10,"Starter",IF(G10&gt;=LARGE(G:G,FlexOn*LeagueInfo!$F$2),"Starter","Bench"))</f>
        <v>Starter</v>
      </c>
      <c r="G10">
        <f t="shared" ca="1" si="3"/>
        <v>0</v>
      </c>
      <c r="H10">
        <f t="shared" ca="1" si="4"/>
        <v>4</v>
      </c>
      <c r="I10">
        <f>IF(C10="RB",LeagueInfo!$D$4*LeagueInfo!$F$2,IF(C10="WR",LeagueInfo!$D$5*LeagueInfo!$F$2,IF(C10="TE",LeagueInfo!$D$6*LeagueInfo!$F$2)))</f>
        <v>24</v>
      </c>
    </row>
    <row r="11" spans="1:9" x14ac:dyDescent="0.35">
      <c r="A11">
        <f t="shared" ca="1" si="0"/>
        <v>7</v>
      </c>
      <c r="B11" t="s">
        <v>557</v>
      </c>
      <c r="C11" t="s">
        <v>32</v>
      </c>
      <c r="D11">
        <f t="shared" ca="1" si="1"/>
        <v>241.72999999999996</v>
      </c>
      <c r="E11" s="5">
        <f t="shared" ca="1" si="2"/>
        <v>139.64999999999998</v>
      </c>
      <c r="F11" t="str">
        <f ca="1">IF(H11&lt;=I11,"Starter",IF(G11&gt;=LARGE(G:G,FlexOn*LeagueInfo!$F$2),"Starter","Bench"))</f>
        <v>Starter</v>
      </c>
      <c r="G11">
        <f t="shared" ca="1" si="3"/>
        <v>0</v>
      </c>
      <c r="H11">
        <f t="shared" ca="1" si="4"/>
        <v>4</v>
      </c>
      <c r="I11">
        <f>IF(C11="RB",LeagueInfo!$D$4*LeagueInfo!$F$2,IF(C11="WR",LeagueInfo!$D$5*LeagueInfo!$F$2,IF(C11="TE",LeagueInfo!$D$6*LeagueInfo!$F$2)))</f>
        <v>24</v>
      </c>
    </row>
    <row r="12" spans="1:9" x14ac:dyDescent="0.35">
      <c r="A12">
        <f t="shared" ca="1" si="0"/>
        <v>12</v>
      </c>
      <c r="B12" t="s">
        <v>434</v>
      </c>
      <c r="C12" t="s">
        <v>32</v>
      </c>
      <c r="D12">
        <f t="shared" ca="1" si="1"/>
        <v>225.01000000000002</v>
      </c>
      <c r="E12" s="5">
        <f t="shared" ca="1" si="2"/>
        <v>122.93000000000002</v>
      </c>
      <c r="F12" t="str">
        <f ca="1">IF(H12&lt;=I12,"Starter",IF(G12&gt;=LARGE(G:G,FlexOn*LeagueInfo!$F$2),"Starter","Bench"))</f>
        <v>Starter</v>
      </c>
      <c r="G12">
        <f t="shared" ca="1" si="3"/>
        <v>0</v>
      </c>
      <c r="H12">
        <f t="shared" ca="1" si="4"/>
        <v>7</v>
      </c>
      <c r="I12">
        <f>IF(C12="RB",LeagueInfo!$D$4*LeagueInfo!$F$2,IF(C12="WR",LeagueInfo!$D$5*LeagueInfo!$F$2,IF(C12="TE",LeagueInfo!$D$6*LeagueInfo!$F$2)))</f>
        <v>24</v>
      </c>
    </row>
    <row r="13" spans="1:9" x14ac:dyDescent="0.35">
      <c r="A13">
        <f t="shared" ca="1" si="0"/>
        <v>14</v>
      </c>
      <c r="B13" t="s">
        <v>626</v>
      </c>
      <c r="C13" t="s">
        <v>25</v>
      </c>
      <c r="D13">
        <f t="shared" ca="1" si="1"/>
        <v>222.9</v>
      </c>
      <c r="E13" s="5">
        <f t="shared" ca="1" si="2"/>
        <v>120.82000000000001</v>
      </c>
      <c r="F13" t="str">
        <f ca="1">IF(H13&lt;=I13,"Starter",IF(G13&gt;=LARGE(G:G,FlexOn*LeagueInfo!$F$2),"Starter","Bench"))</f>
        <v>Starter</v>
      </c>
      <c r="G13">
        <f t="shared" ca="1" si="3"/>
        <v>0</v>
      </c>
      <c r="H13">
        <f t="shared" ca="1" si="4"/>
        <v>7</v>
      </c>
      <c r="I13">
        <f>IF(C13="RB",LeagueInfo!$D$4*LeagueInfo!$F$2,IF(C13="WR",LeagueInfo!$D$5*LeagueInfo!$F$2,IF(C13="TE",LeagueInfo!$D$6*LeagueInfo!$F$2)))</f>
        <v>24</v>
      </c>
    </row>
    <row r="14" spans="1:9" x14ac:dyDescent="0.35">
      <c r="A14">
        <f t="shared" ca="1" si="0"/>
        <v>11</v>
      </c>
      <c r="B14" t="s">
        <v>789</v>
      </c>
      <c r="C14" t="s">
        <v>32</v>
      </c>
      <c r="D14">
        <f t="shared" ca="1" si="1"/>
        <v>225.78</v>
      </c>
      <c r="E14" s="5">
        <f t="shared" ca="1" si="2"/>
        <v>123.7</v>
      </c>
      <c r="F14" t="str">
        <f ca="1">IF(H14&lt;=I14,"Starter",IF(G14&gt;=LARGE(G:G,FlexOn*LeagueInfo!$F$2),"Starter","Bench"))</f>
        <v>Starter</v>
      </c>
      <c r="G14">
        <f t="shared" ca="1" si="3"/>
        <v>0</v>
      </c>
      <c r="H14">
        <f t="shared" ca="1" si="4"/>
        <v>6</v>
      </c>
      <c r="I14">
        <f>IF(C14="RB",LeagueInfo!$D$4*LeagueInfo!$F$2,IF(C14="WR",LeagueInfo!$D$5*LeagueInfo!$F$2,IF(C14="TE",LeagueInfo!$D$6*LeagueInfo!$F$2)))</f>
        <v>24</v>
      </c>
    </row>
    <row r="15" spans="1:9" x14ac:dyDescent="0.35">
      <c r="A15">
        <f t="shared" ca="1" si="0"/>
        <v>13</v>
      </c>
      <c r="B15" t="s">
        <v>107</v>
      </c>
      <c r="C15" t="s">
        <v>25</v>
      </c>
      <c r="D15">
        <f t="shared" ca="1" si="1"/>
        <v>223.28999999999996</v>
      </c>
      <c r="E15" s="5">
        <f t="shared" ca="1" si="2"/>
        <v>121.20999999999997</v>
      </c>
      <c r="F15" t="str">
        <f ca="1">IF(H15&lt;=I15,"Starter",IF(G15&gt;=LARGE(G:G,FlexOn*LeagueInfo!$F$2),"Starter","Bench"))</f>
        <v>Starter</v>
      </c>
      <c r="G15">
        <f t="shared" ca="1" si="3"/>
        <v>0</v>
      </c>
      <c r="H15">
        <f t="shared" ca="1" si="4"/>
        <v>6</v>
      </c>
      <c r="I15">
        <f>IF(C15="RB",LeagueInfo!$D$4*LeagueInfo!$F$2,IF(C15="WR",LeagueInfo!$D$5*LeagueInfo!$F$2,IF(C15="TE",LeagueInfo!$D$6*LeagueInfo!$F$2)))</f>
        <v>24</v>
      </c>
    </row>
    <row r="16" spans="1:9" x14ac:dyDescent="0.35">
      <c r="A16">
        <f t="shared" ca="1" si="0"/>
        <v>19</v>
      </c>
      <c r="B16" t="s">
        <v>629</v>
      </c>
      <c r="C16" t="s">
        <v>25</v>
      </c>
      <c r="D16">
        <f t="shared" ca="1" si="1"/>
        <v>211.42</v>
      </c>
      <c r="E16" s="5">
        <f t="shared" ca="1" si="2"/>
        <v>109.33999999999999</v>
      </c>
      <c r="F16" t="str">
        <f ca="1">IF(H16&lt;=I16,"Starter",IF(G16&gt;=LARGE(G:G,FlexOn*LeagueInfo!$F$2),"Starter","Bench"))</f>
        <v>Starter</v>
      </c>
      <c r="G16">
        <f t="shared" ca="1" si="3"/>
        <v>0</v>
      </c>
      <c r="H16">
        <f t="shared" ca="1" si="4"/>
        <v>11</v>
      </c>
      <c r="I16">
        <f>IF(C16="RB",LeagueInfo!$D$4*LeagueInfo!$F$2,IF(C16="WR",LeagueInfo!$D$5*LeagueInfo!$F$2,IF(C16="TE",LeagueInfo!$D$6*LeagueInfo!$F$2)))</f>
        <v>24</v>
      </c>
    </row>
    <row r="17" spans="1:9" x14ac:dyDescent="0.35">
      <c r="A17">
        <f t="shared" ca="1" si="0"/>
        <v>15</v>
      </c>
      <c r="B17" t="s">
        <v>724</v>
      </c>
      <c r="C17" t="s">
        <v>25</v>
      </c>
      <c r="D17">
        <f t="shared" ca="1" si="1"/>
        <v>221.12</v>
      </c>
      <c r="E17" s="5">
        <f t="shared" ca="1" si="2"/>
        <v>119.04</v>
      </c>
      <c r="F17" t="str">
        <f ca="1">IF(H17&lt;=I17,"Starter",IF(G17&gt;=LARGE(G:G,FlexOn*LeagueInfo!$F$2),"Starter","Bench"))</f>
        <v>Starter</v>
      </c>
      <c r="G17">
        <f t="shared" ca="1" si="3"/>
        <v>0</v>
      </c>
      <c r="H17">
        <f t="shared" ca="1" si="4"/>
        <v>8</v>
      </c>
      <c r="I17">
        <f>IF(C17="RB",LeagueInfo!$D$4*LeagueInfo!$F$2,IF(C17="WR",LeagueInfo!$D$5*LeagueInfo!$F$2,IF(C17="TE",LeagueInfo!$D$6*LeagueInfo!$F$2)))</f>
        <v>24</v>
      </c>
    </row>
    <row r="18" spans="1:9" x14ac:dyDescent="0.35">
      <c r="A18">
        <f t="shared" ca="1" si="0"/>
        <v>16</v>
      </c>
      <c r="B18" t="s">
        <v>590</v>
      </c>
      <c r="C18" t="s">
        <v>32</v>
      </c>
      <c r="D18">
        <f t="shared" ca="1" si="1"/>
        <v>215.74</v>
      </c>
      <c r="E18" s="5">
        <f t="shared" ca="1" si="2"/>
        <v>113.66000000000001</v>
      </c>
      <c r="F18" t="str">
        <f ca="1">IF(H18&lt;=I18,"Starter",IF(G18&gt;=LARGE(G:G,FlexOn*LeagueInfo!$F$2),"Starter","Bench"))</f>
        <v>Starter</v>
      </c>
      <c r="G18">
        <f t="shared" ca="1" si="3"/>
        <v>0</v>
      </c>
      <c r="H18">
        <f t="shared" ca="1" si="4"/>
        <v>8</v>
      </c>
      <c r="I18">
        <f>IF(C18="RB",LeagueInfo!$D$4*LeagueInfo!$F$2,IF(C18="WR",LeagueInfo!$D$5*LeagueInfo!$F$2,IF(C18="TE",LeagueInfo!$D$6*LeagueInfo!$F$2)))</f>
        <v>24</v>
      </c>
    </row>
    <row r="19" spans="1:9" x14ac:dyDescent="0.35">
      <c r="A19">
        <f t="shared" ca="1" si="0"/>
        <v>17</v>
      </c>
      <c r="B19" t="s">
        <v>614</v>
      </c>
      <c r="C19" t="s">
        <v>25</v>
      </c>
      <c r="D19">
        <f t="shared" ca="1" si="1"/>
        <v>215.13</v>
      </c>
      <c r="E19" s="5">
        <f t="shared" ca="1" si="2"/>
        <v>113.05</v>
      </c>
      <c r="F19" t="str">
        <f ca="1">IF(H19&lt;=I19,"Starter",IF(G19&gt;=LARGE(G:G,FlexOn*LeagueInfo!$F$2),"Starter","Bench"))</f>
        <v>Starter</v>
      </c>
      <c r="G19">
        <f t="shared" ca="1" si="3"/>
        <v>0</v>
      </c>
      <c r="H19">
        <f t="shared" ca="1" si="4"/>
        <v>9</v>
      </c>
      <c r="I19">
        <f>IF(C19="RB",LeagueInfo!$D$4*LeagueInfo!$F$2,IF(C19="WR",LeagueInfo!$D$5*LeagueInfo!$F$2,IF(C19="TE",LeagueInfo!$D$6*LeagueInfo!$F$2)))</f>
        <v>24</v>
      </c>
    </row>
    <row r="20" spans="1:9" x14ac:dyDescent="0.35">
      <c r="A20">
        <f t="shared" ca="1" si="0"/>
        <v>20</v>
      </c>
      <c r="B20" t="s">
        <v>615</v>
      </c>
      <c r="C20" t="s">
        <v>25</v>
      </c>
      <c r="D20">
        <f t="shared" ca="1" si="1"/>
        <v>208.68</v>
      </c>
      <c r="E20" s="5">
        <f t="shared" ca="1" si="2"/>
        <v>106.60000000000001</v>
      </c>
      <c r="F20" t="str">
        <f ca="1">IF(H20&lt;=I20,"Starter",IF(G20&gt;=LARGE(G:G,FlexOn*LeagueInfo!$F$2),"Starter","Bench"))</f>
        <v>Starter</v>
      </c>
      <c r="G20">
        <f t="shared" ca="1" si="3"/>
        <v>0</v>
      </c>
      <c r="H20">
        <f t="shared" ca="1" si="4"/>
        <v>12</v>
      </c>
      <c r="I20">
        <f>IF(C20="RB",LeagueInfo!$D$4*LeagueInfo!$F$2,IF(C20="WR",LeagueInfo!$D$5*LeagueInfo!$F$2,IF(C20="TE",LeagueInfo!$D$6*LeagueInfo!$F$2)))</f>
        <v>24</v>
      </c>
    </row>
    <row r="21" spans="1:9" x14ac:dyDescent="0.35">
      <c r="A21">
        <f t="shared" ca="1" si="0"/>
        <v>18</v>
      </c>
      <c r="B21" t="s">
        <v>421</v>
      </c>
      <c r="C21" t="s">
        <v>25</v>
      </c>
      <c r="D21">
        <f t="shared" ca="1" si="1"/>
        <v>211.60999999999999</v>
      </c>
      <c r="E21" s="5">
        <f t="shared" ca="1" si="2"/>
        <v>109.52999999999999</v>
      </c>
      <c r="F21" t="str">
        <f ca="1">IF(H21&lt;=I21,"Starter",IF(G21&gt;=LARGE(G:G,FlexOn*LeagueInfo!$F$2),"Starter","Bench"))</f>
        <v>Starter</v>
      </c>
      <c r="G21">
        <f t="shared" ca="1" si="3"/>
        <v>0</v>
      </c>
      <c r="H21">
        <f t="shared" ca="1" si="4"/>
        <v>10</v>
      </c>
      <c r="I21">
        <f>IF(C21="RB",LeagueInfo!$D$4*LeagueInfo!$F$2,IF(C21="WR",LeagueInfo!$D$5*LeagueInfo!$F$2,IF(C21="TE",LeagueInfo!$D$6*LeagueInfo!$F$2)))</f>
        <v>24</v>
      </c>
    </row>
    <row r="22" spans="1:9" x14ac:dyDescent="0.35">
      <c r="A22">
        <f t="shared" ca="1" si="0"/>
        <v>24</v>
      </c>
      <c r="B22" t="s">
        <v>98</v>
      </c>
      <c r="C22" t="s">
        <v>25</v>
      </c>
      <c r="D22">
        <f t="shared" ca="1" si="1"/>
        <v>203.67</v>
      </c>
      <c r="E22" s="5">
        <f t="shared" ca="1" si="2"/>
        <v>101.58999999999999</v>
      </c>
      <c r="F22" t="str">
        <f ca="1">IF(H22&lt;=I22,"Starter",IF(G22&gt;=LARGE(G:G,FlexOn*LeagueInfo!$F$2),"Starter","Bench"))</f>
        <v>Starter</v>
      </c>
      <c r="G22">
        <f t="shared" ca="1" si="3"/>
        <v>0</v>
      </c>
      <c r="H22">
        <f t="shared" ca="1" si="4"/>
        <v>16</v>
      </c>
      <c r="I22">
        <f>IF(C22="RB",LeagueInfo!$D$4*LeagueInfo!$F$2,IF(C22="WR",LeagueInfo!$D$5*LeagueInfo!$F$2,IF(C22="TE",LeagueInfo!$D$6*LeagueInfo!$F$2)))</f>
        <v>24</v>
      </c>
    </row>
    <row r="23" spans="1:9" x14ac:dyDescent="0.35">
      <c r="A23">
        <f t="shared" ca="1" si="0"/>
        <v>22</v>
      </c>
      <c r="B23" t="s">
        <v>780</v>
      </c>
      <c r="C23" t="s">
        <v>25</v>
      </c>
      <c r="D23">
        <f t="shared" ca="1" si="1"/>
        <v>207.67</v>
      </c>
      <c r="E23" s="5">
        <f t="shared" ca="1" si="2"/>
        <v>105.58999999999999</v>
      </c>
      <c r="F23" t="str">
        <f ca="1">IF(H23&lt;=I23,"Starter",IF(G23&gt;=LARGE(G:G,FlexOn*LeagueInfo!$F$2),"Starter","Bench"))</f>
        <v>Starter</v>
      </c>
      <c r="G23">
        <f t="shared" ca="1" si="3"/>
        <v>0</v>
      </c>
      <c r="H23">
        <f t="shared" ca="1" si="4"/>
        <v>14</v>
      </c>
      <c r="I23">
        <f>IF(C23="RB",LeagueInfo!$D$4*LeagueInfo!$F$2,IF(C23="WR",LeagueInfo!$D$5*LeagueInfo!$F$2,IF(C23="TE",LeagueInfo!$D$6*LeagueInfo!$F$2)))</f>
        <v>24</v>
      </c>
    </row>
    <row r="24" spans="1:9" x14ac:dyDescent="0.35">
      <c r="A24">
        <f t="shared" ca="1" si="0"/>
        <v>23</v>
      </c>
      <c r="B24" t="s">
        <v>617</v>
      </c>
      <c r="C24" t="s">
        <v>25</v>
      </c>
      <c r="D24">
        <f t="shared" ca="1" si="1"/>
        <v>207.3</v>
      </c>
      <c r="E24" s="5">
        <f t="shared" ca="1" si="2"/>
        <v>105.22000000000001</v>
      </c>
      <c r="F24" t="str">
        <f ca="1">IF(H24&lt;=I24,"Starter",IF(G24&gt;=LARGE(G:G,FlexOn*LeagueInfo!$F$2),"Starter","Bench"))</f>
        <v>Starter</v>
      </c>
      <c r="G24">
        <f t="shared" ca="1" si="3"/>
        <v>0</v>
      </c>
      <c r="H24">
        <f t="shared" ca="1" si="4"/>
        <v>15</v>
      </c>
      <c r="I24">
        <f>IF(C24="RB",LeagueInfo!$D$4*LeagueInfo!$F$2,IF(C24="WR",LeagueInfo!$D$5*LeagueInfo!$F$2,IF(C24="TE",LeagueInfo!$D$6*LeagueInfo!$F$2)))</f>
        <v>24</v>
      </c>
    </row>
    <row r="25" spans="1:9" x14ac:dyDescent="0.35">
      <c r="A25">
        <f t="shared" ca="1" si="0"/>
        <v>32</v>
      </c>
      <c r="B25" t="s">
        <v>779</v>
      </c>
      <c r="C25" t="s">
        <v>25</v>
      </c>
      <c r="D25">
        <f t="shared" ca="1" si="1"/>
        <v>195.64000000000001</v>
      </c>
      <c r="E25" s="5">
        <f t="shared" ca="1" si="2"/>
        <v>93.560000000000016</v>
      </c>
      <c r="F25" t="str">
        <f ca="1">IF(H25&lt;=I25,"Starter",IF(G25&gt;=LARGE(G:G,FlexOn*LeagueInfo!$F$2),"Starter","Bench"))</f>
        <v>Starter</v>
      </c>
      <c r="G25">
        <f t="shared" ca="1" si="3"/>
        <v>0</v>
      </c>
      <c r="H25">
        <f t="shared" ca="1" si="4"/>
        <v>17</v>
      </c>
      <c r="I25">
        <f>IF(C25="RB",LeagueInfo!$D$4*LeagueInfo!$F$2,IF(C25="WR",LeagueInfo!$D$5*LeagueInfo!$F$2,IF(C25="TE",LeagueInfo!$D$6*LeagueInfo!$F$2)))</f>
        <v>24</v>
      </c>
    </row>
    <row r="26" spans="1:9" x14ac:dyDescent="0.35">
      <c r="A26">
        <f t="shared" ca="1" si="0"/>
        <v>28</v>
      </c>
      <c r="B26" t="s">
        <v>906</v>
      </c>
      <c r="C26" t="s">
        <v>32</v>
      </c>
      <c r="D26">
        <f t="shared" ca="1" si="1"/>
        <v>198.92000000000002</v>
      </c>
      <c r="E26" s="5">
        <f t="shared" ca="1" si="2"/>
        <v>96.840000000000018</v>
      </c>
      <c r="F26" t="str">
        <f ca="1">IF(H26&lt;=I26,"Starter",IF(G26&gt;=LARGE(G:G,FlexOn*LeagueInfo!$F$2),"Starter","Bench"))</f>
        <v>Starter</v>
      </c>
      <c r="G26">
        <f t="shared" ca="1" si="3"/>
        <v>0</v>
      </c>
      <c r="H26">
        <f t="shared" ca="1" si="4"/>
        <v>12</v>
      </c>
      <c r="I26">
        <f>IF(C26="RB",LeagueInfo!$D$4*LeagueInfo!$F$2,IF(C26="WR",LeagueInfo!$D$5*LeagueInfo!$F$2,IF(C26="TE",LeagueInfo!$D$6*LeagueInfo!$F$2)))</f>
        <v>24</v>
      </c>
    </row>
    <row r="27" spans="1:9" x14ac:dyDescent="0.35">
      <c r="A27">
        <f t="shared" ca="1" si="0"/>
        <v>27</v>
      </c>
      <c r="B27" t="s">
        <v>90</v>
      </c>
      <c r="C27" t="s">
        <v>32</v>
      </c>
      <c r="D27">
        <f t="shared" ca="1" si="1"/>
        <v>199.36</v>
      </c>
      <c r="E27" s="5">
        <f t="shared" ca="1" si="2"/>
        <v>97.280000000000015</v>
      </c>
      <c r="F27" t="str">
        <f ca="1">IF(H27&lt;=I27,"Starter",IF(G27&gt;=LARGE(G:G,FlexOn*LeagueInfo!$F$2),"Starter","Bench"))</f>
        <v>Starter</v>
      </c>
      <c r="G27">
        <f t="shared" ca="1" si="3"/>
        <v>0</v>
      </c>
      <c r="H27">
        <f t="shared" ca="1" si="4"/>
        <v>11</v>
      </c>
      <c r="I27">
        <f>IF(C27="RB",LeagueInfo!$D$4*LeagueInfo!$F$2,IF(C27="WR",LeagueInfo!$D$5*LeagueInfo!$F$2,IF(C27="TE",LeagueInfo!$D$6*LeagueInfo!$F$2)))</f>
        <v>24</v>
      </c>
    </row>
    <row r="28" spans="1:9" x14ac:dyDescent="0.35">
      <c r="A28">
        <f t="shared" ca="1" si="0"/>
        <v>30</v>
      </c>
      <c r="B28" t="s">
        <v>559</v>
      </c>
      <c r="C28" t="s">
        <v>32</v>
      </c>
      <c r="D28">
        <f t="shared" ca="1" si="1"/>
        <v>198.71</v>
      </c>
      <c r="E28" s="5">
        <f t="shared" ca="1" si="2"/>
        <v>96.63000000000001</v>
      </c>
      <c r="F28" t="str">
        <f ca="1">IF(H28&lt;=I28,"Starter",IF(G28&gt;=LARGE(G:G,FlexOn*LeagueInfo!$F$2),"Starter","Bench"))</f>
        <v>Starter</v>
      </c>
      <c r="G28">
        <f t="shared" ca="1" si="3"/>
        <v>0</v>
      </c>
      <c r="H28">
        <f t="shared" ca="1" si="4"/>
        <v>14</v>
      </c>
      <c r="I28">
        <f>IF(C28="RB",LeagueInfo!$D$4*LeagueInfo!$F$2,IF(C28="WR",LeagueInfo!$D$5*LeagueInfo!$F$2,IF(C28="TE",LeagueInfo!$D$6*LeagueInfo!$F$2)))</f>
        <v>24</v>
      </c>
    </row>
    <row r="29" spans="1:9" x14ac:dyDescent="0.35">
      <c r="A29">
        <f t="shared" ca="1" si="0"/>
        <v>25</v>
      </c>
      <c r="B29" t="s">
        <v>589</v>
      </c>
      <c r="C29" t="s">
        <v>32</v>
      </c>
      <c r="D29">
        <f t="shared" ca="1" si="1"/>
        <v>203.34000000000003</v>
      </c>
      <c r="E29" s="5">
        <f t="shared" ca="1" si="2"/>
        <v>101.26000000000003</v>
      </c>
      <c r="F29" t="str">
        <f ca="1">IF(H29&lt;=I29,"Starter",IF(G29&gt;=LARGE(G:G,FlexOn*LeagueInfo!$F$2),"Starter","Bench"))</f>
        <v>Starter</v>
      </c>
      <c r="G29">
        <f t="shared" ca="1" si="3"/>
        <v>0</v>
      </c>
      <c r="H29">
        <f t="shared" ca="1" si="4"/>
        <v>9</v>
      </c>
      <c r="I29">
        <f>IF(C29="RB",LeagueInfo!$D$4*LeagueInfo!$F$2,IF(C29="WR",LeagueInfo!$D$5*LeagueInfo!$F$2,IF(C29="TE",LeagueInfo!$D$6*LeagueInfo!$F$2)))</f>
        <v>24</v>
      </c>
    </row>
    <row r="30" spans="1:9" x14ac:dyDescent="0.35">
      <c r="A30">
        <f t="shared" ca="1" si="0"/>
        <v>26</v>
      </c>
      <c r="B30" t="s">
        <v>907</v>
      </c>
      <c r="C30" t="s">
        <v>32</v>
      </c>
      <c r="D30">
        <f t="shared" ca="1" si="1"/>
        <v>199.93</v>
      </c>
      <c r="E30" s="5">
        <f t="shared" ca="1" si="2"/>
        <v>97.850000000000009</v>
      </c>
      <c r="F30" t="str">
        <f ca="1">IF(H30&lt;=I30,"Starter",IF(G30&gt;=LARGE(G:G,FlexOn*LeagueInfo!$F$2),"Starter","Bench"))</f>
        <v>Starter</v>
      </c>
      <c r="G30">
        <f t="shared" ca="1" si="3"/>
        <v>0</v>
      </c>
      <c r="H30">
        <f t="shared" ca="1" si="4"/>
        <v>10</v>
      </c>
      <c r="I30">
        <f>IF(C30="RB",LeagueInfo!$D$4*LeagueInfo!$F$2,IF(C30="WR",LeagueInfo!$D$5*LeagueInfo!$F$2,IF(C30="TE",LeagueInfo!$D$6*LeagueInfo!$F$2)))</f>
        <v>24</v>
      </c>
    </row>
    <row r="31" spans="1:9" x14ac:dyDescent="0.35">
      <c r="A31">
        <f t="shared" ca="1" si="0"/>
        <v>29</v>
      </c>
      <c r="B31" t="s">
        <v>588</v>
      </c>
      <c r="C31" t="s">
        <v>32</v>
      </c>
      <c r="D31">
        <f t="shared" ca="1" si="1"/>
        <v>198.76999999999998</v>
      </c>
      <c r="E31" s="5">
        <f t="shared" ca="1" si="2"/>
        <v>96.689999999999984</v>
      </c>
      <c r="F31" t="str">
        <f ca="1">IF(H31&lt;=I31,"Starter",IF(G31&gt;=LARGE(G:G,FlexOn*LeagueInfo!$F$2),"Starter","Bench"))</f>
        <v>Starter</v>
      </c>
      <c r="G31">
        <f t="shared" ca="1" si="3"/>
        <v>0</v>
      </c>
      <c r="H31">
        <f t="shared" ca="1" si="4"/>
        <v>13</v>
      </c>
      <c r="I31">
        <f>IF(C31="RB",LeagueInfo!$D$4*LeagueInfo!$F$2,IF(C31="WR",LeagueInfo!$D$5*LeagueInfo!$F$2,IF(C31="TE",LeagueInfo!$D$6*LeagueInfo!$F$2)))</f>
        <v>24</v>
      </c>
    </row>
    <row r="32" spans="1:9" x14ac:dyDescent="0.35">
      <c r="A32">
        <f t="shared" ca="1" si="0"/>
        <v>35</v>
      </c>
      <c r="B32" t="s">
        <v>586</v>
      </c>
      <c r="C32" t="s">
        <v>32</v>
      </c>
      <c r="D32">
        <f t="shared" ca="1" si="1"/>
        <v>191.42999999999998</v>
      </c>
      <c r="E32" s="5">
        <f t="shared" ca="1" si="2"/>
        <v>89.34999999999998</v>
      </c>
      <c r="F32" t="str">
        <f ca="1">IF(H32&lt;=I32,"Starter",IF(G32&gt;=LARGE(G:G,FlexOn*LeagueInfo!$F$2),"Starter","Bench"))</f>
        <v>Starter</v>
      </c>
      <c r="G32">
        <f t="shared" ca="1" si="3"/>
        <v>0</v>
      </c>
      <c r="H32">
        <f t="shared" ca="1" si="4"/>
        <v>18</v>
      </c>
      <c r="I32">
        <f>IF(C32="RB",LeagueInfo!$D$4*LeagueInfo!$F$2,IF(C32="WR",LeagueInfo!$D$5*LeagueInfo!$F$2,IF(C32="TE",LeagueInfo!$D$6*LeagueInfo!$F$2)))</f>
        <v>24</v>
      </c>
    </row>
    <row r="33" spans="1:9" x14ac:dyDescent="0.35">
      <c r="A33">
        <f t="shared" ca="1" si="0"/>
        <v>21</v>
      </c>
      <c r="B33" t="s">
        <v>229</v>
      </c>
      <c r="C33" t="s">
        <v>25</v>
      </c>
      <c r="D33">
        <f t="shared" ca="1" si="1"/>
        <v>208.59</v>
      </c>
      <c r="E33" s="5">
        <f t="shared" ca="1" si="2"/>
        <v>106.51</v>
      </c>
      <c r="F33" t="str">
        <f ca="1">IF(H33&lt;=I33,"Starter",IF(G33&gt;=LARGE(G:G,FlexOn*LeagueInfo!$F$2),"Starter","Bench"))</f>
        <v>Starter</v>
      </c>
      <c r="G33">
        <f t="shared" ca="1" si="3"/>
        <v>0</v>
      </c>
      <c r="H33">
        <f t="shared" ca="1" si="4"/>
        <v>13</v>
      </c>
      <c r="I33">
        <f>IF(C33="RB",LeagueInfo!$D$4*LeagueInfo!$F$2,IF(C33="WR",LeagueInfo!$D$5*LeagueInfo!$F$2,IF(C33="TE",LeagueInfo!$D$6*LeagueInfo!$F$2)))</f>
        <v>24</v>
      </c>
    </row>
    <row r="34" spans="1:9" x14ac:dyDescent="0.35">
      <c r="A34">
        <f t="shared" ca="1" si="0"/>
        <v>31</v>
      </c>
      <c r="B34" t="s">
        <v>100</v>
      </c>
      <c r="C34" t="s">
        <v>32</v>
      </c>
      <c r="D34">
        <f t="shared" ca="1" si="1"/>
        <v>197.62</v>
      </c>
      <c r="E34" s="5">
        <f t="shared" ca="1" si="2"/>
        <v>95.54</v>
      </c>
      <c r="F34" t="str">
        <f ca="1">IF(H34&lt;=I34,"Starter",IF(G34&gt;=LARGE(G:G,FlexOn*LeagueInfo!$F$2),"Starter","Bench"))</f>
        <v>Starter</v>
      </c>
      <c r="G34">
        <f t="shared" ca="1" si="3"/>
        <v>0</v>
      </c>
      <c r="H34">
        <f t="shared" ca="1" si="4"/>
        <v>15</v>
      </c>
      <c r="I34">
        <f>IF(C34="RB",LeagueInfo!$D$4*LeagueInfo!$F$2,IF(C34="WR",LeagueInfo!$D$5*LeagueInfo!$F$2,IF(C34="TE",LeagueInfo!$D$6*LeagueInfo!$F$2)))</f>
        <v>24</v>
      </c>
    </row>
    <row r="35" spans="1:9" x14ac:dyDescent="0.35">
      <c r="A35">
        <f t="shared" ca="1" si="0"/>
        <v>36</v>
      </c>
      <c r="B35" t="s">
        <v>492</v>
      </c>
      <c r="C35" t="s">
        <v>32</v>
      </c>
      <c r="D35">
        <f t="shared" ca="1" si="1"/>
        <v>190.1</v>
      </c>
      <c r="E35" s="5">
        <f t="shared" ca="1" si="2"/>
        <v>88.02</v>
      </c>
      <c r="F35" t="str">
        <f ca="1">IF(H35&lt;=I35,"Starter",IF(G35&gt;=LARGE(G:G,FlexOn*LeagueInfo!$F$2),"Starter","Bench"))</f>
        <v>Starter</v>
      </c>
      <c r="G35">
        <f t="shared" ca="1" si="3"/>
        <v>0</v>
      </c>
      <c r="H35">
        <f t="shared" ca="1" si="4"/>
        <v>19</v>
      </c>
      <c r="I35">
        <f>IF(C35="RB",LeagueInfo!$D$4*LeagueInfo!$F$2,IF(C35="WR",LeagueInfo!$D$5*LeagueInfo!$F$2,IF(C35="TE",LeagueInfo!$D$6*LeagueInfo!$F$2)))</f>
        <v>24</v>
      </c>
    </row>
    <row r="36" spans="1:9" x14ac:dyDescent="0.35">
      <c r="A36">
        <f t="shared" ca="1" si="0"/>
        <v>34</v>
      </c>
      <c r="B36" t="s">
        <v>551</v>
      </c>
      <c r="C36" t="s">
        <v>32</v>
      </c>
      <c r="D36">
        <f t="shared" ca="1" si="1"/>
        <v>191.54999999999998</v>
      </c>
      <c r="E36" s="5">
        <f t="shared" ca="1" si="2"/>
        <v>89.469999999999985</v>
      </c>
      <c r="F36" t="str">
        <f ca="1">IF(H36&lt;=I36,"Starter",IF(G36&gt;=LARGE(G:G,FlexOn*LeagueInfo!$F$2),"Starter","Bench"))</f>
        <v>Starter</v>
      </c>
      <c r="G36">
        <f t="shared" ca="1" si="3"/>
        <v>0</v>
      </c>
      <c r="H36">
        <f t="shared" ca="1" si="4"/>
        <v>17</v>
      </c>
      <c r="I36">
        <f>IF(C36="RB",LeagueInfo!$D$4*LeagueInfo!$F$2,IF(C36="WR",LeagueInfo!$D$5*LeagueInfo!$F$2,IF(C36="TE",LeagueInfo!$D$6*LeagueInfo!$F$2)))</f>
        <v>24</v>
      </c>
    </row>
    <row r="37" spans="1:9" x14ac:dyDescent="0.35">
      <c r="A37">
        <f t="shared" ca="1" si="0"/>
        <v>33</v>
      </c>
      <c r="B37" t="s">
        <v>239</v>
      </c>
      <c r="C37" t="s">
        <v>32</v>
      </c>
      <c r="D37">
        <f t="shared" ca="1" si="1"/>
        <v>194.21000000000004</v>
      </c>
      <c r="E37" s="5">
        <f t="shared" ca="1" si="2"/>
        <v>92.130000000000038</v>
      </c>
      <c r="F37" t="str">
        <f ca="1">IF(H37&lt;=I37,"Starter",IF(G37&gt;=LARGE(G:G,FlexOn*LeagueInfo!$F$2),"Starter","Bench"))</f>
        <v>Starter</v>
      </c>
      <c r="G37">
        <f t="shared" ca="1" si="3"/>
        <v>0</v>
      </c>
      <c r="H37">
        <f t="shared" ca="1" si="4"/>
        <v>16</v>
      </c>
      <c r="I37">
        <f>IF(C37="RB",LeagueInfo!$D$4*LeagueInfo!$F$2,IF(C37="WR",LeagueInfo!$D$5*LeagueInfo!$F$2,IF(C37="TE",LeagueInfo!$D$6*LeagueInfo!$F$2)))</f>
        <v>24</v>
      </c>
    </row>
    <row r="38" spans="1:9" x14ac:dyDescent="0.35">
      <c r="A38">
        <f t="shared" ca="1" si="0"/>
        <v>37</v>
      </c>
      <c r="B38" t="s">
        <v>552</v>
      </c>
      <c r="C38" t="s">
        <v>32</v>
      </c>
      <c r="D38">
        <f t="shared" ca="1" si="1"/>
        <v>189.19</v>
      </c>
      <c r="E38" s="5">
        <f t="shared" ca="1" si="2"/>
        <v>87.11</v>
      </c>
      <c r="F38" t="str">
        <f ca="1">IF(H38&lt;=I38,"Starter",IF(G38&gt;=LARGE(G:G,FlexOn*LeagueInfo!$F$2),"Starter","Bench"))</f>
        <v>Starter</v>
      </c>
      <c r="G38">
        <f t="shared" ca="1" si="3"/>
        <v>0</v>
      </c>
      <c r="H38">
        <f t="shared" ca="1" si="4"/>
        <v>20</v>
      </c>
      <c r="I38">
        <f>IF(C38="RB",LeagueInfo!$D$4*LeagueInfo!$F$2,IF(C38="WR",LeagueInfo!$D$5*LeagueInfo!$F$2,IF(C38="TE",LeagueInfo!$D$6*LeagueInfo!$F$2)))</f>
        <v>24</v>
      </c>
    </row>
    <row r="39" spans="1:9" x14ac:dyDescent="0.35">
      <c r="A39">
        <f t="shared" ca="1" si="0"/>
        <v>40</v>
      </c>
      <c r="B39" t="s">
        <v>99</v>
      </c>
      <c r="C39" t="s">
        <v>40</v>
      </c>
      <c r="D39">
        <f t="shared" ca="1" si="1"/>
        <v>183.99</v>
      </c>
      <c r="E39" s="5">
        <f t="shared" ca="1" si="2"/>
        <v>81.910000000000011</v>
      </c>
      <c r="F39" t="str">
        <f ca="1">IF(H39&lt;=I39,"Starter",IF(G39&gt;=LARGE(G:G,FlexOn*LeagueInfo!$F$2),"Starter","Bench"))</f>
        <v>Starter</v>
      </c>
      <c r="G39">
        <f t="shared" ca="1" si="3"/>
        <v>0</v>
      </c>
      <c r="H39">
        <f t="shared" ca="1" si="4"/>
        <v>1</v>
      </c>
      <c r="I39">
        <f>IF(C39="RB",LeagueInfo!$D$4*LeagueInfo!$F$2,IF(C39="WR",LeagueInfo!$D$5*LeagueInfo!$F$2,IF(C39="TE",LeagueInfo!$D$6*LeagueInfo!$F$2)))</f>
        <v>12</v>
      </c>
    </row>
    <row r="40" spans="1:9" x14ac:dyDescent="0.35">
      <c r="A40">
        <f t="shared" ca="1" si="0"/>
        <v>39</v>
      </c>
      <c r="B40" t="s">
        <v>585</v>
      </c>
      <c r="C40" t="s">
        <v>32</v>
      </c>
      <c r="D40">
        <f t="shared" ca="1" si="1"/>
        <v>184.46</v>
      </c>
      <c r="E40" s="5">
        <f t="shared" ca="1" si="2"/>
        <v>82.38000000000001</v>
      </c>
      <c r="F40" t="str">
        <f ca="1">IF(H40&lt;=I40,"Starter",IF(G40&gt;=LARGE(G:G,FlexOn*LeagueInfo!$F$2),"Starter","Bench"))</f>
        <v>Starter</v>
      </c>
      <c r="G40">
        <f t="shared" ca="1" si="3"/>
        <v>0</v>
      </c>
      <c r="H40">
        <f t="shared" ca="1" si="4"/>
        <v>22</v>
      </c>
      <c r="I40">
        <f>IF(C40="RB",LeagueInfo!$D$4*LeagueInfo!$F$2,IF(C40="WR",LeagueInfo!$D$5*LeagueInfo!$F$2,IF(C40="TE",LeagueInfo!$D$6*LeagueInfo!$F$2)))</f>
        <v>24</v>
      </c>
    </row>
    <row r="41" spans="1:9" x14ac:dyDescent="0.35">
      <c r="A41">
        <f t="shared" ca="1" si="0"/>
        <v>41</v>
      </c>
      <c r="B41" t="s">
        <v>92</v>
      </c>
      <c r="C41" t="s">
        <v>32</v>
      </c>
      <c r="D41">
        <f t="shared" ca="1" si="1"/>
        <v>183.40999999999997</v>
      </c>
      <c r="E41" s="5">
        <f t="shared" ca="1" si="2"/>
        <v>81.32999999999997</v>
      </c>
      <c r="F41" t="str">
        <f ca="1">IF(H41&lt;=I41,"Starter",IF(G41&gt;=LARGE(G:G,FlexOn*LeagueInfo!$F$2),"Starter","Bench"))</f>
        <v>Starter</v>
      </c>
      <c r="G41">
        <f t="shared" ca="1" si="3"/>
        <v>0</v>
      </c>
      <c r="H41">
        <f t="shared" ca="1" si="4"/>
        <v>23</v>
      </c>
      <c r="I41">
        <f>IF(C41="RB",LeagueInfo!$D$4*LeagueInfo!$F$2,IF(C41="WR",LeagueInfo!$D$5*LeagueInfo!$F$2,IF(C41="TE",LeagueInfo!$D$6*LeagueInfo!$F$2)))</f>
        <v>24</v>
      </c>
    </row>
    <row r="42" spans="1:9" x14ac:dyDescent="0.35">
      <c r="A42">
        <f t="shared" ca="1" si="0"/>
        <v>47</v>
      </c>
      <c r="B42" t="s">
        <v>597</v>
      </c>
      <c r="C42" t="s">
        <v>32</v>
      </c>
      <c r="D42">
        <f t="shared" ca="1" si="1"/>
        <v>180.14999999999998</v>
      </c>
      <c r="E42" s="5">
        <f t="shared" ca="1" si="2"/>
        <v>78.069999999999979</v>
      </c>
      <c r="F42" t="str">
        <f ca="1">IF(H42&lt;=I42,"Starter",IF(G42&gt;=LARGE(G:G,FlexOn*LeagueInfo!$F$2),"Starter","Bench"))</f>
        <v>Starter</v>
      </c>
      <c r="G42">
        <f t="shared" ca="1" si="3"/>
        <v>180.14999999999998</v>
      </c>
      <c r="H42">
        <f t="shared" ca="1" si="4"/>
        <v>27</v>
      </c>
      <c r="I42">
        <f>IF(C42="RB",LeagueInfo!$D$4*LeagueInfo!$F$2,IF(C42="WR",LeagueInfo!$D$5*LeagueInfo!$F$2,IF(C42="TE",LeagueInfo!$D$6*LeagueInfo!$F$2)))</f>
        <v>24</v>
      </c>
    </row>
    <row r="43" spans="1:9" x14ac:dyDescent="0.35">
      <c r="A43">
        <f t="shared" ca="1" si="0"/>
        <v>43</v>
      </c>
      <c r="B43" t="s">
        <v>493</v>
      </c>
      <c r="C43" t="s">
        <v>32</v>
      </c>
      <c r="D43">
        <f t="shared" ca="1" si="1"/>
        <v>182.53</v>
      </c>
      <c r="E43" s="5">
        <f t="shared" ca="1" si="2"/>
        <v>80.45</v>
      </c>
      <c r="F43" t="str">
        <f ca="1">IF(H43&lt;=I43,"Starter",IF(G43&gt;=LARGE(G:G,FlexOn*LeagueInfo!$F$2),"Starter","Bench"))</f>
        <v>Starter</v>
      </c>
      <c r="G43">
        <f t="shared" ca="1" si="3"/>
        <v>182.53</v>
      </c>
      <c r="H43">
        <f t="shared" ca="1" si="4"/>
        <v>25</v>
      </c>
      <c r="I43">
        <f>IF(C43="RB",LeagueInfo!$D$4*LeagueInfo!$F$2,IF(C43="WR",LeagueInfo!$D$5*LeagueInfo!$F$2,IF(C43="TE",LeagueInfo!$D$6*LeagueInfo!$F$2)))</f>
        <v>24</v>
      </c>
    </row>
    <row r="44" spans="1:9" x14ac:dyDescent="0.35">
      <c r="A44">
        <f t="shared" ca="1" si="0"/>
        <v>55</v>
      </c>
      <c r="B44" t="s">
        <v>230</v>
      </c>
      <c r="C44" t="s">
        <v>25</v>
      </c>
      <c r="D44">
        <f t="shared" ca="1" si="1"/>
        <v>173.70000000000002</v>
      </c>
      <c r="E44" s="5">
        <f t="shared" ca="1" si="2"/>
        <v>71.620000000000019</v>
      </c>
      <c r="F44" t="str">
        <f ca="1">IF(H44&lt;=I44,"Starter",IF(G44&gt;=LARGE(G:G,FlexOn*LeagueInfo!$F$2),"Starter","Bench"))</f>
        <v>Starter</v>
      </c>
      <c r="G44">
        <f t="shared" ca="1" si="3"/>
        <v>0</v>
      </c>
      <c r="H44">
        <f t="shared" ca="1" si="4"/>
        <v>22</v>
      </c>
      <c r="I44">
        <f>IF(C44="RB",LeagueInfo!$D$4*LeagueInfo!$F$2,IF(C44="WR",LeagueInfo!$D$5*LeagueInfo!$F$2,IF(C44="TE",LeagueInfo!$D$6*LeagueInfo!$F$2)))</f>
        <v>24</v>
      </c>
    </row>
    <row r="45" spans="1:9" x14ac:dyDescent="0.35">
      <c r="A45">
        <f t="shared" ca="1" si="0"/>
        <v>38</v>
      </c>
      <c r="B45" t="s">
        <v>120</v>
      </c>
      <c r="C45" t="s">
        <v>32</v>
      </c>
      <c r="D45">
        <f t="shared" ca="1" si="1"/>
        <v>184.84</v>
      </c>
      <c r="E45" s="5">
        <f t="shared" ca="1" si="2"/>
        <v>82.76</v>
      </c>
      <c r="F45" t="str">
        <f ca="1">IF(H45&lt;=I45,"Starter",IF(G45&gt;=LARGE(G:G,FlexOn*LeagueInfo!$F$2),"Starter","Bench"))</f>
        <v>Starter</v>
      </c>
      <c r="G45">
        <f t="shared" ca="1" si="3"/>
        <v>0</v>
      </c>
      <c r="H45">
        <f t="shared" ca="1" si="4"/>
        <v>21</v>
      </c>
      <c r="I45">
        <f>IF(C45="RB",LeagueInfo!$D$4*LeagueInfo!$F$2,IF(C45="WR",LeagueInfo!$D$5*LeagueInfo!$F$2,IF(C45="TE",LeagueInfo!$D$6*LeagueInfo!$F$2)))</f>
        <v>24</v>
      </c>
    </row>
    <row r="46" spans="1:9" x14ac:dyDescent="0.35">
      <c r="A46">
        <f t="shared" ca="1" si="0"/>
        <v>49</v>
      </c>
      <c r="B46" t="s">
        <v>790</v>
      </c>
      <c r="C46" t="s">
        <v>32</v>
      </c>
      <c r="D46">
        <f t="shared" ca="1" si="1"/>
        <v>178.60000000000002</v>
      </c>
      <c r="E46" s="5">
        <f t="shared" ca="1" si="2"/>
        <v>76.520000000000024</v>
      </c>
      <c r="F46" t="str">
        <f ca="1">IF(H46&lt;=I46,"Starter",IF(G46&gt;=LARGE(G:G,FlexOn*LeagueInfo!$F$2),"Starter","Bench"))</f>
        <v>Starter</v>
      </c>
      <c r="G46">
        <f t="shared" ca="1" si="3"/>
        <v>178.60000000000002</v>
      </c>
      <c r="H46">
        <f t="shared" ca="1" si="4"/>
        <v>29</v>
      </c>
      <c r="I46">
        <f>IF(C46="RB",LeagueInfo!$D$4*LeagueInfo!$F$2,IF(C46="WR",LeagueInfo!$D$5*LeagueInfo!$F$2,IF(C46="TE",LeagueInfo!$D$6*LeagueInfo!$F$2)))</f>
        <v>24</v>
      </c>
    </row>
    <row r="47" spans="1:9" x14ac:dyDescent="0.35">
      <c r="A47">
        <f t="shared" ca="1" si="0"/>
        <v>45</v>
      </c>
      <c r="B47" t="s">
        <v>908</v>
      </c>
      <c r="C47" t="s">
        <v>32</v>
      </c>
      <c r="D47">
        <f t="shared" ca="1" si="1"/>
        <v>181.76</v>
      </c>
      <c r="E47" s="5">
        <f t="shared" ca="1" si="2"/>
        <v>79.679999999999993</v>
      </c>
      <c r="F47" t="str">
        <f ca="1">IF(H47&lt;=I47,"Starter",IF(G47&gt;=LARGE(G:G,FlexOn*LeagueInfo!$F$2),"Starter","Bench"))</f>
        <v>Starter</v>
      </c>
      <c r="G47">
        <f t="shared" ca="1" si="3"/>
        <v>181.76</v>
      </c>
      <c r="H47">
        <f t="shared" ca="1" si="4"/>
        <v>26</v>
      </c>
      <c r="I47">
        <f>IF(C47="RB",LeagueInfo!$D$4*LeagueInfo!$F$2,IF(C47="WR",LeagueInfo!$D$5*LeagueInfo!$F$2,IF(C47="TE",LeagueInfo!$D$6*LeagueInfo!$F$2)))</f>
        <v>24</v>
      </c>
    </row>
    <row r="48" spans="1:9" x14ac:dyDescent="0.35">
      <c r="A48">
        <f t="shared" ca="1" si="0"/>
        <v>48</v>
      </c>
      <c r="B48" t="s">
        <v>711</v>
      </c>
      <c r="C48" t="s">
        <v>32</v>
      </c>
      <c r="D48">
        <f t="shared" ca="1" si="1"/>
        <v>179.56</v>
      </c>
      <c r="E48" s="5">
        <f t="shared" ca="1" si="2"/>
        <v>77.48</v>
      </c>
      <c r="F48" t="str">
        <f ca="1">IF(H48&lt;=I48,"Starter",IF(G48&gt;=LARGE(G:G,FlexOn*LeagueInfo!$F$2),"Starter","Bench"))</f>
        <v>Starter</v>
      </c>
      <c r="G48">
        <f t="shared" ca="1" si="3"/>
        <v>179.56</v>
      </c>
      <c r="H48">
        <f t="shared" ca="1" si="4"/>
        <v>28</v>
      </c>
      <c r="I48">
        <f>IF(C48="RB",LeagueInfo!$D$4*LeagueInfo!$F$2,IF(C48="WR",LeagueInfo!$D$5*LeagueInfo!$F$2,IF(C48="TE",LeagueInfo!$D$6*LeagueInfo!$F$2)))</f>
        <v>24</v>
      </c>
    </row>
    <row r="49" spans="1:9" x14ac:dyDescent="0.35">
      <c r="A49">
        <f t="shared" ca="1" si="0"/>
        <v>57</v>
      </c>
      <c r="B49" t="s">
        <v>540</v>
      </c>
      <c r="C49" t="s">
        <v>25</v>
      </c>
      <c r="D49">
        <f t="shared" ca="1" si="1"/>
        <v>172.45999999999998</v>
      </c>
      <c r="E49" s="5">
        <f t="shared" ca="1" si="2"/>
        <v>70.379999999999981</v>
      </c>
      <c r="F49" t="str">
        <f ca="1">IF(H49&lt;=I49,"Starter",IF(G49&gt;=LARGE(G:G,FlexOn*LeagueInfo!$F$2),"Starter","Bench"))</f>
        <v>Starter</v>
      </c>
      <c r="G49">
        <f t="shared" ca="1" si="3"/>
        <v>0</v>
      </c>
      <c r="H49">
        <f t="shared" ca="1" si="4"/>
        <v>23</v>
      </c>
      <c r="I49">
        <f>IF(C49="RB",LeagueInfo!$D$4*LeagueInfo!$F$2,IF(C49="WR",LeagueInfo!$D$5*LeagueInfo!$F$2,IF(C49="TE",LeagueInfo!$D$6*LeagueInfo!$F$2)))</f>
        <v>24</v>
      </c>
    </row>
    <row r="50" spans="1:9" x14ac:dyDescent="0.35">
      <c r="A50">
        <f t="shared" ca="1" si="0"/>
        <v>50</v>
      </c>
      <c r="B50" t="s">
        <v>725</v>
      </c>
      <c r="C50" t="s">
        <v>40</v>
      </c>
      <c r="D50">
        <f t="shared" ca="1" si="1"/>
        <v>177.68</v>
      </c>
      <c r="E50" s="5">
        <f t="shared" ca="1" si="2"/>
        <v>75.600000000000009</v>
      </c>
      <c r="F50" t="str">
        <f ca="1">IF(H50&lt;=I50,"Starter",IF(G50&gt;=LARGE(G:G,FlexOn*LeagueInfo!$F$2),"Starter","Bench"))</f>
        <v>Starter</v>
      </c>
      <c r="G50">
        <f t="shared" ca="1" si="3"/>
        <v>0</v>
      </c>
      <c r="H50">
        <f t="shared" ca="1" si="4"/>
        <v>2</v>
      </c>
      <c r="I50">
        <f>IF(C50="RB",LeagueInfo!$D$4*LeagueInfo!$F$2,IF(C50="WR",LeagueInfo!$D$5*LeagueInfo!$F$2,IF(C50="TE",LeagueInfo!$D$6*LeagueInfo!$F$2)))</f>
        <v>12</v>
      </c>
    </row>
    <row r="51" spans="1:9" x14ac:dyDescent="0.35">
      <c r="A51">
        <f t="shared" ca="1" si="0"/>
        <v>53</v>
      </c>
      <c r="B51" t="s">
        <v>359</v>
      </c>
      <c r="C51" t="s">
        <v>32</v>
      </c>
      <c r="D51">
        <f t="shared" ca="1" si="1"/>
        <v>175.06</v>
      </c>
      <c r="E51" s="5">
        <f t="shared" ca="1" si="2"/>
        <v>72.98</v>
      </c>
      <c r="F51" t="str">
        <f ca="1">IF(H51&lt;=I51,"Starter",IF(G51&gt;=LARGE(G:G,FlexOn*LeagueInfo!$F$2),"Starter","Bench"))</f>
        <v>Starter</v>
      </c>
      <c r="G51">
        <f t="shared" ca="1" si="3"/>
        <v>175.06</v>
      </c>
      <c r="H51">
        <f t="shared" ca="1" si="4"/>
        <v>31</v>
      </c>
      <c r="I51">
        <f>IF(C51="RB",LeagueInfo!$D$4*LeagueInfo!$F$2,IF(C51="WR",LeagueInfo!$D$5*LeagueInfo!$F$2,IF(C51="TE",LeagueInfo!$D$6*LeagueInfo!$F$2)))</f>
        <v>24</v>
      </c>
    </row>
    <row r="52" spans="1:9" x14ac:dyDescent="0.35">
      <c r="A52">
        <f t="shared" ca="1" si="0"/>
        <v>42</v>
      </c>
      <c r="B52" t="s">
        <v>491</v>
      </c>
      <c r="C52" t="s">
        <v>32</v>
      </c>
      <c r="D52">
        <f t="shared" ca="1" si="1"/>
        <v>182.72</v>
      </c>
      <c r="E52" s="5">
        <f t="shared" ca="1" si="2"/>
        <v>80.64</v>
      </c>
      <c r="F52" t="str">
        <f ca="1">IF(H52&lt;=I52,"Starter",IF(G52&gt;=LARGE(G:G,FlexOn*LeagueInfo!$F$2),"Starter","Bench"))</f>
        <v>Starter</v>
      </c>
      <c r="G52">
        <f t="shared" ca="1" si="3"/>
        <v>0</v>
      </c>
      <c r="H52">
        <f t="shared" ca="1" si="4"/>
        <v>24</v>
      </c>
      <c r="I52">
        <f>IF(C52="RB",LeagueInfo!$D$4*LeagueInfo!$F$2,IF(C52="WR",LeagueInfo!$D$5*LeagueInfo!$F$2,IF(C52="TE",LeagueInfo!$D$6*LeagueInfo!$F$2)))</f>
        <v>24</v>
      </c>
    </row>
    <row r="53" spans="1:9" x14ac:dyDescent="0.35">
      <c r="A53">
        <f t="shared" ca="1" si="0"/>
        <v>54</v>
      </c>
      <c r="B53" t="s">
        <v>621</v>
      </c>
      <c r="C53" t="s">
        <v>25</v>
      </c>
      <c r="D53">
        <f t="shared" ca="1" si="1"/>
        <v>174.61</v>
      </c>
      <c r="E53" s="5">
        <f t="shared" ca="1" si="2"/>
        <v>72.530000000000015</v>
      </c>
      <c r="F53" t="str">
        <f ca="1">IF(H53&lt;=I53,"Starter",IF(G53&gt;=LARGE(G:G,FlexOn*LeagueInfo!$F$2),"Starter","Bench"))</f>
        <v>Starter</v>
      </c>
      <c r="G53">
        <f t="shared" ca="1" si="3"/>
        <v>0</v>
      </c>
      <c r="H53">
        <f t="shared" ca="1" si="4"/>
        <v>21</v>
      </c>
      <c r="I53">
        <f>IF(C53="RB",LeagueInfo!$D$4*LeagueInfo!$F$2,IF(C53="WR",LeagueInfo!$D$5*LeagueInfo!$F$2,IF(C53="TE",LeagueInfo!$D$6*LeagueInfo!$F$2)))</f>
        <v>24</v>
      </c>
    </row>
    <row r="54" spans="1:9" x14ac:dyDescent="0.35">
      <c r="A54">
        <f t="shared" ca="1" si="0"/>
        <v>44</v>
      </c>
      <c r="B54" t="s">
        <v>232</v>
      </c>
      <c r="C54" t="s">
        <v>25</v>
      </c>
      <c r="D54">
        <f t="shared" ca="1" si="1"/>
        <v>182.06</v>
      </c>
      <c r="E54" s="5">
        <f t="shared" ca="1" si="2"/>
        <v>79.98</v>
      </c>
      <c r="F54" t="str">
        <f ca="1">IF(H54&lt;=I54,"Starter",IF(G54&gt;=LARGE(G:G,FlexOn*LeagueInfo!$F$2),"Starter","Bench"))</f>
        <v>Starter</v>
      </c>
      <c r="G54">
        <f t="shared" ca="1" si="3"/>
        <v>0</v>
      </c>
      <c r="H54">
        <f t="shared" ca="1" si="4"/>
        <v>18</v>
      </c>
      <c r="I54">
        <f>IF(C54="RB",LeagueInfo!$D$4*LeagueInfo!$F$2,IF(C54="WR",LeagueInfo!$D$5*LeagueInfo!$F$2,IF(C54="TE",LeagueInfo!$D$6*LeagueInfo!$F$2)))</f>
        <v>24</v>
      </c>
    </row>
    <row r="55" spans="1:9" x14ac:dyDescent="0.35">
      <c r="A55">
        <f t="shared" ca="1" si="0"/>
        <v>46</v>
      </c>
      <c r="B55" t="s">
        <v>422</v>
      </c>
      <c r="C55" t="s">
        <v>25</v>
      </c>
      <c r="D55">
        <f t="shared" ca="1" si="1"/>
        <v>180.53</v>
      </c>
      <c r="E55" s="5">
        <f t="shared" ca="1" si="2"/>
        <v>78.45</v>
      </c>
      <c r="F55" t="str">
        <f ca="1">IF(H55&lt;=I55,"Starter",IF(G55&gt;=LARGE(G:G,FlexOn*LeagueInfo!$F$2),"Starter","Bench"))</f>
        <v>Starter</v>
      </c>
      <c r="G55">
        <f t="shared" ca="1" si="3"/>
        <v>0</v>
      </c>
      <c r="H55">
        <f t="shared" ca="1" si="4"/>
        <v>19</v>
      </c>
      <c r="I55">
        <f>IF(C55="RB",LeagueInfo!$D$4*LeagueInfo!$F$2,IF(C55="WR",LeagueInfo!$D$5*LeagueInfo!$F$2,IF(C55="TE",LeagueInfo!$D$6*LeagueInfo!$F$2)))</f>
        <v>24</v>
      </c>
    </row>
    <row r="56" spans="1:9" x14ac:dyDescent="0.35">
      <c r="A56">
        <f t="shared" ca="1" si="0"/>
        <v>52</v>
      </c>
      <c r="B56" t="s">
        <v>240</v>
      </c>
      <c r="C56" t="s">
        <v>32</v>
      </c>
      <c r="D56">
        <f t="shared" ca="1" si="1"/>
        <v>175.10000000000002</v>
      </c>
      <c r="E56" s="5">
        <f t="shared" ca="1" si="2"/>
        <v>73.020000000000024</v>
      </c>
      <c r="F56" t="str">
        <f ca="1">IF(H56&lt;=I56,"Starter",IF(G56&gt;=LARGE(G:G,FlexOn*LeagueInfo!$F$2),"Starter","Bench"))</f>
        <v>Starter</v>
      </c>
      <c r="G56">
        <f t="shared" ca="1" si="3"/>
        <v>175.10000000000002</v>
      </c>
      <c r="H56">
        <f t="shared" ca="1" si="4"/>
        <v>30</v>
      </c>
      <c r="I56">
        <f>IF(C56="RB",LeagueInfo!$D$4*LeagueInfo!$F$2,IF(C56="WR",LeagueInfo!$D$5*LeagueInfo!$F$2,IF(C56="TE",LeagueInfo!$D$6*LeagueInfo!$F$2)))</f>
        <v>24</v>
      </c>
    </row>
    <row r="57" spans="1:9" x14ac:dyDescent="0.35">
      <c r="A57">
        <f t="shared" ca="1" si="0"/>
        <v>60</v>
      </c>
      <c r="B57" t="s">
        <v>233</v>
      </c>
      <c r="C57" t="s">
        <v>25</v>
      </c>
      <c r="D57">
        <f t="shared" ca="1" si="1"/>
        <v>167.85999999999999</v>
      </c>
      <c r="E57" s="5">
        <f t="shared" ca="1" si="2"/>
        <v>65.779999999999987</v>
      </c>
      <c r="F57" t="str">
        <f ca="1">IF(H57&lt;=I57,"Starter",IF(G57&gt;=LARGE(G:G,FlexOn*LeagueInfo!$F$2),"Starter","Bench"))</f>
        <v>Starter</v>
      </c>
      <c r="G57">
        <f t="shared" ca="1" si="3"/>
        <v>0</v>
      </c>
      <c r="H57">
        <f t="shared" ca="1" si="4"/>
        <v>24</v>
      </c>
      <c r="I57">
        <f>IF(C57="RB",LeagueInfo!$D$4*LeagueInfo!$F$2,IF(C57="WR",LeagueInfo!$D$5*LeagueInfo!$F$2,IF(C57="TE",LeagueInfo!$D$6*LeagueInfo!$F$2)))</f>
        <v>24</v>
      </c>
    </row>
    <row r="58" spans="1:9" x14ac:dyDescent="0.35">
      <c r="A58">
        <f t="shared" ca="1" si="0"/>
        <v>58</v>
      </c>
      <c r="B58" t="s">
        <v>362</v>
      </c>
      <c r="C58" t="s">
        <v>32</v>
      </c>
      <c r="D58">
        <f t="shared" ca="1" si="1"/>
        <v>171.73000000000002</v>
      </c>
      <c r="E58" s="5">
        <f t="shared" ca="1" si="2"/>
        <v>69.65000000000002</v>
      </c>
      <c r="F58" t="str">
        <f ca="1">IF(H58&lt;=I58,"Starter",IF(G58&gt;=LARGE(G:G,FlexOn*LeagueInfo!$F$2),"Starter","Bench"))</f>
        <v>Starter</v>
      </c>
      <c r="G58">
        <f t="shared" ca="1" si="3"/>
        <v>171.73000000000002</v>
      </c>
      <c r="H58">
        <f t="shared" ca="1" si="4"/>
        <v>33</v>
      </c>
      <c r="I58">
        <f>IF(C58="RB",LeagueInfo!$D$4*LeagueInfo!$F$2,IF(C58="WR",LeagueInfo!$D$5*LeagueInfo!$F$2,IF(C58="TE",LeagueInfo!$D$6*LeagueInfo!$F$2)))</f>
        <v>24</v>
      </c>
    </row>
    <row r="59" spans="1:9" x14ac:dyDescent="0.35">
      <c r="A59">
        <f t="shared" ca="1" si="0"/>
        <v>51</v>
      </c>
      <c r="B59" t="s">
        <v>545</v>
      </c>
      <c r="C59" t="s">
        <v>25</v>
      </c>
      <c r="D59">
        <f t="shared" ca="1" si="1"/>
        <v>175.12000000000003</v>
      </c>
      <c r="E59" s="5">
        <f t="shared" ca="1" si="2"/>
        <v>73.040000000000035</v>
      </c>
      <c r="F59" t="str">
        <f ca="1">IF(H59&lt;=I59,"Starter",IF(G59&gt;=LARGE(G:G,FlexOn*LeagueInfo!$F$2),"Starter","Bench"))</f>
        <v>Starter</v>
      </c>
      <c r="G59">
        <f t="shared" ca="1" si="3"/>
        <v>0</v>
      </c>
      <c r="H59">
        <f t="shared" ca="1" si="4"/>
        <v>20</v>
      </c>
      <c r="I59">
        <f>IF(C59="RB",LeagueInfo!$D$4*LeagueInfo!$F$2,IF(C59="WR",LeagueInfo!$D$5*LeagueInfo!$F$2,IF(C59="TE",LeagueInfo!$D$6*LeagueInfo!$F$2)))</f>
        <v>24</v>
      </c>
    </row>
    <row r="60" spans="1:9" x14ac:dyDescent="0.35">
      <c r="A60">
        <f t="shared" ca="1" si="0"/>
        <v>59</v>
      </c>
      <c r="B60" t="s">
        <v>371</v>
      </c>
      <c r="C60" t="s">
        <v>40</v>
      </c>
      <c r="D60">
        <f t="shared" ca="1" si="1"/>
        <v>169.29000000000002</v>
      </c>
      <c r="E60" s="5">
        <f t="shared" ca="1" si="2"/>
        <v>67.210000000000022</v>
      </c>
      <c r="F60" t="str">
        <f ca="1">IF(H60&lt;=I60,"Starter",IF(G60&gt;=LARGE(G:G,FlexOn*LeagueInfo!$F$2),"Starter","Bench"))</f>
        <v>Starter</v>
      </c>
      <c r="G60">
        <f t="shared" ca="1" si="3"/>
        <v>0</v>
      </c>
      <c r="H60">
        <f t="shared" ca="1" si="4"/>
        <v>3</v>
      </c>
      <c r="I60">
        <f>IF(C60="RB",LeagueInfo!$D$4*LeagueInfo!$F$2,IF(C60="WR",LeagueInfo!$D$5*LeagueInfo!$F$2,IF(C60="TE",LeagueInfo!$D$6*LeagueInfo!$F$2)))</f>
        <v>12</v>
      </c>
    </row>
    <row r="61" spans="1:9" x14ac:dyDescent="0.35">
      <c r="A61">
        <f t="shared" ca="1" si="0"/>
        <v>56</v>
      </c>
      <c r="B61" t="s">
        <v>743</v>
      </c>
      <c r="C61" t="s">
        <v>32</v>
      </c>
      <c r="D61">
        <f t="shared" ca="1" si="1"/>
        <v>172.64000000000001</v>
      </c>
      <c r="E61" s="5">
        <f t="shared" ca="1" si="2"/>
        <v>70.560000000000016</v>
      </c>
      <c r="F61" t="str">
        <f ca="1">IF(H61&lt;=I61,"Starter",IF(G61&gt;=LARGE(G:G,FlexOn*LeagueInfo!$F$2),"Starter","Bench"))</f>
        <v>Starter</v>
      </c>
      <c r="G61">
        <f t="shared" ca="1" si="3"/>
        <v>172.64000000000001</v>
      </c>
      <c r="H61">
        <f t="shared" ca="1" si="4"/>
        <v>32</v>
      </c>
      <c r="I61">
        <f>IF(C61="RB",LeagueInfo!$D$4*LeagueInfo!$F$2,IF(C61="WR",LeagueInfo!$D$5*LeagueInfo!$F$2,IF(C61="TE",LeagueInfo!$D$6*LeagueInfo!$F$2)))</f>
        <v>24</v>
      </c>
    </row>
    <row r="62" spans="1:9" x14ac:dyDescent="0.35">
      <c r="A62">
        <f t="shared" ca="1" si="0"/>
        <v>63</v>
      </c>
      <c r="B62" t="s">
        <v>517</v>
      </c>
      <c r="C62" t="s">
        <v>25</v>
      </c>
      <c r="D62">
        <f t="shared" ca="1" si="1"/>
        <v>163.26000000000002</v>
      </c>
      <c r="E62" s="5">
        <f t="shared" ca="1" si="2"/>
        <v>61.180000000000021</v>
      </c>
      <c r="F62" t="str">
        <f ca="1">IF(H62&lt;=I62,"Starter",IF(G62&gt;=LARGE(G:G,FlexOn*LeagueInfo!$F$2),"Starter","Bench"))</f>
        <v>Starter</v>
      </c>
      <c r="G62">
        <f t="shared" ca="1" si="3"/>
        <v>163.26000000000002</v>
      </c>
      <c r="H62">
        <f t="shared" ca="1" si="4"/>
        <v>26</v>
      </c>
      <c r="I62">
        <f>IF(C62="RB",LeagueInfo!$D$4*LeagueInfo!$F$2,IF(C62="WR",LeagueInfo!$D$5*LeagueInfo!$F$2,IF(C62="TE",LeagueInfo!$D$6*LeagueInfo!$F$2)))</f>
        <v>24</v>
      </c>
    </row>
    <row r="63" spans="1:9" x14ac:dyDescent="0.35">
      <c r="A63">
        <f t="shared" ca="1" si="0"/>
        <v>68</v>
      </c>
      <c r="B63" t="s">
        <v>727</v>
      </c>
      <c r="C63" t="s">
        <v>32</v>
      </c>
      <c r="D63">
        <f t="shared" ca="1" si="1"/>
        <v>160.50000000000003</v>
      </c>
      <c r="E63" s="5">
        <f t="shared" ca="1" si="2"/>
        <v>58.42000000000003</v>
      </c>
      <c r="F63" t="str">
        <f ca="1">IF(H63&lt;=I63,"Starter",IF(G63&gt;=LARGE(G:G,FlexOn*LeagueInfo!$F$2),"Starter","Bench"))</f>
        <v>Bench</v>
      </c>
      <c r="G63">
        <f t="shared" ca="1" si="3"/>
        <v>160.50000000000003</v>
      </c>
      <c r="H63">
        <f t="shared" ca="1" si="4"/>
        <v>37</v>
      </c>
      <c r="I63">
        <f>IF(C63="RB",LeagueInfo!$D$4*LeagueInfo!$F$2,IF(C63="WR",LeagueInfo!$D$5*LeagueInfo!$F$2,IF(C63="TE",LeagueInfo!$D$6*LeagueInfo!$F$2)))</f>
        <v>24</v>
      </c>
    </row>
    <row r="64" spans="1:9" x14ac:dyDescent="0.35">
      <c r="A64">
        <f t="shared" ca="1" si="0"/>
        <v>61</v>
      </c>
      <c r="B64" t="s">
        <v>435</v>
      </c>
      <c r="C64" t="s">
        <v>32</v>
      </c>
      <c r="D64">
        <f t="shared" ca="1" si="1"/>
        <v>165.96</v>
      </c>
      <c r="E64" s="5">
        <f t="shared" ca="1" si="2"/>
        <v>63.88000000000001</v>
      </c>
      <c r="F64" t="str">
        <f ca="1">IF(H64&lt;=I64,"Starter",IF(G64&gt;=LARGE(G:G,FlexOn*LeagueInfo!$F$2),"Starter","Bench"))</f>
        <v>Starter</v>
      </c>
      <c r="G64">
        <f t="shared" ca="1" si="3"/>
        <v>165.96</v>
      </c>
      <c r="H64">
        <f t="shared" ca="1" si="4"/>
        <v>34</v>
      </c>
      <c r="I64">
        <f>IF(C64="RB",LeagueInfo!$D$4*LeagueInfo!$F$2,IF(C64="WR",LeagueInfo!$D$5*LeagueInfo!$F$2,IF(C64="TE",LeagueInfo!$D$6*LeagueInfo!$F$2)))</f>
        <v>24</v>
      </c>
    </row>
    <row r="65" spans="1:9" x14ac:dyDescent="0.35">
      <c r="A65">
        <f t="shared" ca="1" si="0"/>
        <v>66</v>
      </c>
      <c r="B65" t="s">
        <v>437</v>
      </c>
      <c r="C65" t="s">
        <v>32</v>
      </c>
      <c r="D65">
        <f t="shared" ca="1" si="1"/>
        <v>160.71000000000004</v>
      </c>
      <c r="E65" s="5">
        <f t="shared" ca="1" si="2"/>
        <v>58.630000000000038</v>
      </c>
      <c r="F65" t="str">
        <f ca="1">IF(H65&lt;=I65,"Starter",IF(G65&gt;=LARGE(G:G,FlexOn*LeagueInfo!$F$2),"Starter","Bench"))</f>
        <v>Bench</v>
      </c>
      <c r="G65">
        <f t="shared" ca="1" si="3"/>
        <v>160.71000000000004</v>
      </c>
      <c r="H65">
        <f t="shared" ca="1" si="4"/>
        <v>36</v>
      </c>
      <c r="I65">
        <f>IF(C65="RB",LeagueInfo!$D$4*LeagueInfo!$F$2,IF(C65="WR",LeagueInfo!$D$5*LeagueInfo!$F$2,IF(C65="TE",LeagueInfo!$D$6*LeagueInfo!$F$2)))</f>
        <v>24</v>
      </c>
    </row>
    <row r="66" spans="1:9" x14ac:dyDescent="0.35">
      <c r="A66">
        <f t="shared" ref="A66:A129" ca="1" si="5">RANK(E66,E:E)</f>
        <v>69</v>
      </c>
      <c r="B66" t="s">
        <v>257</v>
      </c>
      <c r="C66" t="s">
        <v>40</v>
      </c>
      <c r="D66">
        <f t="shared" ref="D66:D128" ca="1" si="6">INDEX(INDIRECT($C66&amp;"!P:P"),MATCH($B66,INDIRECT($C66&amp;"!B:B"),0))</f>
        <v>156.11000000000001</v>
      </c>
      <c r="E66" s="5">
        <f t="shared" ref="E66:E129" ca="1" si="7">D66-LARGE(D:D,RBCount+WRCount+TECount)</f>
        <v>54.030000000000015</v>
      </c>
      <c r="F66" t="str">
        <f ca="1">IF(H66&lt;=I66,"Starter",IF(G66&gt;=LARGE(G:G,FlexOn*LeagueInfo!$F$2),"Starter","Bench"))</f>
        <v>Starter</v>
      </c>
      <c r="G66">
        <f t="shared" ref="G66:G128" ca="1" si="8">IF(H66&gt;I66,D66,0)</f>
        <v>0</v>
      </c>
      <c r="H66">
        <f t="shared" ref="H66:H128" ca="1" si="9">INDEX(INDIRECT(""&amp;C66&amp;"!A2:A409"),MATCH(B66,INDIRECT(""&amp;C66&amp;"!B2:B409"),0))</f>
        <v>5</v>
      </c>
      <c r="I66">
        <f>IF(C66="RB",LeagueInfo!$D$4*LeagueInfo!$F$2,IF(C66="WR",LeagueInfo!$D$5*LeagueInfo!$F$2,IF(C66="TE",LeagueInfo!$D$6*LeagueInfo!$F$2)))</f>
        <v>12</v>
      </c>
    </row>
    <row r="67" spans="1:9" x14ac:dyDescent="0.35">
      <c r="A67">
        <f t="shared" ca="1" si="5"/>
        <v>79</v>
      </c>
      <c r="B67" t="s">
        <v>595</v>
      </c>
      <c r="C67" t="s">
        <v>32</v>
      </c>
      <c r="D67">
        <f t="shared" ca="1" si="6"/>
        <v>150.15</v>
      </c>
      <c r="E67" s="5">
        <f t="shared" ca="1" si="7"/>
        <v>48.070000000000007</v>
      </c>
      <c r="F67" t="str">
        <f ca="1">IF(H67&lt;=I67,"Starter",IF(G67&gt;=LARGE(G:G,FlexOn*LeagueInfo!$F$2),"Starter","Bench"))</f>
        <v>Bench</v>
      </c>
      <c r="G67">
        <f t="shared" ca="1" si="8"/>
        <v>150.15</v>
      </c>
      <c r="H67">
        <f t="shared" ca="1" si="9"/>
        <v>41</v>
      </c>
      <c r="I67">
        <f>IF(C67="RB",LeagueInfo!$D$4*LeagueInfo!$F$2,IF(C67="WR",LeagueInfo!$D$5*LeagueInfo!$F$2,IF(C67="TE",LeagueInfo!$D$6*LeagueInfo!$F$2)))</f>
        <v>24</v>
      </c>
    </row>
    <row r="68" spans="1:9" x14ac:dyDescent="0.35">
      <c r="A68">
        <f t="shared" ca="1" si="5"/>
        <v>64</v>
      </c>
      <c r="B68" t="s">
        <v>427</v>
      </c>
      <c r="C68" t="s">
        <v>25</v>
      </c>
      <c r="D68">
        <f t="shared" ca="1" si="6"/>
        <v>163.19000000000003</v>
      </c>
      <c r="E68" s="5">
        <f t="shared" ca="1" si="7"/>
        <v>61.110000000000028</v>
      </c>
      <c r="F68" t="str">
        <f ca="1">IF(H68&lt;=I68,"Starter",IF(G68&gt;=LARGE(G:G,FlexOn*LeagueInfo!$F$2),"Starter","Bench"))</f>
        <v>Bench</v>
      </c>
      <c r="G68">
        <f t="shared" ca="1" si="8"/>
        <v>163.19000000000003</v>
      </c>
      <c r="H68">
        <f t="shared" ca="1" si="9"/>
        <v>27</v>
      </c>
      <c r="I68">
        <f>IF(C68="RB",LeagueInfo!$D$4*LeagueInfo!$F$2,IF(C68="WR",LeagueInfo!$D$5*LeagueInfo!$F$2,IF(C68="TE",LeagueInfo!$D$6*LeagueInfo!$F$2)))</f>
        <v>24</v>
      </c>
    </row>
    <row r="69" spans="1:9" x14ac:dyDescent="0.35">
      <c r="A69">
        <f t="shared" ca="1" si="5"/>
        <v>71</v>
      </c>
      <c r="B69" t="s">
        <v>620</v>
      </c>
      <c r="C69" t="s">
        <v>25</v>
      </c>
      <c r="D69">
        <f t="shared" ca="1" si="6"/>
        <v>155.73000000000002</v>
      </c>
      <c r="E69" s="5">
        <f t="shared" ca="1" si="7"/>
        <v>53.65000000000002</v>
      </c>
      <c r="F69" t="str">
        <f ca="1">IF(H69&lt;=I69,"Starter",IF(G69&gt;=LARGE(G:G,FlexOn*LeagueInfo!$F$2),"Starter","Bench"))</f>
        <v>Bench</v>
      </c>
      <c r="G69">
        <f t="shared" ca="1" si="8"/>
        <v>155.73000000000002</v>
      </c>
      <c r="H69">
        <f t="shared" ca="1" si="9"/>
        <v>29</v>
      </c>
      <c r="I69">
        <f>IF(C69="RB",LeagueInfo!$D$4*LeagueInfo!$F$2,IF(C69="WR",LeagueInfo!$D$5*LeagueInfo!$F$2,IF(C69="TE",LeagueInfo!$D$6*LeagueInfo!$F$2)))</f>
        <v>24</v>
      </c>
    </row>
    <row r="70" spans="1:9" x14ac:dyDescent="0.35">
      <c r="A70">
        <f t="shared" ca="1" si="5"/>
        <v>86</v>
      </c>
      <c r="B70" t="s">
        <v>717</v>
      </c>
      <c r="C70" t="s">
        <v>25</v>
      </c>
      <c r="D70">
        <f t="shared" ca="1" si="6"/>
        <v>145.16000000000005</v>
      </c>
      <c r="E70" s="5">
        <f t="shared" ca="1" si="7"/>
        <v>43.080000000000055</v>
      </c>
      <c r="F70" t="str">
        <f ca="1">IF(H70&lt;=I70,"Starter",IF(G70&gt;=LARGE(G:G,FlexOn*LeagueInfo!$F$2),"Starter","Bench"))</f>
        <v>Bench</v>
      </c>
      <c r="G70">
        <f t="shared" ca="1" si="8"/>
        <v>145.16000000000005</v>
      </c>
      <c r="H70">
        <f t="shared" ca="1" si="9"/>
        <v>34</v>
      </c>
      <c r="I70">
        <f>IF(C70="RB",LeagueInfo!$D$4*LeagueInfo!$F$2,IF(C70="WR",LeagueInfo!$D$5*LeagueInfo!$F$2,IF(C70="TE",LeagueInfo!$D$6*LeagueInfo!$F$2)))</f>
        <v>24</v>
      </c>
    </row>
    <row r="71" spans="1:9" x14ac:dyDescent="0.35">
      <c r="A71">
        <f t="shared" ca="1" si="5"/>
        <v>75</v>
      </c>
      <c r="B71" t="s">
        <v>567</v>
      </c>
      <c r="C71" t="s">
        <v>40</v>
      </c>
      <c r="D71">
        <f t="shared" ca="1" si="6"/>
        <v>151.76</v>
      </c>
      <c r="E71" s="5">
        <f t="shared" ca="1" si="7"/>
        <v>49.679999999999993</v>
      </c>
      <c r="F71" t="str">
        <f ca="1">IF(H71&lt;=I71,"Starter",IF(G71&gt;=LARGE(G:G,FlexOn*LeagueInfo!$F$2),"Starter","Bench"))</f>
        <v>Starter</v>
      </c>
      <c r="G71">
        <f t="shared" ca="1" si="8"/>
        <v>0</v>
      </c>
      <c r="H71">
        <f t="shared" ca="1" si="9"/>
        <v>7</v>
      </c>
      <c r="I71">
        <f>IF(C71="RB",LeagueInfo!$D$4*LeagueInfo!$F$2,IF(C71="WR",LeagueInfo!$D$5*LeagueInfo!$F$2,IF(C71="TE",LeagueInfo!$D$6*LeagueInfo!$F$2)))</f>
        <v>12</v>
      </c>
    </row>
    <row r="72" spans="1:9" x14ac:dyDescent="0.35">
      <c r="A72">
        <f t="shared" ca="1" si="5"/>
        <v>72</v>
      </c>
      <c r="B72" t="s">
        <v>426</v>
      </c>
      <c r="C72" t="s">
        <v>25</v>
      </c>
      <c r="D72">
        <f t="shared" ca="1" si="6"/>
        <v>154.72999999999999</v>
      </c>
      <c r="E72" s="5">
        <f t="shared" ca="1" si="7"/>
        <v>52.649999999999991</v>
      </c>
      <c r="F72" t="str">
        <f ca="1">IF(H72&lt;=I72,"Starter",IF(G72&gt;=LARGE(G:G,FlexOn*LeagueInfo!$F$2),"Starter","Bench"))</f>
        <v>Bench</v>
      </c>
      <c r="G72">
        <f t="shared" ca="1" si="8"/>
        <v>154.72999999999999</v>
      </c>
      <c r="H72">
        <f t="shared" ca="1" si="9"/>
        <v>30</v>
      </c>
      <c r="I72">
        <f>IF(C72="RB",LeagueInfo!$D$4*LeagueInfo!$F$2,IF(C72="WR",LeagueInfo!$D$5*LeagueInfo!$F$2,IF(C72="TE",LeagueInfo!$D$6*LeagueInfo!$F$2)))</f>
        <v>24</v>
      </c>
    </row>
    <row r="73" spans="1:9" x14ac:dyDescent="0.35">
      <c r="A73">
        <f t="shared" ca="1" si="5"/>
        <v>67</v>
      </c>
      <c r="B73" t="s">
        <v>634</v>
      </c>
      <c r="C73" t="s">
        <v>40</v>
      </c>
      <c r="D73">
        <f t="shared" ca="1" si="6"/>
        <v>160.64000000000001</v>
      </c>
      <c r="E73" s="5">
        <f t="shared" ca="1" si="7"/>
        <v>58.560000000000016</v>
      </c>
      <c r="F73" t="str">
        <f ca="1">IF(H73&lt;=I73,"Starter",IF(G73&gt;=LARGE(G:G,FlexOn*LeagueInfo!$F$2),"Starter","Bench"))</f>
        <v>Starter</v>
      </c>
      <c r="G73">
        <f t="shared" ca="1" si="8"/>
        <v>0</v>
      </c>
      <c r="H73">
        <f t="shared" ca="1" si="9"/>
        <v>4</v>
      </c>
      <c r="I73">
        <f>IF(C73="RB",LeagueInfo!$D$4*LeagueInfo!$F$2,IF(C73="WR",LeagueInfo!$D$5*LeagueInfo!$F$2,IF(C73="TE",LeagueInfo!$D$6*LeagueInfo!$F$2)))</f>
        <v>12</v>
      </c>
    </row>
    <row r="74" spans="1:9" x14ac:dyDescent="0.35">
      <c r="A74">
        <f t="shared" ca="1" si="5"/>
        <v>93</v>
      </c>
      <c r="B74" t="s">
        <v>406</v>
      </c>
      <c r="C74" t="s">
        <v>25</v>
      </c>
      <c r="D74">
        <f t="shared" ca="1" si="6"/>
        <v>140.43</v>
      </c>
      <c r="E74" s="5">
        <f t="shared" ca="1" si="7"/>
        <v>38.350000000000009</v>
      </c>
      <c r="F74" t="str">
        <f ca="1">IF(H74&lt;=I74,"Starter",IF(G74&gt;=LARGE(G:G,FlexOn*LeagueInfo!$F$2),"Starter","Bench"))</f>
        <v>Bench</v>
      </c>
      <c r="G74">
        <f t="shared" ca="1" si="8"/>
        <v>140.43</v>
      </c>
      <c r="H74">
        <f t="shared" ca="1" si="9"/>
        <v>35</v>
      </c>
      <c r="I74">
        <f>IF(C74="RB",LeagueInfo!$D$4*LeagueInfo!$F$2,IF(C74="WR",LeagueInfo!$D$5*LeagueInfo!$F$2,IF(C74="TE",LeagueInfo!$D$6*LeagueInfo!$F$2)))</f>
        <v>24</v>
      </c>
    </row>
    <row r="75" spans="1:9" x14ac:dyDescent="0.35">
      <c r="A75">
        <f t="shared" ca="1" si="5"/>
        <v>73</v>
      </c>
      <c r="B75" t="s">
        <v>712</v>
      </c>
      <c r="C75" t="s">
        <v>40</v>
      </c>
      <c r="D75">
        <f t="shared" ca="1" si="6"/>
        <v>154.14000000000001</v>
      </c>
      <c r="E75" s="5">
        <f t="shared" ca="1" si="7"/>
        <v>52.060000000000016</v>
      </c>
      <c r="F75" t="str">
        <f ca="1">IF(H75&lt;=I75,"Starter",IF(G75&gt;=LARGE(G:G,FlexOn*LeagueInfo!$F$2),"Starter","Bench"))</f>
        <v>Starter</v>
      </c>
      <c r="G75">
        <f t="shared" ca="1" si="8"/>
        <v>0</v>
      </c>
      <c r="H75">
        <f t="shared" ca="1" si="9"/>
        <v>6</v>
      </c>
      <c r="I75">
        <f>IF(C75="RB",LeagueInfo!$D$4*LeagueInfo!$F$2,IF(C75="WR",LeagueInfo!$D$5*LeagueInfo!$F$2,IF(C75="TE",LeagueInfo!$D$6*LeagueInfo!$F$2)))</f>
        <v>12</v>
      </c>
    </row>
    <row r="76" spans="1:9" x14ac:dyDescent="0.35">
      <c r="A76">
        <f t="shared" ca="1" si="5"/>
        <v>65</v>
      </c>
      <c r="B76" t="s">
        <v>101</v>
      </c>
      <c r="C76" t="s">
        <v>32</v>
      </c>
      <c r="D76">
        <f t="shared" ca="1" si="6"/>
        <v>161.6</v>
      </c>
      <c r="E76" s="5">
        <f t="shared" ca="1" si="7"/>
        <v>59.519999999999996</v>
      </c>
      <c r="F76" t="str">
        <f ca="1">IF(H76&lt;=I76,"Starter",IF(G76&gt;=LARGE(G:G,FlexOn*LeagueInfo!$F$2),"Starter","Bench"))</f>
        <v>Bench</v>
      </c>
      <c r="G76">
        <f t="shared" ca="1" si="8"/>
        <v>161.6</v>
      </c>
      <c r="H76">
        <f t="shared" ca="1" si="9"/>
        <v>35</v>
      </c>
      <c r="I76">
        <f>IF(C76="RB",LeagueInfo!$D$4*LeagueInfo!$F$2,IF(C76="WR",LeagueInfo!$D$5*LeagueInfo!$F$2,IF(C76="TE",LeagueInfo!$D$6*LeagueInfo!$F$2)))</f>
        <v>24</v>
      </c>
    </row>
    <row r="77" spans="1:9" x14ac:dyDescent="0.35">
      <c r="A77">
        <f t="shared" ca="1" si="5"/>
        <v>81</v>
      </c>
      <c r="B77" t="s">
        <v>910</v>
      </c>
      <c r="C77" t="s">
        <v>32</v>
      </c>
      <c r="D77">
        <f t="shared" ca="1" si="6"/>
        <v>148.91</v>
      </c>
      <c r="E77" s="5">
        <f t="shared" ca="1" si="7"/>
        <v>46.83</v>
      </c>
      <c r="F77" t="str">
        <f ca="1">IF(H77&lt;=I77,"Starter",IF(G77&gt;=LARGE(G:G,FlexOn*LeagueInfo!$F$2),"Starter","Bench"))</f>
        <v>Bench</v>
      </c>
      <c r="G77">
        <f t="shared" ca="1" si="8"/>
        <v>148.91</v>
      </c>
      <c r="H77">
        <f t="shared" ca="1" si="9"/>
        <v>43</v>
      </c>
      <c r="I77">
        <f>IF(C77="RB",LeagueInfo!$D$4*LeagueInfo!$F$2,IF(C77="WR",LeagueInfo!$D$5*LeagueInfo!$F$2,IF(C77="TE",LeagueInfo!$D$6*LeagueInfo!$F$2)))</f>
        <v>24</v>
      </c>
    </row>
    <row r="78" spans="1:9" x14ac:dyDescent="0.35">
      <c r="A78">
        <f t="shared" ca="1" si="5"/>
        <v>77</v>
      </c>
      <c r="B78" t="s">
        <v>520</v>
      </c>
      <c r="C78" t="s">
        <v>25</v>
      </c>
      <c r="D78">
        <f t="shared" ca="1" si="6"/>
        <v>151.25</v>
      </c>
      <c r="E78" s="5">
        <f t="shared" ca="1" si="7"/>
        <v>49.17</v>
      </c>
      <c r="F78" t="str">
        <f ca="1">IF(H78&lt;=I78,"Starter",IF(G78&gt;=LARGE(G:G,FlexOn*LeagueInfo!$F$2),"Starter","Bench"))</f>
        <v>Bench</v>
      </c>
      <c r="G78">
        <f t="shared" ca="1" si="8"/>
        <v>151.25</v>
      </c>
      <c r="H78">
        <f t="shared" ca="1" si="9"/>
        <v>31</v>
      </c>
      <c r="I78">
        <f>IF(C78="RB",LeagueInfo!$D$4*LeagueInfo!$F$2,IF(C78="WR",LeagueInfo!$D$5*LeagueInfo!$F$2,IF(C78="TE",LeagueInfo!$D$6*LeagueInfo!$F$2)))</f>
        <v>24</v>
      </c>
    </row>
    <row r="79" spans="1:9" x14ac:dyDescent="0.35">
      <c r="A79">
        <f t="shared" ca="1" si="5"/>
        <v>78</v>
      </c>
      <c r="B79" t="s">
        <v>93</v>
      </c>
      <c r="C79" t="s">
        <v>32</v>
      </c>
      <c r="D79">
        <f t="shared" ca="1" si="6"/>
        <v>150.95999999999998</v>
      </c>
      <c r="E79" s="5">
        <f t="shared" ca="1" si="7"/>
        <v>48.879999999999981</v>
      </c>
      <c r="F79" t="str">
        <f ca="1">IF(H79&lt;=I79,"Starter",IF(G79&gt;=LARGE(G:G,FlexOn*LeagueInfo!$F$2),"Starter","Bench"))</f>
        <v>Bench</v>
      </c>
      <c r="G79">
        <f t="shared" ca="1" si="8"/>
        <v>150.95999999999998</v>
      </c>
      <c r="H79">
        <f t="shared" ca="1" si="9"/>
        <v>40</v>
      </c>
      <c r="I79">
        <f>IF(C79="RB",LeagueInfo!$D$4*LeagueInfo!$F$2,IF(C79="WR",LeagueInfo!$D$5*LeagueInfo!$F$2,IF(C79="TE",LeagueInfo!$D$6*LeagueInfo!$F$2)))</f>
        <v>24</v>
      </c>
    </row>
    <row r="80" spans="1:9" x14ac:dyDescent="0.35">
      <c r="A80">
        <f t="shared" ca="1" si="5"/>
        <v>80</v>
      </c>
      <c r="B80" t="s">
        <v>753</v>
      </c>
      <c r="C80" t="s">
        <v>32</v>
      </c>
      <c r="D80">
        <f t="shared" ca="1" si="6"/>
        <v>149.97000000000003</v>
      </c>
      <c r="E80" s="5">
        <f t="shared" ca="1" si="7"/>
        <v>47.890000000000029</v>
      </c>
      <c r="F80" t="str">
        <f ca="1">IF(H80&lt;=I80,"Starter",IF(G80&gt;=LARGE(G:G,FlexOn*LeagueInfo!$F$2),"Starter","Bench"))</f>
        <v>Bench</v>
      </c>
      <c r="G80">
        <f t="shared" ca="1" si="8"/>
        <v>149.97000000000003</v>
      </c>
      <c r="H80">
        <f t="shared" ca="1" si="9"/>
        <v>42</v>
      </c>
      <c r="I80">
        <f>IF(C80="RB",LeagueInfo!$D$4*LeagueInfo!$F$2,IF(C80="WR",LeagueInfo!$D$5*LeagueInfo!$F$2,IF(C80="TE",LeagueInfo!$D$6*LeagueInfo!$F$2)))</f>
        <v>24</v>
      </c>
    </row>
    <row r="81" spans="1:9" x14ac:dyDescent="0.35">
      <c r="A81">
        <f t="shared" ca="1" si="5"/>
        <v>74</v>
      </c>
      <c r="B81" t="s">
        <v>360</v>
      </c>
      <c r="C81" t="s">
        <v>32</v>
      </c>
      <c r="D81">
        <f t="shared" ca="1" si="6"/>
        <v>152.02000000000001</v>
      </c>
      <c r="E81" s="5">
        <f t="shared" ca="1" si="7"/>
        <v>49.940000000000012</v>
      </c>
      <c r="F81" t="str">
        <f ca="1">IF(H81&lt;=I81,"Starter",IF(G81&gt;=LARGE(G:G,FlexOn*LeagueInfo!$F$2),"Starter","Bench"))</f>
        <v>Bench</v>
      </c>
      <c r="G81">
        <f t="shared" ca="1" si="8"/>
        <v>152.02000000000001</v>
      </c>
      <c r="H81">
        <f t="shared" ca="1" si="9"/>
        <v>38</v>
      </c>
      <c r="I81">
        <f>IF(C81="RB",LeagueInfo!$D$4*LeagueInfo!$F$2,IF(C81="WR",LeagueInfo!$D$5*LeagueInfo!$F$2,IF(C81="TE",LeagueInfo!$D$6*LeagueInfo!$F$2)))</f>
        <v>24</v>
      </c>
    </row>
    <row r="82" spans="1:9" x14ac:dyDescent="0.35">
      <c r="A82">
        <f t="shared" ca="1" si="5"/>
        <v>82</v>
      </c>
      <c r="B82" t="s">
        <v>912</v>
      </c>
      <c r="C82" t="s">
        <v>32</v>
      </c>
      <c r="D82">
        <f t="shared" ca="1" si="6"/>
        <v>147.33000000000004</v>
      </c>
      <c r="E82" s="5">
        <f t="shared" ca="1" si="7"/>
        <v>45.250000000000043</v>
      </c>
      <c r="F82" t="str">
        <f ca="1">IF(H82&lt;=I82,"Starter",IF(G82&gt;=LARGE(G:G,FlexOn*LeagueInfo!$F$2),"Starter","Bench"))</f>
        <v>Bench</v>
      </c>
      <c r="G82">
        <f t="shared" ca="1" si="8"/>
        <v>147.33000000000004</v>
      </c>
      <c r="H82">
        <f t="shared" ca="1" si="9"/>
        <v>44</v>
      </c>
      <c r="I82">
        <f>IF(C82="RB",LeagueInfo!$D$4*LeagueInfo!$F$2,IF(C82="WR",LeagueInfo!$D$5*LeagueInfo!$F$2,IF(C82="TE",LeagueInfo!$D$6*LeagueInfo!$F$2)))</f>
        <v>24</v>
      </c>
    </row>
    <row r="83" spans="1:9" x14ac:dyDescent="0.35">
      <c r="A83">
        <f t="shared" ca="1" si="5"/>
        <v>70</v>
      </c>
      <c r="B83" t="s">
        <v>688</v>
      </c>
      <c r="C83" t="s">
        <v>25</v>
      </c>
      <c r="D83">
        <f t="shared" ca="1" si="6"/>
        <v>156.07999999999998</v>
      </c>
      <c r="E83" s="5">
        <f t="shared" ca="1" si="7"/>
        <v>53.999999999999986</v>
      </c>
      <c r="F83" t="str">
        <f ca="1">IF(H83&lt;=I83,"Starter",IF(G83&gt;=LARGE(G:G,FlexOn*LeagueInfo!$F$2),"Starter","Bench"))</f>
        <v>Bench</v>
      </c>
      <c r="G83">
        <f t="shared" ca="1" si="8"/>
        <v>156.07999999999998</v>
      </c>
      <c r="H83">
        <f t="shared" ca="1" si="9"/>
        <v>28</v>
      </c>
      <c r="I83">
        <f>IF(C83="RB",LeagueInfo!$D$4*LeagueInfo!$F$2,IF(C83="WR",LeagueInfo!$D$5*LeagueInfo!$F$2,IF(C83="TE",LeagueInfo!$D$6*LeagueInfo!$F$2)))</f>
        <v>24</v>
      </c>
    </row>
    <row r="84" spans="1:9" x14ac:dyDescent="0.35">
      <c r="A84">
        <f t="shared" ca="1" si="5"/>
        <v>89</v>
      </c>
      <c r="B84" t="s">
        <v>638</v>
      </c>
      <c r="C84" t="s">
        <v>40</v>
      </c>
      <c r="D84">
        <f t="shared" ca="1" si="6"/>
        <v>143.6</v>
      </c>
      <c r="E84" s="5">
        <f t="shared" ca="1" si="7"/>
        <v>41.519999999999996</v>
      </c>
      <c r="F84" t="str">
        <f ca="1">IF(H84&lt;=I84,"Starter",IF(G84&gt;=LARGE(G:G,FlexOn*LeagueInfo!$F$2),"Starter","Bench"))</f>
        <v>Starter</v>
      </c>
      <c r="G84">
        <f t="shared" ca="1" si="8"/>
        <v>0</v>
      </c>
      <c r="H84">
        <f t="shared" ca="1" si="9"/>
        <v>9</v>
      </c>
      <c r="I84">
        <f>IF(C84="RB",LeagueInfo!$D$4*LeagueInfo!$F$2,IF(C84="WR",LeagueInfo!$D$5*LeagueInfo!$F$2,IF(C84="TE",LeagueInfo!$D$6*LeagueInfo!$F$2)))</f>
        <v>12</v>
      </c>
    </row>
    <row r="85" spans="1:9" x14ac:dyDescent="0.35">
      <c r="A85">
        <f t="shared" ca="1" si="5"/>
        <v>94</v>
      </c>
      <c r="B85" t="s">
        <v>88</v>
      </c>
      <c r="C85" t="s">
        <v>25</v>
      </c>
      <c r="D85">
        <f t="shared" ca="1" si="6"/>
        <v>140.30000000000001</v>
      </c>
      <c r="E85" s="5">
        <f t="shared" ca="1" si="7"/>
        <v>38.220000000000013</v>
      </c>
      <c r="F85" t="str">
        <f ca="1">IF(H85&lt;=I85,"Starter",IF(G85&gt;=LARGE(G:G,FlexOn*LeagueInfo!$F$2),"Starter","Bench"))</f>
        <v>Bench</v>
      </c>
      <c r="G85">
        <f t="shared" ca="1" si="8"/>
        <v>140.30000000000001</v>
      </c>
      <c r="H85">
        <f t="shared" ca="1" si="9"/>
        <v>36</v>
      </c>
      <c r="I85">
        <f>IF(C85="RB",LeagueInfo!$D$4*LeagueInfo!$F$2,IF(C85="WR",LeagueInfo!$D$5*LeagueInfo!$F$2,IF(C85="TE",LeagueInfo!$D$6*LeagueInfo!$F$2)))</f>
        <v>24</v>
      </c>
    </row>
    <row r="86" spans="1:9" x14ac:dyDescent="0.35">
      <c r="A86">
        <f t="shared" ca="1" si="5"/>
        <v>108</v>
      </c>
      <c r="B86" t="s">
        <v>354</v>
      </c>
      <c r="C86" t="s">
        <v>25</v>
      </c>
      <c r="D86">
        <f t="shared" ca="1" si="6"/>
        <v>127.62</v>
      </c>
      <c r="E86" s="5">
        <f t="shared" ca="1" si="7"/>
        <v>25.540000000000006</v>
      </c>
      <c r="F86" t="str">
        <f ca="1">IF(H86&lt;=I86,"Starter",IF(G86&gt;=LARGE(G:G,FlexOn*LeagueInfo!$F$2),"Starter","Bench"))</f>
        <v>Bench</v>
      </c>
      <c r="G86">
        <f t="shared" ca="1" si="8"/>
        <v>127.62</v>
      </c>
      <c r="H86">
        <f t="shared" ca="1" si="9"/>
        <v>38</v>
      </c>
      <c r="I86">
        <f>IF(C86="RB",LeagueInfo!$D$4*LeagueInfo!$F$2,IF(C86="WR",LeagueInfo!$D$5*LeagueInfo!$F$2,IF(C86="TE",LeagueInfo!$D$6*LeagueInfo!$F$2)))</f>
        <v>24</v>
      </c>
    </row>
    <row r="87" spans="1:9" x14ac:dyDescent="0.35">
      <c r="A87">
        <f t="shared" ca="1" si="5"/>
        <v>90</v>
      </c>
      <c r="B87" t="s">
        <v>142</v>
      </c>
      <c r="C87" t="s">
        <v>40</v>
      </c>
      <c r="D87">
        <f t="shared" ca="1" si="6"/>
        <v>142.78</v>
      </c>
      <c r="E87" s="5">
        <f t="shared" ca="1" si="7"/>
        <v>40.700000000000003</v>
      </c>
      <c r="F87" t="str">
        <f ca="1">IF(H87&lt;=I87,"Starter",IF(G87&gt;=LARGE(G:G,FlexOn*LeagueInfo!$F$2),"Starter","Bench"))</f>
        <v>Starter</v>
      </c>
      <c r="G87">
        <f t="shared" ca="1" si="8"/>
        <v>0</v>
      </c>
      <c r="H87">
        <f t="shared" ca="1" si="9"/>
        <v>10</v>
      </c>
      <c r="I87">
        <f>IF(C87="RB",LeagueInfo!$D$4*LeagueInfo!$F$2,IF(C87="WR",LeagueInfo!$D$5*LeagueInfo!$F$2,IF(C87="TE",LeagueInfo!$D$6*LeagueInfo!$F$2)))</f>
        <v>12</v>
      </c>
    </row>
    <row r="88" spans="1:9" x14ac:dyDescent="0.35">
      <c r="A88">
        <f t="shared" ca="1" si="5"/>
        <v>92</v>
      </c>
      <c r="B88" t="s">
        <v>596</v>
      </c>
      <c r="C88" t="s">
        <v>32</v>
      </c>
      <c r="D88">
        <f t="shared" ca="1" si="6"/>
        <v>141.13</v>
      </c>
      <c r="E88" s="5">
        <f t="shared" ca="1" si="7"/>
        <v>39.049999999999997</v>
      </c>
      <c r="F88" t="str">
        <f ca="1">IF(H88&lt;=I88,"Starter",IF(G88&gt;=LARGE(G:G,FlexOn*LeagueInfo!$F$2),"Starter","Bench"))</f>
        <v>Bench</v>
      </c>
      <c r="G88">
        <f t="shared" ca="1" si="8"/>
        <v>141.13</v>
      </c>
      <c r="H88">
        <f t="shared" ca="1" si="9"/>
        <v>48</v>
      </c>
      <c r="I88">
        <f>IF(C88="RB",LeagueInfo!$D$4*LeagueInfo!$F$2,IF(C88="WR",LeagueInfo!$D$5*LeagueInfo!$F$2,IF(C88="TE",LeagueInfo!$D$6*LeagueInfo!$F$2)))</f>
        <v>24</v>
      </c>
    </row>
    <row r="89" spans="1:9" x14ac:dyDescent="0.35">
      <c r="A89">
        <f t="shared" ca="1" si="5"/>
        <v>87</v>
      </c>
      <c r="B89" t="s">
        <v>914</v>
      </c>
      <c r="C89" t="s">
        <v>32</v>
      </c>
      <c r="D89">
        <f t="shared" ca="1" si="6"/>
        <v>144.48000000000002</v>
      </c>
      <c r="E89" s="5">
        <f t="shared" ca="1" si="7"/>
        <v>42.40000000000002</v>
      </c>
      <c r="F89" t="str">
        <f ca="1">IF(H89&lt;=I89,"Starter",IF(G89&gt;=LARGE(G:G,FlexOn*LeagueInfo!$F$2),"Starter","Bench"))</f>
        <v>Bench</v>
      </c>
      <c r="G89">
        <f t="shared" ca="1" si="8"/>
        <v>144.48000000000002</v>
      </c>
      <c r="H89">
        <f t="shared" ca="1" si="9"/>
        <v>45</v>
      </c>
      <c r="I89">
        <f>IF(C89="RB",LeagueInfo!$D$4*LeagueInfo!$F$2,IF(C89="WR",LeagueInfo!$D$5*LeagueInfo!$F$2,IF(C89="TE",LeagueInfo!$D$6*LeagueInfo!$F$2)))</f>
        <v>24</v>
      </c>
    </row>
    <row r="90" spans="1:9" x14ac:dyDescent="0.35">
      <c r="A90">
        <f t="shared" ca="1" si="5"/>
        <v>95</v>
      </c>
      <c r="B90" t="s">
        <v>139</v>
      </c>
      <c r="C90" t="s">
        <v>32</v>
      </c>
      <c r="D90">
        <f t="shared" ca="1" si="6"/>
        <v>139.79000000000002</v>
      </c>
      <c r="E90" s="5">
        <f t="shared" ca="1" si="7"/>
        <v>37.710000000000022</v>
      </c>
      <c r="F90" t="str">
        <f ca="1">IF(H90&lt;=I90,"Starter",IF(G90&gt;=LARGE(G:G,FlexOn*LeagueInfo!$F$2),"Starter","Bench"))</f>
        <v>Bench</v>
      </c>
      <c r="G90">
        <f t="shared" ca="1" si="8"/>
        <v>139.79000000000002</v>
      </c>
      <c r="H90">
        <f t="shared" ca="1" si="9"/>
        <v>49</v>
      </c>
      <c r="I90">
        <f>IF(C90="RB",LeagueInfo!$D$4*LeagueInfo!$F$2,IF(C90="WR",LeagueInfo!$D$5*LeagueInfo!$F$2,IF(C90="TE",LeagueInfo!$D$6*LeagueInfo!$F$2)))</f>
        <v>24</v>
      </c>
    </row>
    <row r="91" spans="1:9" x14ac:dyDescent="0.35">
      <c r="A91">
        <f t="shared" ca="1" si="5"/>
        <v>62</v>
      </c>
      <c r="B91" t="s">
        <v>541</v>
      </c>
      <c r="C91" t="s">
        <v>25</v>
      </c>
      <c r="D91">
        <f t="shared" ca="1" si="6"/>
        <v>164.16000000000003</v>
      </c>
      <c r="E91" s="5">
        <f t="shared" ca="1" si="7"/>
        <v>62.080000000000027</v>
      </c>
      <c r="F91" t="str">
        <f ca="1">IF(H91&lt;=I91,"Starter",IF(G91&gt;=LARGE(G:G,FlexOn*LeagueInfo!$F$2),"Starter","Bench"))</f>
        <v>Starter</v>
      </c>
      <c r="G91">
        <f t="shared" ca="1" si="8"/>
        <v>164.16000000000003</v>
      </c>
      <c r="H91">
        <f t="shared" ca="1" si="9"/>
        <v>25</v>
      </c>
      <c r="I91">
        <f>IF(C91="RB",LeagueInfo!$D$4*LeagueInfo!$F$2,IF(C91="WR",LeagueInfo!$D$5*LeagueInfo!$F$2,IF(C91="TE",LeagueInfo!$D$6*LeagueInfo!$F$2)))</f>
        <v>24</v>
      </c>
    </row>
    <row r="92" spans="1:9" x14ac:dyDescent="0.35">
      <c r="A92">
        <f t="shared" ca="1" si="5"/>
        <v>85</v>
      </c>
      <c r="B92" t="s">
        <v>145</v>
      </c>
      <c r="C92" t="s">
        <v>40</v>
      </c>
      <c r="D92">
        <f t="shared" ca="1" si="6"/>
        <v>145.94999999999999</v>
      </c>
      <c r="E92" s="5">
        <f t="shared" ca="1" si="7"/>
        <v>43.86999999999999</v>
      </c>
      <c r="F92" t="str">
        <f ca="1">IF(H92&lt;=I92,"Starter",IF(G92&gt;=LARGE(G:G,FlexOn*LeagueInfo!$F$2),"Starter","Bench"))</f>
        <v>Starter</v>
      </c>
      <c r="G92">
        <f t="shared" ca="1" si="8"/>
        <v>0</v>
      </c>
      <c r="H92">
        <f t="shared" ca="1" si="9"/>
        <v>8</v>
      </c>
      <c r="I92">
        <f>IF(C92="RB",LeagueInfo!$D$4*LeagueInfo!$F$2,IF(C92="WR",LeagueInfo!$D$5*LeagueInfo!$F$2,IF(C92="TE",LeagueInfo!$D$6*LeagueInfo!$F$2)))</f>
        <v>12</v>
      </c>
    </row>
    <row r="93" spans="1:9" x14ac:dyDescent="0.35">
      <c r="A93">
        <f t="shared" ca="1" si="5"/>
        <v>84</v>
      </c>
      <c r="B93" t="s">
        <v>355</v>
      </c>
      <c r="C93" t="s">
        <v>25</v>
      </c>
      <c r="D93">
        <f t="shared" ca="1" si="6"/>
        <v>146.03</v>
      </c>
      <c r="E93" s="5">
        <f t="shared" ca="1" si="7"/>
        <v>43.95</v>
      </c>
      <c r="F93" t="str">
        <f ca="1">IF(H93&lt;=I93,"Starter",IF(G93&gt;=LARGE(G:G,FlexOn*LeagueInfo!$F$2),"Starter","Bench"))</f>
        <v>Bench</v>
      </c>
      <c r="G93">
        <f t="shared" ca="1" si="8"/>
        <v>146.03</v>
      </c>
      <c r="H93">
        <f t="shared" ca="1" si="9"/>
        <v>33</v>
      </c>
      <c r="I93">
        <f>IF(C93="RB",LeagueInfo!$D$4*LeagueInfo!$F$2,IF(C93="WR",LeagueInfo!$D$5*LeagueInfo!$F$2,IF(C93="TE",LeagueInfo!$D$6*LeagueInfo!$F$2)))</f>
        <v>24</v>
      </c>
    </row>
    <row r="94" spans="1:9" x14ac:dyDescent="0.35">
      <c r="A94">
        <f t="shared" ca="1" si="5"/>
        <v>88</v>
      </c>
      <c r="B94" t="s">
        <v>911</v>
      </c>
      <c r="C94" t="s">
        <v>32</v>
      </c>
      <c r="D94">
        <f t="shared" ca="1" si="6"/>
        <v>144.28000000000003</v>
      </c>
      <c r="E94" s="5">
        <f t="shared" ca="1" si="7"/>
        <v>42.200000000000031</v>
      </c>
      <c r="F94" t="str">
        <f ca="1">IF(H94&lt;=I94,"Starter",IF(G94&gt;=LARGE(G:G,FlexOn*LeagueInfo!$F$2),"Starter","Bench"))</f>
        <v>Bench</v>
      </c>
      <c r="G94">
        <f t="shared" ca="1" si="8"/>
        <v>144.28000000000003</v>
      </c>
      <c r="H94">
        <f t="shared" ca="1" si="9"/>
        <v>46</v>
      </c>
      <c r="I94">
        <f>IF(C94="RB",LeagueInfo!$D$4*LeagueInfo!$F$2,IF(C94="WR",LeagueInfo!$D$5*LeagueInfo!$F$2,IF(C94="TE",LeagueInfo!$D$6*LeagueInfo!$F$2)))</f>
        <v>24</v>
      </c>
    </row>
    <row r="95" spans="1:9" x14ac:dyDescent="0.35">
      <c r="A95">
        <f t="shared" ca="1" si="5"/>
        <v>91</v>
      </c>
      <c r="B95" t="s">
        <v>489</v>
      </c>
      <c r="C95" t="s">
        <v>32</v>
      </c>
      <c r="D95">
        <f t="shared" ca="1" si="6"/>
        <v>141.19000000000003</v>
      </c>
      <c r="E95" s="5">
        <f t="shared" ca="1" si="7"/>
        <v>39.110000000000028</v>
      </c>
      <c r="F95" t="str">
        <f ca="1">IF(H95&lt;=I95,"Starter",IF(G95&gt;=LARGE(G:G,FlexOn*LeagueInfo!$F$2),"Starter","Bench"))</f>
        <v>Bench</v>
      </c>
      <c r="G95">
        <f t="shared" ca="1" si="8"/>
        <v>141.19000000000003</v>
      </c>
      <c r="H95">
        <f t="shared" ca="1" si="9"/>
        <v>47</v>
      </c>
      <c r="I95">
        <f>IF(C95="RB",LeagueInfo!$D$4*LeagueInfo!$F$2,IF(C95="WR",LeagueInfo!$D$5*LeagueInfo!$F$2,IF(C95="TE",LeagueInfo!$D$6*LeagueInfo!$F$2)))</f>
        <v>24</v>
      </c>
    </row>
    <row r="96" spans="1:9" x14ac:dyDescent="0.35">
      <c r="A96">
        <f t="shared" ca="1" si="5"/>
        <v>76</v>
      </c>
      <c r="B96" t="s">
        <v>769</v>
      </c>
      <c r="C96" t="s">
        <v>32</v>
      </c>
      <c r="D96">
        <f t="shared" ca="1" si="6"/>
        <v>151.70000000000005</v>
      </c>
      <c r="E96" s="5">
        <f t="shared" ca="1" si="7"/>
        <v>49.620000000000047</v>
      </c>
      <c r="F96" t="str">
        <f ca="1">IF(H96&lt;=I96,"Starter",IF(G96&gt;=LARGE(G:G,FlexOn*LeagueInfo!$F$2),"Starter","Bench"))</f>
        <v>Bench</v>
      </c>
      <c r="G96">
        <f t="shared" ca="1" si="8"/>
        <v>151.70000000000005</v>
      </c>
      <c r="H96">
        <f t="shared" ca="1" si="9"/>
        <v>39</v>
      </c>
      <c r="I96">
        <f>IF(C96="RB",LeagueInfo!$D$4*LeagueInfo!$F$2,IF(C96="WR",LeagueInfo!$D$5*LeagueInfo!$F$2,IF(C96="TE",LeagueInfo!$D$6*LeagueInfo!$F$2)))</f>
        <v>24</v>
      </c>
    </row>
    <row r="97" spans="1:9" x14ac:dyDescent="0.35">
      <c r="A97">
        <f t="shared" ca="1" si="5"/>
        <v>98</v>
      </c>
      <c r="B97" t="s">
        <v>236</v>
      </c>
      <c r="C97" t="s">
        <v>32</v>
      </c>
      <c r="D97">
        <f t="shared" ca="1" si="6"/>
        <v>136.07</v>
      </c>
      <c r="E97" s="5">
        <f t="shared" ca="1" si="7"/>
        <v>33.989999999999995</v>
      </c>
      <c r="F97" t="str">
        <f ca="1">IF(H97&lt;=I97,"Starter",IF(G97&gt;=LARGE(G:G,FlexOn*LeagueInfo!$F$2),"Starter","Bench"))</f>
        <v>Bench</v>
      </c>
      <c r="G97">
        <f t="shared" ca="1" si="8"/>
        <v>136.07</v>
      </c>
      <c r="H97">
        <f t="shared" ca="1" si="9"/>
        <v>52</v>
      </c>
      <c r="I97">
        <f>IF(C97="RB",LeagueInfo!$D$4*LeagueInfo!$F$2,IF(C97="WR",LeagueInfo!$D$5*LeagueInfo!$F$2,IF(C97="TE",LeagueInfo!$D$6*LeagueInfo!$F$2)))</f>
        <v>24</v>
      </c>
    </row>
    <row r="98" spans="1:9" x14ac:dyDescent="0.35">
      <c r="A98">
        <f t="shared" ca="1" si="5"/>
        <v>103</v>
      </c>
      <c r="B98" t="s">
        <v>913</v>
      </c>
      <c r="C98" t="s">
        <v>32</v>
      </c>
      <c r="D98">
        <f t="shared" ca="1" si="6"/>
        <v>130.71</v>
      </c>
      <c r="E98" s="5">
        <f t="shared" ca="1" si="7"/>
        <v>28.63000000000001</v>
      </c>
      <c r="F98" t="str">
        <f ca="1">IF(H98&lt;=I98,"Starter",IF(G98&gt;=LARGE(G:G,FlexOn*LeagueInfo!$F$2),"Starter","Bench"))</f>
        <v>Bench</v>
      </c>
      <c r="G98">
        <f t="shared" ca="1" si="8"/>
        <v>130.71</v>
      </c>
      <c r="H98">
        <f t="shared" ca="1" si="9"/>
        <v>57</v>
      </c>
      <c r="I98">
        <f>IF(C98="RB",LeagueInfo!$D$4*LeagueInfo!$F$2,IF(C98="WR",LeagueInfo!$D$5*LeagueInfo!$F$2,IF(C98="TE",LeagueInfo!$D$6*LeagueInfo!$F$2)))</f>
        <v>24</v>
      </c>
    </row>
    <row r="99" spans="1:9" x14ac:dyDescent="0.35">
      <c r="A99">
        <f t="shared" ca="1" si="5"/>
        <v>83</v>
      </c>
      <c r="B99" t="s">
        <v>775</v>
      </c>
      <c r="C99" t="s">
        <v>25</v>
      </c>
      <c r="D99">
        <f t="shared" ca="1" si="6"/>
        <v>146.76</v>
      </c>
      <c r="E99" s="5">
        <f t="shared" ca="1" si="7"/>
        <v>44.679999999999993</v>
      </c>
      <c r="F99" t="str">
        <f ca="1">IF(H99&lt;=I99,"Starter",IF(G99&gt;=LARGE(G:G,FlexOn*LeagueInfo!$F$2),"Starter","Bench"))</f>
        <v>Bench</v>
      </c>
      <c r="G99">
        <f t="shared" ca="1" si="8"/>
        <v>146.76</v>
      </c>
      <c r="H99">
        <f t="shared" ca="1" si="9"/>
        <v>32</v>
      </c>
      <c r="I99">
        <f>IF(C99="RB",LeagueInfo!$D$4*LeagueInfo!$F$2,IF(C99="WR",LeagueInfo!$D$5*LeagueInfo!$F$2,IF(C99="TE",LeagueInfo!$D$6*LeagueInfo!$F$2)))</f>
        <v>24</v>
      </c>
    </row>
    <row r="100" spans="1:9" x14ac:dyDescent="0.35">
      <c r="A100">
        <f t="shared" ca="1" si="5"/>
        <v>100</v>
      </c>
      <c r="B100" t="s">
        <v>607</v>
      </c>
      <c r="C100" t="s">
        <v>32</v>
      </c>
      <c r="D100">
        <f t="shared" ca="1" si="6"/>
        <v>134.1</v>
      </c>
      <c r="E100" s="5">
        <f t="shared" ca="1" si="7"/>
        <v>32.019999999999996</v>
      </c>
      <c r="F100" t="str">
        <f ca="1">IF(H100&lt;=I100,"Starter",IF(G100&gt;=LARGE(G:G,FlexOn*LeagueInfo!$F$2),"Starter","Bench"))</f>
        <v>Bench</v>
      </c>
      <c r="G100">
        <f t="shared" ca="1" si="8"/>
        <v>134.1</v>
      </c>
      <c r="H100">
        <f t="shared" ca="1" si="9"/>
        <v>54</v>
      </c>
      <c r="I100">
        <f>IF(C100="RB",LeagueInfo!$D$4*LeagueInfo!$F$2,IF(C100="WR",LeagueInfo!$D$5*LeagueInfo!$F$2,IF(C100="TE",LeagueInfo!$D$6*LeagueInfo!$F$2)))</f>
        <v>24</v>
      </c>
    </row>
    <row r="101" spans="1:9" x14ac:dyDescent="0.35">
      <c r="A101">
        <f t="shared" ca="1" si="5"/>
        <v>102</v>
      </c>
      <c r="B101" t="s">
        <v>127</v>
      </c>
      <c r="C101" t="s">
        <v>32</v>
      </c>
      <c r="D101">
        <f t="shared" ca="1" si="6"/>
        <v>132.62</v>
      </c>
      <c r="E101" s="5">
        <f t="shared" ca="1" si="7"/>
        <v>30.540000000000006</v>
      </c>
      <c r="F101" t="str">
        <f ca="1">IF(H101&lt;=I101,"Starter",IF(G101&gt;=LARGE(G:G,FlexOn*LeagueInfo!$F$2),"Starter","Bench"))</f>
        <v>Bench</v>
      </c>
      <c r="G101">
        <f t="shared" ca="1" si="8"/>
        <v>132.62</v>
      </c>
      <c r="H101">
        <f t="shared" ca="1" si="9"/>
        <v>56</v>
      </c>
      <c r="I101">
        <f>IF(C101="RB",LeagueInfo!$D$4*LeagueInfo!$F$2,IF(C101="WR",LeagueInfo!$D$5*LeagueInfo!$F$2,IF(C101="TE",LeagueInfo!$D$6*LeagueInfo!$F$2)))</f>
        <v>24</v>
      </c>
    </row>
    <row r="102" spans="1:9" x14ac:dyDescent="0.35">
      <c r="A102">
        <f t="shared" ca="1" si="5"/>
        <v>105</v>
      </c>
      <c r="B102" t="s">
        <v>785</v>
      </c>
      <c r="C102" t="s">
        <v>32</v>
      </c>
      <c r="D102">
        <f t="shared" ca="1" si="6"/>
        <v>130.22999999999999</v>
      </c>
      <c r="E102" s="5">
        <f t="shared" ca="1" si="7"/>
        <v>28.149999999999991</v>
      </c>
      <c r="F102" t="str">
        <f ca="1">IF(H102&lt;=I102,"Starter",IF(G102&gt;=LARGE(G:G,FlexOn*LeagueInfo!$F$2),"Starter","Bench"))</f>
        <v>Bench</v>
      </c>
      <c r="G102">
        <f t="shared" ca="1" si="8"/>
        <v>130.22999999999999</v>
      </c>
      <c r="H102">
        <f t="shared" ca="1" si="9"/>
        <v>59</v>
      </c>
      <c r="I102">
        <f>IF(C102="RB",LeagueInfo!$D$4*LeagueInfo!$F$2,IF(C102="WR",LeagueInfo!$D$5*LeagueInfo!$F$2,IF(C102="TE",LeagueInfo!$D$6*LeagueInfo!$F$2)))</f>
        <v>24</v>
      </c>
    </row>
    <row r="103" spans="1:9" x14ac:dyDescent="0.35">
      <c r="A103">
        <f t="shared" ca="1" si="5"/>
        <v>99</v>
      </c>
      <c r="B103" t="s">
        <v>466</v>
      </c>
      <c r="C103" t="s">
        <v>32</v>
      </c>
      <c r="D103">
        <f t="shared" ca="1" si="6"/>
        <v>135.18</v>
      </c>
      <c r="E103" s="5">
        <f t="shared" ca="1" si="7"/>
        <v>33.100000000000009</v>
      </c>
      <c r="F103" t="str">
        <f ca="1">IF(H103&lt;=I103,"Starter",IF(G103&gt;=LARGE(G:G,FlexOn*LeagueInfo!$F$2),"Starter","Bench"))</f>
        <v>Bench</v>
      </c>
      <c r="G103">
        <f t="shared" ca="1" si="8"/>
        <v>135.18</v>
      </c>
      <c r="H103">
        <f t="shared" ca="1" si="9"/>
        <v>53</v>
      </c>
      <c r="I103">
        <f>IF(C103="RB",LeagueInfo!$D$4*LeagueInfo!$F$2,IF(C103="WR",LeagueInfo!$D$5*LeagueInfo!$F$2,IF(C103="TE",LeagueInfo!$D$6*LeagueInfo!$F$2)))</f>
        <v>24</v>
      </c>
    </row>
    <row r="104" spans="1:9" x14ac:dyDescent="0.35">
      <c r="A104">
        <f t="shared" ca="1" si="5"/>
        <v>101</v>
      </c>
      <c r="B104" t="s">
        <v>96</v>
      </c>
      <c r="C104" t="s">
        <v>32</v>
      </c>
      <c r="D104">
        <f t="shared" ca="1" si="6"/>
        <v>132.79000000000002</v>
      </c>
      <c r="E104" s="5">
        <f t="shared" ca="1" si="7"/>
        <v>30.710000000000022</v>
      </c>
      <c r="F104" t="str">
        <f ca="1">IF(H104&lt;=I104,"Starter",IF(G104&gt;=LARGE(G:G,FlexOn*LeagueInfo!$F$2),"Starter","Bench"))</f>
        <v>Bench</v>
      </c>
      <c r="G104">
        <f t="shared" ca="1" si="8"/>
        <v>132.79000000000002</v>
      </c>
      <c r="H104">
        <f t="shared" ca="1" si="9"/>
        <v>55</v>
      </c>
      <c r="I104">
        <f>IF(C104="RB",LeagueInfo!$D$4*LeagueInfo!$F$2,IF(C104="WR",LeagueInfo!$D$5*LeagueInfo!$F$2,IF(C104="TE",LeagueInfo!$D$6*LeagueInfo!$F$2)))</f>
        <v>24</v>
      </c>
    </row>
    <row r="105" spans="1:9" x14ac:dyDescent="0.35">
      <c r="A105">
        <f t="shared" ca="1" si="5"/>
        <v>104</v>
      </c>
      <c r="B105" t="s">
        <v>138</v>
      </c>
      <c r="C105" t="s">
        <v>32</v>
      </c>
      <c r="D105">
        <f t="shared" ca="1" si="6"/>
        <v>130.27000000000001</v>
      </c>
      <c r="E105" s="5">
        <f t="shared" ca="1" si="7"/>
        <v>28.190000000000012</v>
      </c>
      <c r="F105" t="str">
        <f ca="1">IF(H105&lt;=I105,"Starter",IF(G105&gt;=LARGE(G:G,FlexOn*LeagueInfo!$F$2),"Starter","Bench"))</f>
        <v>Bench</v>
      </c>
      <c r="G105">
        <f t="shared" ca="1" si="8"/>
        <v>130.27000000000001</v>
      </c>
      <c r="H105">
        <f t="shared" ca="1" si="9"/>
        <v>58</v>
      </c>
      <c r="I105">
        <f>IF(C105="RB",LeagueInfo!$D$4*LeagueInfo!$F$2,IF(C105="WR",LeagueInfo!$D$5*LeagueInfo!$F$2,IF(C105="TE",LeagueInfo!$D$6*LeagueInfo!$F$2)))</f>
        <v>24</v>
      </c>
    </row>
    <row r="106" spans="1:9" x14ac:dyDescent="0.35">
      <c r="A106">
        <f t="shared" ca="1" si="5"/>
        <v>112</v>
      </c>
      <c r="B106" t="s">
        <v>861</v>
      </c>
      <c r="C106" t="s">
        <v>25</v>
      </c>
      <c r="D106">
        <f t="shared" ca="1" si="6"/>
        <v>124.36000000000001</v>
      </c>
      <c r="E106" s="5">
        <f t="shared" ca="1" si="7"/>
        <v>22.280000000000015</v>
      </c>
      <c r="F106" t="str">
        <f ca="1">IF(H106&lt;=I106,"Starter",IF(G106&gt;=LARGE(G:G,FlexOn*LeagueInfo!$F$2),"Starter","Bench"))</f>
        <v>Bench</v>
      </c>
      <c r="G106">
        <f t="shared" ca="1" si="8"/>
        <v>124.36000000000001</v>
      </c>
      <c r="H106">
        <f t="shared" ca="1" si="9"/>
        <v>39</v>
      </c>
      <c r="I106">
        <f>IF(C106="RB",LeagueInfo!$D$4*LeagueInfo!$F$2,IF(C106="WR",LeagueInfo!$D$5*LeagueInfo!$F$2,IF(C106="TE",LeagueInfo!$D$6*LeagueInfo!$F$2)))</f>
        <v>24</v>
      </c>
    </row>
    <row r="107" spans="1:9" x14ac:dyDescent="0.35">
      <c r="A107">
        <f t="shared" ca="1" si="5"/>
        <v>106</v>
      </c>
      <c r="B107" t="s">
        <v>604</v>
      </c>
      <c r="C107" t="s">
        <v>32</v>
      </c>
      <c r="D107">
        <f t="shared" ca="1" si="6"/>
        <v>129.30000000000001</v>
      </c>
      <c r="E107" s="5">
        <f t="shared" ca="1" si="7"/>
        <v>27.220000000000013</v>
      </c>
      <c r="F107" t="str">
        <f ca="1">IF(H107&lt;=I107,"Starter",IF(G107&gt;=LARGE(G:G,FlexOn*LeagueInfo!$F$2),"Starter","Bench"))</f>
        <v>Bench</v>
      </c>
      <c r="G107">
        <f t="shared" ca="1" si="8"/>
        <v>129.30000000000001</v>
      </c>
      <c r="H107">
        <f t="shared" ca="1" si="9"/>
        <v>60</v>
      </c>
      <c r="I107">
        <f>IF(C107="RB",LeagueInfo!$D$4*LeagueInfo!$F$2,IF(C107="WR",LeagueInfo!$D$5*LeagueInfo!$F$2,IF(C107="TE",LeagueInfo!$D$6*LeagueInfo!$F$2)))</f>
        <v>24</v>
      </c>
    </row>
    <row r="108" spans="1:9" x14ac:dyDescent="0.35">
      <c r="A108">
        <f t="shared" ca="1" si="5"/>
        <v>111</v>
      </c>
      <c r="B108" t="s">
        <v>759</v>
      </c>
      <c r="C108" t="s">
        <v>32</v>
      </c>
      <c r="D108">
        <f t="shared" ca="1" si="6"/>
        <v>124.75</v>
      </c>
      <c r="E108" s="5">
        <f t="shared" ca="1" si="7"/>
        <v>22.67</v>
      </c>
      <c r="F108" t="str">
        <f ca="1">IF(H108&lt;=I108,"Starter",IF(G108&gt;=LARGE(G:G,FlexOn*LeagueInfo!$F$2),"Starter","Bench"))</f>
        <v>Bench</v>
      </c>
      <c r="G108">
        <f t="shared" ca="1" si="8"/>
        <v>124.75</v>
      </c>
      <c r="H108">
        <f t="shared" ca="1" si="9"/>
        <v>62</v>
      </c>
      <c r="I108">
        <f>IF(C108="RB",LeagueInfo!$D$4*LeagueInfo!$F$2,IF(C108="WR",LeagueInfo!$D$5*LeagueInfo!$F$2,IF(C108="TE",LeagueInfo!$D$6*LeagueInfo!$F$2)))</f>
        <v>24</v>
      </c>
    </row>
    <row r="109" spans="1:9" x14ac:dyDescent="0.35">
      <c r="A109">
        <f t="shared" ca="1" si="5"/>
        <v>110</v>
      </c>
      <c r="B109" t="s">
        <v>370</v>
      </c>
      <c r="C109" t="s">
        <v>40</v>
      </c>
      <c r="D109">
        <f t="shared" ca="1" si="6"/>
        <v>124.81</v>
      </c>
      <c r="E109" s="5">
        <f t="shared" ca="1" si="7"/>
        <v>22.730000000000004</v>
      </c>
      <c r="F109" t="str">
        <f ca="1">IF(H109&lt;=I109,"Starter",IF(G109&gt;=LARGE(G:G,FlexOn*LeagueInfo!$F$2),"Starter","Bench"))</f>
        <v>Starter</v>
      </c>
      <c r="G109">
        <f t="shared" ca="1" si="8"/>
        <v>0</v>
      </c>
      <c r="H109">
        <f t="shared" ca="1" si="9"/>
        <v>12</v>
      </c>
      <c r="I109">
        <f>IF(C109="RB",LeagueInfo!$D$4*LeagueInfo!$F$2,IF(C109="WR",LeagueInfo!$D$5*LeagueInfo!$F$2,IF(C109="TE",LeagueInfo!$D$6*LeagueInfo!$F$2)))</f>
        <v>12</v>
      </c>
    </row>
    <row r="110" spans="1:9" x14ac:dyDescent="0.35">
      <c r="A110">
        <f t="shared" ca="1" si="5"/>
        <v>109</v>
      </c>
      <c r="B110" t="s">
        <v>936</v>
      </c>
      <c r="C110" t="s">
        <v>40</v>
      </c>
      <c r="D110">
        <f t="shared" ca="1" si="6"/>
        <v>126.36</v>
      </c>
      <c r="E110" s="5">
        <f t="shared" ca="1" si="7"/>
        <v>24.28</v>
      </c>
      <c r="F110" t="str">
        <f ca="1">IF(H110&lt;=I110,"Starter",IF(G110&gt;=LARGE(G:G,FlexOn*LeagueInfo!$F$2),"Starter","Bench"))</f>
        <v>Starter</v>
      </c>
      <c r="G110">
        <f t="shared" ca="1" si="8"/>
        <v>0</v>
      </c>
      <c r="H110">
        <f t="shared" ca="1" si="9"/>
        <v>11</v>
      </c>
      <c r="I110">
        <f>IF(C110="RB",LeagueInfo!$D$4*LeagueInfo!$F$2,IF(C110="WR",LeagueInfo!$D$5*LeagueInfo!$F$2,IF(C110="TE",LeagueInfo!$D$6*LeagueInfo!$F$2)))</f>
        <v>12</v>
      </c>
    </row>
    <row r="111" spans="1:9" x14ac:dyDescent="0.35">
      <c r="A111">
        <f t="shared" ca="1" si="5"/>
        <v>97</v>
      </c>
      <c r="B111" t="s">
        <v>578</v>
      </c>
      <c r="C111" t="s">
        <v>32</v>
      </c>
      <c r="D111">
        <f t="shared" ca="1" si="6"/>
        <v>136.45999999999998</v>
      </c>
      <c r="E111" s="5">
        <f t="shared" ca="1" si="7"/>
        <v>34.379999999999981</v>
      </c>
      <c r="F111" t="str">
        <f ca="1">IF(H111&lt;=I111,"Starter",IF(G111&gt;=LARGE(G:G,FlexOn*LeagueInfo!$F$2),"Starter","Bench"))</f>
        <v>Bench</v>
      </c>
      <c r="G111">
        <f t="shared" ca="1" si="8"/>
        <v>136.45999999999998</v>
      </c>
      <c r="H111">
        <f t="shared" ca="1" si="9"/>
        <v>51</v>
      </c>
      <c r="I111">
        <f>IF(C111="RB",LeagueInfo!$D$4*LeagueInfo!$F$2,IF(C111="WR",LeagueInfo!$D$5*LeagueInfo!$F$2,IF(C111="TE",LeagueInfo!$D$6*LeagueInfo!$F$2)))</f>
        <v>24</v>
      </c>
    </row>
    <row r="112" spans="1:9" x14ac:dyDescent="0.35">
      <c r="A112">
        <f t="shared" ca="1" si="5"/>
        <v>96</v>
      </c>
      <c r="B112" t="s">
        <v>627</v>
      </c>
      <c r="C112" t="s">
        <v>25</v>
      </c>
      <c r="D112">
        <f t="shared" ca="1" si="6"/>
        <v>138.13000000000002</v>
      </c>
      <c r="E112" s="5">
        <f t="shared" ca="1" si="7"/>
        <v>36.050000000000026</v>
      </c>
      <c r="F112" t="str">
        <f ca="1">IF(H112&lt;=I112,"Starter",IF(G112&gt;=LARGE(G:G,FlexOn*LeagueInfo!$F$2),"Starter","Bench"))</f>
        <v>Bench</v>
      </c>
      <c r="G112">
        <f t="shared" ca="1" si="8"/>
        <v>138.13000000000002</v>
      </c>
      <c r="H112">
        <f t="shared" ca="1" si="9"/>
        <v>37</v>
      </c>
      <c r="I112">
        <f>IF(C112="RB",LeagueInfo!$D$4*LeagueInfo!$F$2,IF(C112="WR",LeagueInfo!$D$5*LeagueInfo!$F$2,IF(C112="TE",LeagueInfo!$D$6*LeagueInfo!$F$2)))</f>
        <v>24</v>
      </c>
    </row>
    <row r="113" spans="1:9" x14ac:dyDescent="0.35">
      <c r="A113">
        <f t="shared" ca="1" si="5"/>
        <v>107</v>
      </c>
      <c r="B113" t="s">
        <v>915</v>
      </c>
      <c r="C113" t="s">
        <v>32</v>
      </c>
      <c r="D113">
        <f t="shared" ca="1" si="6"/>
        <v>127.62000000000002</v>
      </c>
      <c r="E113" s="5">
        <f t="shared" ca="1" si="7"/>
        <v>25.54000000000002</v>
      </c>
      <c r="F113" t="str">
        <f ca="1">IF(H113&lt;=I113,"Starter",IF(G113&gt;=LARGE(G:G,FlexOn*LeagueInfo!$F$2),"Starter","Bench"))</f>
        <v>Bench</v>
      </c>
      <c r="G113">
        <f t="shared" ca="1" si="8"/>
        <v>127.62000000000002</v>
      </c>
      <c r="H113">
        <f t="shared" ca="1" si="9"/>
        <v>61</v>
      </c>
      <c r="I113">
        <f>IF(C113="RB",LeagueInfo!$D$4*LeagueInfo!$F$2,IF(C113="WR",LeagueInfo!$D$5*LeagueInfo!$F$2,IF(C113="TE",LeagueInfo!$D$6*LeagueInfo!$F$2)))</f>
        <v>24</v>
      </c>
    </row>
    <row r="114" spans="1:9" x14ac:dyDescent="0.35">
      <c r="A114">
        <f t="shared" ca="1" si="5"/>
        <v>113</v>
      </c>
      <c r="B114" t="s">
        <v>502</v>
      </c>
      <c r="C114" t="s">
        <v>32</v>
      </c>
      <c r="D114">
        <f t="shared" ca="1" si="6"/>
        <v>122.07</v>
      </c>
      <c r="E114" s="5">
        <f t="shared" ca="1" si="7"/>
        <v>19.989999999999995</v>
      </c>
      <c r="F114" t="str">
        <f ca="1">IF(H114&lt;=I114,"Starter",IF(G114&gt;=LARGE(G:G,FlexOn*LeagueInfo!$F$2),"Starter","Bench"))</f>
        <v>Bench</v>
      </c>
      <c r="G114">
        <f t="shared" ca="1" si="8"/>
        <v>122.07</v>
      </c>
      <c r="H114">
        <f t="shared" ca="1" si="9"/>
        <v>63</v>
      </c>
      <c r="I114">
        <f>IF(C114="RB",LeagueInfo!$D$4*LeagueInfo!$F$2,IF(C114="WR",LeagueInfo!$D$5*LeagueInfo!$F$2,IF(C114="TE",LeagueInfo!$D$6*LeagueInfo!$F$2)))</f>
        <v>24</v>
      </c>
    </row>
    <row r="115" spans="1:9" x14ac:dyDescent="0.35">
      <c r="A115">
        <f t="shared" ca="1" si="5"/>
        <v>117</v>
      </c>
      <c r="B115" t="s">
        <v>376</v>
      </c>
      <c r="C115" t="s">
        <v>40</v>
      </c>
      <c r="D115">
        <f t="shared" ca="1" si="6"/>
        <v>117.02000000000002</v>
      </c>
      <c r="E115" s="5">
        <f t="shared" ca="1" si="7"/>
        <v>14.940000000000026</v>
      </c>
      <c r="F115" t="str">
        <f ca="1">IF(H115&lt;=I115,"Starter",IF(G115&gt;=LARGE(G:G,FlexOn*LeagueInfo!$F$2),"Starter","Bench"))</f>
        <v>Bench</v>
      </c>
      <c r="G115">
        <f t="shared" ca="1" si="8"/>
        <v>117.02000000000002</v>
      </c>
      <c r="H115">
        <f t="shared" ca="1" si="9"/>
        <v>13</v>
      </c>
      <c r="I115">
        <f>IF(C115="RB",LeagueInfo!$D$4*LeagueInfo!$F$2,IF(C115="WR",LeagueInfo!$D$5*LeagueInfo!$F$2,IF(C115="TE",LeagueInfo!$D$6*LeagueInfo!$F$2)))</f>
        <v>12</v>
      </c>
    </row>
    <row r="116" spans="1:9" x14ac:dyDescent="0.35">
      <c r="A116">
        <f t="shared" ca="1" si="5"/>
        <v>118</v>
      </c>
      <c r="B116" t="s">
        <v>628</v>
      </c>
      <c r="C116" t="s">
        <v>25</v>
      </c>
      <c r="D116">
        <f t="shared" ca="1" si="6"/>
        <v>113.66999999999999</v>
      </c>
      <c r="E116" s="5">
        <f t="shared" ca="1" si="7"/>
        <v>11.589999999999989</v>
      </c>
      <c r="F116" t="str">
        <f ca="1">IF(H116&lt;=I116,"Starter",IF(G116&gt;=LARGE(G:G,FlexOn*LeagueInfo!$F$2),"Starter","Bench"))</f>
        <v>Bench</v>
      </c>
      <c r="G116">
        <f t="shared" ca="1" si="8"/>
        <v>113.66999999999999</v>
      </c>
      <c r="H116">
        <f t="shared" ca="1" si="9"/>
        <v>42</v>
      </c>
      <c r="I116">
        <f>IF(C116="RB",LeagueInfo!$D$4*LeagueInfo!$F$2,IF(C116="WR",LeagueInfo!$D$5*LeagueInfo!$F$2,IF(C116="TE",LeagueInfo!$D$6*LeagueInfo!$F$2)))</f>
        <v>24</v>
      </c>
    </row>
    <row r="117" spans="1:9" x14ac:dyDescent="0.35">
      <c r="A117">
        <f t="shared" ca="1" si="5"/>
        <v>119</v>
      </c>
      <c r="B117" t="s">
        <v>728</v>
      </c>
      <c r="C117" t="s">
        <v>32</v>
      </c>
      <c r="D117">
        <f t="shared" ca="1" si="6"/>
        <v>112.76</v>
      </c>
      <c r="E117" s="5">
        <f t="shared" ca="1" si="7"/>
        <v>10.680000000000007</v>
      </c>
      <c r="F117" t="str">
        <f ca="1">IF(H117&lt;=I117,"Starter",IF(G117&gt;=LARGE(G:G,FlexOn*LeagueInfo!$F$2),"Starter","Bench"))</f>
        <v>Bench</v>
      </c>
      <c r="G117">
        <f t="shared" ca="1" si="8"/>
        <v>112.76</v>
      </c>
      <c r="H117">
        <f t="shared" ca="1" si="9"/>
        <v>66</v>
      </c>
      <c r="I117">
        <f>IF(C117="RB",LeagueInfo!$D$4*LeagueInfo!$F$2,IF(C117="WR",LeagueInfo!$D$5*LeagueInfo!$F$2,IF(C117="TE",LeagueInfo!$D$6*LeagueInfo!$F$2)))</f>
        <v>24</v>
      </c>
    </row>
    <row r="118" spans="1:9" x14ac:dyDescent="0.35">
      <c r="A118">
        <f t="shared" ca="1" si="5"/>
        <v>129</v>
      </c>
      <c r="B118" t="s">
        <v>569</v>
      </c>
      <c r="C118" t="s">
        <v>40</v>
      </c>
      <c r="D118">
        <f t="shared" ca="1" si="6"/>
        <v>108.22999999999999</v>
      </c>
      <c r="E118" s="5">
        <f t="shared" ca="1" si="7"/>
        <v>6.1499999999999915</v>
      </c>
      <c r="F118" t="str">
        <f ca="1">IF(H118&lt;=I118,"Starter",IF(G118&gt;=LARGE(G:G,FlexOn*LeagueInfo!$F$2),"Starter","Bench"))</f>
        <v>Bench</v>
      </c>
      <c r="G118">
        <f t="shared" ca="1" si="8"/>
        <v>108.22999999999999</v>
      </c>
      <c r="H118">
        <f t="shared" ca="1" si="9"/>
        <v>14</v>
      </c>
      <c r="I118">
        <f>IF(C118="RB",LeagueInfo!$D$4*LeagueInfo!$F$2,IF(C118="WR",LeagueInfo!$D$5*LeagueInfo!$F$2,IF(C118="TE",LeagueInfo!$D$6*LeagueInfo!$F$2)))</f>
        <v>12</v>
      </c>
    </row>
    <row r="119" spans="1:9" x14ac:dyDescent="0.35">
      <c r="A119">
        <f t="shared" ca="1" si="5"/>
        <v>125</v>
      </c>
      <c r="B119" t="s">
        <v>619</v>
      </c>
      <c r="C119" t="s">
        <v>25</v>
      </c>
      <c r="D119">
        <f t="shared" ca="1" si="6"/>
        <v>110.66000000000001</v>
      </c>
      <c r="E119" s="5">
        <f t="shared" ca="1" si="7"/>
        <v>8.5800000000000125</v>
      </c>
      <c r="F119" t="str">
        <f ca="1">IF(H119&lt;=I119,"Starter",IF(G119&gt;=LARGE(G:G,FlexOn*LeagueInfo!$F$2),"Starter","Bench"))</f>
        <v>Bench</v>
      </c>
      <c r="G119">
        <f t="shared" ca="1" si="8"/>
        <v>110.66000000000001</v>
      </c>
      <c r="H119">
        <f t="shared" ca="1" si="9"/>
        <v>45</v>
      </c>
      <c r="I119">
        <f>IF(C119="RB",LeagueInfo!$D$4*LeagueInfo!$F$2,IF(C119="WR",LeagueInfo!$D$5*LeagueInfo!$F$2,IF(C119="TE",LeagueInfo!$D$6*LeagueInfo!$F$2)))</f>
        <v>24</v>
      </c>
    </row>
    <row r="120" spans="1:9" x14ac:dyDescent="0.35">
      <c r="A120">
        <f t="shared" ca="1" si="5"/>
        <v>116</v>
      </c>
      <c r="B120" t="s">
        <v>519</v>
      </c>
      <c r="C120" t="s">
        <v>25</v>
      </c>
      <c r="D120">
        <f t="shared" ca="1" si="6"/>
        <v>118.18000000000002</v>
      </c>
      <c r="E120" s="5">
        <f t="shared" ca="1" si="7"/>
        <v>16.100000000000023</v>
      </c>
      <c r="F120" t="str">
        <f ca="1">IF(H120&lt;=I120,"Starter",IF(G120&gt;=LARGE(G:G,FlexOn*LeagueInfo!$F$2),"Starter","Bench"))</f>
        <v>Bench</v>
      </c>
      <c r="G120">
        <f t="shared" ca="1" si="8"/>
        <v>118.18000000000002</v>
      </c>
      <c r="H120">
        <f t="shared" ca="1" si="9"/>
        <v>41</v>
      </c>
      <c r="I120">
        <f>IF(C120="RB",LeagueInfo!$D$4*LeagueInfo!$F$2,IF(C120="WR",LeagueInfo!$D$5*LeagueInfo!$F$2,IF(C120="TE",LeagueInfo!$D$6*LeagueInfo!$F$2)))</f>
        <v>24</v>
      </c>
    </row>
    <row r="121" spans="1:9" x14ac:dyDescent="0.35">
      <c r="A121">
        <f t="shared" ca="1" si="5"/>
        <v>120</v>
      </c>
      <c r="B121" t="s">
        <v>529</v>
      </c>
      <c r="C121" t="s">
        <v>25</v>
      </c>
      <c r="D121">
        <f t="shared" ca="1" si="6"/>
        <v>112.36000000000001</v>
      </c>
      <c r="E121" s="5">
        <f t="shared" ca="1" si="7"/>
        <v>10.280000000000015</v>
      </c>
      <c r="F121" t="str">
        <f ca="1">IF(H121&lt;=I121,"Starter",IF(G121&gt;=LARGE(G:G,FlexOn*LeagueInfo!$F$2),"Starter","Bench"))</f>
        <v>Bench</v>
      </c>
      <c r="G121">
        <f t="shared" ca="1" si="8"/>
        <v>112.36000000000001</v>
      </c>
      <c r="H121">
        <f t="shared" ca="1" si="9"/>
        <v>43</v>
      </c>
      <c r="I121">
        <f>IF(C121="RB",LeagueInfo!$D$4*LeagueInfo!$F$2,IF(C121="WR",LeagueInfo!$D$5*LeagueInfo!$F$2,IF(C121="TE",LeagueInfo!$D$6*LeagueInfo!$F$2)))</f>
        <v>24</v>
      </c>
    </row>
    <row r="122" spans="1:9" x14ac:dyDescent="0.35">
      <c r="A122">
        <f t="shared" ca="1" si="5"/>
        <v>123</v>
      </c>
      <c r="B122" t="s">
        <v>917</v>
      </c>
      <c r="C122" t="s">
        <v>32</v>
      </c>
      <c r="D122">
        <f t="shared" ca="1" si="6"/>
        <v>111.62</v>
      </c>
      <c r="E122" s="5">
        <f t="shared" ca="1" si="7"/>
        <v>9.5400000000000063</v>
      </c>
      <c r="F122" t="str">
        <f ca="1">IF(H122&lt;=I122,"Starter",IF(G122&gt;=LARGE(G:G,FlexOn*LeagueInfo!$F$2),"Starter","Bench"))</f>
        <v>Bench</v>
      </c>
      <c r="G122">
        <f t="shared" ca="1" si="8"/>
        <v>111.62</v>
      </c>
      <c r="H122">
        <f t="shared" ca="1" si="9"/>
        <v>69</v>
      </c>
      <c r="I122">
        <f>IF(C122="RB",LeagueInfo!$D$4*LeagueInfo!$F$2,IF(C122="WR",LeagueInfo!$D$5*LeagueInfo!$F$2,IF(C122="TE",LeagueInfo!$D$6*LeagueInfo!$F$2)))</f>
        <v>24</v>
      </c>
    </row>
    <row r="123" spans="1:9" x14ac:dyDescent="0.35">
      <c r="A123">
        <f t="shared" ca="1" si="5"/>
        <v>133</v>
      </c>
      <c r="B123" t="s">
        <v>553</v>
      </c>
      <c r="C123" t="s">
        <v>32</v>
      </c>
      <c r="D123">
        <f t="shared" ca="1" si="6"/>
        <v>104.62</v>
      </c>
      <c r="E123" s="5">
        <f t="shared" ca="1" si="7"/>
        <v>2.5400000000000063</v>
      </c>
      <c r="F123" t="str">
        <f ca="1">IF(H123&lt;=I123,"Starter",IF(G123&gt;=LARGE(G:G,FlexOn*LeagueInfo!$F$2),"Starter","Bench"))</f>
        <v>Bench</v>
      </c>
      <c r="G123">
        <f t="shared" ca="1" si="8"/>
        <v>104.62</v>
      </c>
      <c r="H123">
        <f t="shared" ca="1" si="9"/>
        <v>72</v>
      </c>
      <c r="I123">
        <f>IF(C123="RB",LeagueInfo!$D$4*LeagueInfo!$F$2,IF(C123="WR",LeagueInfo!$D$5*LeagueInfo!$F$2,IF(C123="TE",LeagueInfo!$D$6*LeagueInfo!$F$2)))</f>
        <v>24</v>
      </c>
    </row>
    <row r="124" spans="1:9" x14ac:dyDescent="0.35">
      <c r="A124">
        <f t="shared" ca="1" si="5"/>
        <v>130</v>
      </c>
      <c r="B124" t="s">
        <v>245</v>
      </c>
      <c r="C124" t="s">
        <v>32</v>
      </c>
      <c r="D124">
        <f t="shared" ca="1" si="6"/>
        <v>107.62</v>
      </c>
      <c r="E124" s="5">
        <f t="shared" ca="1" si="7"/>
        <v>5.5400000000000063</v>
      </c>
      <c r="F124" t="str">
        <f ca="1">IF(H124&lt;=I124,"Starter",IF(G124&gt;=LARGE(G:G,FlexOn*LeagueInfo!$F$2),"Starter","Bench"))</f>
        <v>Bench</v>
      </c>
      <c r="G124">
        <f t="shared" ca="1" si="8"/>
        <v>107.62</v>
      </c>
      <c r="H124">
        <f t="shared" ca="1" si="9"/>
        <v>71</v>
      </c>
      <c r="I124">
        <f>IF(C124="RB",LeagueInfo!$D$4*LeagueInfo!$F$2,IF(C124="WR",LeagueInfo!$D$5*LeagueInfo!$F$2,IF(C124="TE",LeagueInfo!$D$6*LeagueInfo!$F$2)))</f>
        <v>24</v>
      </c>
    </row>
    <row r="125" spans="1:9" x14ac:dyDescent="0.35">
      <c r="A125">
        <f t="shared" ca="1" si="5"/>
        <v>128</v>
      </c>
      <c r="B125" t="s">
        <v>736</v>
      </c>
      <c r="C125" t="s">
        <v>32</v>
      </c>
      <c r="D125">
        <f t="shared" ca="1" si="6"/>
        <v>109.36</v>
      </c>
      <c r="E125" s="5">
        <f t="shared" ca="1" si="7"/>
        <v>7.2800000000000011</v>
      </c>
      <c r="F125" t="str">
        <f ca="1">IF(H125&lt;=I125,"Starter",IF(G125&gt;=LARGE(G:G,FlexOn*LeagueInfo!$F$2),"Starter","Bench"))</f>
        <v>Bench</v>
      </c>
      <c r="G125">
        <f t="shared" ca="1" si="8"/>
        <v>109.36</v>
      </c>
      <c r="H125">
        <f t="shared" ca="1" si="9"/>
        <v>70</v>
      </c>
      <c r="I125">
        <f>IF(C125="RB",LeagueInfo!$D$4*LeagueInfo!$F$2,IF(C125="WR",LeagueInfo!$D$5*LeagueInfo!$F$2,IF(C125="TE",LeagueInfo!$D$6*LeagueInfo!$F$2)))</f>
        <v>24</v>
      </c>
    </row>
    <row r="126" spans="1:9" x14ac:dyDescent="0.35">
      <c r="A126">
        <f t="shared" ca="1" si="5"/>
        <v>114</v>
      </c>
      <c r="B126" t="s">
        <v>544</v>
      </c>
      <c r="C126" t="s">
        <v>25</v>
      </c>
      <c r="D126">
        <f t="shared" ca="1" si="6"/>
        <v>120.5</v>
      </c>
      <c r="E126" s="5">
        <f t="shared" ca="1" si="7"/>
        <v>18.420000000000002</v>
      </c>
      <c r="F126" t="str">
        <f ca="1">IF(H126&lt;=I126,"Starter",IF(G126&gt;=LARGE(G:G,FlexOn*LeagueInfo!$F$2),"Starter","Bench"))</f>
        <v>Bench</v>
      </c>
      <c r="G126">
        <f t="shared" ca="1" si="8"/>
        <v>120.5</v>
      </c>
      <c r="H126">
        <f t="shared" ca="1" si="9"/>
        <v>40</v>
      </c>
      <c r="I126">
        <f>IF(C126="RB",LeagueInfo!$D$4*LeagueInfo!$F$2,IF(C126="WR",LeagueInfo!$D$5*LeagueInfo!$F$2,IF(C126="TE",LeagueInfo!$D$6*LeagueInfo!$F$2)))</f>
        <v>24</v>
      </c>
    </row>
    <row r="127" spans="1:9" x14ac:dyDescent="0.35">
      <c r="A127">
        <f t="shared" ca="1" si="5"/>
        <v>124</v>
      </c>
      <c r="B127" t="s">
        <v>863</v>
      </c>
      <c r="C127" t="s">
        <v>25</v>
      </c>
      <c r="D127">
        <f t="shared" ca="1" si="6"/>
        <v>110.90999999999998</v>
      </c>
      <c r="E127" s="5">
        <f t="shared" ca="1" si="7"/>
        <v>8.8299999999999841</v>
      </c>
      <c r="F127" t="str">
        <f ca="1">IF(H127&lt;=I127,"Starter",IF(G127&gt;=LARGE(G:G,FlexOn*LeagueInfo!$F$2),"Starter","Bench"))</f>
        <v>Bench</v>
      </c>
      <c r="G127">
        <f t="shared" ca="1" si="8"/>
        <v>110.90999999999998</v>
      </c>
      <c r="H127">
        <f t="shared" ca="1" si="9"/>
        <v>44</v>
      </c>
      <c r="I127">
        <f>IF(C127="RB",LeagueInfo!$D$4*LeagueInfo!$F$2,IF(C127="WR",LeagueInfo!$D$5*LeagueInfo!$F$2,IF(C127="TE",LeagueInfo!$D$6*LeagueInfo!$F$2)))</f>
        <v>24</v>
      </c>
    </row>
    <row r="128" spans="1:9" x14ac:dyDescent="0.35">
      <c r="A128">
        <f t="shared" ca="1" si="5"/>
        <v>134</v>
      </c>
      <c r="B128" t="s">
        <v>548</v>
      </c>
      <c r="C128" t="s">
        <v>25</v>
      </c>
      <c r="D128">
        <f t="shared" ca="1" si="6"/>
        <v>103.68</v>
      </c>
      <c r="E128" s="5">
        <f t="shared" ca="1" si="7"/>
        <v>1.6000000000000085</v>
      </c>
      <c r="F128" t="str">
        <f ca="1">IF(H128&lt;=I128,"Starter",IF(G128&gt;=LARGE(G:G,FlexOn*LeagueInfo!$F$2),"Starter","Bench"))</f>
        <v>Bench</v>
      </c>
      <c r="G128">
        <f t="shared" ca="1" si="8"/>
        <v>103.68</v>
      </c>
      <c r="H128">
        <f t="shared" ca="1" si="9"/>
        <v>50</v>
      </c>
      <c r="I128">
        <f>IF(C128="RB",LeagueInfo!$D$4*LeagueInfo!$F$2,IF(C128="WR",LeagueInfo!$D$5*LeagueInfo!$F$2,IF(C128="TE",LeagueInfo!$D$6*LeagueInfo!$F$2)))</f>
        <v>24</v>
      </c>
    </row>
    <row r="129" spans="1:9" x14ac:dyDescent="0.35">
      <c r="A129">
        <f t="shared" ca="1" si="5"/>
        <v>162</v>
      </c>
      <c r="B129" t="s">
        <v>594</v>
      </c>
      <c r="C129" t="s">
        <v>32</v>
      </c>
      <c r="D129">
        <f t="shared" ref="D129:D191" ca="1" si="10">INDEX(INDIRECT($C129&amp;"!P:P"),MATCH($B129,INDIRECT($C129&amp;"!B:B"),0))</f>
        <v>81.78</v>
      </c>
      <c r="E129" s="5">
        <f t="shared" ca="1" si="7"/>
        <v>-20.299999999999997</v>
      </c>
      <c r="F129" t="str">
        <f ca="1">IF(H129&lt;=I129,"Starter",IF(G129&gt;=LARGE(G:G,FlexOn*LeagueInfo!$F$2),"Starter","Bench"))</f>
        <v>Bench</v>
      </c>
      <c r="G129">
        <f t="shared" ref="G129:G191" ca="1" si="11">IF(H129&gt;I129,D129,0)</f>
        <v>81.78</v>
      </c>
      <c r="H129">
        <f t="shared" ref="H129:H191" ca="1" si="12">INDEX(INDIRECT(""&amp;C129&amp;"!A2:A409"),MATCH(B129,INDIRECT(""&amp;C129&amp;"!B2:B409"),0))</f>
        <v>87</v>
      </c>
      <c r="I129">
        <f>IF(C129="RB",LeagueInfo!$D$4*LeagueInfo!$F$2,IF(C129="WR",LeagueInfo!$D$5*LeagueInfo!$F$2,IF(C129="TE",LeagueInfo!$D$6*LeagueInfo!$F$2)))</f>
        <v>24</v>
      </c>
    </row>
    <row r="130" spans="1:9" x14ac:dyDescent="0.35">
      <c r="A130">
        <f t="shared" ref="A130:A193" ca="1" si="13">RANK(E130,E:E)</f>
        <v>135</v>
      </c>
      <c r="B130" t="s">
        <v>591</v>
      </c>
      <c r="C130" t="s">
        <v>32</v>
      </c>
      <c r="D130">
        <f t="shared" ca="1" si="10"/>
        <v>102.98</v>
      </c>
      <c r="E130" s="5">
        <f t="shared" ref="E130:E193" ca="1" si="14">D130-LARGE(D:D,RBCount+WRCount+TECount)</f>
        <v>0.90000000000000568</v>
      </c>
      <c r="F130" t="str">
        <f ca="1">IF(H130&lt;=I130,"Starter",IF(G130&gt;=LARGE(G:G,FlexOn*LeagueInfo!$F$2),"Starter","Bench"))</f>
        <v>Bench</v>
      </c>
      <c r="G130">
        <f t="shared" ca="1" si="11"/>
        <v>102.98</v>
      </c>
      <c r="H130">
        <f t="shared" ca="1" si="12"/>
        <v>73</v>
      </c>
      <c r="I130">
        <f>IF(C130="RB",LeagueInfo!$D$4*LeagueInfo!$F$2,IF(C130="WR",LeagueInfo!$D$5*LeagueInfo!$F$2,IF(C130="TE",LeagueInfo!$D$6*LeagueInfo!$F$2)))</f>
        <v>24</v>
      </c>
    </row>
    <row r="131" spans="1:9" x14ac:dyDescent="0.35">
      <c r="A131">
        <f t="shared" ca="1" si="13"/>
        <v>139</v>
      </c>
      <c r="B131" t="s">
        <v>480</v>
      </c>
      <c r="C131" t="s">
        <v>40</v>
      </c>
      <c r="D131">
        <f t="shared" ca="1" si="10"/>
        <v>99.990000000000009</v>
      </c>
      <c r="E131" s="5">
        <f t="shared" ca="1" si="14"/>
        <v>-2.0899999999999892</v>
      </c>
      <c r="F131" t="str">
        <f ca="1">IF(H131&lt;=I131,"Starter",IF(G131&gt;=LARGE(G:G,FlexOn*LeagueInfo!$F$2),"Starter","Bench"))</f>
        <v>Bench</v>
      </c>
      <c r="G131">
        <f t="shared" ca="1" si="11"/>
        <v>99.990000000000009</v>
      </c>
      <c r="H131">
        <f t="shared" ca="1" si="12"/>
        <v>16</v>
      </c>
      <c r="I131">
        <f>IF(C131="RB",LeagueInfo!$D$4*LeagueInfo!$F$2,IF(C131="WR",LeagueInfo!$D$5*LeagueInfo!$F$2,IF(C131="TE",LeagueInfo!$D$6*LeagueInfo!$F$2)))</f>
        <v>12</v>
      </c>
    </row>
    <row r="132" spans="1:9" x14ac:dyDescent="0.35">
      <c r="A132">
        <f t="shared" ca="1" si="13"/>
        <v>131</v>
      </c>
      <c r="B132" t="s">
        <v>862</v>
      </c>
      <c r="C132" t="s">
        <v>25</v>
      </c>
      <c r="D132">
        <f t="shared" ca="1" si="10"/>
        <v>107.21000000000001</v>
      </c>
      <c r="E132" s="5">
        <f t="shared" ca="1" si="14"/>
        <v>5.1300000000000097</v>
      </c>
      <c r="F132" t="str">
        <f ca="1">IF(H132&lt;=I132,"Starter",IF(G132&gt;=LARGE(G:G,FlexOn*LeagueInfo!$F$2),"Starter","Bench"))</f>
        <v>Bench</v>
      </c>
      <c r="G132">
        <f t="shared" ca="1" si="11"/>
        <v>107.21000000000001</v>
      </c>
      <c r="H132">
        <f t="shared" ca="1" si="12"/>
        <v>48</v>
      </c>
      <c r="I132">
        <f>IF(C132="RB",LeagueInfo!$D$4*LeagueInfo!$F$2,IF(C132="WR",LeagueInfo!$D$5*LeagueInfo!$F$2,IF(C132="TE",LeagueInfo!$D$6*LeagueInfo!$F$2)))</f>
        <v>24</v>
      </c>
    </row>
    <row r="133" spans="1:9" x14ac:dyDescent="0.35">
      <c r="A133">
        <f t="shared" ca="1" si="13"/>
        <v>192</v>
      </c>
      <c r="B133" t="s">
        <v>256</v>
      </c>
      <c r="C133" t="s">
        <v>40</v>
      </c>
      <c r="D133">
        <f t="shared" ca="1" si="10"/>
        <v>61.85</v>
      </c>
      <c r="E133" s="5">
        <f t="shared" ca="1" si="14"/>
        <v>-40.229999999999997</v>
      </c>
      <c r="F133" t="str">
        <f ca="1">IF(H133&lt;=I133,"Starter",IF(G133&gt;=LARGE(G:G,FlexOn*LeagueInfo!$F$2),"Starter","Bench"))</f>
        <v>Bench</v>
      </c>
      <c r="G133">
        <f t="shared" ca="1" si="11"/>
        <v>61.85</v>
      </c>
      <c r="H133">
        <f t="shared" ca="1" si="12"/>
        <v>34</v>
      </c>
      <c r="I133">
        <f>IF(C133="RB",LeagueInfo!$D$4*LeagueInfo!$F$2,IF(C133="WR",LeagueInfo!$D$5*LeagueInfo!$F$2,IF(C133="TE",LeagueInfo!$D$6*LeagueInfo!$F$2)))</f>
        <v>12</v>
      </c>
    </row>
    <row r="134" spans="1:9" x14ac:dyDescent="0.35">
      <c r="A134">
        <f t="shared" ca="1" si="13"/>
        <v>121</v>
      </c>
      <c r="B134" t="s">
        <v>709</v>
      </c>
      <c r="C134" t="s">
        <v>32</v>
      </c>
      <c r="D134">
        <f t="shared" ca="1" si="10"/>
        <v>111.99000000000001</v>
      </c>
      <c r="E134" s="5">
        <f t="shared" ca="1" si="14"/>
        <v>9.9100000000000108</v>
      </c>
      <c r="F134" t="str">
        <f ca="1">IF(H134&lt;=I134,"Starter",IF(G134&gt;=LARGE(G:G,FlexOn*LeagueInfo!$F$2),"Starter","Bench"))</f>
        <v>Bench</v>
      </c>
      <c r="G134">
        <f t="shared" ca="1" si="11"/>
        <v>111.99000000000001</v>
      </c>
      <c r="H134">
        <f t="shared" ca="1" si="12"/>
        <v>67</v>
      </c>
      <c r="I134">
        <f>IF(C134="RB",LeagueInfo!$D$4*LeagueInfo!$F$2,IF(C134="WR",LeagueInfo!$D$5*LeagueInfo!$F$2,IF(C134="TE",LeagueInfo!$D$6*LeagueInfo!$F$2)))</f>
        <v>24</v>
      </c>
    </row>
    <row r="135" spans="1:9" x14ac:dyDescent="0.35">
      <c r="A135">
        <f t="shared" ca="1" si="13"/>
        <v>132</v>
      </c>
      <c r="B135" t="s">
        <v>767</v>
      </c>
      <c r="C135" t="s">
        <v>25</v>
      </c>
      <c r="D135">
        <f t="shared" ca="1" si="10"/>
        <v>106.46000000000001</v>
      </c>
      <c r="E135" s="5">
        <f t="shared" ca="1" si="14"/>
        <v>4.3800000000000097</v>
      </c>
      <c r="F135" t="str">
        <f ca="1">IF(H135&lt;=I135,"Starter",IF(G135&gt;=LARGE(G:G,FlexOn*LeagueInfo!$F$2),"Starter","Bench"))</f>
        <v>Bench</v>
      </c>
      <c r="G135">
        <f t="shared" ca="1" si="11"/>
        <v>106.46000000000001</v>
      </c>
      <c r="H135">
        <f t="shared" ca="1" si="12"/>
        <v>49</v>
      </c>
      <c r="I135">
        <f>IF(C135="RB",LeagueInfo!$D$4*LeagueInfo!$F$2,IF(C135="WR",LeagueInfo!$D$5*LeagueInfo!$F$2,IF(C135="TE",LeagueInfo!$D$6*LeagueInfo!$F$2)))</f>
        <v>24</v>
      </c>
    </row>
    <row r="136" spans="1:9" x14ac:dyDescent="0.35">
      <c r="A136">
        <f t="shared" ca="1" si="13"/>
        <v>126</v>
      </c>
      <c r="B136" t="s">
        <v>499</v>
      </c>
      <c r="C136" t="s">
        <v>25</v>
      </c>
      <c r="D136">
        <f t="shared" ca="1" si="10"/>
        <v>110.09</v>
      </c>
      <c r="E136" s="5">
        <f t="shared" ca="1" si="14"/>
        <v>8.0100000000000051</v>
      </c>
      <c r="F136" t="str">
        <f ca="1">IF(H136&lt;=I136,"Starter",IF(G136&gt;=LARGE(G:G,FlexOn*LeagueInfo!$F$2),"Starter","Bench"))</f>
        <v>Bench</v>
      </c>
      <c r="G136">
        <f t="shared" ca="1" si="11"/>
        <v>110.09</v>
      </c>
      <c r="H136">
        <f t="shared" ca="1" si="12"/>
        <v>46</v>
      </c>
      <c r="I136">
        <f>IF(C136="RB",LeagueInfo!$D$4*LeagueInfo!$F$2,IF(C136="WR",LeagueInfo!$D$5*LeagueInfo!$F$2,IF(C136="TE",LeagueInfo!$D$6*LeagueInfo!$F$2)))</f>
        <v>24</v>
      </c>
    </row>
    <row r="137" spans="1:9" x14ac:dyDescent="0.35">
      <c r="A137">
        <f t="shared" ca="1" si="13"/>
        <v>155</v>
      </c>
      <c r="B137" t="s">
        <v>364</v>
      </c>
      <c r="C137" t="s">
        <v>32</v>
      </c>
      <c r="D137">
        <f t="shared" ca="1" si="10"/>
        <v>85.990000000000009</v>
      </c>
      <c r="E137" s="5">
        <f t="shared" ca="1" si="14"/>
        <v>-16.089999999999989</v>
      </c>
      <c r="F137" t="str">
        <f ca="1">IF(H137&lt;=I137,"Starter",IF(G137&gt;=LARGE(G:G,FlexOn*LeagueInfo!$F$2),"Starter","Bench"))</f>
        <v>Bench</v>
      </c>
      <c r="G137">
        <f t="shared" ca="1" si="11"/>
        <v>85.990000000000009</v>
      </c>
      <c r="H137">
        <f t="shared" ca="1" si="12"/>
        <v>83</v>
      </c>
      <c r="I137">
        <f>IF(C137="RB",LeagueInfo!$D$4*LeagueInfo!$F$2,IF(C137="WR",LeagueInfo!$D$5*LeagueInfo!$F$2,IF(C137="TE",LeagueInfo!$D$6*LeagueInfo!$F$2)))</f>
        <v>24</v>
      </c>
    </row>
    <row r="138" spans="1:9" x14ac:dyDescent="0.35">
      <c r="A138">
        <f t="shared" ca="1" si="13"/>
        <v>138</v>
      </c>
      <c r="B138" t="s">
        <v>916</v>
      </c>
      <c r="C138" t="s">
        <v>32</v>
      </c>
      <c r="D138">
        <f t="shared" ca="1" si="10"/>
        <v>101.67</v>
      </c>
      <c r="E138" s="5">
        <f t="shared" ca="1" si="14"/>
        <v>-0.40999999999999659</v>
      </c>
      <c r="F138" t="str">
        <f ca="1">IF(H138&lt;=I138,"Starter",IF(G138&gt;=LARGE(G:G,FlexOn*LeagueInfo!$F$2),"Starter","Bench"))</f>
        <v>Bench</v>
      </c>
      <c r="G138">
        <f t="shared" ca="1" si="11"/>
        <v>101.67</v>
      </c>
      <c r="H138">
        <f t="shared" ca="1" si="12"/>
        <v>75</v>
      </c>
      <c r="I138">
        <f>IF(C138="RB",LeagueInfo!$D$4*LeagueInfo!$F$2,IF(C138="WR",LeagueInfo!$D$5*LeagueInfo!$F$2,IF(C138="TE",LeagueInfo!$D$6*LeagueInfo!$F$2)))</f>
        <v>24</v>
      </c>
    </row>
    <row r="139" spans="1:9" x14ac:dyDescent="0.35">
      <c r="A139">
        <f t="shared" ca="1" si="13"/>
        <v>136</v>
      </c>
      <c r="B139" t="s">
        <v>438</v>
      </c>
      <c r="C139" t="s">
        <v>32</v>
      </c>
      <c r="D139">
        <f t="shared" ca="1" si="10"/>
        <v>102.08</v>
      </c>
      <c r="E139" s="5">
        <f t="shared" ca="1" si="14"/>
        <v>0</v>
      </c>
      <c r="F139" t="str">
        <f ca="1">IF(H139&lt;=I139,"Starter",IF(G139&gt;=LARGE(G:G,FlexOn*LeagueInfo!$F$2),"Starter","Bench"))</f>
        <v>Bench</v>
      </c>
      <c r="G139">
        <f t="shared" ca="1" si="11"/>
        <v>102.08</v>
      </c>
      <c r="H139">
        <f t="shared" ca="1" si="12"/>
        <v>74</v>
      </c>
      <c r="I139">
        <f>IF(C139="RB",LeagueInfo!$D$4*LeagueInfo!$F$2,IF(C139="WR",LeagueInfo!$D$5*LeagueInfo!$F$2,IF(C139="TE",LeagueInfo!$D$6*LeagueInfo!$F$2)))</f>
        <v>24</v>
      </c>
    </row>
    <row r="140" spans="1:9" x14ac:dyDescent="0.35">
      <c r="A140">
        <f t="shared" ca="1" si="13"/>
        <v>137</v>
      </c>
      <c r="B140" t="s">
        <v>448</v>
      </c>
      <c r="C140" t="s">
        <v>40</v>
      </c>
      <c r="D140">
        <f t="shared" ca="1" si="10"/>
        <v>101.77000000000001</v>
      </c>
      <c r="E140" s="5">
        <f t="shared" ca="1" si="14"/>
        <v>-0.30999999999998806</v>
      </c>
      <c r="F140" t="str">
        <f ca="1">IF(H140&lt;=I140,"Starter",IF(G140&gt;=LARGE(G:G,FlexOn*LeagueInfo!$F$2),"Starter","Bench"))</f>
        <v>Bench</v>
      </c>
      <c r="G140">
        <f t="shared" ca="1" si="11"/>
        <v>101.77000000000001</v>
      </c>
      <c r="H140">
        <f t="shared" ca="1" si="12"/>
        <v>15</v>
      </c>
      <c r="I140">
        <f>IF(C140="RB",LeagueInfo!$D$4*LeagueInfo!$F$2,IF(C140="WR",LeagueInfo!$D$5*LeagueInfo!$F$2,IF(C140="TE",LeagueInfo!$D$6*LeagueInfo!$F$2)))</f>
        <v>12</v>
      </c>
    </row>
    <row r="141" spans="1:9" x14ac:dyDescent="0.35">
      <c r="A141">
        <f t="shared" ca="1" si="13"/>
        <v>115</v>
      </c>
      <c r="B141" t="s">
        <v>919</v>
      </c>
      <c r="C141" t="s">
        <v>32</v>
      </c>
      <c r="D141">
        <f t="shared" ca="1" si="10"/>
        <v>119.53000000000002</v>
      </c>
      <c r="E141" s="5">
        <f t="shared" ca="1" si="14"/>
        <v>17.450000000000017</v>
      </c>
      <c r="F141" t="str">
        <f ca="1">IF(H141&lt;=I141,"Starter",IF(G141&gt;=LARGE(G:G,FlexOn*LeagueInfo!$F$2),"Starter","Bench"))</f>
        <v>Bench</v>
      </c>
      <c r="G141">
        <f t="shared" ca="1" si="11"/>
        <v>119.53000000000002</v>
      </c>
      <c r="H141">
        <f t="shared" ca="1" si="12"/>
        <v>64</v>
      </c>
      <c r="I141">
        <f>IF(C141="RB",LeagueInfo!$D$4*LeagueInfo!$F$2,IF(C141="WR",LeagueInfo!$D$5*LeagueInfo!$F$2,IF(C141="TE",LeagueInfo!$D$6*LeagueInfo!$F$2)))</f>
        <v>24</v>
      </c>
    </row>
    <row r="142" spans="1:9" x14ac:dyDescent="0.35">
      <c r="A142">
        <f t="shared" ca="1" si="13"/>
        <v>127</v>
      </c>
      <c r="B142" t="s">
        <v>830</v>
      </c>
      <c r="C142" t="s">
        <v>25</v>
      </c>
      <c r="D142">
        <f t="shared" ca="1" si="10"/>
        <v>109.56000000000003</v>
      </c>
      <c r="E142" s="5">
        <f t="shared" ca="1" si="14"/>
        <v>7.4800000000000324</v>
      </c>
      <c r="F142" t="str">
        <f ca="1">IF(H142&lt;=I142,"Starter",IF(G142&gt;=LARGE(G:G,FlexOn*LeagueInfo!$F$2),"Starter","Bench"))</f>
        <v>Bench</v>
      </c>
      <c r="G142">
        <f t="shared" ca="1" si="11"/>
        <v>109.56000000000003</v>
      </c>
      <c r="H142">
        <f t="shared" ca="1" si="12"/>
        <v>47</v>
      </c>
      <c r="I142">
        <f>IF(C142="RB",LeagueInfo!$D$4*LeagueInfo!$F$2,IF(C142="WR",LeagueInfo!$D$5*LeagueInfo!$F$2,IF(C142="TE",LeagueInfo!$D$6*LeagueInfo!$F$2)))</f>
        <v>24</v>
      </c>
    </row>
    <row r="143" spans="1:9" x14ac:dyDescent="0.35">
      <c r="A143">
        <f t="shared" ca="1" si="13"/>
        <v>140</v>
      </c>
      <c r="B143" t="s">
        <v>446</v>
      </c>
      <c r="C143" t="s">
        <v>40</v>
      </c>
      <c r="D143">
        <f t="shared" ca="1" si="10"/>
        <v>99.61999999999999</v>
      </c>
      <c r="E143" s="5">
        <f t="shared" ca="1" si="14"/>
        <v>-2.460000000000008</v>
      </c>
      <c r="F143" t="str">
        <f ca="1">IF(H143&lt;=I143,"Starter",IF(G143&gt;=LARGE(G:G,FlexOn*LeagueInfo!$F$2),"Starter","Bench"))</f>
        <v>Bench</v>
      </c>
      <c r="G143">
        <f t="shared" ca="1" si="11"/>
        <v>99.61999999999999</v>
      </c>
      <c r="H143">
        <f t="shared" ca="1" si="12"/>
        <v>17</v>
      </c>
      <c r="I143">
        <f>IF(C143="RB",LeagueInfo!$D$4*LeagueInfo!$F$2,IF(C143="WR",LeagueInfo!$D$5*LeagueInfo!$F$2,IF(C143="TE",LeagueInfo!$D$6*LeagueInfo!$F$2)))</f>
        <v>12</v>
      </c>
    </row>
    <row r="144" spans="1:9" x14ac:dyDescent="0.35">
      <c r="A144">
        <f t="shared" ca="1" si="13"/>
        <v>145</v>
      </c>
      <c r="B144" t="s">
        <v>722</v>
      </c>
      <c r="C144" t="s">
        <v>32</v>
      </c>
      <c r="D144">
        <f t="shared" ca="1" si="10"/>
        <v>92.670000000000016</v>
      </c>
      <c r="E144" s="5">
        <f t="shared" ca="1" si="14"/>
        <v>-9.4099999999999824</v>
      </c>
      <c r="F144" t="str">
        <f ca="1">IF(H144&lt;=I144,"Starter",IF(G144&gt;=LARGE(G:G,FlexOn*LeagueInfo!$F$2),"Starter","Bench"))</f>
        <v>Bench</v>
      </c>
      <c r="G144">
        <f t="shared" ca="1" si="11"/>
        <v>92.670000000000016</v>
      </c>
      <c r="H144">
        <f t="shared" ca="1" si="12"/>
        <v>78</v>
      </c>
      <c r="I144">
        <f>IF(C144="RB",LeagueInfo!$D$4*LeagueInfo!$F$2,IF(C144="WR",LeagueInfo!$D$5*LeagueInfo!$F$2,IF(C144="TE",LeagueInfo!$D$6*LeagueInfo!$F$2)))</f>
        <v>24</v>
      </c>
    </row>
    <row r="145" spans="1:9" x14ac:dyDescent="0.35">
      <c r="A145">
        <f t="shared" ca="1" si="13"/>
        <v>141</v>
      </c>
      <c r="B145" t="s">
        <v>377</v>
      </c>
      <c r="C145" t="s">
        <v>40</v>
      </c>
      <c r="D145">
        <f t="shared" ca="1" si="10"/>
        <v>99.49</v>
      </c>
      <c r="E145" s="5">
        <f t="shared" ca="1" si="14"/>
        <v>-2.5900000000000034</v>
      </c>
      <c r="F145" t="str">
        <f ca="1">IF(H145&lt;=I145,"Starter",IF(G145&gt;=LARGE(G:G,FlexOn*LeagueInfo!$F$2),"Starter","Bench"))</f>
        <v>Bench</v>
      </c>
      <c r="G145">
        <f t="shared" ca="1" si="11"/>
        <v>99.49</v>
      </c>
      <c r="H145">
        <f t="shared" ca="1" si="12"/>
        <v>18</v>
      </c>
      <c r="I145">
        <f>IF(C145="RB",LeagueInfo!$D$4*LeagueInfo!$F$2,IF(C145="WR",LeagueInfo!$D$5*LeagueInfo!$F$2,IF(C145="TE",LeagueInfo!$D$6*LeagueInfo!$F$2)))</f>
        <v>12</v>
      </c>
    </row>
    <row r="146" spans="1:9" x14ac:dyDescent="0.35">
      <c r="A146">
        <f t="shared" ca="1" si="13"/>
        <v>122</v>
      </c>
      <c r="B146" t="s">
        <v>602</v>
      </c>
      <c r="C146" t="s">
        <v>32</v>
      </c>
      <c r="D146">
        <f t="shared" ca="1" si="10"/>
        <v>111.92</v>
      </c>
      <c r="E146" s="5">
        <f t="shared" ca="1" si="14"/>
        <v>9.8400000000000034</v>
      </c>
      <c r="F146" t="str">
        <f ca="1">IF(H146&lt;=I146,"Starter",IF(G146&gt;=LARGE(G:G,FlexOn*LeagueInfo!$F$2),"Starter","Bench"))</f>
        <v>Bench</v>
      </c>
      <c r="G146">
        <f t="shared" ca="1" si="11"/>
        <v>111.92</v>
      </c>
      <c r="H146">
        <f t="shared" ca="1" si="12"/>
        <v>68</v>
      </c>
      <c r="I146">
        <f>IF(C146="RB",LeagueInfo!$D$4*LeagueInfo!$F$2,IF(C146="WR",LeagueInfo!$D$5*LeagueInfo!$F$2,IF(C146="TE",LeagueInfo!$D$6*LeagueInfo!$F$2)))</f>
        <v>24</v>
      </c>
    </row>
    <row r="147" spans="1:9" x14ac:dyDescent="0.35">
      <c r="A147">
        <f t="shared" ca="1" si="13"/>
        <v>150</v>
      </c>
      <c r="B147" t="s">
        <v>746</v>
      </c>
      <c r="C147" t="s">
        <v>32</v>
      </c>
      <c r="D147">
        <f t="shared" ca="1" si="10"/>
        <v>90.43</v>
      </c>
      <c r="E147" s="5">
        <f t="shared" ca="1" si="14"/>
        <v>-11.649999999999991</v>
      </c>
      <c r="F147" t="str">
        <f ca="1">IF(H147&lt;=I147,"Starter",IF(G147&gt;=LARGE(G:G,FlexOn*LeagueInfo!$F$2),"Starter","Bench"))</f>
        <v>Bench</v>
      </c>
      <c r="G147">
        <f t="shared" ca="1" si="11"/>
        <v>90.43</v>
      </c>
      <c r="H147">
        <f t="shared" ca="1" si="12"/>
        <v>79</v>
      </c>
      <c r="I147">
        <f>IF(C147="RB",LeagueInfo!$D$4*LeagueInfo!$F$2,IF(C147="WR",LeagueInfo!$D$5*LeagueInfo!$F$2,IF(C147="TE",LeagueInfo!$D$6*LeagueInfo!$F$2)))</f>
        <v>24</v>
      </c>
    </row>
    <row r="148" spans="1:9" x14ac:dyDescent="0.35">
      <c r="A148">
        <f t="shared" ca="1" si="13"/>
        <v>154</v>
      </c>
      <c r="B148" t="s">
        <v>923</v>
      </c>
      <c r="C148" t="s">
        <v>32</v>
      </c>
      <c r="D148">
        <f t="shared" ca="1" si="10"/>
        <v>87.929999999999993</v>
      </c>
      <c r="E148" s="5">
        <f t="shared" ca="1" si="14"/>
        <v>-14.150000000000006</v>
      </c>
      <c r="F148" t="str">
        <f ca="1">IF(H148&lt;=I148,"Starter",IF(G148&gt;=LARGE(G:G,FlexOn*LeagueInfo!$F$2),"Starter","Bench"))</f>
        <v>Bench</v>
      </c>
      <c r="G148">
        <f t="shared" ca="1" si="11"/>
        <v>87.929999999999993</v>
      </c>
      <c r="H148">
        <f t="shared" ca="1" si="12"/>
        <v>82</v>
      </c>
      <c r="I148">
        <f>IF(C148="RB",LeagueInfo!$D$4*LeagueInfo!$F$2,IF(C148="WR",LeagueInfo!$D$5*LeagueInfo!$F$2,IF(C148="TE",LeagueInfo!$D$6*LeagueInfo!$F$2)))</f>
        <v>24</v>
      </c>
    </row>
    <row r="149" spans="1:9" x14ac:dyDescent="0.35">
      <c r="A149">
        <f t="shared" ca="1" si="13"/>
        <v>146</v>
      </c>
      <c r="B149" t="s">
        <v>729</v>
      </c>
      <c r="C149" t="s">
        <v>40</v>
      </c>
      <c r="D149">
        <f t="shared" ca="1" si="10"/>
        <v>92.470000000000013</v>
      </c>
      <c r="E149" s="5">
        <f t="shared" ca="1" si="14"/>
        <v>-9.6099999999999852</v>
      </c>
      <c r="F149" t="str">
        <f ca="1">IF(H149&lt;=I149,"Starter",IF(G149&gt;=LARGE(G:G,FlexOn*LeagueInfo!$F$2),"Starter","Bench"))</f>
        <v>Bench</v>
      </c>
      <c r="G149">
        <f t="shared" ca="1" si="11"/>
        <v>92.470000000000013</v>
      </c>
      <c r="H149">
        <f t="shared" ca="1" si="12"/>
        <v>20</v>
      </c>
      <c r="I149">
        <f>IF(C149="RB",LeagueInfo!$D$4*LeagueInfo!$F$2,IF(C149="WR",LeagueInfo!$D$5*LeagueInfo!$F$2,IF(C149="TE",LeagueInfo!$D$6*LeagueInfo!$F$2)))</f>
        <v>12</v>
      </c>
    </row>
    <row r="150" spans="1:9" x14ac:dyDescent="0.35">
      <c r="A150">
        <f t="shared" ca="1" si="13"/>
        <v>156</v>
      </c>
      <c r="B150" t="s">
        <v>408</v>
      </c>
      <c r="C150" t="s">
        <v>32</v>
      </c>
      <c r="D150">
        <f t="shared" ca="1" si="10"/>
        <v>84.6</v>
      </c>
      <c r="E150" s="5">
        <f t="shared" ca="1" si="14"/>
        <v>-17.480000000000004</v>
      </c>
      <c r="F150" t="str">
        <f ca="1">IF(H150&lt;=I150,"Starter",IF(G150&gt;=LARGE(G:G,FlexOn*LeagueInfo!$F$2),"Starter","Bench"))</f>
        <v>Bench</v>
      </c>
      <c r="G150">
        <f t="shared" ca="1" si="11"/>
        <v>84.6</v>
      </c>
      <c r="H150">
        <f t="shared" ca="1" si="12"/>
        <v>84</v>
      </c>
      <c r="I150">
        <f>IF(C150="RB",LeagueInfo!$D$4*LeagueInfo!$F$2,IF(C150="WR",LeagueInfo!$D$5*LeagueInfo!$F$2,IF(C150="TE",LeagueInfo!$D$6*LeagueInfo!$F$2)))</f>
        <v>24</v>
      </c>
    </row>
    <row r="151" spans="1:9" x14ac:dyDescent="0.35">
      <c r="A151">
        <f t="shared" ca="1" si="13"/>
        <v>142</v>
      </c>
      <c r="B151" t="s">
        <v>633</v>
      </c>
      <c r="C151" t="s">
        <v>40</v>
      </c>
      <c r="D151">
        <f t="shared" ca="1" si="10"/>
        <v>94.97</v>
      </c>
      <c r="E151" s="5">
        <f t="shared" ca="1" si="14"/>
        <v>-7.1099999999999994</v>
      </c>
      <c r="F151" t="str">
        <f ca="1">IF(H151&lt;=I151,"Starter",IF(G151&gt;=LARGE(G:G,FlexOn*LeagueInfo!$F$2),"Starter","Bench"))</f>
        <v>Bench</v>
      </c>
      <c r="G151">
        <f t="shared" ca="1" si="11"/>
        <v>94.97</v>
      </c>
      <c r="H151">
        <f t="shared" ca="1" si="12"/>
        <v>19</v>
      </c>
      <c r="I151">
        <f>IF(C151="RB",LeagueInfo!$D$4*LeagueInfo!$F$2,IF(C151="WR",LeagueInfo!$D$5*LeagueInfo!$F$2,IF(C151="TE",LeagueInfo!$D$6*LeagueInfo!$F$2)))</f>
        <v>12</v>
      </c>
    </row>
    <row r="152" spans="1:9" x14ac:dyDescent="0.35">
      <c r="A152">
        <f t="shared" ca="1" si="13"/>
        <v>177</v>
      </c>
      <c r="B152" t="s">
        <v>921</v>
      </c>
      <c r="C152" t="s">
        <v>32</v>
      </c>
      <c r="D152">
        <f t="shared" ca="1" si="10"/>
        <v>74.67</v>
      </c>
      <c r="E152" s="5">
        <f t="shared" ca="1" si="14"/>
        <v>-27.409999999999997</v>
      </c>
      <c r="F152" t="str">
        <f ca="1">IF(H152&lt;=I152,"Starter",IF(G152&gt;=LARGE(G:G,FlexOn*LeagueInfo!$F$2),"Starter","Bench"))</f>
        <v>Bench</v>
      </c>
      <c r="G152">
        <f t="shared" ca="1" si="11"/>
        <v>74.67</v>
      </c>
      <c r="H152">
        <f t="shared" ca="1" si="12"/>
        <v>96</v>
      </c>
      <c r="I152">
        <f>IF(C152="RB",LeagueInfo!$D$4*LeagueInfo!$F$2,IF(C152="WR",LeagueInfo!$D$5*LeagueInfo!$F$2,IF(C152="TE",LeagueInfo!$D$6*LeagueInfo!$F$2)))</f>
        <v>24</v>
      </c>
    </row>
    <row r="153" spans="1:9" x14ac:dyDescent="0.35">
      <c r="A153">
        <f t="shared" ca="1" si="13"/>
        <v>144</v>
      </c>
      <c r="B153" t="s">
        <v>925</v>
      </c>
      <c r="C153" t="s">
        <v>32</v>
      </c>
      <c r="D153">
        <f t="shared" ca="1" si="10"/>
        <v>93.220000000000013</v>
      </c>
      <c r="E153" s="5">
        <f t="shared" ca="1" si="14"/>
        <v>-8.8599999999999852</v>
      </c>
      <c r="F153" t="str">
        <f ca="1">IF(H153&lt;=I153,"Starter",IF(G153&gt;=LARGE(G:G,FlexOn*LeagueInfo!$F$2),"Starter","Bench"))</f>
        <v>Bench</v>
      </c>
      <c r="G153">
        <f t="shared" ca="1" si="11"/>
        <v>93.220000000000013</v>
      </c>
      <c r="H153">
        <f t="shared" ca="1" si="12"/>
        <v>77</v>
      </c>
      <c r="I153">
        <f>IF(C153="RB",LeagueInfo!$D$4*LeagueInfo!$F$2,IF(C153="WR",LeagueInfo!$D$5*LeagueInfo!$F$2,IF(C153="TE",LeagueInfo!$D$6*LeagueInfo!$F$2)))</f>
        <v>24</v>
      </c>
    </row>
    <row r="154" spans="1:9" x14ac:dyDescent="0.35">
      <c r="A154">
        <f t="shared" ca="1" si="13"/>
        <v>184</v>
      </c>
      <c r="B154" t="s">
        <v>89</v>
      </c>
      <c r="C154" t="s">
        <v>32</v>
      </c>
      <c r="D154">
        <f t="shared" ca="1" si="10"/>
        <v>66.900000000000006</v>
      </c>
      <c r="E154" s="5">
        <f t="shared" ca="1" si="14"/>
        <v>-35.179999999999993</v>
      </c>
      <c r="F154" t="str">
        <f ca="1">IF(H154&lt;=I154,"Starter",IF(G154&gt;=LARGE(G:G,FlexOn*LeagueInfo!$F$2),"Starter","Bench"))</f>
        <v>Bench</v>
      </c>
      <c r="G154">
        <f t="shared" ca="1" si="11"/>
        <v>66.900000000000006</v>
      </c>
      <c r="H154">
        <f t="shared" ca="1" si="12"/>
        <v>100</v>
      </c>
      <c r="I154">
        <f>IF(C154="RB",LeagueInfo!$D$4*LeagueInfo!$F$2,IF(C154="WR",LeagueInfo!$D$5*LeagueInfo!$F$2,IF(C154="TE",LeagueInfo!$D$6*LeagueInfo!$F$2)))</f>
        <v>24</v>
      </c>
    </row>
    <row r="155" spans="1:9" x14ac:dyDescent="0.35">
      <c r="A155">
        <f t="shared" ca="1" si="13"/>
        <v>169</v>
      </c>
      <c r="B155" t="s">
        <v>918</v>
      </c>
      <c r="C155" t="s">
        <v>32</v>
      </c>
      <c r="D155">
        <f t="shared" ca="1" si="10"/>
        <v>78.199999999999989</v>
      </c>
      <c r="E155" s="5">
        <f t="shared" ca="1" si="14"/>
        <v>-23.88000000000001</v>
      </c>
      <c r="F155" t="str">
        <f ca="1">IF(H155&lt;=I155,"Starter",IF(G155&gt;=LARGE(G:G,FlexOn*LeagueInfo!$F$2),"Starter","Bench"))</f>
        <v>Bench</v>
      </c>
      <c r="G155">
        <f t="shared" ca="1" si="11"/>
        <v>78.199999999999989</v>
      </c>
      <c r="H155">
        <f t="shared" ca="1" si="12"/>
        <v>91</v>
      </c>
      <c r="I155">
        <f>IF(C155="RB",LeagueInfo!$D$4*LeagueInfo!$F$2,IF(C155="WR",LeagueInfo!$D$5*LeagueInfo!$F$2,IF(C155="TE",LeagueInfo!$D$6*LeagueInfo!$F$2)))</f>
        <v>24</v>
      </c>
    </row>
    <row r="156" spans="1:9" x14ac:dyDescent="0.35">
      <c r="A156">
        <f t="shared" ca="1" si="13"/>
        <v>148</v>
      </c>
      <c r="B156" t="s">
        <v>562</v>
      </c>
      <c r="C156" t="s">
        <v>40</v>
      </c>
      <c r="D156">
        <f t="shared" ca="1" si="10"/>
        <v>90.77</v>
      </c>
      <c r="E156" s="5">
        <f t="shared" ca="1" si="14"/>
        <v>-11.310000000000002</v>
      </c>
      <c r="F156" t="str">
        <f ca="1">IF(H156&lt;=I156,"Starter",IF(G156&gt;=LARGE(G:G,FlexOn*LeagueInfo!$F$2),"Starter","Bench"))</f>
        <v>Bench</v>
      </c>
      <c r="G156">
        <f t="shared" ca="1" si="11"/>
        <v>90.77</v>
      </c>
      <c r="H156">
        <f t="shared" ca="1" si="12"/>
        <v>22</v>
      </c>
      <c r="I156">
        <f>IF(C156="RB",LeagueInfo!$D$4*LeagueInfo!$F$2,IF(C156="WR",LeagueInfo!$D$5*LeagueInfo!$F$2,IF(C156="TE",LeagueInfo!$D$6*LeagueInfo!$F$2)))</f>
        <v>12</v>
      </c>
    </row>
    <row r="157" spans="1:9" x14ac:dyDescent="0.35">
      <c r="A157">
        <f t="shared" ca="1" si="13"/>
        <v>147</v>
      </c>
      <c r="B157" t="s">
        <v>647</v>
      </c>
      <c r="C157" t="s">
        <v>40</v>
      </c>
      <c r="D157">
        <f t="shared" ca="1" si="10"/>
        <v>90.830000000000013</v>
      </c>
      <c r="E157" s="5">
        <f t="shared" ca="1" si="14"/>
        <v>-11.249999999999986</v>
      </c>
      <c r="F157" t="str">
        <f ca="1">IF(H157&lt;=I157,"Starter",IF(G157&gt;=LARGE(G:G,FlexOn*LeagueInfo!$F$2),"Starter","Bench"))</f>
        <v>Bench</v>
      </c>
      <c r="G157">
        <f t="shared" ca="1" si="11"/>
        <v>90.830000000000013</v>
      </c>
      <c r="H157">
        <f t="shared" ca="1" si="12"/>
        <v>21</v>
      </c>
      <c r="I157">
        <f>IF(C157="RB",LeagueInfo!$D$4*LeagueInfo!$F$2,IF(C157="WR",LeagueInfo!$D$5*LeagueInfo!$F$2,IF(C157="TE",LeagueInfo!$D$6*LeagueInfo!$F$2)))</f>
        <v>12</v>
      </c>
    </row>
    <row r="158" spans="1:9" x14ac:dyDescent="0.35">
      <c r="A158">
        <f t="shared" ca="1" si="13"/>
        <v>151</v>
      </c>
      <c r="B158" t="s">
        <v>787</v>
      </c>
      <c r="C158" t="s">
        <v>32</v>
      </c>
      <c r="D158">
        <f t="shared" ca="1" si="10"/>
        <v>90.070000000000022</v>
      </c>
      <c r="E158" s="5">
        <f t="shared" ca="1" si="14"/>
        <v>-12.009999999999977</v>
      </c>
      <c r="F158" t="str">
        <f ca="1">IF(H158&lt;=I158,"Starter",IF(G158&gt;=LARGE(G:G,FlexOn*LeagueInfo!$F$2),"Starter","Bench"))</f>
        <v>Bench</v>
      </c>
      <c r="G158">
        <f t="shared" ca="1" si="11"/>
        <v>90.070000000000022</v>
      </c>
      <c r="H158">
        <f t="shared" ca="1" si="12"/>
        <v>80</v>
      </c>
      <c r="I158">
        <f>IF(C158="RB",LeagueInfo!$D$4*LeagueInfo!$F$2,IF(C158="WR",LeagueInfo!$D$5*LeagueInfo!$F$2,IF(C158="TE",LeagueInfo!$D$6*LeagueInfo!$F$2)))</f>
        <v>24</v>
      </c>
    </row>
    <row r="159" spans="1:9" x14ac:dyDescent="0.35">
      <c r="A159">
        <f t="shared" ca="1" si="13"/>
        <v>152</v>
      </c>
      <c r="B159" t="s">
        <v>238</v>
      </c>
      <c r="C159" t="s">
        <v>32</v>
      </c>
      <c r="D159">
        <f t="shared" ca="1" si="10"/>
        <v>89.68</v>
      </c>
      <c r="E159" s="5">
        <f t="shared" ca="1" si="14"/>
        <v>-12.399999999999991</v>
      </c>
      <c r="F159" t="str">
        <f ca="1">IF(H159&lt;=I159,"Starter",IF(G159&gt;=LARGE(G:G,FlexOn*LeagueInfo!$F$2),"Starter","Bench"))</f>
        <v>Bench</v>
      </c>
      <c r="G159">
        <f t="shared" ca="1" si="11"/>
        <v>89.68</v>
      </c>
      <c r="H159">
        <f t="shared" ca="1" si="12"/>
        <v>81</v>
      </c>
      <c r="I159">
        <f>IF(C159="RB",LeagueInfo!$D$4*LeagueInfo!$F$2,IF(C159="WR",LeagueInfo!$D$5*LeagueInfo!$F$2,IF(C159="TE",LeagueInfo!$D$6*LeagueInfo!$F$2)))</f>
        <v>24</v>
      </c>
    </row>
    <row r="160" spans="1:9" x14ac:dyDescent="0.35">
      <c r="A160">
        <f t="shared" ca="1" si="13"/>
        <v>158</v>
      </c>
      <c r="B160" t="s">
        <v>864</v>
      </c>
      <c r="C160" t="s">
        <v>25</v>
      </c>
      <c r="D160">
        <f t="shared" ca="1" si="10"/>
        <v>83.890000000000015</v>
      </c>
      <c r="E160" s="5">
        <f t="shared" ca="1" si="14"/>
        <v>-18.189999999999984</v>
      </c>
      <c r="F160" t="str">
        <f ca="1">IF(H160&lt;=I160,"Starter",IF(G160&gt;=LARGE(G:G,FlexOn*LeagueInfo!$F$2),"Starter","Bench"))</f>
        <v>Bench</v>
      </c>
      <c r="G160">
        <f t="shared" ca="1" si="11"/>
        <v>83.890000000000015</v>
      </c>
      <c r="H160">
        <f t="shared" ca="1" si="12"/>
        <v>52</v>
      </c>
      <c r="I160">
        <f>IF(C160="RB",LeagueInfo!$D$4*LeagueInfo!$F$2,IF(C160="WR",LeagueInfo!$D$5*LeagueInfo!$F$2,IF(C160="TE",LeagueInfo!$D$6*LeagueInfo!$F$2)))</f>
        <v>24</v>
      </c>
    </row>
    <row r="161" spans="1:9" x14ac:dyDescent="0.35">
      <c r="A161">
        <f t="shared" ca="1" si="13"/>
        <v>159</v>
      </c>
      <c r="B161" t="s">
        <v>920</v>
      </c>
      <c r="C161" t="s">
        <v>32</v>
      </c>
      <c r="D161">
        <f t="shared" ca="1" si="10"/>
        <v>83.490000000000009</v>
      </c>
      <c r="E161" s="5">
        <f t="shared" ca="1" si="14"/>
        <v>-18.589999999999989</v>
      </c>
      <c r="F161" t="str">
        <f ca="1">IF(H161&lt;=I161,"Starter",IF(G161&gt;=LARGE(G:G,FlexOn*LeagueInfo!$F$2),"Starter","Bench"))</f>
        <v>Bench</v>
      </c>
      <c r="G161">
        <f t="shared" ca="1" si="11"/>
        <v>83.490000000000009</v>
      </c>
      <c r="H161">
        <f t="shared" ca="1" si="12"/>
        <v>85</v>
      </c>
      <c r="I161">
        <f>IF(C161="RB",LeagueInfo!$D$4*LeagueInfo!$F$2,IF(C161="WR",LeagueInfo!$D$5*LeagueInfo!$F$2,IF(C161="TE",LeagueInfo!$D$6*LeagueInfo!$F$2)))</f>
        <v>24</v>
      </c>
    </row>
    <row r="162" spans="1:9" x14ac:dyDescent="0.35">
      <c r="A162">
        <f t="shared" ca="1" si="13"/>
        <v>160</v>
      </c>
      <c r="B162" t="s">
        <v>592</v>
      </c>
      <c r="C162" t="s">
        <v>32</v>
      </c>
      <c r="D162">
        <f t="shared" ca="1" si="10"/>
        <v>83.02</v>
      </c>
      <c r="E162" s="5">
        <f t="shared" ca="1" si="14"/>
        <v>-19.060000000000002</v>
      </c>
      <c r="F162" t="str">
        <f ca="1">IF(H162&lt;=I162,"Starter",IF(G162&gt;=LARGE(G:G,FlexOn*LeagueInfo!$F$2),"Starter","Bench"))</f>
        <v>Bench</v>
      </c>
      <c r="G162">
        <f t="shared" ca="1" si="11"/>
        <v>83.02</v>
      </c>
      <c r="H162">
        <f t="shared" ca="1" si="12"/>
        <v>86</v>
      </c>
      <c r="I162">
        <f>IF(C162="RB",LeagueInfo!$D$4*LeagueInfo!$F$2,IF(C162="WR",LeagueInfo!$D$5*LeagueInfo!$F$2,IF(C162="TE",LeagueInfo!$D$6*LeagueInfo!$F$2)))</f>
        <v>24</v>
      </c>
    </row>
    <row r="163" spans="1:9" x14ac:dyDescent="0.35">
      <c r="A163">
        <f t="shared" ca="1" si="13"/>
        <v>221</v>
      </c>
      <c r="B163" t="s">
        <v>758</v>
      </c>
      <c r="C163" t="s">
        <v>25</v>
      </c>
      <c r="D163">
        <f t="shared" ca="1" si="10"/>
        <v>52.17</v>
      </c>
      <c r="E163" s="5">
        <f t="shared" ca="1" si="14"/>
        <v>-49.91</v>
      </c>
      <c r="F163" t="str">
        <f ca="1">IF(H163&lt;=I163,"Starter",IF(G163&gt;=LARGE(G:G,FlexOn*LeagueInfo!$F$2),"Starter","Bench"))</f>
        <v>Bench</v>
      </c>
      <c r="G163">
        <f t="shared" ca="1" si="11"/>
        <v>52.17</v>
      </c>
      <c r="H163">
        <f t="shared" ca="1" si="12"/>
        <v>69</v>
      </c>
      <c r="I163">
        <f>IF(C163="RB",LeagueInfo!$D$4*LeagueInfo!$F$2,IF(C163="WR",LeagueInfo!$D$5*LeagueInfo!$F$2,IF(C163="TE",LeagueInfo!$D$6*LeagueInfo!$F$2)))</f>
        <v>24</v>
      </c>
    </row>
    <row r="164" spans="1:9" x14ac:dyDescent="0.35">
      <c r="A164">
        <f t="shared" ca="1" si="13"/>
        <v>179</v>
      </c>
      <c r="B164" t="s">
        <v>924</v>
      </c>
      <c r="C164" t="s">
        <v>32</v>
      </c>
      <c r="D164">
        <f t="shared" ca="1" si="10"/>
        <v>72.530000000000015</v>
      </c>
      <c r="E164" s="5">
        <f t="shared" ca="1" si="14"/>
        <v>-29.549999999999983</v>
      </c>
      <c r="F164" t="str">
        <f ca="1">IF(H164&lt;=I164,"Starter",IF(G164&gt;=LARGE(G:G,FlexOn*LeagueInfo!$F$2),"Starter","Bench"))</f>
        <v>Bench</v>
      </c>
      <c r="G164">
        <f t="shared" ca="1" si="11"/>
        <v>72.530000000000015</v>
      </c>
      <c r="H164">
        <f t="shared" ca="1" si="12"/>
        <v>98</v>
      </c>
      <c r="I164">
        <f>IF(C164="RB",LeagueInfo!$D$4*LeagueInfo!$F$2,IF(C164="WR",LeagueInfo!$D$5*LeagueInfo!$F$2,IF(C164="TE",LeagueInfo!$D$6*LeagueInfo!$F$2)))</f>
        <v>24</v>
      </c>
    </row>
    <row r="165" spans="1:9" x14ac:dyDescent="0.35">
      <c r="A165">
        <f t="shared" ca="1" si="13"/>
        <v>174</v>
      </c>
      <c r="B165" t="s">
        <v>922</v>
      </c>
      <c r="C165" t="s">
        <v>32</v>
      </c>
      <c r="D165">
        <f t="shared" ca="1" si="10"/>
        <v>77.180000000000007</v>
      </c>
      <c r="E165" s="5">
        <f t="shared" ca="1" si="14"/>
        <v>-24.899999999999991</v>
      </c>
      <c r="F165" t="str">
        <f ca="1">IF(H165&lt;=I165,"Starter",IF(G165&gt;=LARGE(G:G,FlexOn*LeagueInfo!$F$2),"Starter","Bench"))</f>
        <v>Bench</v>
      </c>
      <c r="G165">
        <f t="shared" ca="1" si="11"/>
        <v>77.180000000000007</v>
      </c>
      <c r="H165">
        <f t="shared" ca="1" si="12"/>
        <v>93</v>
      </c>
      <c r="I165">
        <f>IF(C165="RB",LeagueInfo!$D$4*LeagueInfo!$F$2,IF(C165="WR",LeagueInfo!$D$5*LeagueInfo!$F$2,IF(C165="TE",LeagueInfo!$D$6*LeagueInfo!$F$2)))</f>
        <v>24</v>
      </c>
    </row>
    <row r="166" spans="1:9" x14ac:dyDescent="0.35">
      <c r="A166">
        <f t="shared" ca="1" si="13"/>
        <v>171</v>
      </c>
      <c r="B166" t="s">
        <v>867</v>
      </c>
      <c r="C166" t="s">
        <v>25</v>
      </c>
      <c r="D166">
        <f t="shared" ca="1" si="10"/>
        <v>78.11</v>
      </c>
      <c r="E166" s="5">
        <f t="shared" ca="1" si="14"/>
        <v>-23.97</v>
      </c>
      <c r="F166" t="str">
        <f ca="1">IF(H166&lt;=I166,"Starter",IF(G166&gt;=LARGE(G:G,FlexOn*LeagueInfo!$F$2),"Starter","Bench"))</f>
        <v>Bench</v>
      </c>
      <c r="G166">
        <f t="shared" ca="1" si="11"/>
        <v>78.11</v>
      </c>
      <c r="H166">
        <f t="shared" ca="1" si="12"/>
        <v>57</v>
      </c>
      <c r="I166">
        <f>IF(C166="RB",LeagueInfo!$D$4*LeagueInfo!$F$2,IF(C166="WR",LeagueInfo!$D$5*LeagueInfo!$F$2,IF(C166="TE",LeagueInfo!$D$6*LeagueInfo!$F$2)))</f>
        <v>24</v>
      </c>
    </row>
    <row r="167" spans="1:9" x14ac:dyDescent="0.35">
      <c r="A167">
        <f t="shared" ca="1" si="13"/>
        <v>166</v>
      </c>
      <c r="B167" t="s">
        <v>424</v>
      </c>
      <c r="C167" t="s">
        <v>25</v>
      </c>
      <c r="D167">
        <f t="shared" ca="1" si="10"/>
        <v>79.220000000000013</v>
      </c>
      <c r="E167" s="5">
        <f t="shared" ca="1" si="14"/>
        <v>-22.859999999999985</v>
      </c>
      <c r="F167" t="str">
        <f ca="1">IF(H167&lt;=I167,"Starter",IF(G167&gt;=LARGE(G:G,FlexOn*LeagueInfo!$F$2),"Starter","Bench"))</f>
        <v>Bench</v>
      </c>
      <c r="G167">
        <f t="shared" ca="1" si="11"/>
        <v>79.220000000000013</v>
      </c>
      <c r="H167">
        <f t="shared" ca="1" si="12"/>
        <v>55</v>
      </c>
      <c r="I167">
        <f>IF(C167="RB",LeagueInfo!$D$4*LeagueInfo!$F$2,IF(C167="WR",LeagueInfo!$D$5*LeagueInfo!$F$2,IF(C167="TE",LeagueInfo!$D$6*LeagueInfo!$F$2)))</f>
        <v>24</v>
      </c>
    </row>
    <row r="168" spans="1:9" x14ac:dyDescent="0.35">
      <c r="A168">
        <f t="shared" ca="1" si="13"/>
        <v>153</v>
      </c>
      <c r="B168" t="s">
        <v>447</v>
      </c>
      <c r="C168" t="s">
        <v>40</v>
      </c>
      <c r="D168">
        <f t="shared" ca="1" si="10"/>
        <v>88.53</v>
      </c>
      <c r="E168" s="5">
        <f t="shared" ca="1" si="14"/>
        <v>-13.549999999999997</v>
      </c>
      <c r="F168" t="str">
        <f ca="1">IF(H168&lt;=I168,"Starter",IF(G168&gt;=LARGE(G:G,FlexOn*LeagueInfo!$F$2),"Starter","Bench"))</f>
        <v>Bench</v>
      </c>
      <c r="G168">
        <f t="shared" ca="1" si="11"/>
        <v>88.53</v>
      </c>
      <c r="H168">
        <f t="shared" ca="1" si="12"/>
        <v>23</v>
      </c>
      <c r="I168">
        <f>IF(C168="RB",LeagueInfo!$D$4*LeagueInfo!$F$2,IF(C168="WR",LeagueInfo!$D$5*LeagueInfo!$F$2,IF(C168="TE",LeagueInfo!$D$6*LeagueInfo!$F$2)))</f>
        <v>12</v>
      </c>
    </row>
    <row r="169" spans="1:9" x14ac:dyDescent="0.35">
      <c r="A169">
        <f t="shared" ca="1" si="13"/>
        <v>175</v>
      </c>
      <c r="B169" t="s">
        <v>554</v>
      </c>
      <c r="C169" t="s">
        <v>32</v>
      </c>
      <c r="D169">
        <f t="shared" ca="1" si="10"/>
        <v>77.14</v>
      </c>
      <c r="E169" s="5">
        <f t="shared" ca="1" si="14"/>
        <v>-24.939999999999998</v>
      </c>
      <c r="F169" t="str">
        <f ca="1">IF(H169&lt;=I169,"Starter",IF(G169&gt;=LARGE(G:G,FlexOn*LeagueInfo!$F$2),"Starter","Bench"))</f>
        <v>Bench</v>
      </c>
      <c r="G169">
        <f t="shared" ca="1" si="11"/>
        <v>77.14</v>
      </c>
      <c r="H169">
        <f t="shared" ca="1" si="12"/>
        <v>94</v>
      </c>
      <c r="I169">
        <f>IF(C169="RB",LeagueInfo!$D$4*LeagueInfo!$F$2,IF(C169="WR",LeagueInfo!$D$5*LeagueInfo!$F$2,IF(C169="TE",LeagueInfo!$D$6*LeagueInfo!$F$2)))</f>
        <v>24</v>
      </c>
    </row>
    <row r="170" spans="1:9" x14ac:dyDescent="0.35">
      <c r="A170">
        <f t="shared" ca="1" si="13"/>
        <v>157</v>
      </c>
      <c r="B170" t="s">
        <v>643</v>
      </c>
      <c r="C170" t="s">
        <v>40</v>
      </c>
      <c r="D170">
        <f t="shared" ca="1" si="10"/>
        <v>84.33</v>
      </c>
      <c r="E170" s="5">
        <f t="shared" ca="1" si="14"/>
        <v>-17.75</v>
      </c>
      <c r="F170" t="str">
        <f ca="1">IF(H170&lt;=I170,"Starter",IF(G170&gt;=LARGE(G:G,FlexOn*LeagueInfo!$F$2),"Starter","Bench"))</f>
        <v>Bench</v>
      </c>
      <c r="G170">
        <f t="shared" ca="1" si="11"/>
        <v>84.33</v>
      </c>
      <c r="H170">
        <f t="shared" ca="1" si="12"/>
        <v>24</v>
      </c>
      <c r="I170">
        <f>IF(C170="RB",LeagueInfo!$D$4*LeagueInfo!$F$2,IF(C170="WR",LeagueInfo!$D$5*LeagueInfo!$F$2,IF(C170="TE",LeagueInfo!$D$6*LeagueInfo!$F$2)))</f>
        <v>12</v>
      </c>
    </row>
    <row r="171" spans="1:9" x14ac:dyDescent="0.35">
      <c r="A171">
        <f t="shared" ca="1" si="13"/>
        <v>173</v>
      </c>
      <c r="B171" t="s">
        <v>258</v>
      </c>
      <c r="C171" t="s">
        <v>40</v>
      </c>
      <c r="D171">
        <f t="shared" ca="1" si="10"/>
        <v>77.210000000000008</v>
      </c>
      <c r="E171" s="5">
        <f t="shared" ca="1" si="14"/>
        <v>-24.86999999999999</v>
      </c>
      <c r="F171" t="str">
        <f ca="1">IF(H171&lt;=I171,"Starter",IF(G171&gt;=LARGE(G:G,FlexOn*LeagueInfo!$F$2),"Starter","Bench"))</f>
        <v>Bench</v>
      </c>
      <c r="G171">
        <f t="shared" ca="1" si="11"/>
        <v>77.210000000000008</v>
      </c>
      <c r="H171">
        <f t="shared" ca="1" si="12"/>
        <v>25</v>
      </c>
      <c r="I171">
        <f>IF(C171="RB",LeagueInfo!$D$4*LeagueInfo!$F$2,IF(C171="WR",LeagueInfo!$D$5*LeagueInfo!$F$2,IF(C171="TE",LeagueInfo!$D$6*LeagueInfo!$F$2)))</f>
        <v>12</v>
      </c>
    </row>
    <row r="172" spans="1:9" x14ac:dyDescent="0.35">
      <c r="A172">
        <f t="shared" ca="1" si="13"/>
        <v>164</v>
      </c>
      <c r="B172" t="s">
        <v>445</v>
      </c>
      <c r="C172" t="s">
        <v>32</v>
      </c>
      <c r="D172">
        <f t="shared" ca="1" si="10"/>
        <v>80.06</v>
      </c>
      <c r="E172" s="5">
        <f t="shared" ca="1" si="14"/>
        <v>-22.019999999999996</v>
      </c>
      <c r="F172" t="str">
        <f ca="1">IF(H172&lt;=I172,"Starter",IF(G172&gt;=LARGE(G:G,FlexOn*LeagueInfo!$F$2),"Starter","Bench"))</f>
        <v>Bench</v>
      </c>
      <c r="G172">
        <f t="shared" ca="1" si="11"/>
        <v>80.06</v>
      </c>
      <c r="H172">
        <f t="shared" ca="1" si="12"/>
        <v>88</v>
      </c>
      <c r="I172">
        <f>IF(C172="RB",LeagueInfo!$D$4*LeagueInfo!$F$2,IF(C172="WR",LeagueInfo!$D$5*LeagueInfo!$F$2,IF(C172="TE",LeagueInfo!$D$6*LeagueInfo!$F$2)))</f>
        <v>24</v>
      </c>
    </row>
    <row r="173" spans="1:9" x14ac:dyDescent="0.35">
      <c r="A173">
        <f t="shared" ca="1" si="13"/>
        <v>170</v>
      </c>
      <c r="B173" t="s">
        <v>674</v>
      </c>
      <c r="C173" t="s">
        <v>32</v>
      </c>
      <c r="D173">
        <f t="shared" ca="1" si="10"/>
        <v>78.14</v>
      </c>
      <c r="E173" s="5">
        <f t="shared" ca="1" si="14"/>
        <v>-23.939999999999998</v>
      </c>
      <c r="F173" t="str">
        <f ca="1">IF(H173&lt;=I173,"Starter",IF(G173&gt;=LARGE(G:G,FlexOn*LeagueInfo!$F$2),"Starter","Bench"))</f>
        <v>Bench</v>
      </c>
      <c r="G173">
        <f t="shared" ca="1" si="11"/>
        <v>78.14</v>
      </c>
      <c r="H173">
        <f t="shared" ca="1" si="12"/>
        <v>92</v>
      </c>
      <c r="I173">
        <f>IF(C173="RB",LeagueInfo!$D$4*LeagueInfo!$F$2,IF(C173="WR",LeagueInfo!$D$5*LeagueInfo!$F$2,IF(C173="TE",LeagueInfo!$D$6*LeagueInfo!$F$2)))</f>
        <v>24</v>
      </c>
    </row>
    <row r="174" spans="1:9" x14ac:dyDescent="0.35">
      <c r="A174">
        <f t="shared" ca="1" si="13"/>
        <v>163</v>
      </c>
      <c r="B174" t="s">
        <v>868</v>
      </c>
      <c r="C174" t="s">
        <v>25</v>
      </c>
      <c r="D174">
        <f t="shared" ca="1" si="10"/>
        <v>80.099999999999994</v>
      </c>
      <c r="E174" s="5">
        <f t="shared" ca="1" si="14"/>
        <v>-21.980000000000004</v>
      </c>
      <c r="F174" t="str">
        <f ca="1">IF(H174&lt;=I174,"Starter",IF(G174&gt;=LARGE(G:G,FlexOn*LeagueInfo!$F$2),"Starter","Bench"))</f>
        <v>Bench</v>
      </c>
      <c r="G174">
        <f t="shared" ca="1" si="11"/>
        <v>80.099999999999994</v>
      </c>
      <c r="H174">
        <f t="shared" ca="1" si="12"/>
        <v>54</v>
      </c>
      <c r="I174">
        <f>IF(C174="RB",LeagueInfo!$D$4*LeagueInfo!$F$2,IF(C174="WR",LeagueInfo!$D$5*LeagueInfo!$F$2,IF(C174="TE",LeagueInfo!$D$6*LeagueInfo!$F$2)))</f>
        <v>24</v>
      </c>
    </row>
    <row r="175" spans="1:9" x14ac:dyDescent="0.35">
      <c r="A175">
        <f t="shared" ca="1" si="13"/>
        <v>149</v>
      </c>
      <c r="B175" t="s">
        <v>869</v>
      </c>
      <c r="C175" t="s">
        <v>25</v>
      </c>
      <c r="D175">
        <f t="shared" ca="1" si="10"/>
        <v>90.490000000000009</v>
      </c>
      <c r="E175" s="5">
        <f t="shared" ca="1" si="14"/>
        <v>-11.589999999999989</v>
      </c>
      <c r="F175" t="str">
        <f ca="1">IF(H175&lt;=I175,"Starter",IF(G175&gt;=LARGE(G:G,FlexOn*LeagueInfo!$F$2),"Starter","Bench"))</f>
        <v>Bench</v>
      </c>
      <c r="G175">
        <f t="shared" ca="1" si="11"/>
        <v>90.490000000000009</v>
      </c>
      <c r="H175">
        <f t="shared" ca="1" si="12"/>
        <v>51</v>
      </c>
      <c r="I175">
        <f>IF(C175="RB",LeagueInfo!$D$4*LeagueInfo!$F$2,IF(C175="WR",LeagueInfo!$D$5*LeagueInfo!$F$2,IF(C175="TE",LeagueInfo!$D$6*LeagueInfo!$F$2)))</f>
        <v>24</v>
      </c>
    </row>
    <row r="176" spans="1:9" x14ac:dyDescent="0.35">
      <c r="A176">
        <f t="shared" ca="1" si="13"/>
        <v>143</v>
      </c>
      <c r="B176" t="s">
        <v>243</v>
      </c>
      <c r="C176" t="s">
        <v>32</v>
      </c>
      <c r="D176">
        <f t="shared" ca="1" si="10"/>
        <v>94.5</v>
      </c>
      <c r="E176" s="5">
        <f t="shared" ca="1" si="14"/>
        <v>-7.5799999999999983</v>
      </c>
      <c r="F176" t="str">
        <f ca="1">IF(H176&lt;=I176,"Starter",IF(G176&gt;=LARGE(G:G,FlexOn*LeagueInfo!$F$2),"Starter","Bench"))</f>
        <v>Bench</v>
      </c>
      <c r="G176">
        <f t="shared" ca="1" si="11"/>
        <v>94.5</v>
      </c>
      <c r="H176">
        <f t="shared" ca="1" si="12"/>
        <v>76</v>
      </c>
      <c r="I176">
        <f>IF(C176="RB",LeagueInfo!$D$4*LeagueInfo!$F$2,IF(C176="WR",LeagueInfo!$D$5*LeagueInfo!$F$2,IF(C176="TE",LeagueInfo!$D$6*LeagueInfo!$F$2)))</f>
        <v>24</v>
      </c>
    </row>
    <row r="177" spans="1:9" x14ac:dyDescent="0.35">
      <c r="A177">
        <f t="shared" ca="1" si="13"/>
        <v>172</v>
      </c>
      <c r="B177" t="s">
        <v>866</v>
      </c>
      <c r="C177" t="s">
        <v>25</v>
      </c>
      <c r="D177">
        <f t="shared" ca="1" si="10"/>
        <v>77.33</v>
      </c>
      <c r="E177" s="5">
        <f t="shared" ca="1" si="14"/>
        <v>-24.75</v>
      </c>
      <c r="F177" t="str">
        <f ca="1">IF(H177&lt;=I177,"Starter",IF(G177&gt;=LARGE(G:G,FlexOn*LeagueInfo!$F$2),"Starter","Bench"))</f>
        <v>Bench</v>
      </c>
      <c r="G177">
        <f t="shared" ca="1" si="11"/>
        <v>77.33</v>
      </c>
      <c r="H177">
        <f t="shared" ca="1" si="12"/>
        <v>58</v>
      </c>
      <c r="I177">
        <f>IF(C177="RB",LeagueInfo!$D$4*LeagueInfo!$F$2,IF(C177="WR",LeagueInfo!$D$5*LeagueInfo!$F$2,IF(C177="TE",LeagueInfo!$D$6*LeagueInfo!$F$2)))</f>
        <v>24</v>
      </c>
    </row>
    <row r="178" spans="1:9" x14ac:dyDescent="0.35">
      <c r="A178">
        <f t="shared" ca="1" si="13"/>
        <v>176</v>
      </c>
      <c r="B178" t="s">
        <v>369</v>
      </c>
      <c r="C178" t="s">
        <v>40</v>
      </c>
      <c r="D178">
        <f t="shared" ca="1" si="10"/>
        <v>76.58</v>
      </c>
      <c r="E178" s="5">
        <f t="shared" ca="1" si="14"/>
        <v>-25.5</v>
      </c>
      <c r="F178" t="str">
        <f ca="1">IF(H178&lt;=I178,"Starter",IF(G178&gt;=LARGE(G:G,FlexOn*LeagueInfo!$F$2),"Starter","Bench"))</f>
        <v>Bench</v>
      </c>
      <c r="G178">
        <f t="shared" ca="1" si="11"/>
        <v>76.58</v>
      </c>
      <c r="H178">
        <f t="shared" ca="1" si="12"/>
        <v>26</v>
      </c>
      <c r="I178">
        <f>IF(C178="RB",LeagueInfo!$D$4*LeagueInfo!$F$2,IF(C178="WR",LeagueInfo!$D$5*LeagueInfo!$F$2,IF(C178="TE",LeagueInfo!$D$6*LeagueInfo!$F$2)))</f>
        <v>12</v>
      </c>
    </row>
    <row r="179" spans="1:9" x14ac:dyDescent="0.35">
      <c r="A179">
        <f t="shared" ca="1" si="13"/>
        <v>220</v>
      </c>
      <c r="B179" t="s">
        <v>143</v>
      </c>
      <c r="C179" t="s">
        <v>32</v>
      </c>
      <c r="D179">
        <f t="shared" ca="1" si="10"/>
        <v>52.37</v>
      </c>
      <c r="E179" s="5">
        <f t="shared" ca="1" si="14"/>
        <v>-49.71</v>
      </c>
      <c r="F179" t="str">
        <f ca="1">IF(H179&lt;=I179,"Starter",IF(G179&gt;=LARGE(G:G,FlexOn*LeagueInfo!$F$2),"Starter","Bench"))</f>
        <v>Bench</v>
      </c>
      <c r="G179">
        <f t="shared" ca="1" si="11"/>
        <v>52.37</v>
      </c>
      <c r="H179">
        <f t="shared" ca="1" si="12"/>
        <v>114</v>
      </c>
      <c r="I179">
        <f>IF(C179="RB",LeagueInfo!$D$4*LeagueInfo!$F$2,IF(C179="WR",LeagueInfo!$D$5*LeagueInfo!$F$2,IF(C179="TE",LeagueInfo!$D$6*LeagueInfo!$F$2)))</f>
        <v>24</v>
      </c>
    </row>
    <row r="180" spans="1:9" x14ac:dyDescent="0.35">
      <c r="A180">
        <f t="shared" ca="1" si="13"/>
        <v>180</v>
      </c>
      <c r="B180" t="s">
        <v>368</v>
      </c>
      <c r="C180" t="s">
        <v>40</v>
      </c>
      <c r="D180">
        <f t="shared" ca="1" si="10"/>
        <v>71.61999999999999</v>
      </c>
      <c r="E180" s="5">
        <f t="shared" ca="1" si="14"/>
        <v>-30.460000000000008</v>
      </c>
      <c r="F180" t="str">
        <f ca="1">IF(H180&lt;=I180,"Starter",IF(G180&gt;=LARGE(G:G,FlexOn*LeagueInfo!$F$2),"Starter","Bench"))</f>
        <v>Bench</v>
      </c>
      <c r="G180">
        <f t="shared" ca="1" si="11"/>
        <v>71.61999999999999</v>
      </c>
      <c r="H180">
        <f t="shared" ca="1" si="12"/>
        <v>27</v>
      </c>
      <c r="I180">
        <f>IF(C180="RB",LeagueInfo!$D$4*LeagueInfo!$F$2,IF(C180="WR",LeagueInfo!$D$5*LeagueInfo!$F$2,IF(C180="TE",LeagueInfo!$D$6*LeagueInfo!$F$2)))</f>
        <v>12</v>
      </c>
    </row>
    <row r="181" spans="1:9" x14ac:dyDescent="0.35">
      <c r="A181">
        <f t="shared" ca="1" si="13"/>
        <v>165</v>
      </c>
      <c r="B181" t="s">
        <v>796</v>
      </c>
      <c r="C181" t="s">
        <v>32</v>
      </c>
      <c r="D181">
        <f t="shared" ca="1" si="10"/>
        <v>79.8</v>
      </c>
      <c r="E181" s="5">
        <f t="shared" ca="1" si="14"/>
        <v>-22.28</v>
      </c>
      <c r="F181" t="str">
        <f ca="1">IF(H181&lt;=I181,"Starter",IF(G181&gt;=LARGE(G:G,FlexOn*LeagueInfo!$F$2),"Starter","Bench"))</f>
        <v>Bench</v>
      </c>
      <c r="G181">
        <f t="shared" ca="1" si="11"/>
        <v>79.8</v>
      </c>
      <c r="H181">
        <f t="shared" ca="1" si="12"/>
        <v>89</v>
      </c>
      <c r="I181">
        <f>IF(C181="RB",LeagueInfo!$D$4*LeagueInfo!$F$2,IF(C181="WR",LeagueInfo!$D$5*LeagueInfo!$F$2,IF(C181="TE",LeagueInfo!$D$6*LeagueInfo!$F$2)))</f>
        <v>24</v>
      </c>
    </row>
    <row r="182" spans="1:9" x14ac:dyDescent="0.35">
      <c r="A182">
        <f t="shared" ca="1" si="13"/>
        <v>186</v>
      </c>
      <c r="B182" t="s">
        <v>515</v>
      </c>
      <c r="C182" t="s">
        <v>25</v>
      </c>
      <c r="D182">
        <f t="shared" ca="1" si="10"/>
        <v>66.279999999999987</v>
      </c>
      <c r="E182" s="5">
        <f t="shared" ca="1" si="14"/>
        <v>-35.800000000000011</v>
      </c>
      <c r="F182" t="str">
        <f ca="1">IF(H182&lt;=I182,"Starter",IF(G182&gt;=LARGE(G:G,FlexOn*LeagueInfo!$F$2),"Starter","Bench"))</f>
        <v>Bench</v>
      </c>
      <c r="G182">
        <f t="shared" ca="1" si="11"/>
        <v>66.279999999999987</v>
      </c>
      <c r="H182">
        <f t="shared" ca="1" si="12"/>
        <v>59</v>
      </c>
      <c r="I182">
        <f>IF(C182="RB",LeagueInfo!$D$4*LeagueInfo!$F$2,IF(C182="WR",LeagueInfo!$D$5*LeagueInfo!$F$2,IF(C182="TE",LeagueInfo!$D$6*LeagueInfo!$F$2)))</f>
        <v>24</v>
      </c>
    </row>
    <row r="183" spans="1:9" x14ac:dyDescent="0.35">
      <c r="A183">
        <f t="shared" ca="1" si="13"/>
        <v>167</v>
      </c>
      <c r="B183" t="s">
        <v>126</v>
      </c>
      <c r="C183" t="s">
        <v>25</v>
      </c>
      <c r="D183">
        <f t="shared" ca="1" si="10"/>
        <v>79.03</v>
      </c>
      <c r="E183" s="5">
        <f t="shared" ca="1" si="14"/>
        <v>-23.049999999999997</v>
      </c>
      <c r="F183" t="str">
        <f ca="1">IF(H183&lt;=I183,"Starter",IF(G183&gt;=LARGE(G:G,FlexOn*LeagueInfo!$F$2),"Starter","Bench"))</f>
        <v>Bench</v>
      </c>
      <c r="G183">
        <f t="shared" ca="1" si="11"/>
        <v>79.03</v>
      </c>
      <c r="H183">
        <f t="shared" ca="1" si="12"/>
        <v>56</v>
      </c>
      <c r="I183">
        <f>IF(C183="RB",LeagueInfo!$D$4*LeagueInfo!$F$2,IF(C183="WR",LeagueInfo!$D$5*LeagueInfo!$F$2,IF(C183="TE",LeagueInfo!$D$6*LeagueInfo!$F$2)))</f>
        <v>24</v>
      </c>
    </row>
    <row r="184" spans="1:9" x14ac:dyDescent="0.35">
      <c r="A184">
        <f t="shared" ca="1" si="13"/>
        <v>178</v>
      </c>
      <c r="B184" t="s">
        <v>715</v>
      </c>
      <c r="C184" t="s">
        <v>32</v>
      </c>
      <c r="D184">
        <f t="shared" ca="1" si="10"/>
        <v>72.98</v>
      </c>
      <c r="E184" s="5">
        <f t="shared" ca="1" si="14"/>
        <v>-29.099999999999994</v>
      </c>
      <c r="F184" t="str">
        <f ca="1">IF(H184&lt;=I184,"Starter",IF(G184&gt;=LARGE(G:G,FlexOn*LeagueInfo!$F$2),"Starter","Bench"))</f>
        <v>Bench</v>
      </c>
      <c r="G184">
        <f t="shared" ca="1" si="11"/>
        <v>72.98</v>
      </c>
      <c r="H184">
        <f t="shared" ca="1" si="12"/>
        <v>97</v>
      </c>
      <c r="I184">
        <f>IF(C184="RB",LeagueInfo!$D$4*LeagueInfo!$F$2,IF(C184="WR",LeagueInfo!$D$5*LeagueInfo!$F$2,IF(C184="TE",LeagueInfo!$D$6*LeagueInfo!$F$2)))</f>
        <v>24</v>
      </c>
    </row>
    <row r="185" spans="1:9" x14ac:dyDescent="0.35">
      <c r="A185">
        <f t="shared" ca="1" si="13"/>
        <v>168</v>
      </c>
      <c r="B185" t="s">
        <v>744</v>
      </c>
      <c r="C185" t="s">
        <v>32</v>
      </c>
      <c r="D185">
        <f t="shared" ca="1" si="10"/>
        <v>78.980000000000018</v>
      </c>
      <c r="E185" s="5">
        <f t="shared" ca="1" si="14"/>
        <v>-23.09999999999998</v>
      </c>
      <c r="F185" t="str">
        <f ca="1">IF(H185&lt;=I185,"Starter",IF(G185&gt;=LARGE(G:G,FlexOn*LeagueInfo!$F$2),"Starter","Bench"))</f>
        <v>Bench</v>
      </c>
      <c r="G185">
        <f t="shared" ca="1" si="11"/>
        <v>78.980000000000018</v>
      </c>
      <c r="H185">
        <f t="shared" ca="1" si="12"/>
        <v>90</v>
      </c>
      <c r="I185">
        <f>IF(C185="RB",LeagueInfo!$D$4*LeagueInfo!$F$2,IF(C185="WR",LeagueInfo!$D$5*LeagueInfo!$F$2,IF(C185="TE",LeagueInfo!$D$6*LeagueInfo!$F$2)))</f>
        <v>24</v>
      </c>
    </row>
    <row r="186" spans="1:9" x14ac:dyDescent="0.35">
      <c r="A186">
        <f t="shared" ca="1" si="13"/>
        <v>183</v>
      </c>
      <c r="B186" t="s">
        <v>937</v>
      </c>
      <c r="C186" t="s">
        <v>40</v>
      </c>
      <c r="D186">
        <f t="shared" ca="1" si="10"/>
        <v>69.36</v>
      </c>
      <c r="E186" s="5">
        <f t="shared" ca="1" si="14"/>
        <v>-32.72</v>
      </c>
      <c r="F186" t="str">
        <f ca="1">IF(H186&lt;=I186,"Starter",IF(G186&gt;=LARGE(G:G,FlexOn*LeagueInfo!$F$2),"Starter","Bench"))</f>
        <v>Bench</v>
      </c>
      <c r="G186">
        <f t="shared" ca="1" si="11"/>
        <v>69.36</v>
      </c>
      <c r="H186">
        <f t="shared" ca="1" si="12"/>
        <v>29</v>
      </c>
      <c r="I186">
        <f>IF(C186="RB",LeagueInfo!$D$4*LeagueInfo!$F$2,IF(C186="WR",LeagueInfo!$D$5*LeagueInfo!$F$2,IF(C186="TE",LeagueInfo!$D$6*LeagueInfo!$F$2)))</f>
        <v>12</v>
      </c>
    </row>
    <row r="187" spans="1:9" x14ac:dyDescent="0.35">
      <c r="A187">
        <f t="shared" ca="1" si="13"/>
        <v>185</v>
      </c>
      <c r="B187" t="s">
        <v>730</v>
      </c>
      <c r="C187" t="s">
        <v>40</v>
      </c>
      <c r="D187">
        <f t="shared" ca="1" si="10"/>
        <v>66.52</v>
      </c>
      <c r="E187" s="5">
        <f t="shared" ca="1" si="14"/>
        <v>-35.56</v>
      </c>
      <c r="F187" t="str">
        <f ca="1">IF(H187&lt;=I187,"Starter",IF(G187&gt;=LARGE(G:G,FlexOn*LeagueInfo!$F$2),"Starter","Bench"))</f>
        <v>Bench</v>
      </c>
      <c r="G187">
        <f t="shared" ca="1" si="11"/>
        <v>66.52</v>
      </c>
      <c r="H187">
        <f t="shared" ca="1" si="12"/>
        <v>30</v>
      </c>
      <c r="I187">
        <f>IF(C187="RB",LeagueInfo!$D$4*LeagueInfo!$F$2,IF(C187="WR",LeagueInfo!$D$5*LeagueInfo!$F$2,IF(C187="TE",LeagueInfo!$D$6*LeagueInfo!$F$2)))</f>
        <v>12</v>
      </c>
    </row>
    <row r="188" spans="1:9" x14ac:dyDescent="0.35">
      <c r="A188">
        <f t="shared" ca="1" si="13"/>
        <v>191</v>
      </c>
      <c r="B188" t="s">
        <v>423</v>
      </c>
      <c r="C188" t="s">
        <v>25</v>
      </c>
      <c r="D188">
        <f t="shared" ca="1" si="10"/>
        <v>63.269999999999989</v>
      </c>
      <c r="E188" s="5">
        <f t="shared" ca="1" si="14"/>
        <v>-38.810000000000009</v>
      </c>
      <c r="F188" t="str">
        <f ca="1">IF(H188&lt;=I188,"Starter",IF(G188&gt;=LARGE(G:G,FlexOn*LeagueInfo!$F$2),"Starter","Bench"))</f>
        <v>Bench</v>
      </c>
      <c r="G188">
        <f t="shared" ca="1" si="11"/>
        <v>63.269999999999989</v>
      </c>
      <c r="H188">
        <f t="shared" ca="1" si="12"/>
        <v>60</v>
      </c>
      <c r="I188">
        <f>IF(C188="RB",LeagueInfo!$D$4*LeagueInfo!$F$2,IF(C188="WR",LeagueInfo!$D$5*LeagueInfo!$F$2,IF(C188="TE",LeagueInfo!$D$6*LeagueInfo!$F$2)))</f>
        <v>24</v>
      </c>
    </row>
    <row r="189" spans="1:9" x14ac:dyDescent="0.35">
      <c r="A189">
        <f t="shared" ca="1" si="13"/>
        <v>190</v>
      </c>
      <c r="B189" t="s">
        <v>452</v>
      </c>
      <c r="C189" t="s">
        <v>40</v>
      </c>
      <c r="D189">
        <f t="shared" ca="1" si="10"/>
        <v>63.489999999999995</v>
      </c>
      <c r="E189" s="5">
        <f t="shared" ca="1" si="14"/>
        <v>-38.590000000000003</v>
      </c>
      <c r="F189" t="str">
        <f ca="1">IF(H189&lt;=I189,"Starter",IF(G189&gt;=LARGE(G:G,FlexOn*LeagueInfo!$F$2),"Starter","Bench"))</f>
        <v>Bench</v>
      </c>
      <c r="G189">
        <f t="shared" ca="1" si="11"/>
        <v>63.489999999999995</v>
      </c>
      <c r="H189">
        <f t="shared" ca="1" si="12"/>
        <v>33</v>
      </c>
      <c r="I189">
        <f>IF(C189="RB",LeagueInfo!$D$4*LeagueInfo!$F$2,IF(C189="WR",LeagueInfo!$D$5*LeagueInfo!$F$2,IF(C189="TE",LeagueInfo!$D$6*LeagueInfo!$F$2)))</f>
        <v>12</v>
      </c>
    </row>
    <row r="190" spans="1:9" x14ac:dyDescent="0.35">
      <c r="A190">
        <f t="shared" ca="1" si="13"/>
        <v>187</v>
      </c>
      <c r="B190" t="s">
        <v>635</v>
      </c>
      <c r="C190" t="s">
        <v>40</v>
      </c>
      <c r="D190">
        <f t="shared" ca="1" si="10"/>
        <v>65.649999999999991</v>
      </c>
      <c r="E190" s="5">
        <f t="shared" ca="1" si="14"/>
        <v>-36.430000000000007</v>
      </c>
      <c r="F190" t="str">
        <f ca="1">IF(H190&lt;=I190,"Starter",IF(G190&gt;=LARGE(G:G,FlexOn*LeagueInfo!$F$2),"Starter","Bench"))</f>
        <v>Bench</v>
      </c>
      <c r="G190">
        <f t="shared" ca="1" si="11"/>
        <v>65.649999999999991</v>
      </c>
      <c r="H190">
        <f t="shared" ca="1" si="12"/>
        <v>31</v>
      </c>
      <c r="I190">
        <f>IF(C190="RB",LeagueInfo!$D$4*LeagueInfo!$F$2,IF(C190="WR",LeagueInfo!$D$5*LeagueInfo!$F$2,IF(C190="TE",LeagueInfo!$D$6*LeagueInfo!$F$2)))</f>
        <v>12</v>
      </c>
    </row>
    <row r="191" spans="1:9" x14ac:dyDescent="0.35">
      <c r="A191">
        <f t="shared" ca="1" si="13"/>
        <v>181</v>
      </c>
      <c r="B191" t="s">
        <v>128</v>
      </c>
      <c r="C191" t="s">
        <v>40</v>
      </c>
      <c r="D191">
        <f t="shared" ca="1" si="10"/>
        <v>69.87</v>
      </c>
      <c r="E191" s="5">
        <f t="shared" ca="1" si="14"/>
        <v>-32.209999999999994</v>
      </c>
      <c r="F191" t="str">
        <f ca="1">IF(H191&lt;=I191,"Starter",IF(G191&gt;=LARGE(G:G,FlexOn*LeagueInfo!$F$2),"Starter","Bench"))</f>
        <v>Bench</v>
      </c>
      <c r="G191">
        <f t="shared" ca="1" si="11"/>
        <v>69.87</v>
      </c>
      <c r="H191">
        <f t="shared" ca="1" si="12"/>
        <v>28</v>
      </c>
      <c r="I191">
        <f>IF(C191="RB",LeagueInfo!$D$4*LeagueInfo!$F$2,IF(C191="WR",LeagueInfo!$D$5*LeagueInfo!$F$2,IF(C191="TE",LeagueInfo!$D$6*LeagueInfo!$F$2)))</f>
        <v>12</v>
      </c>
    </row>
    <row r="192" spans="1:9" x14ac:dyDescent="0.35">
      <c r="A192">
        <f t="shared" ca="1" si="13"/>
        <v>212</v>
      </c>
      <c r="B192" t="s">
        <v>487</v>
      </c>
      <c r="C192" t="s">
        <v>40</v>
      </c>
      <c r="D192">
        <f t="shared" ref="D192:D247" ca="1" si="15">INDEX(INDIRECT($C192&amp;"!P:P"),MATCH($B192,INDIRECT($C192&amp;"!B:B"),0))</f>
        <v>55.330000000000005</v>
      </c>
      <c r="E192" s="5">
        <f t="shared" ca="1" si="14"/>
        <v>-46.749999999999993</v>
      </c>
      <c r="F192" t="str">
        <f ca="1">IF(H192&lt;=I192,"Starter",IF(G192&gt;=LARGE(G:G,FlexOn*LeagueInfo!$F$2),"Starter","Bench"))</f>
        <v>Bench</v>
      </c>
      <c r="G192">
        <f t="shared" ref="G192:G247" ca="1" si="16">IF(H192&gt;I192,D192,0)</f>
        <v>55.330000000000005</v>
      </c>
      <c r="H192">
        <f t="shared" ref="H192:H247" ca="1" si="17">INDEX(INDIRECT(""&amp;C192&amp;"!A2:A409"),MATCH(B192,INDIRECT(""&amp;C192&amp;"!B2:B409"),0))</f>
        <v>40</v>
      </c>
      <c r="I192">
        <f>IF(C192="RB",LeagueInfo!$D$4*LeagueInfo!$F$2,IF(C192="WR",LeagueInfo!$D$5*LeagueInfo!$F$2,IF(C192="TE",LeagueInfo!$D$6*LeagueInfo!$F$2)))</f>
        <v>12</v>
      </c>
    </row>
    <row r="193" spans="1:9" x14ac:dyDescent="0.35">
      <c r="A193">
        <f t="shared" ca="1" si="13"/>
        <v>194</v>
      </c>
      <c r="B193" t="s">
        <v>587</v>
      </c>
      <c r="C193" t="s">
        <v>32</v>
      </c>
      <c r="D193">
        <f t="shared" ca="1" si="15"/>
        <v>61.34</v>
      </c>
      <c r="E193" s="5">
        <f t="shared" ca="1" si="14"/>
        <v>-40.739999999999995</v>
      </c>
      <c r="F193" t="str">
        <f ca="1">IF(H193&lt;=I193,"Starter",IF(G193&gt;=LARGE(G:G,FlexOn*LeagueInfo!$F$2),"Starter","Bench"))</f>
        <v>Bench</v>
      </c>
      <c r="G193">
        <f t="shared" ca="1" si="16"/>
        <v>61.34</v>
      </c>
      <c r="H193">
        <f t="shared" ca="1" si="17"/>
        <v>103</v>
      </c>
      <c r="I193">
        <f>IF(C193="RB",LeagueInfo!$D$4*LeagueInfo!$F$2,IF(C193="WR",LeagueInfo!$D$5*LeagueInfo!$F$2,IF(C193="TE",LeagueInfo!$D$6*LeagueInfo!$F$2)))</f>
        <v>24</v>
      </c>
    </row>
    <row r="194" spans="1:9" x14ac:dyDescent="0.35">
      <c r="A194">
        <f t="shared" ref="A194:A257" ca="1" si="18">RANK(E194,E:E)</f>
        <v>202</v>
      </c>
      <c r="B194" t="s">
        <v>255</v>
      </c>
      <c r="C194" t="s">
        <v>40</v>
      </c>
      <c r="D194">
        <f t="shared" ca="1" si="15"/>
        <v>59.25</v>
      </c>
      <c r="E194" s="5">
        <f t="shared" ref="E194:E257" ca="1" si="19">D194-LARGE(D:D,RBCount+WRCount+TECount)</f>
        <v>-42.83</v>
      </c>
      <c r="F194" t="str">
        <f ca="1">IF(H194&lt;=I194,"Starter",IF(G194&gt;=LARGE(G:G,FlexOn*LeagueInfo!$F$2),"Starter","Bench"))</f>
        <v>Bench</v>
      </c>
      <c r="G194">
        <f t="shared" ca="1" si="16"/>
        <v>59.25</v>
      </c>
      <c r="H194">
        <f t="shared" ca="1" si="17"/>
        <v>37</v>
      </c>
      <c r="I194">
        <f>IF(C194="RB",LeagueInfo!$D$4*LeagueInfo!$F$2,IF(C194="WR",LeagueInfo!$D$5*LeagueInfo!$F$2,IF(C194="TE",LeagueInfo!$D$6*LeagueInfo!$F$2)))</f>
        <v>12</v>
      </c>
    </row>
    <row r="195" spans="1:9" x14ac:dyDescent="0.35">
      <c r="A195">
        <f t="shared" ca="1" si="18"/>
        <v>193</v>
      </c>
      <c r="B195" t="s">
        <v>599</v>
      </c>
      <c r="C195" t="s">
        <v>32</v>
      </c>
      <c r="D195">
        <f t="shared" ca="1" si="15"/>
        <v>61.78</v>
      </c>
      <c r="E195" s="5">
        <f t="shared" ca="1" si="19"/>
        <v>-40.299999999999997</v>
      </c>
      <c r="F195" t="str">
        <f ca="1">IF(H195&lt;=I195,"Starter",IF(G195&gt;=LARGE(G:G,FlexOn*LeagueInfo!$F$2),"Starter","Bench"))</f>
        <v>Bench</v>
      </c>
      <c r="G195">
        <f t="shared" ca="1" si="16"/>
        <v>61.78</v>
      </c>
      <c r="H195">
        <f t="shared" ca="1" si="17"/>
        <v>102</v>
      </c>
      <c r="I195">
        <f>IF(C195="RB",LeagueInfo!$D$4*LeagueInfo!$F$2,IF(C195="WR",LeagueInfo!$D$5*LeagueInfo!$F$2,IF(C195="TE",LeagueInfo!$D$6*LeagueInfo!$F$2)))</f>
        <v>24</v>
      </c>
    </row>
    <row r="196" spans="1:9" x14ac:dyDescent="0.35">
      <c r="A196">
        <f t="shared" ca="1" si="18"/>
        <v>207</v>
      </c>
      <c r="B196" t="s">
        <v>616</v>
      </c>
      <c r="C196" t="s">
        <v>25</v>
      </c>
      <c r="D196">
        <f t="shared" ca="1" si="15"/>
        <v>56.940000000000005</v>
      </c>
      <c r="E196" s="5">
        <f t="shared" ca="1" si="19"/>
        <v>-45.139999999999993</v>
      </c>
      <c r="F196" t="str">
        <f ca="1">IF(H196&lt;=I196,"Starter",IF(G196&gt;=LARGE(G:G,FlexOn*LeagueInfo!$F$2),"Starter","Bench"))</f>
        <v>Bench</v>
      </c>
      <c r="G196">
        <f t="shared" ca="1" si="16"/>
        <v>56.940000000000005</v>
      </c>
      <c r="H196">
        <f t="shared" ca="1" si="17"/>
        <v>66</v>
      </c>
      <c r="I196">
        <f>IF(C196="RB",LeagueInfo!$D$4*LeagueInfo!$F$2,IF(C196="WR",LeagueInfo!$D$5*LeagueInfo!$F$2,IF(C196="TE",LeagueInfo!$D$6*LeagueInfo!$F$2)))</f>
        <v>24</v>
      </c>
    </row>
    <row r="197" spans="1:9" x14ac:dyDescent="0.35">
      <c r="A197">
        <f t="shared" ca="1" si="18"/>
        <v>203</v>
      </c>
      <c r="B197" t="s">
        <v>865</v>
      </c>
      <c r="C197" t="s">
        <v>25</v>
      </c>
      <c r="D197">
        <f t="shared" ca="1" si="15"/>
        <v>59.140000000000008</v>
      </c>
      <c r="E197" s="5">
        <f t="shared" ca="1" si="19"/>
        <v>-42.939999999999991</v>
      </c>
      <c r="F197" t="str">
        <f ca="1">IF(H197&lt;=I197,"Starter",IF(G197&gt;=LARGE(G:G,FlexOn*LeagueInfo!$F$2),"Starter","Bench"))</f>
        <v>Bench</v>
      </c>
      <c r="G197">
        <f t="shared" ca="1" si="16"/>
        <v>59.140000000000008</v>
      </c>
      <c r="H197">
        <f t="shared" ca="1" si="17"/>
        <v>64</v>
      </c>
      <c r="I197">
        <f>IF(C197="RB",LeagueInfo!$D$4*LeagueInfo!$F$2,IF(C197="WR",LeagueInfo!$D$5*LeagueInfo!$F$2,IF(C197="TE",LeagueInfo!$D$6*LeagueInfo!$F$2)))</f>
        <v>24</v>
      </c>
    </row>
    <row r="198" spans="1:9" x14ac:dyDescent="0.35">
      <c r="A198">
        <f t="shared" ca="1" si="18"/>
        <v>209</v>
      </c>
      <c r="B198" t="s">
        <v>637</v>
      </c>
      <c r="C198" t="s">
        <v>40</v>
      </c>
      <c r="D198">
        <f t="shared" ca="1" si="15"/>
        <v>56.05</v>
      </c>
      <c r="E198" s="5">
        <f t="shared" ca="1" si="19"/>
        <v>-46.03</v>
      </c>
      <c r="F198" t="str">
        <f ca="1">IF(H198&lt;=I198,"Starter",IF(G198&gt;=LARGE(G:G,FlexOn*LeagueInfo!$F$2),"Starter","Bench"))</f>
        <v>Bench</v>
      </c>
      <c r="G198">
        <f t="shared" ca="1" si="16"/>
        <v>56.05</v>
      </c>
      <c r="H198">
        <f t="shared" ca="1" si="17"/>
        <v>39</v>
      </c>
      <c r="I198">
        <f>IF(C198="RB",LeagueInfo!$D$4*LeagueInfo!$F$2,IF(C198="WR",LeagueInfo!$D$5*LeagueInfo!$F$2,IF(C198="TE",LeagueInfo!$D$6*LeagueInfo!$F$2)))</f>
        <v>12</v>
      </c>
    </row>
    <row r="199" spans="1:9" x14ac:dyDescent="0.35">
      <c r="A199">
        <f t="shared" ca="1" si="18"/>
        <v>198</v>
      </c>
      <c r="B199" t="s">
        <v>794</v>
      </c>
      <c r="C199" t="s">
        <v>32</v>
      </c>
      <c r="D199">
        <f t="shared" ca="1" si="15"/>
        <v>60.809999999999995</v>
      </c>
      <c r="E199" s="5">
        <f t="shared" ca="1" si="19"/>
        <v>-41.27</v>
      </c>
      <c r="F199" t="str">
        <f ca="1">IF(H199&lt;=I199,"Starter",IF(G199&gt;=LARGE(G:G,FlexOn*LeagueInfo!$F$2),"Starter","Bench"))</f>
        <v>Bench</v>
      </c>
      <c r="G199">
        <f t="shared" ca="1" si="16"/>
        <v>60.809999999999995</v>
      </c>
      <c r="H199">
        <f t="shared" ca="1" si="17"/>
        <v>104</v>
      </c>
      <c r="I199">
        <f>IF(C199="RB",LeagueInfo!$D$4*LeagueInfo!$F$2,IF(C199="WR",LeagueInfo!$D$5*LeagueInfo!$F$2,IF(C199="TE",LeagueInfo!$D$6*LeagueInfo!$F$2)))</f>
        <v>24</v>
      </c>
    </row>
    <row r="200" spans="1:9" x14ac:dyDescent="0.35">
      <c r="A200">
        <f t="shared" ca="1" si="18"/>
        <v>197</v>
      </c>
      <c r="B200" t="s">
        <v>939</v>
      </c>
      <c r="C200" t="s">
        <v>40</v>
      </c>
      <c r="D200">
        <f t="shared" ca="1" si="15"/>
        <v>61.07</v>
      </c>
      <c r="E200" s="5">
        <f t="shared" ca="1" si="19"/>
        <v>-41.01</v>
      </c>
      <c r="F200" t="str">
        <f ca="1">IF(H200&lt;=I200,"Starter",IF(G200&gt;=LARGE(G:G,FlexOn*LeagueInfo!$F$2),"Starter","Bench"))</f>
        <v>Bench</v>
      </c>
      <c r="G200">
        <f t="shared" ca="1" si="16"/>
        <v>61.07</v>
      </c>
      <c r="H200">
        <f t="shared" ca="1" si="17"/>
        <v>36</v>
      </c>
      <c r="I200">
        <f>IF(C200="RB",LeagueInfo!$D$4*LeagueInfo!$F$2,IF(C200="WR",LeagueInfo!$D$5*LeagueInfo!$F$2,IF(C200="TE",LeagueInfo!$D$6*LeagueInfo!$F$2)))</f>
        <v>12</v>
      </c>
    </row>
    <row r="201" spans="1:9" x14ac:dyDescent="0.35">
      <c r="A201">
        <f t="shared" ca="1" si="18"/>
        <v>200</v>
      </c>
      <c r="B201" t="s">
        <v>716</v>
      </c>
      <c r="C201" t="s">
        <v>25</v>
      </c>
      <c r="D201">
        <f t="shared" ca="1" si="15"/>
        <v>59.889999999999993</v>
      </c>
      <c r="E201" s="5">
        <f t="shared" ca="1" si="19"/>
        <v>-42.190000000000005</v>
      </c>
      <c r="F201" t="str">
        <f ca="1">IF(H201&lt;=I201,"Starter",IF(G201&gt;=LARGE(G:G,FlexOn*LeagueInfo!$F$2),"Starter","Bench"))</f>
        <v>Bench</v>
      </c>
      <c r="G201">
        <f t="shared" ca="1" si="16"/>
        <v>59.889999999999993</v>
      </c>
      <c r="H201">
        <f t="shared" ca="1" si="17"/>
        <v>62</v>
      </c>
      <c r="I201">
        <f>IF(C201="RB",LeagueInfo!$D$4*LeagueInfo!$F$2,IF(C201="WR",LeagueInfo!$D$5*LeagueInfo!$F$2,IF(C201="TE",LeagueInfo!$D$6*LeagueInfo!$F$2)))</f>
        <v>24</v>
      </c>
    </row>
    <row r="202" spans="1:9" x14ac:dyDescent="0.35">
      <c r="A202">
        <f t="shared" ca="1" si="18"/>
        <v>210</v>
      </c>
      <c r="B202" t="s">
        <v>703</v>
      </c>
      <c r="C202" t="s">
        <v>32</v>
      </c>
      <c r="D202">
        <f t="shared" ca="1" si="15"/>
        <v>55.870000000000005</v>
      </c>
      <c r="E202" s="5">
        <f t="shared" ca="1" si="19"/>
        <v>-46.209999999999994</v>
      </c>
      <c r="F202" t="str">
        <f ca="1">IF(H202&lt;=I202,"Starter",IF(G202&gt;=LARGE(G:G,FlexOn*LeagueInfo!$F$2),"Starter","Bench"))</f>
        <v>Bench</v>
      </c>
      <c r="G202">
        <f t="shared" ca="1" si="16"/>
        <v>55.870000000000005</v>
      </c>
      <c r="H202">
        <f t="shared" ca="1" si="17"/>
        <v>108</v>
      </c>
      <c r="I202">
        <f>IF(C202="RB",LeagueInfo!$D$4*LeagueInfo!$F$2,IF(C202="WR",LeagueInfo!$D$5*LeagueInfo!$F$2,IF(C202="TE",LeagueInfo!$D$6*LeagueInfo!$F$2)))</f>
        <v>24</v>
      </c>
    </row>
    <row r="203" spans="1:9" x14ac:dyDescent="0.35">
      <c r="A203">
        <f t="shared" ca="1" si="18"/>
        <v>204</v>
      </c>
      <c r="B203" t="s">
        <v>543</v>
      </c>
      <c r="C203" t="s">
        <v>25</v>
      </c>
      <c r="D203">
        <f t="shared" ca="1" si="15"/>
        <v>58.09</v>
      </c>
      <c r="E203" s="5">
        <f t="shared" ca="1" si="19"/>
        <v>-43.989999999999995</v>
      </c>
      <c r="F203" t="str">
        <f ca="1">IF(H203&lt;=I203,"Starter",IF(G203&gt;=LARGE(G:G,FlexOn*LeagueInfo!$F$2),"Starter","Bench"))</f>
        <v>Bench</v>
      </c>
      <c r="G203">
        <f t="shared" ca="1" si="16"/>
        <v>58.09</v>
      </c>
      <c r="H203">
        <f t="shared" ca="1" si="17"/>
        <v>65</v>
      </c>
      <c r="I203">
        <f>IF(C203="RB",LeagueInfo!$D$4*LeagueInfo!$F$2,IF(C203="WR",LeagueInfo!$D$5*LeagueInfo!$F$2,IF(C203="TE",LeagueInfo!$D$6*LeagueInfo!$F$2)))</f>
        <v>24</v>
      </c>
    </row>
    <row r="204" spans="1:9" x14ac:dyDescent="0.35">
      <c r="A204">
        <f t="shared" ca="1" si="18"/>
        <v>199</v>
      </c>
      <c r="B204" t="s">
        <v>598</v>
      </c>
      <c r="C204" t="s">
        <v>32</v>
      </c>
      <c r="D204">
        <f t="shared" ca="1" si="15"/>
        <v>60.23</v>
      </c>
      <c r="E204" s="5">
        <f t="shared" ca="1" si="19"/>
        <v>-41.85</v>
      </c>
      <c r="F204" t="str">
        <f ca="1">IF(H204&lt;=I204,"Starter",IF(G204&gt;=LARGE(G:G,FlexOn*LeagueInfo!$F$2),"Starter","Bench"))</f>
        <v>Bench</v>
      </c>
      <c r="G204">
        <f t="shared" ca="1" si="16"/>
        <v>60.23</v>
      </c>
      <c r="H204">
        <f t="shared" ca="1" si="17"/>
        <v>105</v>
      </c>
      <c r="I204">
        <f>IF(C204="RB",LeagueInfo!$D$4*LeagueInfo!$F$2,IF(C204="WR",LeagueInfo!$D$5*LeagueInfo!$F$2,IF(C204="TE",LeagueInfo!$D$6*LeagueInfo!$F$2)))</f>
        <v>24</v>
      </c>
    </row>
    <row r="205" spans="1:9" x14ac:dyDescent="0.35">
      <c r="A205">
        <f t="shared" ca="1" si="18"/>
        <v>223</v>
      </c>
      <c r="B205" t="s">
        <v>926</v>
      </c>
      <c r="C205" t="s">
        <v>32</v>
      </c>
      <c r="D205">
        <f t="shared" ca="1" si="15"/>
        <v>50.81</v>
      </c>
      <c r="E205" s="5">
        <f t="shared" ca="1" si="19"/>
        <v>-51.269999999999996</v>
      </c>
      <c r="F205" t="str">
        <f ca="1">IF(H205&lt;=I205,"Starter",IF(G205&gt;=LARGE(G:G,FlexOn*LeagueInfo!$F$2),"Starter","Bench"))</f>
        <v>Bench</v>
      </c>
      <c r="G205">
        <f t="shared" ca="1" si="16"/>
        <v>50.81</v>
      </c>
      <c r="H205">
        <f t="shared" ca="1" si="17"/>
        <v>115</v>
      </c>
      <c r="I205">
        <f>IF(C205="RB",LeagueInfo!$D$4*LeagueInfo!$F$2,IF(C205="WR",LeagueInfo!$D$5*LeagueInfo!$F$2,IF(C205="TE",LeagueInfo!$D$6*LeagueInfo!$F$2)))</f>
        <v>24</v>
      </c>
    </row>
    <row r="206" spans="1:9" x14ac:dyDescent="0.35">
      <c r="A206">
        <f t="shared" ca="1" si="18"/>
        <v>230</v>
      </c>
      <c r="B206" t="s">
        <v>782</v>
      </c>
      <c r="C206" t="s">
        <v>25</v>
      </c>
      <c r="D206">
        <f t="shared" ca="1" si="15"/>
        <v>46.140000000000008</v>
      </c>
      <c r="E206" s="5">
        <f t="shared" ca="1" si="19"/>
        <v>-55.939999999999991</v>
      </c>
      <c r="F206" t="str">
        <f ca="1">IF(H206&lt;=I206,"Starter",IF(G206&gt;=LARGE(G:G,FlexOn*LeagueInfo!$F$2),"Starter","Bench"))</f>
        <v>Bench</v>
      </c>
      <c r="G206">
        <f t="shared" ca="1" si="16"/>
        <v>46.140000000000008</v>
      </c>
      <c r="H206">
        <f t="shared" ca="1" si="17"/>
        <v>73</v>
      </c>
      <c r="I206">
        <f>IF(C206="RB",LeagueInfo!$D$4*LeagueInfo!$F$2,IF(C206="WR",LeagueInfo!$D$5*LeagueInfo!$F$2,IF(C206="TE",LeagueInfo!$D$6*LeagueInfo!$F$2)))</f>
        <v>24</v>
      </c>
    </row>
    <row r="207" spans="1:9" x14ac:dyDescent="0.35">
      <c r="A207">
        <f t="shared" ca="1" si="18"/>
        <v>216</v>
      </c>
      <c r="B207" t="s">
        <v>792</v>
      </c>
      <c r="C207" t="s">
        <v>32</v>
      </c>
      <c r="D207">
        <f t="shared" ca="1" si="15"/>
        <v>54.019999999999996</v>
      </c>
      <c r="E207" s="5">
        <f t="shared" ca="1" si="19"/>
        <v>-48.06</v>
      </c>
      <c r="F207" t="str">
        <f ca="1">IF(H207&lt;=I207,"Starter",IF(G207&gt;=LARGE(G:G,FlexOn*LeagueInfo!$F$2),"Starter","Bench"))</f>
        <v>Bench</v>
      </c>
      <c r="G207">
        <f t="shared" ca="1" si="16"/>
        <v>54.019999999999996</v>
      </c>
      <c r="H207">
        <f t="shared" ca="1" si="17"/>
        <v>111</v>
      </c>
      <c r="I207">
        <f>IF(C207="RB",LeagueInfo!$D$4*LeagueInfo!$F$2,IF(C207="WR",LeagueInfo!$D$5*LeagueInfo!$F$2,IF(C207="TE",LeagueInfo!$D$6*LeagueInfo!$F$2)))</f>
        <v>24</v>
      </c>
    </row>
    <row r="208" spans="1:9" x14ac:dyDescent="0.35">
      <c r="A208">
        <f t="shared" ca="1" si="18"/>
        <v>208</v>
      </c>
      <c r="B208" t="s">
        <v>498</v>
      </c>
      <c r="C208" t="s">
        <v>32</v>
      </c>
      <c r="D208">
        <f t="shared" ca="1" si="15"/>
        <v>56.36</v>
      </c>
      <c r="E208" s="5">
        <f t="shared" ca="1" si="19"/>
        <v>-45.72</v>
      </c>
      <c r="F208" t="str">
        <f ca="1">IF(H208&lt;=I208,"Starter",IF(G208&gt;=LARGE(G:G,FlexOn*LeagueInfo!$F$2),"Starter","Bench"))</f>
        <v>Bench</v>
      </c>
      <c r="G208">
        <f t="shared" ca="1" si="16"/>
        <v>56.36</v>
      </c>
      <c r="H208">
        <f t="shared" ca="1" si="17"/>
        <v>107</v>
      </c>
      <c r="I208">
        <f>IF(C208="RB",LeagueInfo!$D$4*LeagueInfo!$F$2,IF(C208="WR",LeagueInfo!$D$5*LeagueInfo!$F$2,IF(C208="TE",LeagueInfo!$D$6*LeagueInfo!$F$2)))</f>
        <v>24</v>
      </c>
    </row>
    <row r="209" spans="1:9" x14ac:dyDescent="0.35">
      <c r="A209">
        <f t="shared" ca="1" si="18"/>
        <v>218</v>
      </c>
      <c r="B209" t="s">
        <v>242</v>
      </c>
      <c r="C209" t="s">
        <v>32</v>
      </c>
      <c r="D209">
        <f t="shared" ca="1" si="15"/>
        <v>53.42</v>
      </c>
      <c r="E209" s="5">
        <f t="shared" ca="1" si="19"/>
        <v>-48.66</v>
      </c>
      <c r="F209" t="str">
        <f ca="1">IF(H209&lt;=I209,"Starter",IF(G209&gt;=LARGE(G:G,FlexOn*LeagueInfo!$F$2),"Starter","Bench"))</f>
        <v>Bench</v>
      </c>
      <c r="G209">
        <f t="shared" ca="1" si="16"/>
        <v>53.42</v>
      </c>
      <c r="H209">
        <f t="shared" ca="1" si="17"/>
        <v>112</v>
      </c>
      <c r="I209">
        <f>IF(C209="RB",LeagueInfo!$D$4*LeagueInfo!$F$2,IF(C209="WR",LeagueInfo!$D$5*LeagueInfo!$F$2,IF(C209="TE",LeagueInfo!$D$6*LeagueInfo!$F$2)))</f>
        <v>24</v>
      </c>
    </row>
    <row r="210" spans="1:9" x14ac:dyDescent="0.35">
      <c r="A210">
        <f t="shared" ca="1" si="18"/>
        <v>195</v>
      </c>
      <c r="B210" t="s">
        <v>739</v>
      </c>
      <c r="C210" t="s">
        <v>25</v>
      </c>
      <c r="D210">
        <f t="shared" ca="1" si="15"/>
        <v>61.339999999999996</v>
      </c>
      <c r="E210" s="5">
        <f t="shared" ca="1" si="19"/>
        <v>-40.74</v>
      </c>
      <c r="F210" t="str">
        <f ca="1">IF(H210&lt;=I210,"Starter",IF(G210&gt;=LARGE(G:G,FlexOn*LeagueInfo!$F$2),"Starter","Bench"))</f>
        <v>Bench</v>
      </c>
      <c r="G210">
        <f t="shared" ca="1" si="16"/>
        <v>61.339999999999996</v>
      </c>
      <c r="H210">
        <f t="shared" ca="1" si="17"/>
        <v>61</v>
      </c>
      <c r="I210">
        <f>IF(C210="RB",LeagueInfo!$D$4*LeagueInfo!$F$2,IF(C210="WR",LeagueInfo!$D$5*LeagueInfo!$F$2,IF(C210="TE",LeagueInfo!$D$6*LeagueInfo!$F$2)))</f>
        <v>24</v>
      </c>
    </row>
    <row r="211" spans="1:9" x14ac:dyDescent="0.35">
      <c r="A211">
        <f t="shared" ca="1" si="18"/>
        <v>215</v>
      </c>
      <c r="B211" t="s">
        <v>719</v>
      </c>
      <c r="C211" t="s">
        <v>32</v>
      </c>
      <c r="D211">
        <f t="shared" ca="1" si="15"/>
        <v>54.660000000000004</v>
      </c>
      <c r="E211" s="5">
        <f t="shared" ca="1" si="19"/>
        <v>-47.419999999999995</v>
      </c>
      <c r="F211" t="str">
        <f ca="1">IF(H211&lt;=I211,"Starter",IF(G211&gt;=LARGE(G:G,FlexOn*LeagueInfo!$F$2),"Starter","Bench"))</f>
        <v>Bench</v>
      </c>
      <c r="G211">
        <f t="shared" ca="1" si="16"/>
        <v>54.660000000000004</v>
      </c>
      <c r="H211">
        <f t="shared" ca="1" si="17"/>
        <v>110</v>
      </c>
      <c r="I211">
        <f>IF(C211="RB",LeagueInfo!$D$4*LeagueInfo!$F$2,IF(C211="WR",LeagueInfo!$D$5*LeagueInfo!$F$2,IF(C211="TE",LeagueInfo!$D$6*LeagueInfo!$F$2)))</f>
        <v>24</v>
      </c>
    </row>
    <row r="212" spans="1:9" x14ac:dyDescent="0.35">
      <c r="A212">
        <f t="shared" ca="1" si="18"/>
        <v>206</v>
      </c>
      <c r="B212" t="s">
        <v>745</v>
      </c>
      <c r="C212" t="s">
        <v>40</v>
      </c>
      <c r="D212">
        <f t="shared" ca="1" si="15"/>
        <v>57.67</v>
      </c>
      <c r="E212" s="5">
        <f t="shared" ca="1" si="19"/>
        <v>-44.41</v>
      </c>
      <c r="F212" t="str">
        <f ca="1">IF(H212&lt;=I212,"Starter",IF(G212&gt;=LARGE(G:G,FlexOn*LeagueInfo!$F$2),"Starter","Bench"))</f>
        <v>Bench</v>
      </c>
      <c r="G212">
        <f t="shared" ca="1" si="16"/>
        <v>57.67</v>
      </c>
      <c r="H212">
        <f t="shared" ca="1" si="17"/>
        <v>38</v>
      </c>
      <c r="I212">
        <f>IF(C212="RB",LeagueInfo!$D$4*LeagueInfo!$F$2,IF(C212="WR",LeagueInfo!$D$5*LeagueInfo!$F$2,IF(C212="TE",LeagueInfo!$D$6*LeagueInfo!$F$2)))</f>
        <v>12</v>
      </c>
    </row>
    <row r="213" spans="1:9" x14ac:dyDescent="0.35">
      <c r="A213">
        <f t="shared" ca="1" si="18"/>
        <v>240</v>
      </c>
      <c r="B213" t="s">
        <v>740</v>
      </c>
      <c r="C213" t="s">
        <v>32</v>
      </c>
      <c r="D213">
        <f t="shared" ca="1" si="15"/>
        <v>41.910000000000004</v>
      </c>
      <c r="E213" s="5">
        <f t="shared" ca="1" si="19"/>
        <v>-60.169999999999995</v>
      </c>
      <c r="F213" t="str">
        <f ca="1">IF(H213&lt;=I213,"Starter",IF(G213&gt;=LARGE(G:G,FlexOn*LeagueInfo!$F$2),"Starter","Bench"))</f>
        <v>Bench</v>
      </c>
      <c r="G213">
        <f t="shared" ca="1" si="16"/>
        <v>41.910000000000004</v>
      </c>
      <c r="H213">
        <f t="shared" ca="1" si="17"/>
        <v>124</v>
      </c>
      <c r="I213">
        <f>IF(C213="RB",LeagueInfo!$D$4*LeagueInfo!$F$2,IF(C213="WR",LeagueInfo!$D$5*LeagueInfo!$F$2,IF(C213="TE",LeagueInfo!$D$6*LeagueInfo!$F$2)))</f>
        <v>24</v>
      </c>
    </row>
    <row r="214" spans="1:9" x14ac:dyDescent="0.35">
      <c r="A214">
        <f t="shared" ca="1" si="18"/>
        <v>214</v>
      </c>
      <c r="B214" t="s">
        <v>575</v>
      </c>
      <c r="C214" t="s">
        <v>40</v>
      </c>
      <c r="D214">
        <f t="shared" ca="1" si="15"/>
        <v>54.7</v>
      </c>
      <c r="E214" s="5">
        <f t="shared" ca="1" si="19"/>
        <v>-47.379999999999995</v>
      </c>
      <c r="F214" t="str">
        <f ca="1">IF(H214&lt;=I214,"Starter",IF(G214&gt;=LARGE(G:G,FlexOn*LeagueInfo!$F$2),"Starter","Bench"))</f>
        <v>Bench</v>
      </c>
      <c r="G214">
        <f t="shared" ca="1" si="16"/>
        <v>54.7</v>
      </c>
      <c r="H214">
        <f t="shared" ca="1" si="17"/>
        <v>41</v>
      </c>
      <c r="I214">
        <f>IF(C214="RB",LeagueInfo!$D$4*LeagueInfo!$F$2,IF(C214="WR",LeagueInfo!$D$5*LeagueInfo!$F$2,IF(C214="TE",LeagueInfo!$D$6*LeagueInfo!$F$2)))</f>
        <v>12</v>
      </c>
    </row>
    <row r="215" spans="1:9" x14ac:dyDescent="0.35">
      <c r="A215">
        <f t="shared" ca="1" si="18"/>
        <v>318</v>
      </c>
      <c r="B215" t="s">
        <v>1092</v>
      </c>
      <c r="C215" t="s">
        <v>25</v>
      </c>
      <c r="D215">
        <f t="shared" ca="1" si="15"/>
        <v>22.590000000000003</v>
      </c>
      <c r="E215" s="5">
        <f t="shared" ca="1" si="19"/>
        <v>-79.489999999999995</v>
      </c>
      <c r="F215" t="str">
        <f ca="1">IF(H215&lt;=I215,"Starter",IF(G215&gt;=LARGE(G:G,FlexOn*LeagueInfo!$F$2),"Starter","Bench"))</f>
        <v>Bench</v>
      </c>
      <c r="G215">
        <f t="shared" ca="1" si="16"/>
        <v>22.590000000000003</v>
      </c>
      <c r="H215">
        <f t="shared" ca="1" si="17"/>
        <v>99</v>
      </c>
      <c r="I215">
        <f>IF(C215="RB",LeagueInfo!$D$4*LeagueInfo!$F$2,IF(C215="WR",LeagueInfo!$D$5*LeagueInfo!$F$2,IF(C215="TE",LeagueInfo!$D$6*LeagueInfo!$F$2)))</f>
        <v>24</v>
      </c>
    </row>
    <row r="216" spans="1:9" x14ac:dyDescent="0.35">
      <c r="A216">
        <f t="shared" ca="1" si="18"/>
        <v>189</v>
      </c>
      <c r="B216" t="s">
        <v>441</v>
      </c>
      <c r="C216" t="s">
        <v>32</v>
      </c>
      <c r="D216">
        <f t="shared" ca="1" si="15"/>
        <v>64.209999999999994</v>
      </c>
      <c r="E216" s="5">
        <f t="shared" ca="1" si="19"/>
        <v>-37.870000000000005</v>
      </c>
      <c r="F216" t="str">
        <f ca="1">IF(H216&lt;=I216,"Starter",IF(G216&gt;=LARGE(G:G,FlexOn*LeagueInfo!$F$2),"Starter","Bench"))</f>
        <v>Bench</v>
      </c>
      <c r="G216">
        <f t="shared" ca="1" si="16"/>
        <v>64.209999999999994</v>
      </c>
      <c r="H216">
        <f t="shared" ca="1" si="17"/>
        <v>101</v>
      </c>
      <c r="I216">
        <f>IF(C216="RB",LeagueInfo!$D$4*LeagueInfo!$F$2,IF(C216="WR",LeagueInfo!$D$5*LeagueInfo!$F$2,IF(C216="TE",LeagueInfo!$D$6*LeagueInfo!$F$2)))</f>
        <v>24</v>
      </c>
    </row>
    <row r="217" spans="1:9" x14ac:dyDescent="0.35">
      <c r="A217">
        <f t="shared" ca="1" si="18"/>
        <v>228</v>
      </c>
      <c r="B217" t="s">
        <v>933</v>
      </c>
      <c r="C217" t="s">
        <v>32</v>
      </c>
      <c r="D217">
        <f t="shared" ca="1" si="15"/>
        <v>47.03</v>
      </c>
      <c r="E217" s="5">
        <f t="shared" ca="1" si="19"/>
        <v>-55.05</v>
      </c>
      <c r="F217" t="str">
        <f ca="1">IF(H217&lt;=I217,"Starter",IF(G217&gt;=LARGE(G:G,FlexOn*LeagueInfo!$F$2),"Starter","Bench"))</f>
        <v>Bench</v>
      </c>
      <c r="G217">
        <f t="shared" ca="1" si="16"/>
        <v>47.03</v>
      </c>
      <c r="H217">
        <f t="shared" ca="1" si="17"/>
        <v>118</v>
      </c>
      <c r="I217">
        <f>IF(C217="RB",LeagueInfo!$D$4*LeagueInfo!$F$2,IF(C217="WR",LeagueInfo!$D$5*LeagueInfo!$F$2,IF(C217="TE",LeagueInfo!$D$6*LeagueInfo!$F$2)))</f>
        <v>24</v>
      </c>
    </row>
    <row r="218" spans="1:9" x14ac:dyDescent="0.35">
      <c r="A218">
        <f t="shared" ca="1" si="18"/>
        <v>226</v>
      </c>
      <c r="B218" t="s">
        <v>880</v>
      </c>
      <c r="C218" t="s">
        <v>25</v>
      </c>
      <c r="D218">
        <f t="shared" ca="1" si="15"/>
        <v>47.429999999999993</v>
      </c>
      <c r="E218" s="5">
        <f t="shared" ca="1" si="19"/>
        <v>-54.650000000000006</v>
      </c>
      <c r="F218" t="str">
        <f ca="1">IF(H218&lt;=I218,"Starter",IF(G218&gt;=LARGE(G:G,FlexOn*LeagueInfo!$F$2),"Starter","Bench"))</f>
        <v>Bench</v>
      </c>
      <c r="G218">
        <f t="shared" ca="1" si="16"/>
        <v>47.429999999999993</v>
      </c>
      <c r="H218">
        <f t="shared" ca="1" si="17"/>
        <v>72</v>
      </c>
      <c r="I218">
        <f>IF(C218="RB",LeagueInfo!$D$4*LeagueInfo!$F$2,IF(C218="WR",LeagueInfo!$D$5*LeagueInfo!$F$2,IF(C218="TE",LeagueInfo!$D$6*LeagueInfo!$F$2)))</f>
        <v>24</v>
      </c>
    </row>
    <row r="219" spans="1:9" x14ac:dyDescent="0.35">
      <c r="A219">
        <f t="shared" ca="1" si="18"/>
        <v>217</v>
      </c>
      <c r="B219" t="s">
        <v>350</v>
      </c>
      <c r="C219" t="s">
        <v>40</v>
      </c>
      <c r="D219">
        <f t="shared" ca="1" si="15"/>
        <v>53.52</v>
      </c>
      <c r="E219" s="5">
        <f t="shared" ca="1" si="19"/>
        <v>-48.559999999999995</v>
      </c>
      <c r="F219" t="str">
        <f ca="1">IF(H219&lt;=I219,"Starter",IF(G219&gt;=LARGE(G:G,FlexOn*LeagueInfo!$F$2),"Starter","Bench"))</f>
        <v>Bench</v>
      </c>
      <c r="G219">
        <f t="shared" ca="1" si="16"/>
        <v>53.52</v>
      </c>
      <c r="H219">
        <f t="shared" ca="1" si="17"/>
        <v>42</v>
      </c>
      <c r="I219">
        <f>IF(C219="RB",LeagueInfo!$D$4*LeagueInfo!$F$2,IF(C219="WR",LeagueInfo!$D$5*LeagueInfo!$F$2,IF(C219="TE",LeagueInfo!$D$6*LeagueInfo!$F$2)))</f>
        <v>12</v>
      </c>
    </row>
    <row r="220" spans="1:9" x14ac:dyDescent="0.35">
      <c r="A220">
        <f t="shared" ca="1" si="18"/>
        <v>238</v>
      </c>
      <c r="B220" t="s">
        <v>760</v>
      </c>
      <c r="C220" t="s">
        <v>25</v>
      </c>
      <c r="D220">
        <f t="shared" ca="1" si="15"/>
        <v>43.930000000000007</v>
      </c>
      <c r="E220" s="5">
        <f t="shared" ca="1" si="19"/>
        <v>-58.149999999999991</v>
      </c>
      <c r="F220" t="str">
        <f ca="1">IF(H220&lt;=I220,"Starter",IF(G220&gt;=LARGE(G:G,FlexOn*LeagueInfo!$F$2),"Starter","Bench"))</f>
        <v>Bench</v>
      </c>
      <c r="G220">
        <f t="shared" ca="1" si="16"/>
        <v>43.930000000000007</v>
      </c>
      <c r="H220">
        <f t="shared" ca="1" si="17"/>
        <v>78</v>
      </c>
      <c r="I220">
        <f>IF(C220="RB",LeagueInfo!$D$4*LeagueInfo!$F$2,IF(C220="WR",LeagueInfo!$D$5*LeagueInfo!$F$2,IF(C220="TE",LeagueInfo!$D$6*LeagueInfo!$F$2)))</f>
        <v>24</v>
      </c>
    </row>
    <row r="221" spans="1:9" x14ac:dyDescent="0.35">
      <c r="A221">
        <f t="shared" ca="1" si="18"/>
        <v>254</v>
      </c>
      <c r="B221" t="s">
        <v>949</v>
      </c>
      <c r="C221" t="s">
        <v>40</v>
      </c>
      <c r="D221">
        <f t="shared" ca="1" si="15"/>
        <v>34.450000000000003</v>
      </c>
      <c r="E221" s="5">
        <f t="shared" ca="1" si="19"/>
        <v>-67.63</v>
      </c>
      <c r="F221" t="str">
        <f ca="1">IF(H221&lt;=I221,"Starter",IF(G221&gt;=LARGE(G:G,FlexOn*LeagueInfo!$F$2),"Starter","Bench"))</f>
        <v>Bench</v>
      </c>
      <c r="G221">
        <f t="shared" ca="1" si="16"/>
        <v>34.450000000000003</v>
      </c>
      <c r="H221">
        <f t="shared" ca="1" si="17"/>
        <v>50</v>
      </c>
      <c r="I221">
        <f>IF(C221="RB",LeagueInfo!$D$4*LeagueInfo!$F$2,IF(C221="WR",LeagueInfo!$D$5*LeagueInfo!$F$2,IF(C221="TE",LeagueInfo!$D$6*LeagueInfo!$F$2)))</f>
        <v>12</v>
      </c>
    </row>
    <row r="222" spans="1:9" x14ac:dyDescent="0.35">
      <c r="A222">
        <f t="shared" ca="1" si="18"/>
        <v>211</v>
      </c>
      <c r="B222" t="s">
        <v>605</v>
      </c>
      <c r="C222" t="s">
        <v>32</v>
      </c>
      <c r="D222">
        <f t="shared" ca="1" si="15"/>
        <v>55.6</v>
      </c>
      <c r="E222" s="5">
        <f t="shared" ca="1" si="19"/>
        <v>-46.48</v>
      </c>
      <c r="F222" t="str">
        <f ca="1">IF(H222&lt;=I222,"Starter",IF(G222&gt;=LARGE(G:G,FlexOn*LeagueInfo!$F$2),"Starter","Bench"))</f>
        <v>Bench</v>
      </c>
      <c r="G222">
        <f t="shared" ca="1" si="16"/>
        <v>55.6</v>
      </c>
      <c r="H222">
        <f t="shared" ca="1" si="17"/>
        <v>109</v>
      </c>
      <c r="I222">
        <f>IF(C222="RB",LeagueInfo!$D$4*LeagueInfo!$F$2,IF(C222="WR",LeagueInfo!$D$5*LeagueInfo!$F$2,IF(C222="TE",LeagueInfo!$D$6*LeagueInfo!$F$2)))</f>
        <v>24</v>
      </c>
    </row>
    <row r="223" spans="1:9" x14ac:dyDescent="0.35">
      <c r="A223">
        <f t="shared" ca="1" si="18"/>
        <v>205</v>
      </c>
      <c r="B223" t="s">
        <v>611</v>
      </c>
      <c r="C223" t="s">
        <v>32</v>
      </c>
      <c r="D223">
        <f t="shared" ca="1" si="15"/>
        <v>57.929999999999993</v>
      </c>
      <c r="E223" s="5">
        <f t="shared" ca="1" si="19"/>
        <v>-44.150000000000006</v>
      </c>
      <c r="F223" t="str">
        <f ca="1">IF(H223&lt;=I223,"Starter",IF(G223&gt;=LARGE(G:G,FlexOn*LeagueInfo!$F$2),"Starter","Bench"))</f>
        <v>Bench</v>
      </c>
      <c r="G223">
        <f t="shared" ca="1" si="16"/>
        <v>57.929999999999993</v>
      </c>
      <c r="H223">
        <f t="shared" ca="1" si="17"/>
        <v>106</v>
      </c>
      <c r="I223">
        <f>IF(C223="RB",LeagueInfo!$D$4*LeagueInfo!$F$2,IF(C223="WR",LeagueInfo!$D$5*LeagueInfo!$F$2,IF(C223="TE",LeagueInfo!$D$6*LeagueInfo!$F$2)))</f>
        <v>24</v>
      </c>
    </row>
    <row r="224" spans="1:9" x14ac:dyDescent="0.35">
      <c r="A224">
        <f t="shared" ca="1" si="18"/>
        <v>222</v>
      </c>
      <c r="B224" t="s">
        <v>425</v>
      </c>
      <c r="C224" t="s">
        <v>25</v>
      </c>
      <c r="D224">
        <f t="shared" ca="1" si="15"/>
        <v>51.25</v>
      </c>
      <c r="E224" s="5">
        <f t="shared" ca="1" si="19"/>
        <v>-50.83</v>
      </c>
      <c r="F224" t="str">
        <f ca="1">IF(H224&lt;=I224,"Starter",IF(G224&gt;=LARGE(G:G,FlexOn*LeagueInfo!$F$2),"Starter","Bench"))</f>
        <v>Bench</v>
      </c>
      <c r="G224">
        <f t="shared" ca="1" si="16"/>
        <v>51.25</v>
      </c>
      <c r="H224">
        <f t="shared" ca="1" si="17"/>
        <v>70</v>
      </c>
      <c r="I224">
        <f>IF(C224="RB",LeagueInfo!$D$4*LeagueInfo!$F$2,IF(C224="WR",LeagueInfo!$D$5*LeagueInfo!$F$2,IF(C224="TE",LeagueInfo!$D$6*LeagueInfo!$F$2)))</f>
        <v>24</v>
      </c>
    </row>
    <row r="225" spans="1:9" x14ac:dyDescent="0.35">
      <c r="A225">
        <f t="shared" ca="1" si="18"/>
        <v>188</v>
      </c>
      <c r="B225" t="s">
        <v>938</v>
      </c>
      <c r="C225" t="s">
        <v>40</v>
      </c>
      <c r="D225">
        <f t="shared" ca="1" si="15"/>
        <v>64.97</v>
      </c>
      <c r="E225" s="5">
        <f t="shared" ca="1" si="19"/>
        <v>-37.11</v>
      </c>
      <c r="F225" t="str">
        <f ca="1">IF(H225&lt;=I225,"Starter",IF(G225&gt;=LARGE(G:G,FlexOn*LeagueInfo!$F$2),"Starter","Bench"))</f>
        <v>Bench</v>
      </c>
      <c r="G225">
        <f t="shared" ca="1" si="16"/>
        <v>64.97</v>
      </c>
      <c r="H225">
        <f t="shared" ca="1" si="17"/>
        <v>32</v>
      </c>
      <c r="I225">
        <f>IF(C225="RB",LeagueInfo!$D$4*LeagueInfo!$F$2,IF(C225="WR",LeagueInfo!$D$5*LeagueInfo!$F$2,IF(C225="TE",LeagueInfo!$D$6*LeagueInfo!$F$2)))</f>
        <v>12</v>
      </c>
    </row>
    <row r="226" spans="1:9" x14ac:dyDescent="0.35">
      <c r="A226">
        <f t="shared" ca="1" si="18"/>
        <v>196</v>
      </c>
      <c r="B226" t="s">
        <v>577</v>
      </c>
      <c r="C226" t="s">
        <v>40</v>
      </c>
      <c r="D226">
        <f t="shared" ca="1" si="15"/>
        <v>61.230000000000004</v>
      </c>
      <c r="E226" s="5">
        <f t="shared" ca="1" si="19"/>
        <v>-40.849999999999994</v>
      </c>
      <c r="F226" t="str">
        <f ca="1">IF(H226&lt;=I226,"Starter",IF(G226&gt;=LARGE(G:G,FlexOn*LeagueInfo!$F$2),"Starter","Bench"))</f>
        <v>Bench</v>
      </c>
      <c r="G226">
        <f t="shared" ca="1" si="16"/>
        <v>61.230000000000004</v>
      </c>
      <c r="H226">
        <f t="shared" ca="1" si="17"/>
        <v>35</v>
      </c>
      <c r="I226">
        <f>IF(C226="RB",LeagueInfo!$D$4*LeagueInfo!$F$2,IF(C226="WR",LeagueInfo!$D$5*LeagueInfo!$F$2,IF(C226="TE",LeagueInfo!$D$6*LeagueInfo!$F$2)))</f>
        <v>12</v>
      </c>
    </row>
    <row r="227" spans="1:9" x14ac:dyDescent="0.35">
      <c r="A227">
        <f t="shared" ca="1" si="18"/>
        <v>229</v>
      </c>
      <c r="B227" t="s">
        <v>506</v>
      </c>
      <c r="C227" t="s">
        <v>32</v>
      </c>
      <c r="D227">
        <f t="shared" ca="1" si="15"/>
        <v>46.64</v>
      </c>
      <c r="E227" s="5">
        <f t="shared" ca="1" si="19"/>
        <v>-55.44</v>
      </c>
      <c r="F227" t="str">
        <f ca="1">IF(H227&lt;=I227,"Starter",IF(G227&gt;=LARGE(G:G,FlexOn*LeagueInfo!$F$2),"Starter","Bench"))</f>
        <v>Bench</v>
      </c>
      <c r="G227">
        <f t="shared" ca="1" si="16"/>
        <v>46.64</v>
      </c>
      <c r="H227">
        <f t="shared" ca="1" si="17"/>
        <v>119</v>
      </c>
      <c r="I227">
        <f>IF(C227="RB",LeagueInfo!$D$4*LeagueInfo!$F$2,IF(C227="WR",LeagueInfo!$D$5*LeagueInfo!$F$2,IF(C227="TE",LeagueInfo!$D$6*LeagueInfo!$F$2)))</f>
        <v>24</v>
      </c>
    </row>
    <row r="228" spans="1:9" x14ac:dyDescent="0.35">
      <c r="A228">
        <f t="shared" ca="1" si="18"/>
        <v>231</v>
      </c>
      <c r="B228" t="s">
        <v>847</v>
      </c>
      <c r="C228" t="s">
        <v>32</v>
      </c>
      <c r="D228">
        <f t="shared" ca="1" si="15"/>
        <v>45.699999999999996</v>
      </c>
      <c r="E228" s="5">
        <f t="shared" ca="1" si="19"/>
        <v>-56.38</v>
      </c>
      <c r="F228" t="str">
        <f ca="1">IF(H228&lt;=I228,"Starter",IF(G228&gt;=LARGE(G:G,FlexOn*LeagueInfo!$F$2),"Starter","Bench"))</f>
        <v>Bench</v>
      </c>
      <c r="G228">
        <f t="shared" ca="1" si="16"/>
        <v>45.699999999999996</v>
      </c>
      <c r="H228">
        <f t="shared" ca="1" si="17"/>
        <v>120</v>
      </c>
      <c r="I228">
        <f>IF(C228="RB",LeagueInfo!$D$4*LeagueInfo!$F$2,IF(C228="WR",LeagueInfo!$D$5*LeagueInfo!$F$2,IF(C228="TE",LeagueInfo!$D$6*LeagueInfo!$F$2)))</f>
        <v>24</v>
      </c>
    </row>
    <row r="229" spans="1:9" x14ac:dyDescent="0.35">
      <c r="A229">
        <f t="shared" ca="1" si="18"/>
        <v>234</v>
      </c>
      <c r="B229" t="s">
        <v>571</v>
      </c>
      <c r="C229" t="s">
        <v>40</v>
      </c>
      <c r="D229">
        <f t="shared" ca="1" si="15"/>
        <v>45.05</v>
      </c>
      <c r="E229" s="5">
        <f t="shared" ca="1" si="19"/>
        <v>-57.03</v>
      </c>
      <c r="F229" t="str">
        <f ca="1">IF(H229&lt;=I229,"Starter",IF(G229&gt;=LARGE(G:G,FlexOn*LeagueInfo!$F$2),"Starter","Bench"))</f>
        <v>Bench</v>
      </c>
      <c r="G229">
        <f t="shared" ca="1" si="16"/>
        <v>45.05</v>
      </c>
      <c r="H229">
        <f t="shared" ca="1" si="17"/>
        <v>44</v>
      </c>
      <c r="I229">
        <f>IF(C229="RB",LeagueInfo!$D$4*LeagueInfo!$F$2,IF(C229="WR",LeagueInfo!$D$5*LeagueInfo!$F$2,IF(C229="TE",LeagueInfo!$D$6*LeagueInfo!$F$2)))</f>
        <v>12</v>
      </c>
    </row>
    <row r="230" spans="1:9" x14ac:dyDescent="0.35">
      <c r="A230">
        <f t="shared" ca="1" si="18"/>
        <v>213</v>
      </c>
      <c r="B230" t="s">
        <v>871</v>
      </c>
      <c r="C230" t="s">
        <v>25</v>
      </c>
      <c r="D230">
        <f t="shared" ca="1" si="15"/>
        <v>55.300000000000011</v>
      </c>
      <c r="E230" s="5">
        <f t="shared" ca="1" si="19"/>
        <v>-46.779999999999987</v>
      </c>
      <c r="F230" t="str">
        <f ca="1">IF(H230&lt;=I230,"Starter",IF(G230&gt;=LARGE(G:G,FlexOn*LeagueInfo!$F$2),"Starter","Bench"))</f>
        <v>Bench</v>
      </c>
      <c r="G230">
        <f t="shared" ca="1" si="16"/>
        <v>55.300000000000011</v>
      </c>
      <c r="H230">
        <f t="shared" ca="1" si="17"/>
        <v>67</v>
      </c>
      <c r="I230">
        <f>IF(C230="RB",LeagueInfo!$D$4*LeagueInfo!$F$2,IF(C230="WR",LeagueInfo!$D$5*LeagueInfo!$F$2,IF(C230="TE",LeagueInfo!$D$6*LeagueInfo!$F$2)))</f>
        <v>24</v>
      </c>
    </row>
    <row r="231" spans="1:9" x14ac:dyDescent="0.35">
      <c r="A231">
        <f t="shared" ca="1" si="18"/>
        <v>201</v>
      </c>
      <c r="B231" t="s">
        <v>116</v>
      </c>
      <c r="C231" t="s">
        <v>25</v>
      </c>
      <c r="D231">
        <f t="shared" ca="1" si="15"/>
        <v>59.6</v>
      </c>
      <c r="E231" s="5">
        <f t="shared" ca="1" si="19"/>
        <v>-42.48</v>
      </c>
      <c r="F231" t="str">
        <f ca="1">IF(H231&lt;=I231,"Starter",IF(G231&gt;=LARGE(G:G,FlexOn*LeagueInfo!$F$2),"Starter","Bench"))</f>
        <v>Bench</v>
      </c>
      <c r="G231">
        <f t="shared" ca="1" si="16"/>
        <v>59.6</v>
      </c>
      <c r="H231">
        <f t="shared" ca="1" si="17"/>
        <v>63</v>
      </c>
      <c r="I231">
        <f>IF(C231="RB",LeagueInfo!$D$4*LeagueInfo!$F$2,IF(C231="WR",LeagueInfo!$D$5*LeagueInfo!$F$2,IF(C231="TE",LeagueInfo!$D$6*LeagueInfo!$F$2)))</f>
        <v>24</v>
      </c>
    </row>
    <row r="232" spans="1:9" x14ac:dyDescent="0.35">
      <c r="A232">
        <f t="shared" ca="1" si="18"/>
        <v>227</v>
      </c>
      <c r="B232" t="s">
        <v>470</v>
      </c>
      <c r="C232" t="s">
        <v>32</v>
      </c>
      <c r="D232">
        <f t="shared" ca="1" si="15"/>
        <v>47.250000000000007</v>
      </c>
      <c r="E232" s="5">
        <f t="shared" ca="1" si="19"/>
        <v>-54.829999999999991</v>
      </c>
      <c r="F232" t="str">
        <f ca="1">IF(H232&lt;=I232,"Starter",IF(G232&gt;=LARGE(G:G,FlexOn*LeagueInfo!$F$2),"Starter","Bench"))</f>
        <v>Bench</v>
      </c>
      <c r="G232">
        <f t="shared" ca="1" si="16"/>
        <v>47.250000000000007</v>
      </c>
      <c r="H232">
        <f t="shared" ca="1" si="17"/>
        <v>117</v>
      </c>
      <c r="I232">
        <f>IF(C232="RB",LeagueInfo!$D$4*LeagueInfo!$F$2,IF(C232="WR",LeagueInfo!$D$5*LeagueInfo!$F$2,IF(C232="TE",LeagueInfo!$D$6*LeagueInfo!$F$2)))</f>
        <v>24</v>
      </c>
    </row>
    <row r="233" spans="1:9" x14ac:dyDescent="0.35">
      <c r="A233">
        <f t="shared" ca="1" si="18"/>
        <v>232</v>
      </c>
      <c r="B233" t="s">
        <v>373</v>
      </c>
      <c r="C233" t="s">
        <v>40</v>
      </c>
      <c r="D233">
        <f t="shared" ca="1" si="15"/>
        <v>45.580000000000005</v>
      </c>
      <c r="E233" s="5">
        <f t="shared" ca="1" si="19"/>
        <v>-56.499999999999993</v>
      </c>
      <c r="F233" t="str">
        <f ca="1">IF(H233&lt;=I233,"Starter",IF(G233&gt;=LARGE(G:G,FlexOn*LeagueInfo!$F$2),"Starter","Bench"))</f>
        <v>Bench</v>
      </c>
      <c r="G233">
        <f t="shared" ca="1" si="16"/>
        <v>45.580000000000005</v>
      </c>
      <c r="H233">
        <f t="shared" ca="1" si="17"/>
        <v>43</v>
      </c>
      <c r="I233">
        <f>IF(C233="RB",LeagueInfo!$D$4*LeagueInfo!$F$2,IF(C233="WR",LeagueInfo!$D$5*LeagueInfo!$F$2,IF(C233="TE",LeagueInfo!$D$6*LeagueInfo!$F$2)))</f>
        <v>12</v>
      </c>
    </row>
    <row r="234" spans="1:9" x14ac:dyDescent="0.35">
      <c r="A234">
        <f t="shared" ca="1" si="18"/>
        <v>219</v>
      </c>
      <c r="B234" t="s">
        <v>503</v>
      </c>
      <c r="C234" t="s">
        <v>32</v>
      </c>
      <c r="D234">
        <f t="shared" ca="1" si="15"/>
        <v>52.510000000000005</v>
      </c>
      <c r="E234" s="5">
        <f t="shared" ca="1" si="19"/>
        <v>-49.569999999999993</v>
      </c>
      <c r="F234" t="str">
        <f ca="1">IF(H234&lt;=I234,"Starter",IF(G234&gt;=LARGE(G:G,FlexOn*LeagueInfo!$F$2),"Starter","Bench"))</f>
        <v>Bench</v>
      </c>
      <c r="G234">
        <f t="shared" ca="1" si="16"/>
        <v>52.510000000000005</v>
      </c>
      <c r="H234">
        <f t="shared" ca="1" si="17"/>
        <v>113</v>
      </c>
      <c r="I234">
        <f>IF(C234="RB",LeagueInfo!$D$4*LeagueInfo!$F$2,IF(C234="WR",LeagueInfo!$D$5*LeagueInfo!$F$2,IF(C234="TE",LeagueInfo!$D$6*LeagueInfo!$F$2)))</f>
        <v>24</v>
      </c>
    </row>
    <row r="235" spans="1:9" x14ac:dyDescent="0.35">
      <c r="A235">
        <f t="shared" ca="1" si="18"/>
        <v>241</v>
      </c>
      <c r="B235" t="s">
        <v>561</v>
      </c>
      <c r="C235" t="s">
        <v>32</v>
      </c>
      <c r="D235">
        <f t="shared" ca="1" si="15"/>
        <v>41.509999999999991</v>
      </c>
      <c r="E235" s="5">
        <f t="shared" ca="1" si="19"/>
        <v>-60.570000000000007</v>
      </c>
      <c r="F235" t="str">
        <f ca="1">IF(H235&lt;=I235,"Starter",IF(G235&gt;=LARGE(G:G,FlexOn*LeagueInfo!$F$2),"Starter","Bench"))</f>
        <v>Bench</v>
      </c>
      <c r="G235">
        <f t="shared" ca="1" si="16"/>
        <v>41.509999999999991</v>
      </c>
      <c r="H235">
        <f t="shared" ca="1" si="17"/>
        <v>125</v>
      </c>
      <c r="I235">
        <f>IF(C235="RB",LeagueInfo!$D$4*LeagueInfo!$F$2,IF(C235="WR",LeagueInfo!$D$5*LeagueInfo!$F$2,IF(C235="TE",LeagueInfo!$D$6*LeagueInfo!$F$2)))</f>
        <v>24</v>
      </c>
    </row>
    <row r="236" spans="1:9" x14ac:dyDescent="0.35">
      <c r="A236">
        <f t="shared" ca="1" si="18"/>
        <v>271</v>
      </c>
      <c r="B236" t="s">
        <v>870</v>
      </c>
      <c r="C236" t="s">
        <v>25</v>
      </c>
      <c r="D236">
        <f t="shared" ca="1" si="15"/>
        <v>31.140000000000004</v>
      </c>
      <c r="E236" s="5">
        <f t="shared" ca="1" si="19"/>
        <v>-70.94</v>
      </c>
      <c r="F236" t="str">
        <f ca="1">IF(H236&lt;=I236,"Starter",IF(G236&gt;=LARGE(G:G,FlexOn*LeagueInfo!$F$2),"Starter","Bench"))</f>
        <v>Bench</v>
      </c>
      <c r="G236">
        <f t="shared" ca="1" si="16"/>
        <v>31.140000000000004</v>
      </c>
      <c r="H236">
        <f t="shared" ca="1" si="17"/>
        <v>87</v>
      </c>
      <c r="I236">
        <f>IF(C236="RB",LeagueInfo!$D$4*LeagueInfo!$F$2,IF(C236="WR",LeagueInfo!$D$5*LeagueInfo!$F$2,IF(C236="TE",LeagueInfo!$D$6*LeagueInfo!$F$2)))</f>
        <v>24</v>
      </c>
    </row>
    <row r="237" spans="1:9" x14ac:dyDescent="0.35">
      <c r="A237">
        <f t="shared" ca="1" si="18"/>
        <v>246</v>
      </c>
      <c r="B237" t="s">
        <v>873</v>
      </c>
      <c r="C237" t="s">
        <v>25</v>
      </c>
      <c r="D237">
        <f t="shared" ca="1" si="15"/>
        <v>37.69</v>
      </c>
      <c r="E237" s="5">
        <f t="shared" ca="1" si="19"/>
        <v>-64.39</v>
      </c>
      <c r="F237" t="str">
        <f ca="1">IF(H237&lt;=I237,"Starter",IF(G237&gt;=LARGE(G:G,FlexOn*LeagueInfo!$F$2),"Starter","Bench"))</f>
        <v>Bench</v>
      </c>
      <c r="G237">
        <f t="shared" ca="1" si="16"/>
        <v>37.69</v>
      </c>
      <c r="H237">
        <f t="shared" ca="1" si="17"/>
        <v>81</v>
      </c>
      <c r="I237">
        <f>IF(C237="RB",LeagueInfo!$D$4*LeagueInfo!$F$2,IF(C237="WR",LeagueInfo!$D$5*LeagueInfo!$F$2,IF(C237="TE",LeagueInfo!$D$6*LeagueInfo!$F$2)))</f>
        <v>24</v>
      </c>
    </row>
    <row r="238" spans="1:9" x14ac:dyDescent="0.35">
      <c r="A238">
        <f t="shared" ca="1" si="18"/>
        <v>245</v>
      </c>
      <c r="B238" t="s">
        <v>837</v>
      </c>
      <c r="C238" t="s">
        <v>25</v>
      </c>
      <c r="D238">
        <f t="shared" ca="1" si="15"/>
        <v>38.67</v>
      </c>
      <c r="E238" s="5">
        <f t="shared" ca="1" si="19"/>
        <v>-63.41</v>
      </c>
      <c r="F238" t="str">
        <f ca="1">IF(H238&lt;=I238,"Starter",IF(G238&gt;=LARGE(G:G,FlexOn*LeagueInfo!$F$2),"Starter","Bench"))</f>
        <v>Bench</v>
      </c>
      <c r="G238">
        <f t="shared" ca="1" si="16"/>
        <v>38.67</v>
      </c>
      <c r="H238">
        <f t="shared" ca="1" si="17"/>
        <v>80</v>
      </c>
      <c r="I238">
        <f>IF(C238="RB",LeagueInfo!$D$4*LeagueInfo!$F$2,IF(C238="WR",LeagueInfo!$D$5*LeagueInfo!$F$2,IF(C238="TE",LeagueInfo!$D$6*LeagueInfo!$F$2)))</f>
        <v>24</v>
      </c>
    </row>
    <row r="239" spans="1:9" x14ac:dyDescent="0.35">
      <c r="A239">
        <f t="shared" ca="1" si="18"/>
        <v>243</v>
      </c>
      <c r="B239" t="s">
        <v>451</v>
      </c>
      <c r="C239" t="s">
        <v>40</v>
      </c>
      <c r="D239">
        <f t="shared" ca="1" si="15"/>
        <v>40</v>
      </c>
      <c r="E239" s="5">
        <f t="shared" ca="1" si="19"/>
        <v>-62.08</v>
      </c>
      <c r="F239" t="str">
        <f ca="1">IF(H239&lt;=I239,"Starter",IF(G239&gt;=LARGE(G:G,FlexOn*LeagueInfo!$F$2),"Starter","Bench"))</f>
        <v>Bench</v>
      </c>
      <c r="G239">
        <f t="shared" ca="1" si="16"/>
        <v>40</v>
      </c>
      <c r="H239">
        <f t="shared" ca="1" si="17"/>
        <v>45</v>
      </c>
      <c r="I239">
        <f>IF(C239="RB",LeagueInfo!$D$4*LeagueInfo!$F$2,IF(C239="WR",LeagueInfo!$D$5*LeagueInfo!$F$2,IF(C239="TE",LeagueInfo!$D$6*LeagueInfo!$F$2)))</f>
        <v>12</v>
      </c>
    </row>
    <row r="240" spans="1:9" x14ac:dyDescent="0.35">
      <c r="A240">
        <f t="shared" ca="1" si="18"/>
        <v>242</v>
      </c>
      <c r="B240" t="s">
        <v>508</v>
      </c>
      <c r="C240" t="s">
        <v>32</v>
      </c>
      <c r="D240">
        <f t="shared" ca="1" si="15"/>
        <v>41.09</v>
      </c>
      <c r="E240" s="5">
        <f t="shared" ca="1" si="19"/>
        <v>-60.989999999999995</v>
      </c>
      <c r="F240" t="str">
        <f ca="1">IF(H240&lt;=I240,"Starter",IF(G240&gt;=LARGE(G:G,FlexOn*LeagueInfo!$F$2),"Starter","Bench"))</f>
        <v>Bench</v>
      </c>
      <c r="G240">
        <f t="shared" ca="1" si="16"/>
        <v>41.09</v>
      </c>
      <c r="H240">
        <f t="shared" ca="1" si="17"/>
        <v>126</v>
      </c>
      <c r="I240">
        <f>IF(C240="RB",LeagueInfo!$D$4*LeagueInfo!$F$2,IF(C240="WR",LeagueInfo!$D$5*LeagueInfo!$F$2,IF(C240="TE",LeagueInfo!$D$6*LeagueInfo!$F$2)))</f>
        <v>24</v>
      </c>
    </row>
    <row r="241" spans="1:9" x14ac:dyDescent="0.35">
      <c r="A241">
        <f t="shared" ca="1" si="18"/>
        <v>279</v>
      </c>
      <c r="B241" t="s">
        <v>432</v>
      </c>
      <c r="C241" t="s">
        <v>32</v>
      </c>
      <c r="D241">
        <f t="shared" ca="1" si="15"/>
        <v>28.700000000000003</v>
      </c>
      <c r="E241" s="5">
        <f t="shared" ca="1" si="19"/>
        <v>-73.38</v>
      </c>
      <c r="F241" t="str">
        <f ca="1">IF(H241&lt;=I241,"Starter",IF(G241&gt;=LARGE(G:G,FlexOn*LeagueInfo!$F$2),"Starter","Bench"))</f>
        <v>Bench</v>
      </c>
      <c r="G241">
        <f t="shared" ca="1" si="16"/>
        <v>28.700000000000003</v>
      </c>
      <c r="H241">
        <f t="shared" ca="1" si="17"/>
        <v>140</v>
      </c>
      <c r="I241">
        <f>IF(C241="RB",LeagueInfo!$D$4*LeagueInfo!$F$2,IF(C241="WR",LeagueInfo!$D$5*LeagueInfo!$F$2,IF(C241="TE",LeagueInfo!$D$6*LeagueInfo!$F$2)))</f>
        <v>24</v>
      </c>
    </row>
    <row r="242" spans="1:9" x14ac:dyDescent="0.35">
      <c r="A242">
        <f t="shared" ca="1" si="18"/>
        <v>236</v>
      </c>
      <c r="B242" t="s">
        <v>707</v>
      </c>
      <c r="C242" t="s">
        <v>25</v>
      </c>
      <c r="D242">
        <f t="shared" ca="1" si="15"/>
        <v>44.27</v>
      </c>
      <c r="E242" s="5">
        <f t="shared" ca="1" si="19"/>
        <v>-57.809999999999995</v>
      </c>
      <c r="F242" t="str">
        <f ca="1">IF(H242&lt;=I242,"Starter",IF(G242&gt;=LARGE(G:G,FlexOn*LeagueInfo!$F$2),"Starter","Bench"))</f>
        <v>Bench</v>
      </c>
      <c r="G242">
        <f t="shared" ca="1" si="16"/>
        <v>44.27</v>
      </c>
      <c r="H242">
        <f t="shared" ca="1" si="17"/>
        <v>76</v>
      </c>
      <c r="I242">
        <f>IF(C242="RB",LeagueInfo!$D$4*LeagueInfo!$F$2,IF(C242="WR",LeagueInfo!$D$5*LeagueInfo!$F$2,IF(C242="TE",LeagueInfo!$D$6*LeagueInfo!$F$2)))</f>
        <v>24</v>
      </c>
    </row>
    <row r="243" spans="1:9" x14ac:dyDescent="0.35">
      <c r="A243">
        <f t="shared" ca="1" si="18"/>
        <v>278</v>
      </c>
      <c r="B243" t="s">
        <v>456</v>
      </c>
      <c r="C243" t="s">
        <v>40</v>
      </c>
      <c r="D243">
        <f t="shared" ca="1" si="15"/>
        <v>28.8</v>
      </c>
      <c r="E243" s="5">
        <f t="shared" ca="1" si="19"/>
        <v>-73.28</v>
      </c>
      <c r="F243" t="str">
        <f ca="1">IF(H243&lt;=I243,"Starter",IF(G243&gt;=LARGE(G:G,FlexOn*LeagueInfo!$F$2),"Starter","Bench"))</f>
        <v>Bench</v>
      </c>
      <c r="G243">
        <f t="shared" ca="1" si="16"/>
        <v>28.8</v>
      </c>
      <c r="H243">
        <f t="shared" ca="1" si="17"/>
        <v>58</v>
      </c>
      <c r="I243">
        <f>IF(C243="RB",LeagueInfo!$D$4*LeagueInfo!$F$2,IF(C243="WR",LeagueInfo!$D$5*LeagueInfo!$F$2,IF(C243="TE",LeagueInfo!$D$6*LeagueInfo!$F$2)))</f>
        <v>12</v>
      </c>
    </row>
    <row r="244" spans="1:9" x14ac:dyDescent="0.35">
      <c r="A244">
        <f t="shared" ca="1" si="18"/>
        <v>235</v>
      </c>
      <c r="B244" t="s">
        <v>811</v>
      </c>
      <c r="C244" t="s">
        <v>25</v>
      </c>
      <c r="D244">
        <f t="shared" ca="1" si="15"/>
        <v>44.610000000000007</v>
      </c>
      <c r="E244" s="5">
        <f t="shared" ca="1" si="19"/>
        <v>-57.469999999999992</v>
      </c>
      <c r="F244" t="str">
        <f ca="1">IF(H244&lt;=I244,"Starter",IF(G244&gt;=LARGE(G:G,FlexOn*LeagueInfo!$F$2),"Starter","Bench"))</f>
        <v>Bench</v>
      </c>
      <c r="G244">
        <f t="shared" ca="1" si="16"/>
        <v>44.610000000000007</v>
      </c>
      <c r="H244">
        <f t="shared" ca="1" si="17"/>
        <v>75</v>
      </c>
      <c r="I244">
        <f>IF(C244="RB",LeagueInfo!$D$4*LeagueInfo!$F$2,IF(C244="WR",LeagueInfo!$D$5*LeagueInfo!$F$2,IF(C244="TE",LeagueInfo!$D$6*LeagueInfo!$F$2)))</f>
        <v>24</v>
      </c>
    </row>
    <row r="245" spans="1:9" x14ac:dyDescent="0.35">
      <c r="A245">
        <f t="shared" ca="1" si="18"/>
        <v>161</v>
      </c>
      <c r="B245" t="s">
        <v>701</v>
      </c>
      <c r="C245" t="s">
        <v>25</v>
      </c>
      <c r="D245">
        <f t="shared" ca="1" si="15"/>
        <v>82.72999999999999</v>
      </c>
      <c r="E245" s="5">
        <f t="shared" ca="1" si="19"/>
        <v>-19.350000000000009</v>
      </c>
      <c r="F245" t="str">
        <f ca="1">IF(H245&lt;=I245,"Starter",IF(G245&gt;=LARGE(G:G,FlexOn*LeagueInfo!$F$2),"Starter","Bench"))</f>
        <v>Bench</v>
      </c>
      <c r="G245">
        <f t="shared" ca="1" si="16"/>
        <v>82.72999999999999</v>
      </c>
      <c r="H245">
        <f t="shared" ca="1" si="17"/>
        <v>53</v>
      </c>
      <c r="I245">
        <f>IF(C245="RB",LeagueInfo!$D$4*LeagueInfo!$F$2,IF(C245="WR",LeagueInfo!$D$5*LeagueInfo!$F$2,IF(C245="TE",LeagueInfo!$D$6*LeagueInfo!$F$2)))</f>
        <v>24</v>
      </c>
    </row>
    <row r="246" spans="1:9" x14ac:dyDescent="0.35">
      <c r="A246">
        <f t="shared" ca="1" si="18"/>
        <v>250</v>
      </c>
      <c r="B246" t="s">
        <v>572</v>
      </c>
      <c r="C246" t="s">
        <v>40</v>
      </c>
      <c r="D246">
        <f t="shared" ca="1" si="15"/>
        <v>35.880000000000003</v>
      </c>
      <c r="E246" s="5">
        <f t="shared" ca="1" si="19"/>
        <v>-66.199999999999989</v>
      </c>
      <c r="F246" t="str">
        <f ca="1">IF(H246&lt;=I246,"Starter",IF(G246&gt;=LARGE(G:G,FlexOn*LeagueInfo!$F$2),"Starter","Bench"))</f>
        <v>Bench</v>
      </c>
      <c r="G246">
        <f t="shared" ca="1" si="16"/>
        <v>35.880000000000003</v>
      </c>
      <c r="H246">
        <f t="shared" ca="1" si="17"/>
        <v>48</v>
      </c>
      <c r="I246">
        <f>IF(C246="RB",LeagueInfo!$D$4*LeagueInfo!$F$2,IF(C246="WR",LeagueInfo!$D$5*LeagueInfo!$F$2,IF(C246="TE",LeagueInfo!$D$6*LeagueInfo!$F$2)))</f>
        <v>12</v>
      </c>
    </row>
    <row r="247" spans="1:9" x14ac:dyDescent="0.35">
      <c r="A247">
        <f t="shared" ca="1" si="18"/>
        <v>256</v>
      </c>
      <c r="B247" t="s">
        <v>639</v>
      </c>
      <c r="C247" t="s">
        <v>40</v>
      </c>
      <c r="D247">
        <f t="shared" ca="1" si="15"/>
        <v>34.269999999999996</v>
      </c>
      <c r="E247" s="5">
        <f t="shared" ca="1" si="19"/>
        <v>-67.81</v>
      </c>
      <c r="F247" t="str">
        <f ca="1">IF(H247&lt;=I247,"Starter",IF(G247&gt;=LARGE(G:G,FlexOn*LeagueInfo!$F$2),"Starter","Bench"))</f>
        <v>Bench</v>
      </c>
      <c r="G247">
        <f t="shared" ca="1" si="16"/>
        <v>34.269999999999996</v>
      </c>
      <c r="H247">
        <f t="shared" ca="1" si="17"/>
        <v>52</v>
      </c>
      <c r="I247">
        <f>IF(C247="RB",LeagueInfo!$D$4*LeagueInfo!$F$2,IF(C247="WR",LeagueInfo!$D$5*LeagueInfo!$F$2,IF(C247="TE",LeagueInfo!$D$6*LeagueInfo!$F$2)))</f>
        <v>12</v>
      </c>
    </row>
    <row r="248" spans="1:9" x14ac:dyDescent="0.35">
      <c r="A248">
        <f t="shared" ca="1" si="18"/>
        <v>270</v>
      </c>
      <c r="B248" t="s">
        <v>879</v>
      </c>
      <c r="C248" t="s">
        <v>25</v>
      </c>
      <c r="D248">
        <f t="shared" ref="D248:D299" ca="1" si="20">INDEX(INDIRECT($C248&amp;"!P:P"),MATCH($B248,INDIRECT($C248&amp;"!B:B"),0))</f>
        <v>31.35</v>
      </c>
      <c r="E248" s="5">
        <f t="shared" ca="1" si="19"/>
        <v>-70.72999999999999</v>
      </c>
      <c r="F248" t="str">
        <f ca="1">IF(H248&lt;=I248,"Starter",IF(G248&gt;=LARGE(G:G,FlexOn*LeagueInfo!$F$2),"Starter","Bench"))</f>
        <v>Bench</v>
      </c>
      <c r="G248">
        <f t="shared" ref="G248:G299" ca="1" si="21">IF(H248&gt;I248,D248,0)</f>
        <v>31.35</v>
      </c>
      <c r="H248">
        <f t="shared" ref="H248:H299" ca="1" si="22">INDEX(INDIRECT(""&amp;C248&amp;"!A2:A409"),MATCH(B248,INDIRECT(""&amp;C248&amp;"!B2:B409"),0))</f>
        <v>86</v>
      </c>
      <c r="I248">
        <f>IF(C248="RB",LeagueInfo!$D$4*LeagueInfo!$F$2,IF(C248="WR",LeagueInfo!$D$5*LeagueInfo!$F$2,IF(C248="TE",LeagueInfo!$D$6*LeagueInfo!$F$2)))</f>
        <v>24</v>
      </c>
    </row>
    <row r="249" spans="1:9" x14ac:dyDescent="0.35">
      <c r="A249">
        <f t="shared" ca="1" si="18"/>
        <v>255</v>
      </c>
      <c r="B249" t="s">
        <v>453</v>
      </c>
      <c r="C249" t="s">
        <v>40</v>
      </c>
      <c r="D249">
        <f t="shared" ca="1" si="20"/>
        <v>34.44</v>
      </c>
      <c r="E249" s="5">
        <f t="shared" ca="1" si="19"/>
        <v>-67.64</v>
      </c>
      <c r="F249" t="str">
        <f ca="1">IF(H249&lt;=I249,"Starter",IF(G249&gt;=LARGE(G:G,FlexOn*LeagueInfo!$F$2),"Starter","Bench"))</f>
        <v>Bench</v>
      </c>
      <c r="G249">
        <f t="shared" ca="1" si="21"/>
        <v>34.44</v>
      </c>
      <c r="H249">
        <f t="shared" ca="1" si="22"/>
        <v>51</v>
      </c>
      <c r="I249">
        <f>IF(C249="RB",LeagueInfo!$D$4*LeagueInfo!$F$2,IF(C249="WR",LeagueInfo!$D$5*LeagueInfo!$F$2,IF(C249="TE",LeagueInfo!$D$6*LeagueInfo!$F$2)))</f>
        <v>12</v>
      </c>
    </row>
    <row r="250" spans="1:9" x14ac:dyDescent="0.35">
      <c r="A250">
        <f t="shared" ca="1" si="18"/>
        <v>252</v>
      </c>
      <c r="B250" t="s">
        <v>485</v>
      </c>
      <c r="C250" t="s">
        <v>40</v>
      </c>
      <c r="D250">
        <f t="shared" ca="1" si="20"/>
        <v>34.49</v>
      </c>
      <c r="E250" s="5">
        <f t="shared" ca="1" si="19"/>
        <v>-67.59</v>
      </c>
      <c r="F250" t="str">
        <f ca="1">IF(H250&lt;=I250,"Starter",IF(G250&gt;=LARGE(G:G,FlexOn*LeagueInfo!$F$2),"Starter","Bench"))</f>
        <v>Bench</v>
      </c>
      <c r="G250">
        <f t="shared" ca="1" si="21"/>
        <v>34.49</v>
      </c>
      <c r="H250">
        <f t="shared" ca="1" si="22"/>
        <v>49</v>
      </c>
      <c r="I250">
        <f>IF(C250="RB",LeagueInfo!$D$4*LeagueInfo!$F$2,IF(C250="WR",LeagueInfo!$D$5*LeagueInfo!$F$2,IF(C250="TE",LeagueInfo!$D$6*LeagueInfo!$F$2)))</f>
        <v>12</v>
      </c>
    </row>
    <row r="251" spans="1:9" x14ac:dyDescent="0.35">
      <c r="A251">
        <f t="shared" ca="1" si="18"/>
        <v>251</v>
      </c>
      <c r="B251" t="s">
        <v>735</v>
      </c>
      <c r="C251" t="s">
        <v>25</v>
      </c>
      <c r="D251">
        <f t="shared" ca="1" si="20"/>
        <v>35.299999999999997</v>
      </c>
      <c r="E251" s="5">
        <f t="shared" ca="1" si="19"/>
        <v>-66.78</v>
      </c>
      <c r="F251" t="str">
        <f ca="1">IF(H251&lt;=I251,"Starter",IF(G251&gt;=LARGE(G:G,FlexOn*LeagueInfo!$F$2),"Starter","Bench"))</f>
        <v>Bench</v>
      </c>
      <c r="G251">
        <f t="shared" ca="1" si="21"/>
        <v>35.299999999999997</v>
      </c>
      <c r="H251">
        <f t="shared" ca="1" si="22"/>
        <v>83</v>
      </c>
      <c r="I251">
        <f>IF(C251="RB",LeagueInfo!$D$4*LeagueInfo!$F$2,IF(C251="WR",LeagueInfo!$D$5*LeagueInfo!$F$2,IF(C251="TE",LeagueInfo!$D$6*LeagueInfo!$F$2)))</f>
        <v>24</v>
      </c>
    </row>
    <row r="252" spans="1:9" x14ac:dyDescent="0.35">
      <c r="A252">
        <f t="shared" ca="1" si="18"/>
        <v>244</v>
      </c>
      <c r="B252" t="s">
        <v>877</v>
      </c>
      <c r="C252" t="s">
        <v>25</v>
      </c>
      <c r="D252">
        <f t="shared" ca="1" si="20"/>
        <v>39.43</v>
      </c>
      <c r="E252" s="5">
        <f t="shared" ca="1" si="19"/>
        <v>-62.65</v>
      </c>
      <c r="F252" t="str">
        <f ca="1">IF(H252&lt;=I252,"Starter",IF(G252&gt;=LARGE(G:G,FlexOn*LeagueInfo!$F$2),"Starter","Bench"))</f>
        <v>Bench</v>
      </c>
      <c r="G252">
        <f t="shared" ca="1" si="21"/>
        <v>39.43</v>
      </c>
      <c r="H252">
        <f t="shared" ca="1" si="22"/>
        <v>79</v>
      </c>
      <c r="I252">
        <f>IF(C252="RB",LeagueInfo!$D$4*LeagueInfo!$F$2,IF(C252="WR",LeagueInfo!$D$5*LeagueInfo!$F$2,IF(C252="TE",LeagueInfo!$D$6*LeagueInfo!$F$2)))</f>
        <v>24</v>
      </c>
    </row>
    <row r="253" spans="1:9" x14ac:dyDescent="0.35">
      <c r="A253">
        <f t="shared" ca="1" si="18"/>
        <v>247</v>
      </c>
      <c r="B253" t="s">
        <v>374</v>
      </c>
      <c r="C253" t="s">
        <v>40</v>
      </c>
      <c r="D253">
        <f t="shared" ca="1" si="20"/>
        <v>36.74</v>
      </c>
      <c r="E253" s="5">
        <f t="shared" ca="1" si="19"/>
        <v>-65.34</v>
      </c>
      <c r="F253" t="str">
        <f ca="1">IF(H253&lt;=I253,"Starter",IF(G253&gt;=LARGE(G:G,FlexOn*LeagueInfo!$F$2),"Starter","Bench"))</f>
        <v>Bench</v>
      </c>
      <c r="G253">
        <f t="shared" ca="1" si="21"/>
        <v>36.74</v>
      </c>
      <c r="H253">
        <f t="shared" ca="1" si="22"/>
        <v>46</v>
      </c>
      <c r="I253">
        <f>IF(C253="RB",LeagueInfo!$D$4*LeagueInfo!$F$2,IF(C253="WR",LeagueInfo!$D$5*LeagueInfo!$F$2,IF(C253="TE",LeagueInfo!$D$6*LeagueInfo!$F$2)))</f>
        <v>12</v>
      </c>
    </row>
    <row r="254" spans="1:9" x14ac:dyDescent="0.35">
      <c r="A254">
        <f t="shared" ca="1" si="18"/>
        <v>262</v>
      </c>
      <c r="B254" t="s">
        <v>845</v>
      </c>
      <c r="C254" t="s">
        <v>32</v>
      </c>
      <c r="D254">
        <f t="shared" ca="1" si="20"/>
        <v>32.629999999999995</v>
      </c>
      <c r="E254" s="5">
        <f t="shared" ca="1" si="19"/>
        <v>-69.45</v>
      </c>
      <c r="F254" t="str">
        <f ca="1">IF(H254&lt;=I254,"Starter",IF(G254&gt;=LARGE(G:G,FlexOn*LeagueInfo!$F$2),"Starter","Bench"))</f>
        <v>Bench</v>
      </c>
      <c r="G254">
        <f t="shared" ca="1" si="21"/>
        <v>32.629999999999995</v>
      </c>
      <c r="H254">
        <f t="shared" ca="1" si="22"/>
        <v>130</v>
      </c>
      <c r="I254">
        <f>IF(C254="RB",LeagueInfo!$D$4*LeagueInfo!$F$2,IF(C254="WR",LeagueInfo!$D$5*LeagueInfo!$F$2,IF(C254="TE",LeagueInfo!$D$6*LeagueInfo!$F$2)))</f>
        <v>24</v>
      </c>
    </row>
    <row r="255" spans="1:9" x14ac:dyDescent="0.35">
      <c r="A255">
        <f t="shared" ca="1" si="18"/>
        <v>277</v>
      </c>
      <c r="B255" t="s">
        <v>927</v>
      </c>
      <c r="C255" t="s">
        <v>32</v>
      </c>
      <c r="D255">
        <f t="shared" ca="1" si="20"/>
        <v>29.22</v>
      </c>
      <c r="E255" s="5">
        <f t="shared" ca="1" si="19"/>
        <v>-72.86</v>
      </c>
      <c r="F255" t="str">
        <f ca="1">IF(H255&lt;=I255,"Starter",IF(G255&gt;=LARGE(G:G,FlexOn*LeagueInfo!$F$2),"Starter","Bench"))</f>
        <v>Bench</v>
      </c>
      <c r="G255">
        <f t="shared" ca="1" si="21"/>
        <v>29.22</v>
      </c>
      <c r="H255">
        <f t="shared" ca="1" si="22"/>
        <v>139</v>
      </c>
      <c r="I255">
        <f>IF(C255="RB",LeagueInfo!$D$4*LeagueInfo!$F$2,IF(C255="WR",LeagueInfo!$D$5*LeagueInfo!$F$2,IF(C255="TE",LeagueInfo!$D$6*LeagueInfo!$F$2)))</f>
        <v>24</v>
      </c>
    </row>
    <row r="256" spans="1:9" x14ac:dyDescent="0.35">
      <c r="A256">
        <f t="shared" ca="1" si="18"/>
        <v>261</v>
      </c>
      <c r="B256" t="s">
        <v>149</v>
      </c>
      <c r="C256" t="s">
        <v>40</v>
      </c>
      <c r="D256">
        <f t="shared" ca="1" si="20"/>
        <v>33.22</v>
      </c>
      <c r="E256" s="5">
        <f t="shared" ca="1" si="19"/>
        <v>-68.86</v>
      </c>
      <c r="F256" t="str">
        <f ca="1">IF(H256&lt;=I256,"Starter",IF(G256&gt;=LARGE(G:G,FlexOn*LeagueInfo!$F$2),"Starter","Bench"))</f>
        <v>Bench</v>
      </c>
      <c r="G256">
        <f t="shared" ca="1" si="21"/>
        <v>33.22</v>
      </c>
      <c r="H256">
        <f t="shared" ca="1" si="22"/>
        <v>53</v>
      </c>
      <c r="I256">
        <f>IF(C256="RB",LeagueInfo!$D$4*LeagueInfo!$F$2,IF(C256="WR",LeagueInfo!$D$5*LeagueInfo!$F$2,IF(C256="TE",LeagueInfo!$D$6*LeagueInfo!$F$2)))</f>
        <v>12</v>
      </c>
    </row>
    <row r="257" spans="1:9" x14ac:dyDescent="0.35">
      <c r="A257">
        <f t="shared" ca="1" si="18"/>
        <v>266</v>
      </c>
      <c r="B257" t="s">
        <v>799</v>
      </c>
      <c r="C257" t="s">
        <v>40</v>
      </c>
      <c r="D257">
        <f t="shared" ca="1" si="20"/>
        <v>31.910000000000004</v>
      </c>
      <c r="E257" s="5">
        <f t="shared" ca="1" si="19"/>
        <v>-70.169999999999987</v>
      </c>
      <c r="F257" t="str">
        <f ca="1">IF(H257&lt;=I257,"Starter",IF(G257&gt;=LARGE(G:G,FlexOn*LeagueInfo!$F$2),"Starter","Bench"))</f>
        <v>Bench</v>
      </c>
      <c r="G257">
        <f t="shared" ca="1" si="21"/>
        <v>31.910000000000004</v>
      </c>
      <c r="H257">
        <f t="shared" ca="1" si="22"/>
        <v>56</v>
      </c>
      <c r="I257">
        <f>IF(C257="RB",LeagueInfo!$D$4*LeagueInfo!$F$2,IF(C257="WR",LeagueInfo!$D$5*LeagueInfo!$F$2,IF(C257="TE",LeagueInfo!$D$6*LeagueInfo!$F$2)))</f>
        <v>12</v>
      </c>
    </row>
    <row r="258" spans="1:9" x14ac:dyDescent="0.35">
      <c r="A258">
        <f t="shared" ref="A258:A321" ca="1" si="23">RANK(E258,E:E)</f>
        <v>265</v>
      </c>
      <c r="B258" t="s">
        <v>649</v>
      </c>
      <c r="C258" t="s">
        <v>40</v>
      </c>
      <c r="D258">
        <f t="shared" ca="1" si="20"/>
        <v>31.920000000000005</v>
      </c>
      <c r="E258" s="5">
        <f t="shared" ref="E258:E321" ca="1" si="24">D258-LARGE(D:D,RBCount+WRCount+TECount)</f>
        <v>-70.16</v>
      </c>
      <c r="F258" t="str">
        <f ca="1">IF(H258&lt;=I258,"Starter",IF(G258&gt;=LARGE(G:G,FlexOn*LeagueInfo!$F$2),"Starter","Bench"))</f>
        <v>Bench</v>
      </c>
      <c r="G258">
        <f t="shared" ca="1" si="21"/>
        <v>31.920000000000005</v>
      </c>
      <c r="H258">
        <f t="shared" ca="1" si="22"/>
        <v>55</v>
      </c>
      <c r="I258">
        <f>IF(C258="RB",LeagueInfo!$D$4*LeagueInfo!$F$2,IF(C258="WR",LeagueInfo!$D$5*LeagueInfo!$F$2,IF(C258="TE",LeagueInfo!$D$6*LeagueInfo!$F$2)))</f>
        <v>12</v>
      </c>
    </row>
    <row r="259" spans="1:9" x14ac:dyDescent="0.35">
      <c r="A259">
        <f t="shared" ca="1" si="23"/>
        <v>263</v>
      </c>
      <c r="B259" t="s">
        <v>600</v>
      </c>
      <c r="C259" t="s">
        <v>32</v>
      </c>
      <c r="D259">
        <f t="shared" ca="1" si="20"/>
        <v>32.450000000000003</v>
      </c>
      <c r="E259" s="5">
        <f t="shared" ca="1" si="24"/>
        <v>-69.63</v>
      </c>
      <c r="F259" t="str">
        <f ca="1">IF(H259&lt;=I259,"Starter",IF(G259&gt;=LARGE(G:G,FlexOn*LeagueInfo!$F$2),"Starter","Bench"))</f>
        <v>Bench</v>
      </c>
      <c r="G259">
        <f t="shared" ca="1" si="21"/>
        <v>32.450000000000003</v>
      </c>
      <c r="H259">
        <f t="shared" ca="1" si="22"/>
        <v>131</v>
      </c>
      <c r="I259">
        <f>IF(C259="RB",LeagueInfo!$D$4*LeagueInfo!$F$2,IF(C259="WR",LeagueInfo!$D$5*LeagueInfo!$F$2,IF(C259="TE",LeagueInfo!$D$6*LeagueInfo!$F$2)))</f>
        <v>24</v>
      </c>
    </row>
    <row r="260" spans="1:9" x14ac:dyDescent="0.35">
      <c r="A260">
        <f t="shared" ca="1" si="23"/>
        <v>248</v>
      </c>
      <c r="B260" t="s">
        <v>449</v>
      </c>
      <c r="C260" t="s">
        <v>40</v>
      </c>
      <c r="D260">
        <f t="shared" ca="1" si="20"/>
        <v>36.5</v>
      </c>
      <c r="E260" s="5">
        <f t="shared" ca="1" si="24"/>
        <v>-65.58</v>
      </c>
      <c r="F260" t="str">
        <f ca="1">IF(H260&lt;=I260,"Starter",IF(G260&gt;=LARGE(G:G,FlexOn*LeagueInfo!$F$2),"Starter","Bench"))</f>
        <v>Bench</v>
      </c>
      <c r="G260">
        <f t="shared" ca="1" si="21"/>
        <v>36.5</v>
      </c>
      <c r="H260">
        <f t="shared" ca="1" si="22"/>
        <v>47</v>
      </c>
      <c r="I260">
        <f>IF(C260="RB",LeagueInfo!$D$4*LeagueInfo!$F$2,IF(C260="WR",LeagueInfo!$D$5*LeagueInfo!$F$2,IF(C260="TE",LeagueInfo!$D$6*LeagueInfo!$F$2)))</f>
        <v>12</v>
      </c>
    </row>
    <row r="261" spans="1:9" x14ac:dyDescent="0.35">
      <c r="A261">
        <f t="shared" ca="1" si="23"/>
        <v>283</v>
      </c>
      <c r="B261" t="s">
        <v>1095</v>
      </c>
      <c r="C261" t="s">
        <v>32</v>
      </c>
      <c r="D261">
        <f t="shared" ca="1" si="20"/>
        <v>28.1</v>
      </c>
      <c r="E261" s="5">
        <f t="shared" ca="1" si="24"/>
        <v>-73.97999999999999</v>
      </c>
      <c r="F261" t="str">
        <f ca="1">IF(H261&lt;=I261,"Starter",IF(G261&gt;=LARGE(G:G,FlexOn*LeagueInfo!$F$2),"Starter","Bench"))</f>
        <v>Bench</v>
      </c>
      <c r="G261">
        <f t="shared" ca="1" si="21"/>
        <v>28.1</v>
      </c>
      <c r="H261">
        <f t="shared" ca="1" si="22"/>
        <v>142</v>
      </c>
      <c r="I261">
        <f>IF(C261="RB",LeagueInfo!$D$4*LeagueInfo!$F$2,IF(C261="WR",LeagueInfo!$D$5*LeagueInfo!$F$2,IF(C261="TE",LeagueInfo!$D$6*LeagueInfo!$F$2)))</f>
        <v>24</v>
      </c>
    </row>
    <row r="262" spans="1:9" x14ac:dyDescent="0.35">
      <c r="A262">
        <f t="shared" ca="1" si="23"/>
        <v>280</v>
      </c>
      <c r="B262" t="s">
        <v>875</v>
      </c>
      <c r="C262" t="s">
        <v>25</v>
      </c>
      <c r="D262">
        <f t="shared" ca="1" si="20"/>
        <v>28.39</v>
      </c>
      <c r="E262" s="5">
        <f t="shared" ca="1" si="24"/>
        <v>-73.69</v>
      </c>
      <c r="F262" t="str">
        <f ca="1">IF(H262&lt;=I262,"Starter",IF(G262&gt;=LARGE(G:G,FlexOn*LeagueInfo!$F$2),"Starter","Bench"))</f>
        <v>Bench</v>
      </c>
      <c r="G262">
        <f t="shared" ca="1" si="21"/>
        <v>28.39</v>
      </c>
      <c r="H262">
        <f t="shared" ca="1" si="22"/>
        <v>93</v>
      </c>
      <c r="I262">
        <f>IF(C262="RB",LeagueInfo!$D$4*LeagueInfo!$F$2,IF(C262="WR",LeagueInfo!$D$5*LeagueInfo!$F$2,IF(C262="TE",LeagueInfo!$D$6*LeagueInfo!$F$2)))</f>
        <v>24</v>
      </c>
    </row>
    <row r="263" spans="1:9" x14ac:dyDescent="0.35">
      <c r="A263">
        <f t="shared" ca="1" si="23"/>
        <v>267</v>
      </c>
      <c r="B263" t="s">
        <v>367</v>
      </c>
      <c r="C263" t="s">
        <v>32</v>
      </c>
      <c r="D263">
        <f t="shared" ca="1" si="20"/>
        <v>31.860000000000003</v>
      </c>
      <c r="E263" s="5">
        <f t="shared" ca="1" si="24"/>
        <v>-70.22</v>
      </c>
      <c r="F263" t="str">
        <f ca="1">IF(H263&lt;=I263,"Starter",IF(G263&gt;=LARGE(G:G,FlexOn*LeagueInfo!$F$2),"Starter","Bench"))</f>
        <v>Bench</v>
      </c>
      <c r="G263">
        <f t="shared" ca="1" si="21"/>
        <v>31.860000000000003</v>
      </c>
      <c r="H263">
        <f t="shared" ca="1" si="22"/>
        <v>132</v>
      </c>
      <c r="I263">
        <f>IF(C263="RB",LeagueInfo!$D$4*LeagueInfo!$F$2,IF(C263="WR",LeagueInfo!$D$5*LeagueInfo!$F$2,IF(C263="TE",LeagueInfo!$D$6*LeagueInfo!$F$2)))</f>
        <v>24</v>
      </c>
    </row>
    <row r="264" spans="1:9" x14ac:dyDescent="0.35">
      <c r="A264">
        <f t="shared" ca="1" si="23"/>
        <v>264</v>
      </c>
      <c r="B264" t="s">
        <v>457</v>
      </c>
      <c r="C264" t="s">
        <v>40</v>
      </c>
      <c r="D264">
        <f t="shared" ca="1" si="20"/>
        <v>32.409999999999997</v>
      </c>
      <c r="E264" s="5">
        <f t="shared" ca="1" si="24"/>
        <v>-69.67</v>
      </c>
      <c r="F264" t="str">
        <f ca="1">IF(H264&lt;=I264,"Starter",IF(G264&gt;=LARGE(G:G,FlexOn*LeagueInfo!$F$2),"Starter","Bench"))</f>
        <v>Bench</v>
      </c>
      <c r="G264">
        <f t="shared" ca="1" si="21"/>
        <v>32.409999999999997</v>
      </c>
      <c r="H264">
        <f t="shared" ca="1" si="22"/>
        <v>54</v>
      </c>
      <c r="I264">
        <f>IF(C264="RB",LeagueInfo!$D$4*LeagueInfo!$F$2,IF(C264="WR",LeagueInfo!$D$5*LeagueInfo!$F$2,IF(C264="TE",LeagueInfo!$D$6*LeagueInfo!$F$2)))</f>
        <v>12</v>
      </c>
    </row>
    <row r="265" spans="1:9" x14ac:dyDescent="0.35">
      <c r="A265">
        <f t="shared" ca="1" si="23"/>
        <v>249</v>
      </c>
      <c r="B265" t="s">
        <v>244</v>
      </c>
      <c r="C265" t="s">
        <v>25</v>
      </c>
      <c r="D265">
        <f t="shared" ca="1" si="20"/>
        <v>36.22999999999999</v>
      </c>
      <c r="E265" s="5">
        <f t="shared" ca="1" si="24"/>
        <v>-65.850000000000009</v>
      </c>
      <c r="F265" t="str">
        <f ca="1">IF(H265&lt;=I265,"Starter",IF(G265&gt;=LARGE(G:G,FlexOn*LeagueInfo!$F$2),"Starter","Bench"))</f>
        <v>Bench</v>
      </c>
      <c r="G265">
        <f t="shared" ca="1" si="21"/>
        <v>36.22999999999999</v>
      </c>
      <c r="H265">
        <f t="shared" ca="1" si="22"/>
        <v>82</v>
      </c>
      <c r="I265">
        <f>IF(C265="RB",LeagueInfo!$D$4*LeagueInfo!$F$2,IF(C265="WR",LeagueInfo!$D$5*LeagueInfo!$F$2,IF(C265="TE",LeagueInfo!$D$6*LeagueInfo!$F$2)))</f>
        <v>24</v>
      </c>
    </row>
    <row r="266" spans="1:9" x14ac:dyDescent="0.35">
      <c r="A266">
        <f t="shared" ca="1" si="23"/>
        <v>322</v>
      </c>
      <c r="B266" t="s">
        <v>108</v>
      </c>
      <c r="C266" t="s">
        <v>32</v>
      </c>
      <c r="D266">
        <f t="shared" ca="1" si="20"/>
        <v>22.029999999999998</v>
      </c>
      <c r="E266" s="5">
        <f t="shared" ca="1" si="24"/>
        <v>-80.05</v>
      </c>
      <c r="F266" t="str">
        <f ca="1">IF(H266&lt;=I266,"Starter",IF(G266&gt;=LARGE(G:G,FlexOn*LeagueInfo!$F$2),"Starter","Bench"))</f>
        <v>Bench</v>
      </c>
      <c r="G266">
        <f t="shared" ca="1" si="21"/>
        <v>22.029999999999998</v>
      </c>
      <c r="H266">
        <f t="shared" ca="1" si="22"/>
        <v>161</v>
      </c>
      <c r="I266">
        <f>IF(C266="RB",LeagueInfo!$D$4*LeagueInfo!$F$2,IF(C266="WR",LeagueInfo!$D$5*LeagueInfo!$F$2,IF(C266="TE",LeagueInfo!$D$6*LeagueInfo!$F$2)))</f>
        <v>24</v>
      </c>
    </row>
    <row r="267" spans="1:9" x14ac:dyDescent="0.35">
      <c r="A267">
        <f t="shared" ca="1" si="23"/>
        <v>259</v>
      </c>
      <c r="B267" t="s">
        <v>720</v>
      </c>
      <c r="C267" t="s">
        <v>25</v>
      </c>
      <c r="D267">
        <f t="shared" ca="1" si="20"/>
        <v>33.770000000000003</v>
      </c>
      <c r="E267" s="5">
        <f t="shared" ca="1" si="24"/>
        <v>-68.31</v>
      </c>
      <c r="F267" t="str">
        <f ca="1">IF(H267&lt;=I267,"Starter",IF(G267&gt;=LARGE(G:G,FlexOn*LeagueInfo!$F$2),"Starter","Bench"))</f>
        <v>Bench</v>
      </c>
      <c r="G267">
        <f t="shared" ca="1" si="21"/>
        <v>33.770000000000003</v>
      </c>
      <c r="H267">
        <f t="shared" ca="1" si="22"/>
        <v>85</v>
      </c>
      <c r="I267">
        <f>IF(C267="RB",LeagueInfo!$D$4*LeagueInfo!$F$2,IF(C267="WR",LeagueInfo!$D$5*LeagueInfo!$F$2,IF(C267="TE",LeagueInfo!$D$6*LeagueInfo!$F$2)))</f>
        <v>24</v>
      </c>
    </row>
    <row r="268" spans="1:9" x14ac:dyDescent="0.35">
      <c r="A268">
        <f t="shared" ca="1" si="23"/>
        <v>284</v>
      </c>
      <c r="B268" t="s">
        <v>878</v>
      </c>
      <c r="C268" t="s">
        <v>25</v>
      </c>
      <c r="D268">
        <f t="shared" ca="1" si="20"/>
        <v>27.76</v>
      </c>
      <c r="E268" s="5">
        <f t="shared" ca="1" si="24"/>
        <v>-74.319999999999993</v>
      </c>
      <c r="F268" t="str">
        <f ca="1">IF(H268&lt;=I268,"Starter",IF(G268&gt;=LARGE(G:G,FlexOn*LeagueInfo!$F$2),"Starter","Bench"))</f>
        <v>Bench</v>
      </c>
      <c r="G268">
        <f t="shared" ca="1" si="21"/>
        <v>27.76</v>
      </c>
      <c r="H268">
        <f t="shared" ca="1" si="22"/>
        <v>94</v>
      </c>
      <c r="I268">
        <f>IF(C268="RB",LeagueInfo!$D$4*LeagueInfo!$F$2,IF(C268="WR",LeagueInfo!$D$5*LeagueInfo!$F$2,IF(C268="TE",LeagueInfo!$D$6*LeagueInfo!$F$2)))</f>
        <v>24</v>
      </c>
    </row>
    <row r="269" spans="1:9" x14ac:dyDescent="0.35">
      <c r="A269">
        <f t="shared" ca="1" si="23"/>
        <v>289</v>
      </c>
      <c r="B269" t="s">
        <v>1010</v>
      </c>
      <c r="C269" t="s">
        <v>32</v>
      </c>
      <c r="D269">
        <f t="shared" ca="1" si="20"/>
        <v>26.200000000000003</v>
      </c>
      <c r="E269" s="5">
        <f t="shared" ca="1" si="24"/>
        <v>-75.88</v>
      </c>
      <c r="F269" t="str">
        <f ca="1">IF(H269&lt;=I269,"Starter",IF(G269&gt;=LARGE(G:G,FlexOn*LeagueInfo!$F$2),"Starter","Bench"))</f>
        <v>Bench</v>
      </c>
      <c r="G269">
        <f t="shared" ca="1" si="21"/>
        <v>26.200000000000003</v>
      </c>
      <c r="H269">
        <f t="shared" ca="1" si="22"/>
        <v>146</v>
      </c>
      <c r="I269">
        <f>IF(C269="RB",LeagueInfo!$D$4*LeagueInfo!$F$2,IF(C269="WR",LeagueInfo!$D$5*LeagueInfo!$F$2,IF(C269="TE",LeagueInfo!$D$6*LeagueInfo!$F$2)))</f>
        <v>24</v>
      </c>
    </row>
    <row r="270" spans="1:9" x14ac:dyDescent="0.35">
      <c r="A270">
        <f t="shared" ca="1" si="23"/>
        <v>260</v>
      </c>
      <c r="B270" t="s">
        <v>249</v>
      </c>
      <c r="C270" t="s">
        <v>32</v>
      </c>
      <c r="D270">
        <f t="shared" ca="1" si="20"/>
        <v>33.540000000000006</v>
      </c>
      <c r="E270" s="5">
        <f t="shared" ca="1" si="24"/>
        <v>-68.539999999999992</v>
      </c>
      <c r="F270" t="str">
        <f ca="1">IF(H270&lt;=I270,"Starter",IF(G270&gt;=LARGE(G:G,FlexOn*LeagueInfo!$F$2),"Starter","Bench"))</f>
        <v>Bench</v>
      </c>
      <c r="G270">
        <f t="shared" ca="1" si="21"/>
        <v>33.540000000000006</v>
      </c>
      <c r="H270">
        <f t="shared" ca="1" si="22"/>
        <v>129</v>
      </c>
      <c r="I270">
        <f>IF(C270="RB",LeagueInfo!$D$4*LeagueInfo!$F$2,IF(C270="WR",LeagueInfo!$D$5*LeagueInfo!$F$2,IF(C270="TE",LeagueInfo!$D$6*LeagueInfo!$F$2)))</f>
        <v>24</v>
      </c>
    </row>
    <row r="271" spans="1:9" x14ac:dyDescent="0.35">
      <c r="A271">
        <f t="shared" ca="1" si="23"/>
        <v>237</v>
      </c>
      <c r="B271" t="s">
        <v>781</v>
      </c>
      <c r="C271" t="s">
        <v>25</v>
      </c>
      <c r="D271">
        <f t="shared" ca="1" si="20"/>
        <v>44.1</v>
      </c>
      <c r="E271" s="5">
        <f t="shared" ca="1" si="24"/>
        <v>-57.98</v>
      </c>
      <c r="F271" t="str">
        <f ca="1">IF(H271&lt;=I271,"Starter",IF(G271&gt;=LARGE(G:G,FlexOn*LeagueInfo!$F$2),"Starter","Bench"))</f>
        <v>Bench</v>
      </c>
      <c r="G271">
        <f t="shared" ca="1" si="21"/>
        <v>44.1</v>
      </c>
      <c r="H271">
        <f t="shared" ca="1" si="22"/>
        <v>77</v>
      </c>
      <c r="I271">
        <f>IF(C271="RB",LeagueInfo!$D$4*LeagueInfo!$F$2,IF(C271="WR",LeagueInfo!$D$5*LeagueInfo!$F$2,IF(C271="TE",LeagueInfo!$D$6*LeagueInfo!$F$2)))</f>
        <v>24</v>
      </c>
    </row>
    <row r="272" spans="1:9" x14ac:dyDescent="0.35">
      <c r="A272">
        <f t="shared" ca="1" si="23"/>
        <v>273</v>
      </c>
      <c r="B272" t="s">
        <v>929</v>
      </c>
      <c r="C272" t="s">
        <v>32</v>
      </c>
      <c r="D272">
        <f t="shared" ca="1" si="20"/>
        <v>29.93</v>
      </c>
      <c r="E272" s="5">
        <f t="shared" ca="1" si="24"/>
        <v>-72.150000000000006</v>
      </c>
      <c r="F272" t="str">
        <f ca="1">IF(H272&lt;=I272,"Starter",IF(G272&gt;=LARGE(G:G,FlexOn*LeagueInfo!$F$2),"Starter","Bench"))</f>
        <v>Bench</v>
      </c>
      <c r="G272">
        <f t="shared" ca="1" si="21"/>
        <v>29.93</v>
      </c>
      <c r="H272">
        <f t="shared" ca="1" si="22"/>
        <v>136</v>
      </c>
      <c r="I272">
        <f>IF(C272="RB",LeagueInfo!$D$4*LeagueInfo!$F$2,IF(C272="WR",LeagueInfo!$D$5*LeagueInfo!$F$2,IF(C272="TE",LeagueInfo!$D$6*LeagueInfo!$F$2)))</f>
        <v>24</v>
      </c>
    </row>
    <row r="273" spans="1:9" x14ac:dyDescent="0.35">
      <c r="A273">
        <f t="shared" ca="1" si="23"/>
        <v>285</v>
      </c>
      <c r="B273" t="s">
        <v>365</v>
      </c>
      <c r="C273" t="s">
        <v>32</v>
      </c>
      <c r="D273">
        <f t="shared" ca="1" si="20"/>
        <v>27.75</v>
      </c>
      <c r="E273" s="5">
        <f t="shared" ca="1" si="24"/>
        <v>-74.33</v>
      </c>
      <c r="F273" t="str">
        <f ca="1">IF(H273&lt;=I273,"Starter",IF(G273&gt;=LARGE(G:G,FlexOn*LeagueInfo!$F$2),"Starter","Bench"))</f>
        <v>Bench</v>
      </c>
      <c r="G273">
        <f t="shared" ca="1" si="21"/>
        <v>27.75</v>
      </c>
      <c r="H273">
        <f t="shared" ca="1" si="22"/>
        <v>143</v>
      </c>
      <c r="I273">
        <f>IF(C273="RB",LeagueInfo!$D$4*LeagueInfo!$F$2,IF(C273="WR",LeagueInfo!$D$5*LeagueInfo!$F$2,IF(C273="TE",LeagueInfo!$D$6*LeagueInfo!$F$2)))</f>
        <v>24</v>
      </c>
    </row>
    <row r="274" spans="1:9" x14ac:dyDescent="0.35">
      <c r="A274">
        <f t="shared" ca="1" si="23"/>
        <v>233</v>
      </c>
      <c r="B274" t="s">
        <v>442</v>
      </c>
      <c r="C274" t="s">
        <v>32</v>
      </c>
      <c r="D274">
        <f t="shared" ca="1" si="20"/>
        <v>45.36999999999999</v>
      </c>
      <c r="E274" s="5">
        <f t="shared" ca="1" si="24"/>
        <v>-56.710000000000008</v>
      </c>
      <c r="F274" t="str">
        <f ca="1">IF(H274&lt;=I274,"Starter",IF(G274&gt;=LARGE(G:G,FlexOn*LeagueInfo!$F$2),"Starter","Bench"))</f>
        <v>Bench</v>
      </c>
      <c r="G274">
        <f t="shared" ca="1" si="21"/>
        <v>45.36999999999999</v>
      </c>
      <c r="H274">
        <f t="shared" ca="1" si="22"/>
        <v>121</v>
      </c>
      <c r="I274">
        <f>IF(C274="RB",LeagueInfo!$D$4*LeagueInfo!$F$2,IF(C274="WR",LeagueInfo!$D$5*LeagueInfo!$F$2,IF(C274="TE",LeagueInfo!$D$6*LeagueInfo!$F$2)))</f>
        <v>24</v>
      </c>
    </row>
    <row r="275" spans="1:9" x14ac:dyDescent="0.35">
      <c r="A275">
        <f t="shared" ca="1" si="23"/>
        <v>272</v>
      </c>
      <c r="B275" t="s">
        <v>231</v>
      </c>
      <c r="C275" t="s">
        <v>25</v>
      </c>
      <c r="D275">
        <f t="shared" ca="1" si="20"/>
        <v>30.93</v>
      </c>
      <c r="E275" s="5">
        <f t="shared" ca="1" si="24"/>
        <v>-71.150000000000006</v>
      </c>
      <c r="F275" t="str">
        <f ca="1">IF(H275&lt;=I275,"Starter",IF(G275&gt;=LARGE(G:G,FlexOn*LeagueInfo!$F$2),"Starter","Bench"))</f>
        <v>Bench</v>
      </c>
      <c r="G275">
        <f t="shared" ca="1" si="21"/>
        <v>30.93</v>
      </c>
      <c r="H275">
        <f t="shared" ca="1" si="22"/>
        <v>88</v>
      </c>
      <c r="I275">
        <f>IF(C275="RB",LeagueInfo!$D$4*LeagueInfo!$F$2,IF(C275="WR",LeagueInfo!$D$5*LeagueInfo!$F$2,IF(C275="TE",LeagueInfo!$D$6*LeagueInfo!$F$2)))</f>
        <v>24</v>
      </c>
    </row>
    <row r="276" spans="1:9" x14ac:dyDescent="0.35">
      <c r="A276">
        <f t="shared" ca="1" si="23"/>
        <v>311</v>
      </c>
      <c r="B276" t="s">
        <v>800</v>
      </c>
      <c r="C276" t="s">
        <v>40</v>
      </c>
      <c r="D276">
        <f t="shared" ca="1" si="20"/>
        <v>23.35</v>
      </c>
      <c r="E276" s="5">
        <f t="shared" ca="1" si="24"/>
        <v>-78.72999999999999</v>
      </c>
      <c r="F276" t="str">
        <f ca="1">IF(H276&lt;=I276,"Starter",IF(G276&gt;=LARGE(G:G,FlexOn*LeagueInfo!$F$2),"Starter","Bench"))</f>
        <v>Bench</v>
      </c>
      <c r="G276">
        <f t="shared" ca="1" si="21"/>
        <v>23.35</v>
      </c>
      <c r="H276">
        <f t="shared" ca="1" si="22"/>
        <v>69</v>
      </c>
      <c r="I276">
        <f>IF(C276="RB",LeagueInfo!$D$4*LeagueInfo!$F$2,IF(C276="WR",LeagueInfo!$D$5*LeagueInfo!$F$2,IF(C276="TE",LeagueInfo!$D$6*LeagueInfo!$F$2)))</f>
        <v>12</v>
      </c>
    </row>
    <row r="277" spans="1:9" x14ac:dyDescent="0.35">
      <c r="A277">
        <f t="shared" ca="1" si="23"/>
        <v>182</v>
      </c>
      <c r="B277" t="s">
        <v>560</v>
      </c>
      <c r="C277" t="s">
        <v>32</v>
      </c>
      <c r="D277">
        <f t="shared" ca="1" si="20"/>
        <v>69.44</v>
      </c>
      <c r="E277" s="5">
        <f t="shared" ca="1" si="24"/>
        <v>-32.64</v>
      </c>
      <c r="F277" t="str">
        <f ca="1">IF(H277&lt;=I277,"Starter",IF(G277&gt;=LARGE(G:G,FlexOn*LeagueInfo!$F$2),"Starter","Bench"))</f>
        <v>Bench</v>
      </c>
      <c r="G277">
        <f t="shared" ca="1" si="21"/>
        <v>69.44</v>
      </c>
      <c r="H277">
        <f t="shared" ca="1" si="22"/>
        <v>99</v>
      </c>
      <c r="I277">
        <f>IF(C277="RB",LeagueInfo!$D$4*LeagueInfo!$F$2,IF(C277="WR",LeagueInfo!$D$5*LeagueInfo!$F$2,IF(C277="TE",LeagueInfo!$D$6*LeagueInfo!$F$2)))</f>
        <v>24</v>
      </c>
    </row>
    <row r="278" spans="1:9" x14ac:dyDescent="0.35">
      <c r="A278">
        <f t="shared" ca="1" si="23"/>
        <v>287</v>
      </c>
      <c r="B278" t="s">
        <v>928</v>
      </c>
      <c r="C278" t="s">
        <v>32</v>
      </c>
      <c r="D278">
        <f t="shared" ca="1" si="20"/>
        <v>26.71</v>
      </c>
      <c r="E278" s="5">
        <f t="shared" ca="1" si="24"/>
        <v>-75.37</v>
      </c>
      <c r="F278" t="str">
        <f ca="1">IF(H278&lt;=I278,"Starter",IF(G278&gt;=LARGE(G:G,FlexOn*LeagueInfo!$F$2),"Starter","Bench"))</f>
        <v>Bench</v>
      </c>
      <c r="G278">
        <f t="shared" ca="1" si="21"/>
        <v>26.71</v>
      </c>
      <c r="H278">
        <f t="shared" ca="1" si="22"/>
        <v>145</v>
      </c>
      <c r="I278">
        <f>IF(C278="RB",LeagueInfo!$D$4*LeagueInfo!$F$2,IF(C278="WR",LeagueInfo!$D$5*LeagueInfo!$F$2,IF(C278="TE",LeagueInfo!$D$6*LeagueInfo!$F$2)))</f>
        <v>24</v>
      </c>
    </row>
    <row r="279" spans="1:9" x14ac:dyDescent="0.35">
      <c r="A279">
        <f t="shared" ca="1" si="23"/>
        <v>281</v>
      </c>
      <c r="B279" t="s">
        <v>439</v>
      </c>
      <c r="C279" t="s">
        <v>32</v>
      </c>
      <c r="D279">
        <f t="shared" ca="1" si="20"/>
        <v>28.349999999999998</v>
      </c>
      <c r="E279" s="5">
        <f t="shared" ca="1" si="24"/>
        <v>-73.73</v>
      </c>
      <c r="F279" t="str">
        <f ca="1">IF(H279&lt;=I279,"Starter",IF(G279&gt;=LARGE(G:G,FlexOn*LeagueInfo!$F$2),"Starter","Bench"))</f>
        <v>Bench</v>
      </c>
      <c r="G279">
        <f t="shared" ca="1" si="21"/>
        <v>28.349999999999998</v>
      </c>
      <c r="H279">
        <f t="shared" ca="1" si="22"/>
        <v>141</v>
      </c>
      <c r="I279">
        <f>IF(C279="RB",LeagueInfo!$D$4*LeagueInfo!$F$2,IF(C279="WR",LeagueInfo!$D$5*LeagueInfo!$F$2,IF(C279="TE",LeagueInfo!$D$6*LeagueInfo!$F$2)))</f>
        <v>24</v>
      </c>
    </row>
    <row r="280" spans="1:9" x14ac:dyDescent="0.35">
      <c r="A280">
        <f t="shared" ca="1" si="23"/>
        <v>297</v>
      </c>
      <c r="B280" t="s">
        <v>455</v>
      </c>
      <c r="C280" t="s">
        <v>40</v>
      </c>
      <c r="D280">
        <f t="shared" ca="1" si="20"/>
        <v>24.7</v>
      </c>
      <c r="E280" s="5">
        <f t="shared" ca="1" si="24"/>
        <v>-77.38</v>
      </c>
      <c r="F280" t="str">
        <f ca="1">IF(H280&lt;=I280,"Starter",IF(G280&gt;=LARGE(G:G,FlexOn*LeagueInfo!$F$2),"Starter","Bench"))</f>
        <v>Bench</v>
      </c>
      <c r="G280">
        <f t="shared" ca="1" si="21"/>
        <v>24.7</v>
      </c>
      <c r="H280">
        <f t="shared" ca="1" si="22"/>
        <v>62</v>
      </c>
      <c r="I280">
        <f>IF(C280="RB",LeagueInfo!$D$4*LeagueInfo!$F$2,IF(C280="WR",LeagueInfo!$D$5*LeagueInfo!$F$2,IF(C280="TE",LeagueInfo!$D$6*LeagueInfo!$F$2)))</f>
        <v>12</v>
      </c>
    </row>
    <row r="281" spans="1:9" x14ac:dyDescent="0.35">
      <c r="A281">
        <f t="shared" ca="1" si="23"/>
        <v>343</v>
      </c>
      <c r="B281" t="s">
        <v>943</v>
      </c>
      <c r="C281" t="s">
        <v>40</v>
      </c>
      <c r="D281">
        <f t="shared" ca="1" si="20"/>
        <v>18.990000000000002</v>
      </c>
      <c r="E281" s="5">
        <f t="shared" ca="1" si="24"/>
        <v>-83.09</v>
      </c>
      <c r="F281" t="str">
        <f ca="1">IF(H281&lt;=I281,"Starter",IF(G281&gt;=LARGE(G:G,FlexOn*LeagueInfo!$F$2),"Starter","Bench"))</f>
        <v>Bench</v>
      </c>
      <c r="G281">
        <f t="shared" ca="1" si="21"/>
        <v>18.990000000000002</v>
      </c>
      <c r="H281">
        <f t="shared" ca="1" si="22"/>
        <v>85</v>
      </c>
      <c r="I281">
        <f>IF(C281="RB",LeagueInfo!$D$4*LeagueInfo!$F$2,IF(C281="WR",LeagueInfo!$D$5*LeagueInfo!$F$2,IF(C281="TE",LeagueInfo!$D$6*LeagueInfo!$F$2)))</f>
        <v>12</v>
      </c>
    </row>
    <row r="282" spans="1:9" x14ac:dyDescent="0.35">
      <c r="A282">
        <f t="shared" ca="1" si="23"/>
        <v>362</v>
      </c>
      <c r="B282" t="s">
        <v>1088</v>
      </c>
      <c r="C282" t="s">
        <v>32</v>
      </c>
      <c r="D282">
        <f t="shared" ca="1" si="20"/>
        <v>16.059999999999999</v>
      </c>
      <c r="E282" s="5">
        <f t="shared" ca="1" si="24"/>
        <v>-86.02</v>
      </c>
      <c r="F282" t="str">
        <f ca="1">IF(H282&lt;=I282,"Starter",IF(G282&gt;=LARGE(G:G,FlexOn*LeagueInfo!$F$2),"Starter","Bench"))</f>
        <v>Bench</v>
      </c>
      <c r="G282">
        <f t="shared" ca="1" si="21"/>
        <v>16.059999999999999</v>
      </c>
      <c r="H282">
        <f t="shared" ca="1" si="22"/>
        <v>177</v>
      </c>
      <c r="I282">
        <f>IF(C282="RB",LeagueInfo!$D$4*LeagueInfo!$F$2,IF(C282="WR",LeagueInfo!$D$5*LeagueInfo!$F$2,IF(C282="TE",LeagueInfo!$D$6*LeagueInfo!$F$2)))</f>
        <v>24</v>
      </c>
    </row>
    <row r="283" spans="1:9" x14ac:dyDescent="0.35">
      <c r="A283">
        <f t="shared" ca="1" si="23"/>
        <v>305</v>
      </c>
      <c r="B283" t="s">
        <v>737</v>
      </c>
      <c r="C283" t="s">
        <v>40</v>
      </c>
      <c r="D283">
        <f t="shared" ca="1" si="20"/>
        <v>24.120000000000005</v>
      </c>
      <c r="E283" s="5">
        <f t="shared" ca="1" si="24"/>
        <v>-77.959999999999994</v>
      </c>
      <c r="F283" t="str">
        <f ca="1">IF(H283&lt;=I283,"Starter",IF(G283&gt;=LARGE(G:G,FlexOn*LeagueInfo!$F$2),"Starter","Bench"))</f>
        <v>Bench</v>
      </c>
      <c r="G283">
        <f t="shared" ca="1" si="21"/>
        <v>24.120000000000005</v>
      </c>
      <c r="H283">
        <f t="shared" ca="1" si="22"/>
        <v>67</v>
      </c>
      <c r="I283">
        <f>IF(C283="RB",LeagueInfo!$D$4*LeagueInfo!$F$2,IF(C283="WR",LeagueInfo!$D$5*LeagueInfo!$F$2,IF(C283="TE",LeagueInfo!$D$6*LeagueInfo!$F$2)))</f>
        <v>12</v>
      </c>
    </row>
    <row r="284" spans="1:9" x14ac:dyDescent="0.35">
      <c r="A284">
        <f t="shared" ca="1" si="23"/>
        <v>292</v>
      </c>
      <c r="B284" t="s">
        <v>802</v>
      </c>
      <c r="C284" t="s">
        <v>40</v>
      </c>
      <c r="D284">
        <f t="shared" ca="1" si="20"/>
        <v>25.620000000000005</v>
      </c>
      <c r="E284" s="5">
        <f t="shared" ca="1" si="24"/>
        <v>-76.459999999999994</v>
      </c>
      <c r="F284" t="str">
        <f ca="1">IF(H284&lt;=I284,"Starter",IF(G284&gt;=LARGE(G:G,FlexOn*LeagueInfo!$F$2),"Starter","Bench"))</f>
        <v>Bench</v>
      </c>
      <c r="G284">
        <f t="shared" ca="1" si="21"/>
        <v>25.620000000000005</v>
      </c>
      <c r="H284">
        <f t="shared" ca="1" si="22"/>
        <v>61</v>
      </c>
      <c r="I284">
        <f>IF(C284="RB",LeagueInfo!$D$4*LeagueInfo!$F$2,IF(C284="WR",LeagueInfo!$D$5*LeagueInfo!$F$2,IF(C284="TE",LeagueInfo!$D$6*LeagueInfo!$F$2)))</f>
        <v>12</v>
      </c>
    </row>
    <row r="285" spans="1:9" x14ac:dyDescent="0.35">
      <c r="A285">
        <f t="shared" ca="1" si="23"/>
        <v>294</v>
      </c>
      <c r="B285" t="s">
        <v>1011</v>
      </c>
      <c r="C285" t="s">
        <v>32</v>
      </c>
      <c r="D285">
        <f t="shared" ca="1" si="20"/>
        <v>25.5</v>
      </c>
      <c r="E285" s="5">
        <f t="shared" ca="1" si="24"/>
        <v>-76.58</v>
      </c>
      <c r="F285" t="str">
        <f ca="1">IF(H285&lt;=I285,"Starter",IF(G285&gt;=LARGE(G:G,FlexOn*LeagueInfo!$F$2),"Starter","Bench"))</f>
        <v>Bench</v>
      </c>
      <c r="G285">
        <f t="shared" ca="1" si="21"/>
        <v>25.5</v>
      </c>
      <c r="H285">
        <f t="shared" ca="1" si="22"/>
        <v>149</v>
      </c>
      <c r="I285">
        <f>IF(C285="RB",LeagueInfo!$D$4*LeagueInfo!$F$2,IF(C285="WR",LeagueInfo!$D$5*LeagueInfo!$F$2,IF(C285="TE",LeagueInfo!$D$6*LeagueInfo!$F$2)))</f>
        <v>24</v>
      </c>
    </row>
    <row r="286" spans="1:9" x14ac:dyDescent="0.35">
      <c r="A286">
        <f t="shared" ca="1" si="23"/>
        <v>298</v>
      </c>
      <c r="B286" t="s">
        <v>1080</v>
      </c>
      <c r="C286" t="s">
        <v>32</v>
      </c>
      <c r="D286">
        <f t="shared" ca="1" si="20"/>
        <v>24.6</v>
      </c>
      <c r="E286" s="5">
        <f t="shared" ca="1" si="24"/>
        <v>-77.47999999999999</v>
      </c>
      <c r="F286" t="str">
        <f ca="1">IF(H286&lt;=I286,"Starter",IF(G286&gt;=LARGE(G:G,FlexOn*LeagueInfo!$F$2),"Starter","Bench"))</f>
        <v>Bench</v>
      </c>
      <c r="G286">
        <f t="shared" ca="1" si="21"/>
        <v>24.6</v>
      </c>
      <c r="H286">
        <f t="shared" ca="1" si="22"/>
        <v>151</v>
      </c>
      <c r="I286">
        <f>IF(C286="RB",LeagueInfo!$D$4*LeagueInfo!$F$2,IF(C286="WR",LeagueInfo!$D$5*LeagueInfo!$F$2,IF(C286="TE",LeagueInfo!$D$6*LeagueInfo!$F$2)))</f>
        <v>24</v>
      </c>
    </row>
    <row r="287" spans="1:9" x14ac:dyDescent="0.35">
      <c r="A287">
        <f t="shared" ca="1" si="23"/>
        <v>302</v>
      </c>
      <c r="B287" t="s">
        <v>1001</v>
      </c>
      <c r="C287" t="s">
        <v>40</v>
      </c>
      <c r="D287">
        <f t="shared" ca="1" si="20"/>
        <v>24.4</v>
      </c>
      <c r="E287" s="5">
        <f t="shared" ca="1" si="24"/>
        <v>-77.680000000000007</v>
      </c>
      <c r="F287" t="str">
        <f ca="1">IF(H287&lt;=I287,"Starter",IF(G287&gt;=LARGE(G:G,FlexOn*LeagueInfo!$F$2),"Starter","Bench"))</f>
        <v>Bench</v>
      </c>
      <c r="G287">
        <f t="shared" ca="1" si="21"/>
        <v>24.4</v>
      </c>
      <c r="H287">
        <f t="shared" ca="1" si="22"/>
        <v>65</v>
      </c>
      <c r="I287">
        <f>IF(C287="RB",LeagueInfo!$D$4*LeagueInfo!$F$2,IF(C287="WR",LeagueInfo!$D$5*LeagueInfo!$F$2,IF(C287="TE",LeagueInfo!$D$6*LeagueInfo!$F$2)))</f>
        <v>12</v>
      </c>
    </row>
    <row r="288" spans="1:9" x14ac:dyDescent="0.35">
      <c r="A288">
        <f t="shared" ca="1" si="23"/>
        <v>304</v>
      </c>
      <c r="B288" t="s">
        <v>1012</v>
      </c>
      <c r="C288" t="s">
        <v>32</v>
      </c>
      <c r="D288">
        <f t="shared" ca="1" si="20"/>
        <v>24.200000000000003</v>
      </c>
      <c r="E288" s="5">
        <f t="shared" ca="1" si="24"/>
        <v>-77.88</v>
      </c>
      <c r="F288" t="str">
        <f ca="1">IF(H288&lt;=I288,"Starter",IF(G288&gt;=LARGE(G:G,FlexOn*LeagueInfo!$F$2),"Starter","Bench"))</f>
        <v>Bench</v>
      </c>
      <c r="G288">
        <f t="shared" ca="1" si="21"/>
        <v>24.200000000000003</v>
      </c>
      <c r="H288">
        <f t="shared" ca="1" si="22"/>
        <v>153</v>
      </c>
      <c r="I288">
        <f>IF(C288="RB",LeagueInfo!$D$4*LeagueInfo!$F$2,IF(C288="WR",LeagueInfo!$D$5*LeagueInfo!$F$2,IF(C288="TE",LeagueInfo!$D$6*LeagueInfo!$F$2)))</f>
        <v>24</v>
      </c>
    </row>
    <row r="289" spans="1:9" x14ac:dyDescent="0.35">
      <c r="A289">
        <f t="shared" ca="1" si="23"/>
        <v>307</v>
      </c>
      <c r="B289" t="s">
        <v>844</v>
      </c>
      <c r="C289" t="s">
        <v>40</v>
      </c>
      <c r="D289">
        <f t="shared" ca="1" si="20"/>
        <v>23.840000000000003</v>
      </c>
      <c r="E289" s="5">
        <f t="shared" ca="1" si="24"/>
        <v>-78.239999999999995</v>
      </c>
      <c r="F289" t="str">
        <f ca="1">IF(H289&lt;=I289,"Starter",IF(G289&gt;=LARGE(G:G,FlexOn*LeagueInfo!$F$2),"Starter","Bench"))</f>
        <v>Bench</v>
      </c>
      <c r="G289">
        <f t="shared" ca="1" si="21"/>
        <v>23.840000000000003</v>
      </c>
      <c r="H289">
        <f t="shared" ca="1" si="22"/>
        <v>68</v>
      </c>
      <c r="I289">
        <f>IF(C289="RB",LeagueInfo!$D$4*LeagueInfo!$F$2,IF(C289="WR",LeagueInfo!$D$5*LeagueInfo!$F$2,IF(C289="TE",LeagueInfo!$D$6*LeagueInfo!$F$2)))</f>
        <v>12</v>
      </c>
    </row>
    <row r="290" spans="1:9" x14ac:dyDescent="0.35">
      <c r="A290">
        <f t="shared" ca="1" si="23"/>
        <v>303</v>
      </c>
      <c r="B290" t="s">
        <v>941</v>
      </c>
      <c r="C290" t="s">
        <v>40</v>
      </c>
      <c r="D290">
        <f t="shared" ca="1" si="20"/>
        <v>24.25</v>
      </c>
      <c r="E290" s="5">
        <f t="shared" ca="1" si="24"/>
        <v>-77.83</v>
      </c>
      <c r="F290" t="str">
        <f ca="1">IF(H290&lt;=I290,"Starter",IF(G290&gt;=LARGE(G:G,FlexOn*LeagueInfo!$F$2),"Starter","Bench"))</f>
        <v>Bench</v>
      </c>
      <c r="G290">
        <f t="shared" ca="1" si="21"/>
        <v>24.25</v>
      </c>
      <c r="H290">
        <f t="shared" ca="1" si="22"/>
        <v>66</v>
      </c>
      <c r="I290">
        <f>IF(C290="RB",LeagueInfo!$D$4*LeagueInfo!$F$2,IF(C290="WR",LeagueInfo!$D$5*LeagueInfo!$F$2,IF(C290="TE",LeagueInfo!$D$6*LeagueInfo!$F$2)))</f>
        <v>12</v>
      </c>
    </row>
    <row r="291" spans="1:9" x14ac:dyDescent="0.35">
      <c r="A291">
        <f t="shared" ca="1" si="23"/>
        <v>295</v>
      </c>
      <c r="B291" t="s">
        <v>111</v>
      </c>
      <c r="C291" t="s">
        <v>25</v>
      </c>
      <c r="D291">
        <f t="shared" ca="1" si="20"/>
        <v>25.220000000000002</v>
      </c>
      <c r="E291" s="5">
        <f t="shared" ca="1" si="24"/>
        <v>-76.86</v>
      </c>
      <c r="F291" t="str">
        <f ca="1">IF(H291&lt;=I291,"Starter",IF(G291&gt;=LARGE(G:G,FlexOn*LeagueInfo!$F$2),"Starter","Bench"))</f>
        <v>Bench</v>
      </c>
      <c r="G291">
        <f t="shared" ca="1" si="21"/>
        <v>25.220000000000002</v>
      </c>
      <c r="H291">
        <f t="shared" ca="1" si="22"/>
        <v>96</v>
      </c>
      <c r="I291">
        <f>IF(C291="RB",LeagueInfo!$D$4*LeagueInfo!$F$2,IF(C291="WR",LeagueInfo!$D$5*LeagueInfo!$F$2,IF(C291="TE",LeagueInfo!$D$6*LeagueInfo!$F$2)))</f>
        <v>24</v>
      </c>
    </row>
    <row r="292" spans="1:9" x14ac:dyDescent="0.35">
      <c r="A292">
        <f t="shared" ca="1" si="23"/>
        <v>336</v>
      </c>
      <c r="B292" t="s">
        <v>1079</v>
      </c>
      <c r="C292" t="s">
        <v>32</v>
      </c>
      <c r="D292">
        <f t="shared" ca="1" si="20"/>
        <v>19.73</v>
      </c>
      <c r="E292" s="5">
        <f t="shared" ca="1" si="24"/>
        <v>-82.35</v>
      </c>
      <c r="F292" t="str">
        <f ca="1">IF(H292&lt;=I292,"Starter",IF(G292&gt;=LARGE(G:G,FlexOn*LeagueInfo!$F$2),"Starter","Bench"))</f>
        <v>Bench</v>
      </c>
      <c r="G292">
        <f t="shared" ca="1" si="21"/>
        <v>19.73</v>
      </c>
      <c r="H292">
        <f t="shared" ca="1" si="22"/>
        <v>165</v>
      </c>
      <c r="I292">
        <f>IF(C292="RB",LeagueInfo!$D$4*LeagueInfo!$F$2,IF(C292="WR",LeagueInfo!$D$5*LeagueInfo!$F$2,IF(C292="TE",LeagueInfo!$D$6*LeagueInfo!$F$2)))</f>
        <v>24</v>
      </c>
    </row>
    <row r="293" spans="1:9" x14ac:dyDescent="0.35">
      <c r="A293">
        <f t="shared" ca="1" si="23"/>
        <v>358</v>
      </c>
      <c r="B293" t="s">
        <v>1009</v>
      </c>
      <c r="C293" t="s">
        <v>32</v>
      </c>
      <c r="D293">
        <f t="shared" ca="1" si="20"/>
        <v>16.190000000000001</v>
      </c>
      <c r="E293" s="5">
        <f t="shared" ca="1" si="24"/>
        <v>-85.89</v>
      </c>
      <c r="F293" t="str">
        <f ca="1">IF(H293&lt;=I293,"Starter",IF(G293&gt;=LARGE(G:G,FlexOn*LeagueInfo!$F$2),"Starter","Bench"))</f>
        <v>Bench</v>
      </c>
      <c r="G293">
        <f t="shared" ca="1" si="21"/>
        <v>16.190000000000001</v>
      </c>
      <c r="H293">
        <f t="shared" ca="1" si="22"/>
        <v>174</v>
      </c>
      <c r="I293">
        <f>IF(C293="RB",LeagueInfo!$D$4*LeagueInfo!$F$2,IF(C293="WR",LeagueInfo!$D$5*LeagueInfo!$F$2,IF(C293="TE",LeagueInfo!$D$6*LeagueInfo!$F$2)))</f>
        <v>24</v>
      </c>
    </row>
    <row r="294" spans="1:9" x14ac:dyDescent="0.35">
      <c r="A294">
        <f t="shared" ca="1" si="23"/>
        <v>288</v>
      </c>
      <c r="B294" t="s">
        <v>721</v>
      </c>
      <c r="C294" t="s">
        <v>40</v>
      </c>
      <c r="D294">
        <f t="shared" ca="1" si="20"/>
        <v>26.39</v>
      </c>
      <c r="E294" s="5">
        <f t="shared" ca="1" si="24"/>
        <v>-75.69</v>
      </c>
      <c r="F294" t="str">
        <f ca="1">IF(H294&lt;=I294,"Starter",IF(G294&gt;=LARGE(G:G,FlexOn*LeagueInfo!$F$2),"Starter","Bench"))</f>
        <v>Bench</v>
      </c>
      <c r="G294">
        <f t="shared" ca="1" si="21"/>
        <v>26.39</v>
      </c>
      <c r="H294">
        <f t="shared" ca="1" si="22"/>
        <v>60</v>
      </c>
      <c r="I294">
        <f>IF(C294="RB",LeagueInfo!$D$4*LeagueInfo!$F$2,IF(C294="WR",LeagueInfo!$D$5*LeagueInfo!$F$2,IF(C294="TE",LeagueInfo!$D$6*LeagueInfo!$F$2)))</f>
        <v>12</v>
      </c>
    </row>
    <row r="295" spans="1:9" x14ac:dyDescent="0.35">
      <c r="A295">
        <f t="shared" ca="1" si="23"/>
        <v>309</v>
      </c>
      <c r="B295" t="s">
        <v>1097</v>
      </c>
      <c r="C295" t="s">
        <v>32</v>
      </c>
      <c r="D295">
        <f t="shared" ca="1" si="20"/>
        <v>23.700000000000003</v>
      </c>
      <c r="E295" s="5">
        <f t="shared" ca="1" si="24"/>
        <v>-78.38</v>
      </c>
      <c r="F295" t="str">
        <f ca="1">IF(H295&lt;=I295,"Starter",IF(G295&gt;=LARGE(G:G,FlexOn*LeagueInfo!$F$2),"Starter","Bench"))</f>
        <v>Bench</v>
      </c>
      <c r="G295">
        <f t="shared" ca="1" si="21"/>
        <v>23.700000000000003</v>
      </c>
      <c r="H295">
        <f t="shared" ca="1" si="22"/>
        <v>156</v>
      </c>
      <c r="I295">
        <f>IF(C295="RB",LeagueInfo!$D$4*LeagueInfo!$F$2,IF(C295="WR",LeagueInfo!$D$5*LeagueInfo!$F$2,IF(C295="TE",LeagueInfo!$D$6*LeagueInfo!$F$2)))</f>
        <v>24</v>
      </c>
    </row>
    <row r="296" spans="1:9" x14ac:dyDescent="0.35">
      <c r="A296">
        <f t="shared" ca="1" si="23"/>
        <v>308</v>
      </c>
      <c r="B296" t="s">
        <v>930</v>
      </c>
      <c r="C296" t="s">
        <v>32</v>
      </c>
      <c r="D296">
        <f t="shared" ca="1" si="20"/>
        <v>23.759999999999998</v>
      </c>
      <c r="E296" s="5">
        <f t="shared" ca="1" si="24"/>
        <v>-78.319999999999993</v>
      </c>
      <c r="F296" t="str">
        <f ca="1">IF(H296&lt;=I296,"Starter",IF(G296&gt;=LARGE(G:G,FlexOn*LeagueInfo!$F$2),"Starter","Bench"))</f>
        <v>Bench</v>
      </c>
      <c r="G296">
        <f t="shared" ca="1" si="21"/>
        <v>23.759999999999998</v>
      </c>
      <c r="H296">
        <f t="shared" ca="1" si="22"/>
        <v>155</v>
      </c>
      <c r="I296">
        <f>IF(C296="RB",LeagueInfo!$D$4*LeagueInfo!$F$2,IF(C296="WR",LeagueInfo!$D$5*LeagueInfo!$F$2,IF(C296="TE",LeagueInfo!$D$6*LeagueInfo!$F$2)))</f>
        <v>24</v>
      </c>
    </row>
    <row r="297" spans="1:9" x14ac:dyDescent="0.35">
      <c r="A297">
        <f t="shared" ca="1" si="23"/>
        <v>306</v>
      </c>
      <c r="B297" t="s">
        <v>1089</v>
      </c>
      <c r="C297" t="s">
        <v>32</v>
      </c>
      <c r="D297">
        <f t="shared" ca="1" si="20"/>
        <v>24</v>
      </c>
      <c r="E297" s="5">
        <f t="shared" ca="1" si="24"/>
        <v>-78.08</v>
      </c>
      <c r="F297" t="str">
        <f ca="1">IF(H297&lt;=I297,"Starter",IF(G297&gt;=LARGE(G:G,FlexOn*LeagueInfo!$F$2),"Starter","Bench"))</f>
        <v>Bench</v>
      </c>
      <c r="G297">
        <f t="shared" ca="1" si="21"/>
        <v>24</v>
      </c>
      <c r="H297">
        <f t="shared" ca="1" si="22"/>
        <v>154</v>
      </c>
      <c r="I297">
        <f>IF(C297="RB",LeagueInfo!$D$4*LeagueInfo!$F$2,IF(C297="WR",LeagueInfo!$D$5*LeagueInfo!$F$2,IF(C297="TE",LeagueInfo!$D$6*LeagueInfo!$F$2)))</f>
        <v>24</v>
      </c>
    </row>
    <row r="298" spans="1:9" x14ac:dyDescent="0.35">
      <c r="A298">
        <f t="shared" ca="1" si="23"/>
        <v>289</v>
      </c>
      <c r="B298" t="s">
        <v>932</v>
      </c>
      <c r="C298" t="s">
        <v>32</v>
      </c>
      <c r="D298">
        <f t="shared" ca="1" si="20"/>
        <v>26.200000000000003</v>
      </c>
      <c r="E298" s="5">
        <f t="shared" ca="1" si="24"/>
        <v>-75.88</v>
      </c>
      <c r="F298" t="str">
        <f ca="1">IF(H298&lt;=I298,"Starter",IF(G298&gt;=LARGE(G:G,FlexOn*LeagueInfo!$F$2),"Starter","Bench"))</f>
        <v>Bench</v>
      </c>
      <c r="G298">
        <f t="shared" ca="1" si="21"/>
        <v>26.200000000000003</v>
      </c>
      <c r="H298">
        <f t="shared" ca="1" si="22"/>
        <v>146</v>
      </c>
      <c r="I298">
        <f>IF(C298="RB",LeagueInfo!$D$4*LeagueInfo!$F$2,IF(C298="WR",LeagueInfo!$D$5*LeagueInfo!$F$2,IF(C298="TE",LeagueInfo!$D$6*LeagueInfo!$F$2)))</f>
        <v>24</v>
      </c>
    </row>
    <row r="299" spans="1:9" x14ac:dyDescent="0.35">
      <c r="A299">
        <f t="shared" ca="1" si="23"/>
        <v>299</v>
      </c>
      <c r="B299" t="s">
        <v>640</v>
      </c>
      <c r="C299" t="s">
        <v>40</v>
      </c>
      <c r="D299">
        <f t="shared" ca="1" si="20"/>
        <v>24.56</v>
      </c>
      <c r="E299" s="5">
        <f t="shared" ca="1" si="24"/>
        <v>-77.52</v>
      </c>
      <c r="F299" t="str">
        <f ca="1">IF(H299&lt;=I299,"Starter",IF(G299&gt;=LARGE(G:G,FlexOn*LeagueInfo!$F$2),"Starter","Bench"))</f>
        <v>Bench</v>
      </c>
      <c r="G299">
        <f t="shared" ca="1" si="21"/>
        <v>24.56</v>
      </c>
      <c r="H299">
        <f t="shared" ca="1" si="22"/>
        <v>63</v>
      </c>
      <c r="I299">
        <f>IF(C299="RB",LeagueInfo!$D$4*LeagueInfo!$F$2,IF(C299="WR",LeagueInfo!$D$5*LeagueInfo!$F$2,IF(C299="TE",LeagueInfo!$D$6*LeagueInfo!$F$2)))</f>
        <v>12</v>
      </c>
    </row>
    <row r="300" spans="1:9" x14ac:dyDescent="0.35">
      <c r="A300">
        <f t="shared" ca="1" si="23"/>
        <v>323</v>
      </c>
      <c r="B300" t="s">
        <v>793</v>
      </c>
      <c r="C300" t="s">
        <v>32</v>
      </c>
      <c r="D300">
        <f t="shared" ref="D300:D351" ca="1" si="25">INDEX(INDIRECT($C300&amp;"!P:P"),MATCH($B300,INDIRECT($C300&amp;"!B:B"),0))</f>
        <v>21.840000000000003</v>
      </c>
      <c r="E300" s="5">
        <f t="shared" ca="1" si="24"/>
        <v>-80.239999999999995</v>
      </c>
      <c r="F300" t="str">
        <f ca="1">IF(H300&lt;=I300,"Starter",IF(G300&gt;=LARGE(G:G,FlexOn*LeagueInfo!$F$2),"Starter","Bench"))</f>
        <v>Bench</v>
      </c>
      <c r="G300">
        <f t="shared" ref="G300:G351" ca="1" si="26">IF(H300&gt;I300,D300,0)</f>
        <v>21.840000000000003</v>
      </c>
      <c r="H300">
        <f t="shared" ref="H300:H351" ca="1" si="27">INDEX(INDIRECT(""&amp;C300&amp;"!A2:A409"),MATCH(B300,INDIRECT(""&amp;C300&amp;"!B2:B409"),0))</f>
        <v>162</v>
      </c>
      <c r="I300">
        <f>IF(C300="RB",LeagueInfo!$D$4*LeagueInfo!$F$2,IF(C300="WR",LeagueInfo!$D$5*LeagueInfo!$F$2,IF(C300="TE",LeagueInfo!$D$6*LeagueInfo!$F$2)))</f>
        <v>24</v>
      </c>
    </row>
    <row r="301" spans="1:9" x14ac:dyDescent="0.35">
      <c r="A301">
        <f t="shared" ca="1" si="23"/>
        <v>296</v>
      </c>
      <c r="B301" t="s">
        <v>1096</v>
      </c>
      <c r="C301" t="s">
        <v>32</v>
      </c>
      <c r="D301">
        <f t="shared" ca="1" si="25"/>
        <v>25.21</v>
      </c>
      <c r="E301" s="5">
        <f t="shared" ca="1" si="24"/>
        <v>-76.87</v>
      </c>
      <c r="F301" t="str">
        <f ca="1">IF(H301&lt;=I301,"Starter",IF(G301&gt;=LARGE(G:G,FlexOn*LeagueInfo!$F$2),"Starter","Bench"))</f>
        <v>Bench</v>
      </c>
      <c r="G301">
        <f t="shared" ca="1" si="26"/>
        <v>25.21</v>
      </c>
      <c r="H301">
        <f t="shared" ca="1" si="27"/>
        <v>150</v>
      </c>
      <c r="I301">
        <f>IF(C301="RB",LeagueInfo!$D$4*LeagueInfo!$F$2,IF(C301="WR",LeagueInfo!$D$5*LeagueInfo!$F$2,IF(C301="TE",LeagueInfo!$D$6*LeagueInfo!$F$2)))</f>
        <v>24</v>
      </c>
    </row>
    <row r="302" spans="1:9" x14ac:dyDescent="0.35">
      <c r="A302">
        <f t="shared" ca="1" si="23"/>
        <v>282</v>
      </c>
      <c r="B302" t="s">
        <v>763</v>
      </c>
      <c r="C302" t="s">
        <v>40</v>
      </c>
      <c r="D302">
        <f t="shared" ca="1" si="25"/>
        <v>28.310000000000002</v>
      </c>
      <c r="E302" s="5">
        <f t="shared" ca="1" si="24"/>
        <v>-73.77</v>
      </c>
      <c r="F302" t="str">
        <f ca="1">IF(H302&lt;=I302,"Starter",IF(G302&gt;=LARGE(G:G,FlexOn*LeagueInfo!$F$2),"Starter","Bench"))</f>
        <v>Bench</v>
      </c>
      <c r="G302">
        <f t="shared" ca="1" si="26"/>
        <v>28.310000000000002</v>
      </c>
      <c r="H302">
        <f t="shared" ca="1" si="27"/>
        <v>59</v>
      </c>
      <c r="I302">
        <f>IF(C302="RB",LeagueInfo!$D$4*LeagueInfo!$F$2,IF(C302="WR",LeagueInfo!$D$5*LeagueInfo!$F$2,IF(C302="TE",LeagueInfo!$D$6*LeagueInfo!$F$2)))</f>
        <v>12</v>
      </c>
    </row>
    <row r="303" spans="1:9" x14ac:dyDescent="0.35">
      <c r="A303">
        <f t="shared" ca="1" si="23"/>
        <v>364</v>
      </c>
      <c r="B303" t="s">
        <v>704</v>
      </c>
      <c r="C303" t="s">
        <v>40</v>
      </c>
      <c r="D303">
        <f t="shared" ca="1" si="25"/>
        <v>15.86</v>
      </c>
      <c r="E303" s="5">
        <f t="shared" ca="1" si="24"/>
        <v>-86.22</v>
      </c>
      <c r="F303" t="str">
        <f ca="1">IF(H303&lt;=I303,"Starter",IF(G303&gt;=LARGE(G:G,FlexOn*LeagueInfo!$F$2),"Starter","Bench"))</f>
        <v>Bench</v>
      </c>
      <c r="G303">
        <f t="shared" ca="1" si="26"/>
        <v>15.86</v>
      </c>
      <c r="H303">
        <f t="shared" ca="1" si="27"/>
        <v>92</v>
      </c>
      <c r="I303">
        <f>IF(C303="RB",LeagueInfo!$D$4*LeagueInfo!$F$2,IF(C303="WR",LeagueInfo!$D$5*LeagueInfo!$F$2,IF(C303="TE",LeagueInfo!$D$6*LeagueInfo!$F$2)))</f>
        <v>12</v>
      </c>
    </row>
    <row r="304" spans="1:9" x14ac:dyDescent="0.35">
      <c r="A304">
        <f t="shared" ca="1" si="23"/>
        <v>334</v>
      </c>
      <c r="B304" t="s">
        <v>648</v>
      </c>
      <c r="C304" t="s">
        <v>40</v>
      </c>
      <c r="D304">
        <f t="shared" ca="1" si="25"/>
        <v>20</v>
      </c>
      <c r="E304" s="5">
        <f t="shared" ca="1" si="24"/>
        <v>-82.08</v>
      </c>
      <c r="F304" t="str">
        <f ca="1">IF(H304&lt;=I304,"Starter",IF(G304&gt;=LARGE(G:G,FlexOn*LeagueInfo!$F$2),"Starter","Bench"))</f>
        <v>Bench</v>
      </c>
      <c r="G304">
        <f t="shared" ca="1" si="26"/>
        <v>20</v>
      </c>
      <c r="H304">
        <f t="shared" ca="1" si="27"/>
        <v>81</v>
      </c>
      <c r="I304">
        <f>IF(C304="RB",LeagueInfo!$D$4*LeagueInfo!$F$2,IF(C304="WR",LeagueInfo!$D$5*LeagueInfo!$F$2,IF(C304="TE",LeagueInfo!$D$6*LeagueInfo!$F$2)))</f>
        <v>12</v>
      </c>
    </row>
    <row r="305" spans="1:9" x14ac:dyDescent="0.35">
      <c r="A305">
        <f t="shared" ca="1" si="23"/>
        <v>324</v>
      </c>
      <c r="B305" t="s">
        <v>945</v>
      </c>
      <c r="C305" t="s">
        <v>40</v>
      </c>
      <c r="D305">
        <f t="shared" ca="1" si="25"/>
        <v>21.700000000000003</v>
      </c>
      <c r="E305" s="5">
        <f t="shared" ca="1" si="24"/>
        <v>-80.38</v>
      </c>
      <c r="F305" t="str">
        <f ca="1">IF(H305&lt;=I305,"Starter",IF(G305&gt;=LARGE(G:G,FlexOn*LeagueInfo!$F$2),"Starter","Bench"))</f>
        <v>Bench</v>
      </c>
      <c r="G305">
        <f t="shared" ca="1" si="26"/>
        <v>21.700000000000003</v>
      </c>
      <c r="H305">
        <f t="shared" ca="1" si="27"/>
        <v>75</v>
      </c>
      <c r="I305">
        <f>IF(C305="RB",LeagueInfo!$D$4*LeagueInfo!$F$2,IF(C305="WR",LeagueInfo!$D$5*LeagueInfo!$F$2,IF(C305="TE",LeagueInfo!$D$6*LeagueInfo!$F$2)))</f>
        <v>12</v>
      </c>
    </row>
    <row r="306" spans="1:9" x14ac:dyDescent="0.35">
      <c r="A306">
        <f t="shared" ca="1" si="23"/>
        <v>301</v>
      </c>
      <c r="B306" t="s">
        <v>372</v>
      </c>
      <c r="C306" t="s">
        <v>40</v>
      </c>
      <c r="D306">
        <f t="shared" ca="1" si="25"/>
        <v>24.52</v>
      </c>
      <c r="E306" s="5">
        <f t="shared" ca="1" si="24"/>
        <v>-77.56</v>
      </c>
      <c r="F306" t="str">
        <f ca="1">IF(H306&lt;=I306,"Starter",IF(G306&gt;=LARGE(G:G,FlexOn*LeagueInfo!$F$2),"Starter","Bench"))</f>
        <v>Bench</v>
      </c>
      <c r="G306">
        <f t="shared" ca="1" si="26"/>
        <v>24.52</v>
      </c>
      <c r="H306">
        <f t="shared" ca="1" si="27"/>
        <v>64</v>
      </c>
      <c r="I306">
        <f>IF(C306="RB",LeagueInfo!$D$4*LeagueInfo!$F$2,IF(C306="WR",LeagueInfo!$D$5*LeagueInfo!$F$2,IF(C306="TE",LeagueInfo!$D$6*LeagueInfo!$F$2)))</f>
        <v>12</v>
      </c>
    </row>
    <row r="307" spans="1:9" x14ac:dyDescent="0.35">
      <c r="A307">
        <f t="shared" ca="1" si="23"/>
        <v>293</v>
      </c>
      <c r="B307" t="s">
        <v>934</v>
      </c>
      <c r="C307" t="s">
        <v>32</v>
      </c>
      <c r="D307">
        <f t="shared" ca="1" si="25"/>
        <v>25.549999999999997</v>
      </c>
      <c r="E307" s="5">
        <f t="shared" ca="1" si="24"/>
        <v>-76.53</v>
      </c>
      <c r="F307" t="str">
        <f ca="1">IF(H307&lt;=I307,"Starter",IF(G307&gt;=LARGE(G:G,FlexOn*LeagueInfo!$F$2),"Starter","Bench"))</f>
        <v>Bench</v>
      </c>
      <c r="G307">
        <f t="shared" ca="1" si="26"/>
        <v>25.549999999999997</v>
      </c>
      <c r="H307">
        <f t="shared" ca="1" si="27"/>
        <v>148</v>
      </c>
      <c r="I307">
        <f>IF(C307="RB",LeagueInfo!$D$4*LeagueInfo!$F$2,IF(C307="WR",LeagueInfo!$D$5*LeagueInfo!$F$2,IF(C307="TE",LeagueInfo!$D$6*LeagueInfo!$F$2)))</f>
        <v>24</v>
      </c>
    </row>
    <row r="308" spans="1:9" x14ac:dyDescent="0.35">
      <c r="A308">
        <f t="shared" ca="1" si="23"/>
        <v>348</v>
      </c>
      <c r="B308" t="s">
        <v>994</v>
      </c>
      <c r="C308" t="s">
        <v>25</v>
      </c>
      <c r="D308">
        <f t="shared" ca="1" si="25"/>
        <v>18.07</v>
      </c>
      <c r="E308" s="5">
        <f t="shared" ca="1" si="24"/>
        <v>-84.009999999999991</v>
      </c>
      <c r="F308" t="str">
        <f ca="1">IF(H308&lt;=I308,"Starter",IF(G308&gt;=LARGE(G:G,FlexOn*LeagueInfo!$F$2),"Starter","Bench"))</f>
        <v>Bench</v>
      </c>
      <c r="G308">
        <f t="shared" ca="1" si="26"/>
        <v>18.07</v>
      </c>
      <c r="H308">
        <f t="shared" ca="1" si="27"/>
        <v>106</v>
      </c>
      <c r="I308">
        <f>IF(C308="RB",LeagueInfo!$D$4*LeagueInfo!$F$2,IF(C308="WR",LeagueInfo!$D$5*LeagueInfo!$F$2,IF(C308="TE",LeagueInfo!$D$6*LeagueInfo!$F$2)))</f>
        <v>24</v>
      </c>
    </row>
    <row r="309" spans="1:9" x14ac:dyDescent="0.35">
      <c r="A309">
        <f t="shared" ca="1" si="23"/>
        <v>337</v>
      </c>
      <c r="B309" t="s">
        <v>808</v>
      </c>
      <c r="C309" t="s">
        <v>32</v>
      </c>
      <c r="D309">
        <f t="shared" ca="1" si="25"/>
        <v>19.48</v>
      </c>
      <c r="E309" s="5">
        <f t="shared" ca="1" si="24"/>
        <v>-82.6</v>
      </c>
      <c r="F309" t="str">
        <f ca="1">IF(H309&lt;=I309,"Starter",IF(G309&gt;=LARGE(G:G,FlexOn*LeagueInfo!$F$2),"Starter","Bench"))</f>
        <v>Bench</v>
      </c>
      <c r="G309">
        <f t="shared" ca="1" si="26"/>
        <v>19.48</v>
      </c>
      <c r="H309">
        <f t="shared" ca="1" si="27"/>
        <v>166</v>
      </c>
      <c r="I309">
        <f>IF(C309="RB",LeagueInfo!$D$4*LeagueInfo!$F$2,IF(C309="WR",LeagueInfo!$D$5*LeagueInfo!$F$2,IF(C309="TE",LeagueInfo!$D$6*LeagueInfo!$F$2)))</f>
        <v>24</v>
      </c>
    </row>
    <row r="310" spans="1:9" x14ac:dyDescent="0.35">
      <c r="A310">
        <f t="shared" ca="1" si="23"/>
        <v>413</v>
      </c>
      <c r="B310" t="s">
        <v>356</v>
      </c>
      <c r="C310" t="s">
        <v>25</v>
      </c>
      <c r="D310">
        <f t="shared" ca="1" si="25"/>
        <v>7.1899999999999995</v>
      </c>
      <c r="E310" s="5">
        <f t="shared" ca="1" si="24"/>
        <v>-94.89</v>
      </c>
      <c r="F310" t="str">
        <f ca="1">IF(H310&lt;=I310,"Starter",IF(G310&gt;=LARGE(G:G,FlexOn*LeagueInfo!$F$2),"Starter","Bench"))</f>
        <v>Bench</v>
      </c>
      <c r="G310">
        <f t="shared" ca="1" si="26"/>
        <v>7.1899999999999995</v>
      </c>
      <c r="H310">
        <f t="shared" ca="1" si="27"/>
        <v>125</v>
      </c>
      <c r="I310">
        <f>IF(C310="RB",LeagueInfo!$D$4*LeagueInfo!$F$2,IF(C310="WR",LeagueInfo!$D$5*LeagueInfo!$F$2,IF(C310="TE",LeagueInfo!$D$6*LeagueInfo!$F$2)))</f>
        <v>24</v>
      </c>
    </row>
    <row r="311" spans="1:9" x14ac:dyDescent="0.35">
      <c r="A311">
        <f t="shared" ca="1" si="23"/>
        <v>314</v>
      </c>
      <c r="B311" t="s">
        <v>950</v>
      </c>
      <c r="C311" t="s">
        <v>40</v>
      </c>
      <c r="D311">
        <f t="shared" ca="1" si="25"/>
        <v>23.050000000000004</v>
      </c>
      <c r="E311" s="5">
        <f t="shared" ca="1" si="24"/>
        <v>-79.03</v>
      </c>
      <c r="F311" t="str">
        <f ca="1">IF(H311&lt;=I311,"Starter",IF(G311&gt;=LARGE(G:G,FlexOn*LeagueInfo!$F$2),"Starter","Bench"))</f>
        <v>Bench</v>
      </c>
      <c r="G311">
        <f t="shared" ca="1" si="26"/>
        <v>23.050000000000004</v>
      </c>
      <c r="H311">
        <f t="shared" ca="1" si="27"/>
        <v>70</v>
      </c>
      <c r="I311">
        <f>IF(C311="RB",LeagueInfo!$D$4*LeagueInfo!$F$2,IF(C311="WR",LeagueInfo!$D$5*LeagueInfo!$F$2,IF(C311="TE",LeagueInfo!$D$6*LeagueInfo!$F$2)))</f>
        <v>12</v>
      </c>
    </row>
    <row r="312" spans="1:9" x14ac:dyDescent="0.35">
      <c r="A312">
        <f t="shared" ca="1" si="23"/>
        <v>374</v>
      </c>
      <c r="B312" t="s">
        <v>505</v>
      </c>
      <c r="C312" t="s">
        <v>32</v>
      </c>
      <c r="D312">
        <f t="shared" ca="1" si="25"/>
        <v>14.799999999999999</v>
      </c>
      <c r="E312" s="5">
        <f t="shared" ca="1" si="24"/>
        <v>-87.28</v>
      </c>
      <c r="F312" t="str">
        <f ca="1">IF(H312&lt;=I312,"Starter",IF(G312&gt;=LARGE(G:G,FlexOn*LeagueInfo!$F$2),"Starter","Bench"))</f>
        <v>Bench</v>
      </c>
      <c r="G312">
        <f t="shared" ca="1" si="26"/>
        <v>14.799999999999999</v>
      </c>
      <c r="H312">
        <f t="shared" ca="1" si="27"/>
        <v>184</v>
      </c>
      <c r="I312">
        <f>IF(C312="RB",LeagueInfo!$D$4*LeagueInfo!$F$2,IF(C312="WR",LeagueInfo!$D$5*LeagueInfo!$F$2,IF(C312="TE",LeagueInfo!$D$6*LeagueInfo!$F$2)))</f>
        <v>24</v>
      </c>
    </row>
    <row r="313" spans="1:9" x14ac:dyDescent="0.35">
      <c r="A313">
        <f t="shared" ca="1" si="23"/>
        <v>317</v>
      </c>
      <c r="B313" t="s">
        <v>783</v>
      </c>
      <c r="C313" t="s">
        <v>25</v>
      </c>
      <c r="D313">
        <f t="shared" ca="1" si="25"/>
        <v>22.71</v>
      </c>
      <c r="E313" s="5">
        <f t="shared" ca="1" si="24"/>
        <v>-79.37</v>
      </c>
      <c r="F313" t="str">
        <f ca="1">IF(H313&lt;=I313,"Starter",IF(G313&gt;=LARGE(G:G,FlexOn*LeagueInfo!$F$2),"Starter","Bench"))</f>
        <v>Bench</v>
      </c>
      <c r="G313">
        <f t="shared" ca="1" si="26"/>
        <v>22.71</v>
      </c>
      <c r="H313">
        <f t="shared" ca="1" si="27"/>
        <v>98</v>
      </c>
      <c r="I313">
        <f>IF(C313="RB",LeagueInfo!$D$4*LeagueInfo!$F$2,IF(C313="WR",LeagueInfo!$D$5*LeagueInfo!$F$2,IF(C313="TE",LeagueInfo!$D$6*LeagueInfo!$F$2)))</f>
        <v>24</v>
      </c>
    </row>
    <row r="314" spans="1:9" x14ac:dyDescent="0.35">
      <c r="A314">
        <f t="shared" ca="1" si="23"/>
        <v>325</v>
      </c>
      <c r="B314" t="s">
        <v>476</v>
      </c>
      <c r="C314" t="s">
        <v>25</v>
      </c>
      <c r="D314">
        <f t="shared" ca="1" si="25"/>
        <v>21.460000000000004</v>
      </c>
      <c r="E314" s="5">
        <f t="shared" ca="1" si="24"/>
        <v>-80.61999999999999</v>
      </c>
      <c r="F314" t="str">
        <f ca="1">IF(H314&lt;=I314,"Starter",IF(G314&gt;=LARGE(G:G,FlexOn*LeagueInfo!$F$2),"Starter","Bench"))</f>
        <v>Bench</v>
      </c>
      <c r="G314">
        <f t="shared" ca="1" si="26"/>
        <v>21.460000000000004</v>
      </c>
      <c r="H314">
        <f t="shared" ca="1" si="27"/>
        <v>101</v>
      </c>
      <c r="I314">
        <f>IF(C314="RB",LeagueInfo!$D$4*LeagueInfo!$F$2,IF(C314="WR",LeagueInfo!$D$5*LeagueInfo!$F$2,IF(C314="TE",LeagueInfo!$D$6*LeagueInfo!$F$2)))</f>
        <v>24</v>
      </c>
    </row>
    <row r="315" spans="1:9" x14ac:dyDescent="0.35">
      <c r="A315">
        <f t="shared" ca="1" si="23"/>
        <v>326</v>
      </c>
      <c r="B315" t="s">
        <v>618</v>
      </c>
      <c r="C315" t="s">
        <v>25</v>
      </c>
      <c r="D315">
        <f t="shared" ca="1" si="25"/>
        <v>21.3</v>
      </c>
      <c r="E315" s="5">
        <f t="shared" ca="1" si="24"/>
        <v>-80.78</v>
      </c>
      <c r="F315" t="str">
        <f ca="1">IF(H315&lt;=I315,"Starter",IF(G315&gt;=LARGE(G:G,FlexOn*LeagueInfo!$F$2),"Starter","Bench"))</f>
        <v>Bench</v>
      </c>
      <c r="G315">
        <f t="shared" ca="1" si="26"/>
        <v>21.3</v>
      </c>
      <c r="H315">
        <f t="shared" ca="1" si="27"/>
        <v>102</v>
      </c>
      <c r="I315">
        <f>IF(C315="RB",LeagueInfo!$D$4*LeagueInfo!$F$2,IF(C315="WR",LeagueInfo!$D$5*LeagueInfo!$F$2,IF(C315="TE",LeagueInfo!$D$6*LeagueInfo!$F$2)))</f>
        <v>24</v>
      </c>
    </row>
    <row r="316" spans="1:9" x14ac:dyDescent="0.35">
      <c r="A316">
        <f t="shared" ca="1" si="23"/>
        <v>340</v>
      </c>
      <c r="B316" t="s">
        <v>593</v>
      </c>
      <c r="C316" t="s">
        <v>32</v>
      </c>
      <c r="D316">
        <f t="shared" ca="1" si="25"/>
        <v>19.240000000000002</v>
      </c>
      <c r="E316" s="5">
        <f t="shared" ca="1" si="24"/>
        <v>-82.84</v>
      </c>
      <c r="F316" t="str">
        <f ca="1">IF(H316&lt;=I316,"Starter",IF(G316&gt;=LARGE(G:G,FlexOn*LeagueInfo!$F$2),"Starter","Bench"))</f>
        <v>Bench</v>
      </c>
      <c r="G316">
        <f t="shared" ca="1" si="26"/>
        <v>19.240000000000002</v>
      </c>
      <c r="H316">
        <f t="shared" ca="1" si="27"/>
        <v>167</v>
      </c>
      <c r="I316">
        <f>IF(C316="RB",LeagueInfo!$D$4*LeagueInfo!$F$2,IF(C316="WR",LeagueInfo!$D$5*LeagueInfo!$F$2,IF(C316="TE",LeagueInfo!$D$6*LeagueInfo!$F$2)))</f>
        <v>24</v>
      </c>
    </row>
    <row r="317" spans="1:9" x14ac:dyDescent="0.35">
      <c r="A317">
        <f t="shared" ca="1" si="23"/>
        <v>315</v>
      </c>
      <c r="B317" t="s">
        <v>375</v>
      </c>
      <c r="C317" t="s">
        <v>40</v>
      </c>
      <c r="D317">
        <f t="shared" ca="1" si="25"/>
        <v>22.92</v>
      </c>
      <c r="E317" s="5">
        <f t="shared" ca="1" si="24"/>
        <v>-79.16</v>
      </c>
      <c r="F317" t="str">
        <f ca="1">IF(H317&lt;=I317,"Starter",IF(G317&gt;=LARGE(G:G,FlexOn*LeagueInfo!$F$2),"Starter","Bench"))</f>
        <v>Bench</v>
      </c>
      <c r="G317">
        <f t="shared" ca="1" si="26"/>
        <v>22.92</v>
      </c>
      <c r="H317">
        <f t="shared" ca="1" si="27"/>
        <v>71</v>
      </c>
      <c r="I317">
        <f>IF(C317="RB",LeagueInfo!$D$4*LeagueInfo!$F$2,IF(C317="WR",LeagueInfo!$D$5*LeagueInfo!$F$2,IF(C317="TE",LeagueInfo!$D$6*LeagueInfo!$F$2)))</f>
        <v>12</v>
      </c>
    </row>
    <row r="318" spans="1:9" x14ac:dyDescent="0.35">
      <c r="A318">
        <f t="shared" ca="1" si="23"/>
        <v>329</v>
      </c>
      <c r="B318" t="s">
        <v>526</v>
      </c>
      <c r="C318" t="s">
        <v>25</v>
      </c>
      <c r="D318">
        <f t="shared" ca="1" si="25"/>
        <v>20.810000000000006</v>
      </c>
      <c r="E318" s="5">
        <f t="shared" ca="1" si="24"/>
        <v>-81.27</v>
      </c>
      <c r="F318" t="str">
        <f ca="1">IF(H318&lt;=I318,"Starter",IF(G318&gt;=LARGE(G:G,FlexOn*LeagueInfo!$F$2),"Starter","Bench"))</f>
        <v>Bench</v>
      </c>
      <c r="G318">
        <f t="shared" ca="1" si="26"/>
        <v>20.810000000000006</v>
      </c>
      <c r="H318">
        <f t="shared" ca="1" si="27"/>
        <v>103</v>
      </c>
      <c r="I318">
        <f>IF(C318="RB",LeagueInfo!$D$4*LeagueInfo!$F$2,IF(C318="WR",LeagueInfo!$D$5*LeagueInfo!$F$2,IF(C318="TE",LeagueInfo!$D$6*LeagueInfo!$F$2)))</f>
        <v>24</v>
      </c>
    </row>
    <row r="319" spans="1:9" x14ac:dyDescent="0.35">
      <c r="A319">
        <f t="shared" ca="1" si="23"/>
        <v>275</v>
      </c>
      <c r="B319" t="s">
        <v>931</v>
      </c>
      <c r="C319" t="s">
        <v>32</v>
      </c>
      <c r="D319">
        <f t="shared" ca="1" si="25"/>
        <v>29.71</v>
      </c>
      <c r="E319" s="5">
        <f t="shared" ca="1" si="24"/>
        <v>-72.37</v>
      </c>
      <c r="F319" t="str">
        <f ca="1">IF(H319&lt;=I319,"Starter",IF(G319&gt;=LARGE(G:G,FlexOn*LeagueInfo!$F$2),"Starter","Bench"))</f>
        <v>Bench</v>
      </c>
      <c r="G319">
        <f t="shared" ca="1" si="26"/>
        <v>29.71</v>
      </c>
      <c r="H319">
        <f t="shared" ca="1" si="27"/>
        <v>137</v>
      </c>
      <c r="I319">
        <f>IF(C319="RB",LeagueInfo!$D$4*LeagueInfo!$F$2,IF(C319="WR",LeagueInfo!$D$5*LeagueInfo!$F$2,IF(C319="TE",LeagueInfo!$D$6*LeagueInfo!$F$2)))</f>
        <v>24</v>
      </c>
    </row>
    <row r="320" spans="1:9" x14ac:dyDescent="0.35">
      <c r="A320">
        <f t="shared" ca="1" si="23"/>
        <v>332</v>
      </c>
      <c r="B320" t="s">
        <v>947</v>
      </c>
      <c r="C320" t="s">
        <v>40</v>
      </c>
      <c r="D320">
        <f t="shared" ca="1" si="25"/>
        <v>20.25</v>
      </c>
      <c r="E320" s="5">
        <f t="shared" ca="1" si="24"/>
        <v>-81.83</v>
      </c>
      <c r="F320" t="str">
        <f ca="1">IF(H320&lt;=I320,"Starter",IF(G320&gt;=LARGE(G:G,FlexOn*LeagueInfo!$F$2),"Starter","Bench"))</f>
        <v>Bench</v>
      </c>
      <c r="G320">
        <f t="shared" ca="1" si="26"/>
        <v>20.25</v>
      </c>
      <c r="H320">
        <f t="shared" ca="1" si="27"/>
        <v>79</v>
      </c>
      <c r="I320">
        <f>IF(C320="RB",LeagueInfo!$D$4*LeagueInfo!$F$2,IF(C320="WR",LeagueInfo!$D$5*LeagueInfo!$F$2,IF(C320="TE",LeagueInfo!$D$6*LeagueInfo!$F$2)))</f>
        <v>12</v>
      </c>
    </row>
    <row r="321" spans="1:9" x14ac:dyDescent="0.35">
      <c r="A321">
        <f t="shared" ca="1" si="23"/>
        <v>300</v>
      </c>
      <c r="B321" t="s">
        <v>563</v>
      </c>
      <c r="C321" t="s">
        <v>32</v>
      </c>
      <c r="D321">
        <f t="shared" ca="1" si="25"/>
        <v>24.55</v>
      </c>
      <c r="E321" s="5">
        <f t="shared" ca="1" si="24"/>
        <v>-77.53</v>
      </c>
      <c r="F321" t="str">
        <f ca="1">IF(H321&lt;=I321,"Starter",IF(G321&gt;=LARGE(G:G,FlexOn*LeagueInfo!$F$2),"Starter","Bench"))</f>
        <v>Bench</v>
      </c>
      <c r="G321">
        <f t="shared" ca="1" si="26"/>
        <v>24.55</v>
      </c>
      <c r="H321">
        <f t="shared" ca="1" si="27"/>
        <v>152</v>
      </c>
      <c r="I321">
        <f>IF(C321="RB",LeagueInfo!$D$4*LeagueInfo!$F$2,IF(C321="WR",LeagueInfo!$D$5*LeagueInfo!$F$2,IF(C321="TE",LeagueInfo!$D$6*LeagueInfo!$F$2)))</f>
        <v>24</v>
      </c>
    </row>
    <row r="322" spans="1:9" x14ac:dyDescent="0.35">
      <c r="A322">
        <f t="shared" ref="A322:A385" ca="1" si="28">RANK(E322,E:E)</f>
        <v>291</v>
      </c>
      <c r="B322" t="s">
        <v>755</v>
      </c>
      <c r="C322" t="s">
        <v>25</v>
      </c>
      <c r="D322">
        <f t="shared" ca="1" si="25"/>
        <v>26.17</v>
      </c>
      <c r="E322" s="5">
        <f t="shared" ref="E322:E385" ca="1" si="29">D322-LARGE(D:D,RBCount+WRCount+TECount)</f>
        <v>-75.91</v>
      </c>
      <c r="F322" t="str">
        <f ca="1">IF(H322&lt;=I322,"Starter",IF(G322&gt;=LARGE(G:G,FlexOn*LeagueInfo!$F$2),"Starter","Bench"))</f>
        <v>Bench</v>
      </c>
      <c r="G322">
        <f t="shared" ca="1" si="26"/>
        <v>26.17</v>
      </c>
      <c r="H322">
        <f t="shared" ca="1" si="27"/>
        <v>95</v>
      </c>
      <c r="I322">
        <f>IF(C322="RB",LeagueInfo!$D$4*LeagueInfo!$F$2,IF(C322="WR",LeagueInfo!$D$5*LeagueInfo!$F$2,IF(C322="TE",LeagueInfo!$D$6*LeagueInfo!$F$2)))</f>
        <v>24</v>
      </c>
    </row>
    <row r="323" spans="1:9" x14ac:dyDescent="0.35">
      <c r="A323">
        <f t="shared" ca="1" si="28"/>
        <v>333</v>
      </c>
      <c r="B323" t="s">
        <v>741</v>
      </c>
      <c r="C323" t="s">
        <v>40</v>
      </c>
      <c r="D323">
        <f t="shared" ca="1" si="25"/>
        <v>20.059999999999999</v>
      </c>
      <c r="E323" s="5">
        <f t="shared" ca="1" si="29"/>
        <v>-82.02</v>
      </c>
      <c r="F323" t="str">
        <f ca="1">IF(H323&lt;=I323,"Starter",IF(G323&gt;=LARGE(G:G,FlexOn*LeagueInfo!$F$2),"Starter","Bench"))</f>
        <v>Bench</v>
      </c>
      <c r="G323">
        <f t="shared" ca="1" si="26"/>
        <v>20.059999999999999</v>
      </c>
      <c r="H323">
        <f t="shared" ca="1" si="27"/>
        <v>80</v>
      </c>
      <c r="I323">
        <f>IF(C323="RB",LeagueInfo!$D$4*LeagueInfo!$F$2,IF(C323="WR",LeagueInfo!$D$5*LeagueInfo!$F$2,IF(C323="TE",LeagueInfo!$D$6*LeagueInfo!$F$2)))</f>
        <v>12</v>
      </c>
    </row>
    <row r="324" spans="1:9" x14ac:dyDescent="0.35">
      <c r="A324">
        <f t="shared" ca="1" si="28"/>
        <v>319</v>
      </c>
      <c r="B324" t="s">
        <v>700</v>
      </c>
      <c r="C324" t="s">
        <v>40</v>
      </c>
      <c r="D324">
        <f t="shared" ca="1" si="25"/>
        <v>22.39</v>
      </c>
      <c r="E324" s="5">
        <f t="shared" ca="1" si="29"/>
        <v>-79.69</v>
      </c>
      <c r="F324" t="str">
        <f ca="1">IF(H324&lt;=I324,"Starter",IF(G324&gt;=LARGE(G:G,FlexOn*LeagueInfo!$F$2),"Starter","Bench"))</f>
        <v>Bench</v>
      </c>
      <c r="G324">
        <f t="shared" ca="1" si="26"/>
        <v>22.39</v>
      </c>
      <c r="H324">
        <f t="shared" ca="1" si="27"/>
        <v>72</v>
      </c>
      <c r="I324">
        <f>IF(C324="RB",LeagueInfo!$D$4*LeagueInfo!$F$2,IF(C324="WR",LeagueInfo!$D$5*LeagueInfo!$F$2,IF(C324="TE",LeagueInfo!$D$6*LeagueInfo!$F$2)))</f>
        <v>12</v>
      </c>
    </row>
    <row r="325" spans="1:9" x14ac:dyDescent="0.35">
      <c r="A325">
        <f t="shared" ca="1" si="28"/>
        <v>330</v>
      </c>
      <c r="B325" t="s">
        <v>942</v>
      </c>
      <c r="C325" t="s">
        <v>40</v>
      </c>
      <c r="D325">
        <f t="shared" ca="1" si="25"/>
        <v>20.380000000000003</v>
      </c>
      <c r="E325" s="5">
        <f t="shared" ca="1" si="29"/>
        <v>-81.699999999999989</v>
      </c>
      <c r="F325" t="str">
        <f ca="1">IF(H325&lt;=I325,"Starter",IF(G325&gt;=LARGE(G:G,FlexOn*LeagueInfo!$F$2),"Starter","Bench"))</f>
        <v>Bench</v>
      </c>
      <c r="G325">
        <f t="shared" ca="1" si="26"/>
        <v>20.380000000000003</v>
      </c>
      <c r="H325">
        <f t="shared" ca="1" si="27"/>
        <v>78</v>
      </c>
      <c r="I325">
        <f>IF(C325="RB",LeagueInfo!$D$4*LeagueInfo!$F$2,IF(C325="WR",LeagueInfo!$D$5*LeagueInfo!$F$2,IF(C325="TE",LeagueInfo!$D$6*LeagueInfo!$F$2)))</f>
        <v>12</v>
      </c>
    </row>
    <row r="326" spans="1:9" x14ac:dyDescent="0.35">
      <c r="A326">
        <f t="shared" ca="1" si="28"/>
        <v>335</v>
      </c>
      <c r="B326" t="s">
        <v>951</v>
      </c>
      <c r="C326" t="s">
        <v>40</v>
      </c>
      <c r="D326">
        <f t="shared" ca="1" si="25"/>
        <v>19.810000000000002</v>
      </c>
      <c r="E326" s="5">
        <f t="shared" ca="1" si="29"/>
        <v>-82.27</v>
      </c>
      <c r="F326" t="str">
        <f ca="1">IF(H326&lt;=I326,"Starter",IF(G326&gt;=LARGE(G:G,FlexOn*LeagueInfo!$F$2),"Starter","Bench"))</f>
        <v>Bench</v>
      </c>
      <c r="G326">
        <f t="shared" ca="1" si="26"/>
        <v>19.810000000000002</v>
      </c>
      <c r="H326">
        <f t="shared" ca="1" si="27"/>
        <v>82</v>
      </c>
      <c r="I326">
        <f>IF(C326="RB",LeagueInfo!$D$4*LeagueInfo!$F$2,IF(C326="WR",LeagueInfo!$D$5*LeagueInfo!$F$2,IF(C326="TE",LeagueInfo!$D$6*LeagueInfo!$F$2)))</f>
        <v>12</v>
      </c>
    </row>
    <row r="327" spans="1:9" x14ac:dyDescent="0.35">
      <c r="A327">
        <f t="shared" ca="1" si="28"/>
        <v>327</v>
      </c>
      <c r="B327" t="s">
        <v>833</v>
      </c>
      <c r="C327" t="s">
        <v>32</v>
      </c>
      <c r="D327">
        <f t="shared" ca="1" si="25"/>
        <v>21.240000000000002</v>
      </c>
      <c r="E327" s="5">
        <f t="shared" ca="1" si="29"/>
        <v>-80.84</v>
      </c>
      <c r="F327" t="str">
        <f ca="1">IF(H327&lt;=I327,"Starter",IF(G327&gt;=LARGE(G:G,FlexOn*LeagueInfo!$F$2),"Starter","Bench"))</f>
        <v>Bench</v>
      </c>
      <c r="G327">
        <f t="shared" ca="1" si="26"/>
        <v>21.240000000000002</v>
      </c>
      <c r="H327">
        <f t="shared" ca="1" si="27"/>
        <v>163</v>
      </c>
      <c r="I327">
        <f>IF(C327="RB",LeagueInfo!$D$4*LeagueInfo!$F$2,IF(C327="WR",LeagueInfo!$D$5*LeagueInfo!$F$2,IF(C327="TE",LeagueInfo!$D$6*LeagueInfo!$F$2)))</f>
        <v>24</v>
      </c>
    </row>
    <row r="328" spans="1:9" x14ac:dyDescent="0.35">
      <c r="A328">
        <f t="shared" ca="1" si="28"/>
        <v>321</v>
      </c>
      <c r="B328" t="s">
        <v>874</v>
      </c>
      <c r="C328" t="s">
        <v>25</v>
      </c>
      <c r="D328">
        <f t="shared" ca="1" si="25"/>
        <v>22.1</v>
      </c>
      <c r="E328" s="5">
        <f t="shared" ca="1" si="29"/>
        <v>-79.97999999999999</v>
      </c>
      <c r="F328" t="str">
        <f ca="1">IF(H328&lt;=I328,"Starter",IF(G328&gt;=LARGE(G:G,FlexOn*LeagueInfo!$F$2),"Starter","Bench"))</f>
        <v>Bench</v>
      </c>
      <c r="G328">
        <f t="shared" ca="1" si="26"/>
        <v>22.1</v>
      </c>
      <c r="H328">
        <f t="shared" ca="1" si="27"/>
        <v>100</v>
      </c>
      <c r="I328">
        <f>IF(C328="RB",LeagueInfo!$D$4*LeagueInfo!$F$2,IF(C328="WR",LeagueInfo!$D$5*LeagueInfo!$F$2,IF(C328="TE",LeagueInfo!$D$6*LeagueInfo!$F$2)))</f>
        <v>24</v>
      </c>
    </row>
    <row r="329" spans="1:9" x14ac:dyDescent="0.35">
      <c r="A329">
        <f t="shared" ca="1" si="28"/>
        <v>328</v>
      </c>
      <c r="B329" t="s">
        <v>946</v>
      </c>
      <c r="C329" t="s">
        <v>40</v>
      </c>
      <c r="D329">
        <f t="shared" ca="1" si="25"/>
        <v>20.990000000000002</v>
      </c>
      <c r="E329" s="5">
        <f t="shared" ca="1" si="29"/>
        <v>-81.09</v>
      </c>
      <c r="F329" t="str">
        <f ca="1">IF(H329&lt;=I329,"Starter",IF(G329&gt;=LARGE(G:G,FlexOn*LeagueInfo!$F$2),"Starter","Bench"))</f>
        <v>Bench</v>
      </c>
      <c r="G329">
        <f t="shared" ca="1" si="26"/>
        <v>20.990000000000002</v>
      </c>
      <c r="H329">
        <f t="shared" ca="1" si="27"/>
        <v>77</v>
      </c>
      <c r="I329">
        <f>IF(C329="RB",LeagueInfo!$D$4*LeagueInfo!$F$2,IF(C329="WR",LeagueInfo!$D$5*LeagueInfo!$F$2,IF(C329="TE",LeagueInfo!$D$6*LeagueInfo!$F$2)))</f>
        <v>12</v>
      </c>
    </row>
    <row r="330" spans="1:9" x14ac:dyDescent="0.35">
      <c r="A330">
        <f t="shared" ca="1" si="28"/>
        <v>339</v>
      </c>
      <c r="B330" t="s">
        <v>953</v>
      </c>
      <c r="C330" t="s">
        <v>40</v>
      </c>
      <c r="D330">
        <f t="shared" ca="1" si="25"/>
        <v>19.350000000000001</v>
      </c>
      <c r="E330" s="5">
        <f t="shared" ca="1" si="29"/>
        <v>-82.72999999999999</v>
      </c>
      <c r="F330" t="str">
        <f ca="1">IF(H330&lt;=I330,"Starter",IF(G330&gt;=LARGE(G:G,FlexOn*LeagueInfo!$F$2),"Starter","Bench"))</f>
        <v>Bench</v>
      </c>
      <c r="G330">
        <f t="shared" ca="1" si="26"/>
        <v>19.350000000000001</v>
      </c>
      <c r="H330">
        <f t="shared" ca="1" si="27"/>
        <v>84</v>
      </c>
      <c r="I330">
        <f>IF(C330="RB",LeagueInfo!$D$4*LeagueInfo!$F$2,IF(C330="WR",LeagueInfo!$D$5*LeagueInfo!$F$2,IF(C330="TE",LeagueInfo!$D$6*LeagueInfo!$F$2)))</f>
        <v>12</v>
      </c>
    </row>
    <row r="331" spans="1:9" x14ac:dyDescent="0.35">
      <c r="A331">
        <f t="shared" ca="1" si="28"/>
        <v>268</v>
      </c>
      <c r="B331" t="s">
        <v>761</v>
      </c>
      <c r="C331" t="s">
        <v>32</v>
      </c>
      <c r="D331">
        <f t="shared" ca="1" si="25"/>
        <v>31.700000000000003</v>
      </c>
      <c r="E331" s="5">
        <f t="shared" ca="1" si="29"/>
        <v>-70.38</v>
      </c>
      <c r="F331" t="str">
        <f ca="1">IF(H331&lt;=I331,"Starter",IF(G331&gt;=LARGE(G:G,FlexOn*LeagueInfo!$F$2),"Starter","Bench"))</f>
        <v>Bench</v>
      </c>
      <c r="G331">
        <f t="shared" ca="1" si="26"/>
        <v>31.700000000000003</v>
      </c>
      <c r="H331">
        <f t="shared" ca="1" si="27"/>
        <v>133</v>
      </c>
      <c r="I331">
        <f>IF(C331="RB",LeagueInfo!$D$4*LeagueInfo!$F$2,IF(C331="WR",LeagueInfo!$D$5*LeagueInfo!$F$2,IF(C331="TE",LeagueInfo!$D$6*LeagueInfo!$F$2)))</f>
        <v>24</v>
      </c>
    </row>
    <row r="332" spans="1:9" x14ac:dyDescent="0.35">
      <c r="A332">
        <f t="shared" ca="1" si="28"/>
        <v>346</v>
      </c>
      <c r="B332" t="s">
        <v>768</v>
      </c>
      <c r="C332" t="s">
        <v>25</v>
      </c>
      <c r="D332">
        <f t="shared" ca="1" si="25"/>
        <v>18.320000000000004</v>
      </c>
      <c r="E332" s="5">
        <f t="shared" ca="1" si="29"/>
        <v>-83.759999999999991</v>
      </c>
      <c r="F332" t="str">
        <f ca="1">IF(H332&lt;=I332,"Starter",IF(G332&gt;=LARGE(G:G,FlexOn*LeagueInfo!$F$2),"Starter","Bench"))</f>
        <v>Bench</v>
      </c>
      <c r="G332">
        <f t="shared" ca="1" si="26"/>
        <v>18.320000000000004</v>
      </c>
      <c r="H332">
        <f t="shared" ca="1" si="27"/>
        <v>105</v>
      </c>
      <c r="I332">
        <f>IF(C332="RB",LeagueInfo!$D$4*LeagueInfo!$F$2,IF(C332="WR",LeagueInfo!$D$5*LeagueInfo!$F$2,IF(C332="TE",LeagueInfo!$D$6*LeagueInfo!$F$2)))</f>
        <v>24</v>
      </c>
    </row>
    <row r="333" spans="1:9" x14ac:dyDescent="0.35">
      <c r="A333">
        <f t="shared" ca="1" si="28"/>
        <v>345</v>
      </c>
      <c r="B333" t="s">
        <v>772</v>
      </c>
      <c r="C333" t="s">
        <v>40</v>
      </c>
      <c r="D333">
        <f t="shared" ca="1" si="25"/>
        <v>18.47</v>
      </c>
      <c r="E333" s="5">
        <f t="shared" ca="1" si="29"/>
        <v>-83.61</v>
      </c>
      <c r="F333" t="str">
        <f ca="1">IF(H333&lt;=I333,"Starter",IF(G333&gt;=LARGE(G:G,FlexOn*LeagueInfo!$F$2),"Starter","Bench"))</f>
        <v>Bench</v>
      </c>
      <c r="G333">
        <f t="shared" ca="1" si="26"/>
        <v>18.47</v>
      </c>
      <c r="H333">
        <f t="shared" ca="1" si="27"/>
        <v>86</v>
      </c>
      <c r="I333">
        <f>IF(C333="RB",LeagueInfo!$D$4*LeagueInfo!$F$2,IF(C333="WR",LeagueInfo!$D$5*LeagueInfo!$F$2,IF(C333="TE",LeagueInfo!$D$6*LeagueInfo!$F$2)))</f>
        <v>12</v>
      </c>
    </row>
    <row r="334" spans="1:9" x14ac:dyDescent="0.35">
      <c r="A334">
        <f t="shared" ca="1" si="28"/>
        <v>258</v>
      </c>
      <c r="B334" t="s">
        <v>849</v>
      </c>
      <c r="C334" t="s">
        <v>32</v>
      </c>
      <c r="D334">
        <f t="shared" ca="1" si="25"/>
        <v>33.800000000000004</v>
      </c>
      <c r="E334" s="5">
        <f t="shared" ca="1" si="29"/>
        <v>-68.28</v>
      </c>
      <c r="F334" t="str">
        <f ca="1">IF(H334&lt;=I334,"Starter",IF(G334&gt;=LARGE(G:G,FlexOn*LeagueInfo!$F$2),"Starter","Bench"))</f>
        <v>Bench</v>
      </c>
      <c r="G334">
        <f t="shared" ca="1" si="26"/>
        <v>33.800000000000004</v>
      </c>
      <c r="H334">
        <f t="shared" ca="1" si="27"/>
        <v>128</v>
      </c>
      <c r="I334">
        <f>IF(C334="RB",LeagueInfo!$D$4*LeagueInfo!$F$2,IF(C334="WR",LeagueInfo!$D$5*LeagueInfo!$F$2,IF(C334="TE",LeagueInfo!$D$6*LeagueInfo!$F$2)))</f>
        <v>24</v>
      </c>
    </row>
    <row r="335" spans="1:9" x14ac:dyDescent="0.35">
      <c r="A335">
        <f t="shared" ca="1" si="28"/>
        <v>372</v>
      </c>
      <c r="B335" t="s">
        <v>786</v>
      </c>
      <c r="C335" t="s">
        <v>32</v>
      </c>
      <c r="D335">
        <f t="shared" ca="1" si="25"/>
        <v>14.89</v>
      </c>
      <c r="E335" s="5">
        <f t="shared" ca="1" si="29"/>
        <v>-87.19</v>
      </c>
      <c r="F335" t="str">
        <f ca="1">IF(H335&lt;=I335,"Starter",IF(G335&gt;=LARGE(G:G,FlexOn*LeagueInfo!$F$2),"Starter","Bench"))</f>
        <v>Bench</v>
      </c>
      <c r="G335">
        <f t="shared" ca="1" si="26"/>
        <v>14.89</v>
      </c>
      <c r="H335">
        <f t="shared" ca="1" si="27"/>
        <v>182</v>
      </c>
      <c r="I335">
        <f>IF(C335="RB",LeagueInfo!$D$4*LeagueInfo!$F$2,IF(C335="WR",LeagueInfo!$D$5*LeagueInfo!$F$2,IF(C335="TE",LeagueInfo!$D$6*LeagueInfo!$F$2)))</f>
        <v>24</v>
      </c>
    </row>
    <row r="336" spans="1:9" x14ac:dyDescent="0.35">
      <c r="A336">
        <f t="shared" ca="1" si="28"/>
        <v>368</v>
      </c>
      <c r="B336" t="s">
        <v>791</v>
      </c>
      <c r="C336" t="s">
        <v>32</v>
      </c>
      <c r="D336">
        <f t="shared" ca="1" si="25"/>
        <v>15.16</v>
      </c>
      <c r="E336" s="5">
        <f t="shared" ca="1" si="29"/>
        <v>-86.92</v>
      </c>
      <c r="F336" t="str">
        <f ca="1">IF(H336&lt;=I336,"Starter",IF(G336&gt;=LARGE(G:G,FlexOn*LeagueInfo!$F$2),"Starter","Bench"))</f>
        <v>Bench</v>
      </c>
      <c r="G336">
        <f t="shared" ca="1" si="26"/>
        <v>15.16</v>
      </c>
      <c r="H336">
        <f t="shared" ca="1" si="27"/>
        <v>178</v>
      </c>
      <c r="I336">
        <f>IF(C336="RB",LeagueInfo!$D$4*LeagueInfo!$F$2,IF(C336="WR",LeagueInfo!$D$5*LeagueInfo!$F$2,IF(C336="TE",LeagueInfo!$D$6*LeagueInfo!$F$2)))</f>
        <v>24</v>
      </c>
    </row>
    <row r="337" spans="1:9" x14ac:dyDescent="0.35">
      <c r="A337">
        <f t="shared" ca="1" si="28"/>
        <v>370</v>
      </c>
      <c r="B337" t="s">
        <v>705</v>
      </c>
      <c r="C337" t="s">
        <v>40</v>
      </c>
      <c r="D337">
        <f t="shared" ca="1" si="25"/>
        <v>15.030000000000001</v>
      </c>
      <c r="E337" s="5">
        <f t="shared" ca="1" si="29"/>
        <v>-87.05</v>
      </c>
      <c r="F337" t="str">
        <f ca="1">IF(H337&lt;=I337,"Starter",IF(G337&gt;=LARGE(G:G,FlexOn*LeagueInfo!$F$2),"Starter","Bench"))</f>
        <v>Bench</v>
      </c>
      <c r="G337">
        <f t="shared" ca="1" si="26"/>
        <v>15.030000000000001</v>
      </c>
      <c r="H337">
        <f t="shared" ca="1" si="27"/>
        <v>95</v>
      </c>
      <c r="I337">
        <f>IF(C337="RB",LeagueInfo!$D$4*LeagueInfo!$F$2,IF(C337="WR",LeagueInfo!$D$5*LeagueInfo!$F$2,IF(C337="TE",LeagueInfo!$D$6*LeagueInfo!$F$2)))</f>
        <v>12</v>
      </c>
    </row>
    <row r="338" spans="1:9" x14ac:dyDescent="0.35">
      <c r="A338">
        <f t="shared" ca="1" si="28"/>
        <v>320</v>
      </c>
      <c r="B338" t="s">
        <v>952</v>
      </c>
      <c r="C338" t="s">
        <v>40</v>
      </c>
      <c r="D338">
        <f t="shared" ca="1" si="25"/>
        <v>22.15</v>
      </c>
      <c r="E338" s="5">
        <f t="shared" ca="1" si="29"/>
        <v>-79.930000000000007</v>
      </c>
      <c r="F338" t="str">
        <f ca="1">IF(H338&lt;=I338,"Starter",IF(G338&gt;=LARGE(G:G,FlexOn*LeagueInfo!$F$2),"Starter","Bench"))</f>
        <v>Bench</v>
      </c>
      <c r="G338">
        <f t="shared" ca="1" si="26"/>
        <v>22.15</v>
      </c>
      <c r="H338">
        <f t="shared" ca="1" si="27"/>
        <v>73</v>
      </c>
      <c r="I338">
        <f>IF(C338="RB",LeagueInfo!$D$4*LeagueInfo!$F$2,IF(C338="WR",LeagueInfo!$D$5*LeagueInfo!$F$2,IF(C338="TE",LeagueInfo!$D$6*LeagueInfo!$F$2)))</f>
        <v>12</v>
      </c>
    </row>
    <row r="339" spans="1:9" x14ac:dyDescent="0.35">
      <c r="A339">
        <f t="shared" ca="1" si="28"/>
        <v>363</v>
      </c>
      <c r="B339" t="s">
        <v>689</v>
      </c>
      <c r="C339" t="s">
        <v>40</v>
      </c>
      <c r="D339">
        <f t="shared" ca="1" si="25"/>
        <v>15.990000000000002</v>
      </c>
      <c r="E339" s="5">
        <f t="shared" ca="1" si="29"/>
        <v>-86.09</v>
      </c>
      <c r="F339" t="str">
        <f ca="1">IF(H339&lt;=I339,"Starter",IF(G339&gt;=LARGE(G:G,FlexOn*LeagueInfo!$F$2),"Starter","Bench"))</f>
        <v>Bench</v>
      </c>
      <c r="G339">
        <f t="shared" ca="1" si="26"/>
        <v>15.990000000000002</v>
      </c>
      <c r="H339">
        <f t="shared" ca="1" si="27"/>
        <v>91</v>
      </c>
      <c r="I339">
        <f>IF(C339="RB",LeagueInfo!$D$4*LeagueInfo!$F$2,IF(C339="WR",LeagueInfo!$D$5*LeagueInfo!$F$2,IF(C339="TE",LeagueInfo!$D$6*LeagueInfo!$F$2)))</f>
        <v>12</v>
      </c>
    </row>
    <row r="340" spans="1:9" x14ac:dyDescent="0.35">
      <c r="A340">
        <f t="shared" ca="1" si="28"/>
        <v>274</v>
      </c>
      <c r="B340" t="s">
        <v>960</v>
      </c>
      <c r="C340" t="s">
        <v>25</v>
      </c>
      <c r="D340">
        <f t="shared" ca="1" si="25"/>
        <v>29.889999999999997</v>
      </c>
      <c r="E340" s="5">
        <f t="shared" ca="1" si="29"/>
        <v>-72.19</v>
      </c>
      <c r="F340" t="str">
        <f ca="1">IF(H340&lt;=I340,"Starter",IF(G340&gt;=LARGE(G:G,FlexOn*LeagueInfo!$F$2),"Starter","Bench"))</f>
        <v>Bench</v>
      </c>
      <c r="G340">
        <f t="shared" ca="1" si="26"/>
        <v>29.889999999999997</v>
      </c>
      <c r="H340">
        <f t="shared" ca="1" si="27"/>
        <v>89</v>
      </c>
      <c r="I340">
        <f>IF(C340="RB",LeagueInfo!$D$4*LeagueInfo!$F$2,IF(C340="WR",LeagueInfo!$D$5*LeagueInfo!$F$2,IF(C340="TE",LeagueInfo!$D$6*LeagueInfo!$F$2)))</f>
        <v>24</v>
      </c>
    </row>
    <row r="341" spans="1:9" x14ac:dyDescent="0.35">
      <c r="A341">
        <f t="shared" ca="1" si="28"/>
        <v>353</v>
      </c>
      <c r="B341" t="s">
        <v>784</v>
      </c>
      <c r="C341" t="s">
        <v>25</v>
      </c>
      <c r="D341">
        <f t="shared" ca="1" si="25"/>
        <v>16.93</v>
      </c>
      <c r="E341" s="5">
        <f t="shared" ca="1" si="29"/>
        <v>-85.15</v>
      </c>
      <c r="F341" t="str">
        <f ca="1">IF(H341&lt;=I341,"Starter",IF(G341&gt;=LARGE(G:G,FlexOn*LeagueInfo!$F$2),"Starter","Bench"))</f>
        <v>Bench</v>
      </c>
      <c r="G341">
        <f t="shared" ca="1" si="26"/>
        <v>16.93</v>
      </c>
      <c r="H341">
        <f t="shared" ca="1" si="27"/>
        <v>109</v>
      </c>
      <c r="I341">
        <f>IF(C341="RB",LeagueInfo!$D$4*LeagueInfo!$F$2,IF(C341="WR",LeagueInfo!$D$5*LeagueInfo!$F$2,IF(C341="TE",LeagueInfo!$D$6*LeagueInfo!$F$2)))</f>
        <v>24</v>
      </c>
    </row>
    <row r="342" spans="1:9" x14ac:dyDescent="0.35">
      <c r="A342">
        <f t="shared" ca="1" si="28"/>
        <v>358</v>
      </c>
      <c r="B342" t="s">
        <v>467</v>
      </c>
      <c r="C342" t="s">
        <v>25</v>
      </c>
      <c r="D342">
        <f t="shared" ca="1" si="25"/>
        <v>16.190000000000001</v>
      </c>
      <c r="E342" s="5">
        <f t="shared" ca="1" si="29"/>
        <v>-85.89</v>
      </c>
      <c r="F342" t="str">
        <f ca="1">IF(H342&lt;=I342,"Starter",IF(G342&gt;=LARGE(G:G,FlexOn*LeagueInfo!$F$2),"Starter","Bench"))</f>
        <v>Bench</v>
      </c>
      <c r="G342">
        <f t="shared" ca="1" si="26"/>
        <v>16.190000000000001</v>
      </c>
      <c r="H342">
        <f t="shared" ca="1" si="27"/>
        <v>110</v>
      </c>
      <c r="I342">
        <f>IF(C342="RB",LeagueInfo!$D$4*LeagueInfo!$F$2,IF(C342="WR",LeagueInfo!$D$5*LeagueInfo!$F$2,IF(C342="TE",LeagueInfo!$D$6*LeagueInfo!$F$2)))</f>
        <v>24</v>
      </c>
    </row>
    <row r="343" spans="1:9" x14ac:dyDescent="0.35">
      <c r="A343">
        <f t="shared" ca="1" si="28"/>
        <v>257</v>
      </c>
      <c r="B343" t="s">
        <v>624</v>
      </c>
      <c r="C343" t="s">
        <v>25</v>
      </c>
      <c r="D343">
        <f t="shared" ca="1" si="25"/>
        <v>34.040000000000006</v>
      </c>
      <c r="E343" s="5">
        <f t="shared" ca="1" si="29"/>
        <v>-68.039999999999992</v>
      </c>
      <c r="F343" t="str">
        <f ca="1">IF(H343&lt;=I343,"Starter",IF(G343&gt;=LARGE(G:G,FlexOn*LeagueInfo!$F$2),"Starter","Bench"))</f>
        <v>Bench</v>
      </c>
      <c r="G343">
        <f t="shared" ca="1" si="26"/>
        <v>34.040000000000006</v>
      </c>
      <c r="H343">
        <f t="shared" ca="1" si="27"/>
        <v>84</v>
      </c>
      <c r="I343">
        <f>IF(C343="RB",LeagueInfo!$D$4*LeagueInfo!$F$2,IF(C343="WR",LeagueInfo!$D$5*LeagueInfo!$F$2,IF(C343="TE",LeagueInfo!$D$6*LeagueInfo!$F$2)))</f>
        <v>24</v>
      </c>
    </row>
    <row r="344" spans="1:9" x14ac:dyDescent="0.35">
      <c r="A344">
        <f t="shared" ca="1" si="28"/>
        <v>378</v>
      </c>
      <c r="B344" t="s">
        <v>961</v>
      </c>
      <c r="C344" t="s">
        <v>25</v>
      </c>
      <c r="D344">
        <f t="shared" ca="1" si="25"/>
        <v>14.33</v>
      </c>
      <c r="E344" s="5">
        <f t="shared" ca="1" si="29"/>
        <v>-87.75</v>
      </c>
      <c r="F344" t="str">
        <f ca="1">IF(H344&lt;=I344,"Starter",IF(G344&gt;=LARGE(G:G,FlexOn*LeagueInfo!$F$2),"Starter","Bench"))</f>
        <v>Bench</v>
      </c>
      <c r="G344">
        <f t="shared" ca="1" si="26"/>
        <v>14.33</v>
      </c>
      <c r="H344">
        <f t="shared" ca="1" si="27"/>
        <v>113</v>
      </c>
      <c r="I344">
        <f>IF(C344="RB",LeagueInfo!$D$4*LeagueInfo!$F$2,IF(C344="WR",LeagueInfo!$D$5*LeagueInfo!$F$2,IF(C344="TE",LeagueInfo!$D$6*LeagueInfo!$F$2)))</f>
        <v>24</v>
      </c>
    </row>
    <row r="345" spans="1:9" x14ac:dyDescent="0.35">
      <c r="A345">
        <f t="shared" ca="1" si="28"/>
        <v>337</v>
      </c>
      <c r="B345" t="s">
        <v>454</v>
      </c>
      <c r="C345" t="s">
        <v>40</v>
      </c>
      <c r="D345">
        <f t="shared" ca="1" si="25"/>
        <v>19.48</v>
      </c>
      <c r="E345" s="5">
        <f t="shared" ca="1" si="29"/>
        <v>-82.6</v>
      </c>
      <c r="F345" t="str">
        <f ca="1">IF(H345&lt;=I345,"Starter",IF(G345&gt;=LARGE(G:G,FlexOn*LeagueInfo!$F$2),"Starter","Bench"))</f>
        <v>Bench</v>
      </c>
      <c r="G345">
        <f t="shared" ca="1" si="26"/>
        <v>19.48</v>
      </c>
      <c r="H345">
        <f t="shared" ca="1" si="27"/>
        <v>83</v>
      </c>
      <c r="I345">
        <f>IF(C345="RB",LeagueInfo!$D$4*LeagueInfo!$F$2,IF(C345="WR",LeagueInfo!$D$5*LeagueInfo!$F$2,IF(C345="TE",LeagueInfo!$D$6*LeagueInfo!$F$2)))</f>
        <v>12</v>
      </c>
    </row>
    <row r="346" spans="1:9" x14ac:dyDescent="0.35">
      <c r="A346">
        <f t="shared" ca="1" si="28"/>
        <v>350</v>
      </c>
      <c r="B346" t="s">
        <v>431</v>
      </c>
      <c r="C346" t="s">
        <v>25</v>
      </c>
      <c r="D346">
        <f t="shared" ca="1" si="25"/>
        <v>17.810000000000002</v>
      </c>
      <c r="E346" s="5">
        <f t="shared" ca="1" si="29"/>
        <v>-84.27</v>
      </c>
      <c r="F346" t="str">
        <f ca="1">IF(H346&lt;=I346,"Starter",IF(G346&gt;=LARGE(G:G,FlexOn*LeagueInfo!$F$2),"Starter","Bench"))</f>
        <v>Bench</v>
      </c>
      <c r="G346">
        <f t="shared" ca="1" si="26"/>
        <v>17.810000000000002</v>
      </c>
      <c r="H346">
        <f t="shared" ca="1" si="27"/>
        <v>108</v>
      </c>
      <c r="I346">
        <f>IF(C346="RB",LeagueInfo!$D$4*LeagueInfo!$F$2,IF(C346="WR",LeagueInfo!$D$5*LeagueInfo!$F$2,IF(C346="TE",LeagueInfo!$D$6*LeagueInfo!$F$2)))</f>
        <v>24</v>
      </c>
    </row>
    <row r="347" spans="1:9" x14ac:dyDescent="0.35">
      <c r="A347">
        <f t="shared" ca="1" si="28"/>
        <v>224</v>
      </c>
      <c r="B347" t="s">
        <v>840</v>
      </c>
      <c r="C347" t="s">
        <v>25</v>
      </c>
      <c r="D347">
        <f t="shared" ca="1" si="25"/>
        <v>48.23</v>
      </c>
      <c r="E347" s="5">
        <f t="shared" ca="1" si="29"/>
        <v>-53.85</v>
      </c>
      <c r="F347" t="str">
        <f ca="1">IF(H347&lt;=I347,"Starter",IF(G347&gt;=LARGE(G:G,FlexOn*LeagueInfo!$F$2),"Starter","Bench"))</f>
        <v>Bench</v>
      </c>
      <c r="G347">
        <f t="shared" ca="1" si="26"/>
        <v>48.23</v>
      </c>
      <c r="H347">
        <f t="shared" ca="1" si="27"/>
        <v>71</v>
      </c>
      <c r="I347">
        <f>IF(C347="RB",LeagueInfo!$D$4*LeagueInfo!$F$2,IF(C347="WR",LeagueInfo!$D$5*LeagueInfo!$F$2,IF(C347="TE",LeagueInfo!$D$6*LeagueInfo!$F$2)))</f>
        <v>24</v>
      </c>
    </row>
    <row r="348" spans="1:9" x14ac:dyDescent="0.35">
      <c r="A348">
        <f t="shared" ca="1" si="28"/>
        <v>349</v>
      </c>
      <c r="B348" t="s">
        <v>690</v>
      </c>
      <c r="C348" t="s">
        <v>25</v>
      </c>
      <c r="D348">
        <f t="shared" ca="1" si="25"/>
        <v>17.830000000000002</v>
      </c>
      <c r="E348" s="5">
        <f t="shared" ca="1" si="29"/>
        <v>-84.25</v>
      </c>
      <c r="F348" t="str">
        <f ca="1">IF(H348&lt;=I348,"Starter",IF(G348&gt;=LARGE(G:G,FlexOn*LeagueInfo!$F$2),"Starter","Bench"))</f>
        <v>Bench</v>
      </c>
      <c r="G348">
        <f t="shared" ca="1" si="26"/>
        <v>17.830000000000002</v>
      </c>
      <c r="H348">
        <f t="shared" ca="1" si="27"/>
        <v>107</v>
      </c>
      <c r="I348">
        <f>IF(C348="RB",LeagueInfo!$D$4*LeagueInfo!$F$2,IF(C348="WR",LeagueInfo!$D$5*LeagueInfo!$F$2,IF(C348="TE",LeagueInfo!$D$6*LeagueInfo!$F$2)))</f>
        <v>24</v>
      </c>
    </row>
    <row r="349" spans="1:9" x14ac:dyDescent="0.35">
      <c r="A349">
        <f t="shared" ca="1" si="28"/>
        <v>366</v>
      </c>
      <c r="B349" t="s">
        <v>458</v>
      </c>
      <c r="C349" t="s">
        <v>40</v>
      </c>
      <c r="D349">
        <f t="shared" ca="1" si="25"/>
        <v>15.559999999999999</v>
      </c>
      <c r="E349" s="5">
        <f t="shared" ca="1" si="29"/>
        <v>-86.52</v>
      </c>
      <c r="F349" t="str">
        <f ca="1">IF(H349&lt;=I349,"Starter",IF(G349&gt;=LARGE(G:G,FlexOn*LeagueInfo!$F$2),"Starter","Bench"))</f>
        <v>Bench</v>
      </c>
      <c r="G349">
        <f t="shared" ca="1" si="26"/>
        <v>15.559999999999999</v>
      </c>
      <c r="H349">
        <f t="shared" ca="1" si="27"/>
        <v>93</v>
      </c>
      <c r="I349">
        <f>IF(C349="RB",LeagueInfo!$D$4*LeagueInfo!$F$2,IF(C349="WR",LeagueInfo!$D$5*LeagueInfo!$F$2,IF(C349="TE",LeagueInfo!$D$6*LeagueInfo!$F$2)))</f>
        <v>12</v>
      </c>
    </row>
    <row r="350" spans="1:9" x14ac:dyDescent="0.35">
      <c r="A350">
        <f t="shared" ca="1" si="28"/>
        <v>387</v>
      </c>
      <c r="B350" t="s">
        <v>843</v>
      </c>
      <c r="C350" t="s">
        <v>40</v>
      </c>
      <c r="D350">
        <f t="shared" ca="1" si="25"/>
        <v>12.55</v>
      </c>
      <c r="E350" s="5">
        <f t="shared" ca="1" si="29"/>
        <v>-89.53</v>
      </c>
      <c r="F350" t="str">
        <f ca="1">IF(H350&lt;=I350,"Starter",IF(G350&gt;=LARGE(G:G,FlexOn*LeagueInfo!$F$2),"Starter","Bench"))</f>
        <v>Bench</v>
      </c>
      <c r="G350">
        <f t="shared" ca="1" si="26"/>
        <v>12.55</v>
      </c>
      <c r="H350">
        <f t="shared" ca="1" si="27"/>
        <v>99</v>
      </c>
      <c r="I350">
        <f>IF(C350="RB",LeagueInfo!$D$4*LeagueInfo!$F$2,IF(C350="WR",LeagueInfo!$D$5*LeagueInfo!$F$2,IF(C350="TE",LeagueInfo!$D$6*LeagueInfo!$F$2)))</f>
        <v>12</v>
      </c>
    </row>
    <row r="351" spans="1:9" x14ac:dyDescent="0.35">
      <c r="A351">
        <f t="shared" ca="1" si="28"/>
        <v>384</v>
      </c>
      <c r="B351" t="s">
        <v>876</v>
      </c>
      <c r="C351" t="s">
        <v>25</v>
      </c>
      <c r="D351">
        <f t="shared" ca="1" si="25"/>
        <v>13.1</v>
      </c>
      <c r="E351" s="5">
        <f t="shared" ca="1" si="29"/>
        <v>-88.98</v>
      </c>
      <c r="F351" t="str">
        <f ca="1">IF(H351&lt;=I351,"Starter",IF(G351&gt;=LARGE(G:G,FlexOn*LeagueInfo!$F$2),"Starter","Bench"))</f>
        <v>Bench</v>
      </c>
      <c r="G351">
        <f t="shared" ca="1" si="26"/>
        <v>13.1</v>
      </c>
      <c r="H351">
        <f t="shared" ca="1" si="27"/>
        <v>115</v>
      </c>
      <c r="I351">
        <f>IF(C351="RB",LeagueInfo!$D$4*LeagueInfo!$F$2,IF(C351="WR",LeagueInfo!$D$5*LeagueInfo!$F$2,IF(C351="TE",LeagueInfo!$D$6*LeagueInfo!$F$2)))</f>
        <v>24</v>
      </c>
    </row>
    <row r="352" spans="1:9" x14ac:dyDescent="0.35">
      <c r="A352">
        <f t="shared" ca="1" si="28"/>
        <v>367</v>
      </c>
      <c r="B352" t="s">
        <v>483</v>
      </c>
      <c r="C352" t="s">
        <v>40</v>
      </c>
      <c r="D352">
        <f t="shared" ref="D352:D379" ca="1" si="30">INDEX(INDIRECT($C352&amp;"!P:P"),MATCH($B352,INDIRECT($C352&amp;"!B:B"),0))</f>
        <v>15.5</v>
      </c>
      <c r="E352" s="5">
        <f t="shared" ca="1" si="29"/>
        <v>-86.58</v>
      </c>
      <c r="F352" t="str">
        <f ca="1">IF(H352&lt;=I352,"Starter",IF(G352&gt;=LARGE(G:G,FlexOn*LeagueInfo!$F$2),"Starter","Bench"))</f>
        <v>Bench</v>
      </c>
      <c r="G352">
        <f t="shared" ref="G352:G379" ca="1" si="31">IF(H352&gt;I352,D352,0)</f>
        <v>15.5</v>
      </c>
      <c r="H352">
        <f t="shared" ref="H352:H379" ca="1" si="32">INDEX(INDIRECT(""&amp;C352&amp;"!A2:A409"),MATCH(B352,INDIRECT(""&amp;C352&amp;"!B2:B409"),0))</f>
        <v>94</v>
      </c>
      <c r="I352">
        <f>IF(C352="RB",LeagueInfo!$D$4*LeagueInfo!$F$2,IF(C352="WR",LeagueInfo!$D$5*LeagueInfo!$F$2,IF(C352="TE",LeagueInfo!$D$6*LeagueInfo!$F$2)))</f>
        <v>12</v>
      </c>
    </row>
    <row r="353" spans="1:9" x14ac:dyDescent="0.35">
      <c r="A353">
        <f t="shared" ca="1" si="28"/>
        <v>395</v>
      </c>
      <c r="B353" t="s">
        <v>762</v>
      </c>
      <c r="C353" t="s">
        <v>25</v>
      </c>
      <c r="D353">
        <f t="shared" ca="1" si="30"/>
        <v>11.200000000000001</v>
      </c>
      <c r="E353" s="5">
        <f t="shared" ca="1" si="29"/>
        <v>-90.88</v>
      </c>
      <c r="F353" t="str">
        <f ca="1">IF(H353&lt;=I353,"Starter",IF(G353&gt;=LARGE(G:G,FlexOn*LeagueInfo!$F$2),"Starter","Bench"))</f>
        <v>Bench</v>
      </c>
      <c r="G353">
        <f t="shared" ca="1" si="31"/>
        <v>11.200000000000001</v>
      </c>
      <c r="H353">
        <f t="shared" ca="1" si="32"/>
        <v>117</v>
      </c>
      <c r="I353">
        <f>IF(C353="RB",LeagueInfo!$D$4*LeagueInfo!$F$2,IF(C353="WR",LeagueInfo!$D$5*LeagueInfo!$F$2,IF(C353="TE",LeagueInfo!$D$6*LeagueInfo!$F$2)))</f>
        <v>24</v>
      </c>
    </row>
    <row r="354" spans="1:9" x14ac:dyDescent="0.35">
      <c r="A354">
        <f t="shared" ca="1" si="28"/>
        <v>355</v>
      </c>
      <c r="B354" t="s">
        <v>573</v>
      </c>
      <c r="C354" t="s">
        <v>40</v>
      </c>
      <c r="D354">
        <f t="shared" ca="1" si="30"/>
        <v>16.7</v>
      </c>
      <c r="E354" s="5">
        <f t="shared" ca="1" si="29"/>
        <v>-85.38</v>
      </c>
      <c r="F354" t="str">
        <f ca="1">IF(H354&lt;=I354,"Starter",IF(G354&gt;=LARGE(G:G,FlexOn*LeagueInfo!$F$2),"Starter","Bench"))</f>
        <v>Bench</v>
      </c>
      <c r="G354">
        <f t="shared" ca="1" si="31"/>
        <v>16.7</v>
      </c>
      <c r="H354">
        <f t="shared" ca="1" si="32"/>
        <v>89</v>
      </c>
      <c r="I354">
        <f>IF(C354="RB",LeagueInfo!$D$4*LeagueInfo!$F$2,IF(C354="WR",LeagueInfo!$D$5*LeagueInfo!$F$2,IF(C354="TE",LeagueInfo!$D$6*LeagueInfo!$F$2)))</f>
        <v>12</v>
      </c>
    </row>
    <row r="355" spans="1:9" x14ac:dyDescent="0.35">
      <c r="A355">
        <f t="shared" ca="1" si="28"/>
        <v>352</v>
      </c>
      <c r="B355" t="s">
        <v>645</v>
      </c>
      <c r="C355" t="s">
        <v>40</v>
      </c>
      <c r="D355">
        <f t="shared" ca="1" si="30"/>
        <v>17.03</v>
      </c>
      <c r="E355" s="5">
        <f t="shared" ca="1" si="29"/>
        <v>-85.05</v>
      </c>
      <c r="F355" t="str">
        <f ca="1">IF(H355&lt;=I355,"Starter",IF(G355&gt;=LARGE(G:G,FlexOn*LeagueInfo!$F$2),"Starter","Bench"))</f>
        <v>Bench</v>
      </c>
      <c r="G355">
        <f t="shared" ca="1" si="31"/>
        <v>17.03</v>
      </c>
      <c r="H355">
        <f t="shared" ca="1" si="32"/>
        <v>88</v>
      </c>
      <c r="I355">
        <f>IF(C355="RB",LeagueInfo!$D$4*LeagueInfo!$F$2,IF(C355="WR",LeagueInfo!$D$5*LeagueInfo!$F$2,IF(C355="TE",LeagueInfo!$D$6*LeagueInfo!$F$2)))</f>
        <v>12</v>
      </c>
    </row>
    <row r="356" spans="1:9" x14ac:dyDescent="0.35">
      <c r="A356">
        <f t="shared" ca="1" si="28"/>
        <v>276</v>
      </c>
      <c r="B356" t="s">
        <v>518</v>
      </c>
      <c r="C356" t="s">
        <v>25</v>
      </c>
      <c r="D356">
        <f t="shared" ca="1" si="30"/>
        <v>29.360000000000007</v>
      </c>
      <c r="E356" s="5">
        <f t="shared" ca="1" si="29"/>
        <v>-72.72</v>
      </c>
      <c r="F356" t="str">
        <f ca="1">IF(H356&lt;=I356,"Starter",IF(G356&gt;=LARGE(G:G,FlexOn*LeagueInfo!$F$2),"Starter","Bench"))</f>
        <v>Bench</v>
      </c>
      <c r="G356">
        <f t="shared" ca="1" si="31"/>
        <v>29.360000000000007</v>
      </c>
      <c r="H356">
        <f t="shared" ca="1" si="32"/>
        <v>90</v>
      </c>
      <c r="I356">
        <f>IF(C356="RB",LeagueInfo!$D$4*LeagueInfo!$F$2,IF(C356="WR",LeagueInfo!$D$5*LeagueInfo!$F$2,IF(C356="TE",LeagueInfo!$D$6*LeagueInfo!$F$2)))</f>
        <v>24</v>
      </c>
    </row>
    <row r="357" spans="1:9" x14ac:dyDescent="0.35">
      <c r="A357">
        <f t="shared" ca="1" si="28"/>
        <v>344</v>
      </c>
      <c r="B357" t="s">
        <v>524</v>
      </c>
      <c r="C357" t="s">
        <v>25</v>
      </c>
      <c r="D357">
        <f t="shared" ca="1" si="30"/>
        <v>18.670000000000002</v>
      </c>
      <c r="E357" s="5">
        <f t="shared" ca="1" si="29"/>
        <v>-83.41</v>
      </c>
      <c r="F357" t="str">
        <f ca="1">IF(H357&lt;=I357,"Starter",IF(G357&gt;=LARGE(G:G,FlexOn*LeagueInfo!$F$2),"Starter","Bench"))</f>
        <v>Bench</v>
      </c>
      <c r="G357">
        <f t="shared" ca="1" si="31"/>
        <v>18.670000000000002</v>
      </c>
      <c r="H357">
        <f t="shared" ca="1" si="32"/>
        <v>104</v>
      </c>
      <c r="I357">
        <f>IF(C357="RB",LeagueInfo!$D$4*LeagueInfo!$F$2,IF(C357="WR",LeagueInfo!$D$5*LeagueInfo!$F$2,IF(C357="TE",LeagueInfo!$D$6*LeagueInfo!$F$2)))</f>
        <v>24</v>
      </c>
    </row>
    <row r="358" spans="1:9" x14ac:dyDescent="0.35">
      <c r="A358">
        <f t="shared" ca="1" si="28"/>
        <v>381</v>
      </c>
      <c r="B358" t="s">
        <v>570</v>
      </c>
      <c r="C358" t="s">
        <v>40</v>
      </c>
      <c r="D358">
        <f t="shared" ca="1" si="30"/>
        <v>13.870000000000001</v>
      </c>
      <c r="E358" s="5">
        <f t="shared" ca="1" si="29"/>
        <v>-88.21</v>
      </c>
      <c r="F358" t="str">
        <f ca="1">IF(H358&lt;=I358,"Starter",IF(G358&gt;=LARGE(G:G,FlexOn*LeagueInfo!$F$2),"Starter","Bench"))</f>
        <v>Bench</v>
      </c>
      <c r="G358">
        <f t="shared" ca="1" si="31"/>
        <v>13.870000000000001</v>
      </c>
      <c r="H358">
        <f t="shared" ca="1" si="32"/>
        <v>97</v>
      </c>
      <c r="I358">
        <f>IF(C358="RB",LeagueInfo!$D$4*LeagueInfo!$F$2,IF(C358="WR",LeagueInfo!$D$5*LeagueInfo!$F$2,IF(C358="TE",LeagueInfo!$D$6*LeagueInfo!$F$2)))</f>
        <v>12</v>
      </c>
    </row>
    <row r="359" spans="1:9" x14ac:dyDescent="0.35">
      <c r="A359">
        <f t="shared" ca="1" si="28"/>
        <v>379</v>
      </c>
      <c r="B359" t="s">
        <v>574</v>
      </c>
      <c r="C359" t="s">
        <v>40</v>
      </c>
      <c r="D359">
        <f t="shared" ca="1" si="30"/>
        <v>14.070000000000002</v>
      </c>
      <c r="E359" s="5">
        <f t="shared" ca="1" si="29"/>
        <v>-88.009999999999991</v>
      </c>
      <c r="F359" t="str">
        <f ca="1">IF(H359&lt;=I359,"Starter",IF(G359&gt;=LARGE(G:G,FlexOn*LeagueInfo!$F$2),"Starter","Bench"))</f>
        <v>Bench</v>
      </c>
      <c r="G359">
        <f t="shared" ca="1" si="31"/>
        <v>14.070000000000002</v>
      </c>
      <c r="H359">
        <f t="shared" ca="1" si="32"/>
        <v>96</v>
      </c>
      <c r="I359">
        <f>IF(C359="RB",LeagueInfo!$D$4*LeagueInfo!$F$2,IF(C359="WR",LeagueInfo!$D$5*LeagueInfo!$F$2,IF(C359="TE",LeagueInfo!$D$6*LeagueInfo!$F$2)))</f>
        <v>12</v>
      </c>
    </row>
    <row r="360" spans="1:9" x14ac:dyDescent="0.35">
      <c r="A360">
        <f t="shared" ca="1" si="28"/>
        <v>427</v>
      </c>
      <c r="B360" t="s">
        <v>625</v>
      </c>
      <c r="C360" t="s">
        <v>25</v>
      </c>
      <c r="D360">
        <f t="shared" ca="1" si="30"/>
        <v>5</v>
      </c>
      <c r="E360" s="5">
        <f t="shared" ca="1" si="29"/>
        <v>-97.08</v>
      </c>
      <c r="F360" t="str">
        <f ca="1">IF(H360&lt;=I360,"Starter",IF(G360&gt;=LARGE(G:G,FlexOn*LeagueInfo!$F$2),"Starter","Bench"))</f>
        <v>Bench</v>
      </c>
      <c r="G360">
        <f t="shared" ca="1" si="31"/>
        <v>5</v>
      </c>
      <c r="H360">
        <f t="shared" ca="1" si="32"/>
        <v>134</v>
      </c>
      <c r="I360">
        <f>IF(C360="RB",LeagueInfo!$D$4*LeagueInfo!$F$2,IF(C360="WR",LeagueInfo!$D$5*LeagueInfo!$F$2,IF(C360="TE",LeagueInfo!$D$6*LeagueInfo!$F$2)))</f>
        <v>24</v>
      </c>
    </row>
    <row r="361" spans="1:9" x14ac:dyDescent="0.35">
      <c r="A361">
        <f t="shared" ca="1" si="28"/>
        <v>380</v>
      </c>
      <c r="B361" t="s">
        <v>1112</v>
      </c>
      <c r="C361" t="s">
        <v>25</v>
      </c>
      <c r="D361">
        <f t="shared" ca="1" si="30"/>
        <v>13.899999999999999</v>
      </c>
      <c r="E361" s="5">
        <f t="shared" ca="1" si="29"/>
        <v>-88.18</v>
      </c>
      <c r="F361" t="str">
        <f ca="1">IF(H361&lt;=I361,"Starter",IF(G361&gt;=LARGE(G:G,FlexOn*LeagueInfo!$F$2),"Starter","Bench"))</f>
        <v>Bench</v>
      </c>
      <c r="G361">
        <f t="shared" ca="1" si="31"/>
        <v>13.899999999999999</v>
      </c>
      <c r="H361">
        <f t="shared" ca="1" si="32"/>
        <v>114</v>
      </c>
      <c r="I361">
        <f>IF(C361="RB",LeagueInfo!$D$4*LeagueInfo!$F$2,IF(C361="WR",LeagueInfo!$D$5*LeagueInfo!$F$2,IF(C361="TE",LeagueInfo!$D$6*LeagueInfo!$F$2)))</f>
        <v>24</v>
      </c>
    </row>
    <row r="362" spans="1:9" x14ac:dyDescent="0.35">
      <c r="A362">
        <f t="shared" ca="1" si="28"/>
        <v>400</v>
      </c>
      <c r="B362" t="s">
        <v>714</v>
      </c>
      <c r="C362" t="s">
        <v>25</v>
      </c>
      <c r="D362">
        <f t="shared" ca="1" si="30"/>
        <v>10.870000000000001</v>
      </c>
      <c r="E362" s="5">
        <f t="shared" ca="1" si="29"/>
        <v>-91.21</v>
      </c>
      <c r="F362" t="str">
        <f ca="1">IF(H362&lt;=I362,"Starter",IF(G362&gt;=LARGE(G:G,FlexOn*LeagueInfo!$F$2),"Starter","Bench"))</f>
        <v>Bench</v>
      </c>
      <c r="G362">
        <f t="shared" ca="1" si="31"/>
        <v>10.870000000000001</v>
      </c>
      <c r="H362">
        <f t="shared" ca="1" si="32"/>
        <v>118</v>
      </c>
      <c r="I362">
        <f>IF(C362="RB",LeagueInfo!$D$4*LeagueInfo!$F$2,IF(C362="WR",LeagueInfo!$D$5*LeagueInfo!$F$2,IF(C362="TE",LeagueInfo!$D$6*LeagueInfo!$F$2)))</f>
        <v>24</v>
      </c>
    </row>
    <row r="363" spans="1:9" x14ac:dyDescent="0.35">
      <c r="A363">
        <f t="shared" ca="1" si="28"/>
        <v>391</v>
      </c>
      <c r="B363" t="s">
        <v>523</v>
      </c>
      <c r="C363" t="s">
        <v>25</v>
      </c>
      <c r="D363">
        <f t="shared" ca="1" si="30"/>
        <v>11.39</v>
      </c>
      <c r="E363" s="5">
        <f t="shared" ca="1" si="29"/>
        <v>-90.69</v>
      </c>
      <c r="F363" t="str">
        <f ca="1">IF(H363&lt;=I363,"Starter",IF(G363&gt;=LARGE(G:G,FlexOn*LeagueInfo!$F$2),"Starter","Bench"))</f>
        <v>Bench</v>
      </c>
      <c r="G363">
        <f t="shared" ca="1" si="31"/>
        <v>11.39</v>
      </c>
      <c r="H363">
        <f t="shared" ca="1" si="32"/>
        <v>116</v>
      </c>
      <c r="I363">
        <f>IF(C363="RB",LeagueInfo!$D$4*LeagueInfo!$F$2,IF(C363="WR",LeagueInfo!$D$5*LeagueInfo!$F$2,IF(C363="TE",LeagueInfo!$D$6*LeagueInfo!$F$2)))</f>
        <v>24</v>
      </c>
    </row>
    <row r="364" spans="1:9" x14ac:dyDescent="0.35">
      <c r="A364">
        <f t="shared" ca="1" si="28"/>
        <v>365</v>
      </c>
      <c r="B364" t="s">
        <v>770</v>
      </c>
      <c r="C364" t="s">
        <v>25</v>
      </c>
      <c r="D364">
        <f t="shared" ca="1" si="30"/>
        <v>15.630000000000003</v>
      </c>
      <c r="E364" s="5">
        <f t="shared" ca="1" si="29"/>
        <v>-86.449999999999989</v>
      </c>
      <c r="F364" t="str">
        <f ca="1">IF(H364&lt;=I364,"Starter",IF(G364&gt;=LARGE(G:G,FlexOn*LeagueInfo!$F$2),"Starter","Bench"))</f>
        <v>Bench</v>
      </c>
      <c r="G364">
        <f t="shared" ca="1" si="31"/>
        <v>15.630000000000003</v>
      </c>
      <c r="H364">
        <f t="shared" ca="1" si="32"/>
        <v>111</v>
      </c>
      <c r="I364">
        <f>IF(C364="RB",LeagueInfo!$D$4*LeagueInfo!$F$2,IF(C364="WR",LeagueInfo!$D$5*LeagueInfo!$F$2,IF(C364="TE",LeagueInfo!$D$6*LeagueInfo!$F$2)))</f>
        <v>24</v>
      </c>
    </row>
    <row r="365" spans="1:9" x14ac:dyDescent="0.35">
      <c r="A365">
        <f t="shared" ca="1" si="28"/>
        <v>411</v>
      </c>
      <c r="B365" t="s">
        <v>993</v>
      </c>
      <c r="C365" t="s">
        <v>25</v>
      </c>
      <c r="D365">
        <f t="shared" ca="1" si="30"/>
        <v>7.5</v>
      </c>
      <c r="E365" s="5">
        <f t="shared" ca="1" si="29"/>
        <v>-94.58</v>
      </c>
      <c r="F365" t="str">
        <f ca="1">IF(H365&lt;=I365,"Starter",IF(G365&gt;=LARGE(G:G,FlexOn*LeagueInfo!$F$2),"Starter","Bench"))</f>
        <v>Bench</v>
      </c>
      <c r="G365">
        <f t="shared" ca="1" si="31"/>
        <v>7.5</v>
      </c>
      <c r="H365">
        <f t="shared" ca="1" si="32"/>
        <v>123</v>
      </c>
      <c r="I365">
        <f>IF(C365="RB",LeagueInfo!$D$4*LeagueInfo!$F$2,IF(C365="WR",LeagueInfo!$D$5*LeagueInfo!$F$2,IF(C365="TE",LeagueInfo!$D$6*LeagueInfo!$F$2)))</f>
        <v>24</v>
      </c>
    </row>
    <row r="366" spans="1:9" x14ac:dyDescent="0.35">
      <c r="A366">
        <f t="shared" ca="1" si="28"/>
        <v>416</v>
      </c>
      <c r="B366" t="s">
        <v>883</v>
      </c>
      <c r="C366" t="s">
        <v>25</v>
      </c>
      <c r="D366">
        <f t="shared" ca="1" si="30"/>
        <v>6.87</v>
      </c>
      <c r="E366" s="5">
        <f t="shared" ca="1" si="29"/>
        <v>-95.21</v>
      </c>
      <c r="F366" t="str">
        <f ca="1">IF(H366&lt;=I366,"Starter",IF(G366&gt;=LARGE(G:G,FlexOn*LeagueInfo!$F$2),"Starter","Bench"))</f>
        <v>Bench</v>
      </c>
      <c r="G366">
        <f t="shared" ca="1" si="31"/>
        <v>6.87</v>
      </c>
      <c r="H366">
        <f t="shared" ca="1" si="32"/>
        <v>128</v>
      </c>
      <c r="I366">
        <f>IF(C366="RB",LeagueInfo!$D$4*LeagueInfo!$F$2,IF(C366="WR",LeagueInfo!$D$5*LeagueInfo!$F$2,IF(C366="TE",LeagueInfo!$D$6*LeagueInfo!$F$2)))</f>
        <v>24</v>
      </c>
    </row>
    <row r="367" spans="1:9" x14ac:dyDescent="0.35">
      <c r="A367">
        <f t="shared" ca="1" si="28"/>
        <v>420</v>
      </c>
      <c r="B367" t="s">
        <v>234</v>
      </c>
      <c r="C367" t="s">
        <v>25</v>
      </c>
      <c r="D367">
        <f t="shared" ca="1" si="30"/>
        <v>6.44</v>
      </c>
      <c r="E367" s="5">
        <f t="shared" ca="1" si="29"/>
        <v>-95.64</v>
      </c>
      <c r="F367" t="str">
        <f ca="1">IF(H367&lt;=I367,"Starter",IF(G367&gt;=LARGE(G:G,FlexOn*LeagueInfo!$F$2),"Starter","Bench"))</f>
        <v>Bench</v>
      </c>
      <c r="G367">
        <f t="shared" ca="1" si="31"/>
        <v>6.44</v>
      </c>
      <c r="H367">
        <f t="shared" ca="1" si="32"/>
        <v>131</v>
      </c>
      <c r="I367">
        <f>IF(C367="RB",LeagueInfo!$D$4*LeagueInfo!$F$2,IF(C367="WR",LeagueInfo!$D$5*LeagueInfo!$F$2,IF(C367="TE",LeagueInfo!$D$6*LeagueInfo!$F$2)))</f>
        <v>24</v>
      </c>
    </row>
    <row r="368" spans="1:9" x14ac:dyDescent="0.35">
      <c r="A368">
        <f t="shared" ca="1" si="28"/>
        <v>401</v>
      </c>
      <c r="B368" t="s">
        <v>884</v>
      </c>
      <c r="C368" t="s">
        <v>25</v>
      </c>
      <c r="D368">
        <f t="shared" ca="1" si="30"/>
        <v>10.77</v>
      </c>
      <c r="E368" s="5">
        <f t="shared" ca="1" si="29"/>
        <v>-91.31</v>
      </c>
      <c r="F368" t="str">
        <f ca="1">IF(H368&lt;=I368,"Starter",IF(G368&gt;=LARGE(G:G,FlexOn*LeagueInfo!$F$2),"Starter","Bench"))</f>
        <v>Bench</v>
      </c>
      <c r="G368">
        <f t="shared" ca="1" si="31"/>
        <v>10.77</v>
      </c>
      <c r="H368">
        <f t="shared" ca="1" si="32"/>
        <v>119</v>
      </c>
      <c r="I368">
        <f>IF(C368="RB",LeagueInfo!$D$4*LeagueInfo!$F$2,IF(C368="WR",LeagueInfo!$D$5*LeagueInfo!$F$2,IF(C368="TE",LeagueInfo!$D$6*LeagueInfo!$F$2)))</f>
        <v>24</v>
      </c>
    </row>
    <row r="369" spans="1:9" x14ac:dyDescent="0.35">
      <c r="A369">
        <f t="shared" ca="1" si="28"/>
        <v>414</v>
      </c>
      <c r="B369" t="s">
        <v>522</v>
      </c>
      <c r="C369" t="s">
        <v>25</v>
      </c>
      <c r="D369">
        <f t="shared" ca="1" si="30"/>
        <v>6.9500000000000011</v>
      </c>
      <c r="E369" s="5">
        <f t="shared" ca="1" si="29"/>
        <v>-95.13</v>
      </c>
      <c r="F369" t="str">
        <f ca="1">IF(H369&lt;=I369,"Starter",IF(G369&gt;=LARGE(G:G,FlexOn*LeagueInfo!$F$2),"Starter","Bench"))</f>
        <v>Bench</v>
      </c>
      <c r="G369">
        <f t="shared" ca="1" si="31"/>
        <v>6.9500000000000011</v>
      </c>
      <c r="H369">
        <f t="shared" ca="1" si="32"/>
        <v>126</v>
      </c>
      <c r="I369">
        <f>IF(C369="RB",LeagueInfo!$D$4*LeagueInfo!$F$2,IF(C369="WR",LeagueInfo!$D$5*LeagueInfo!$F$2,IF(C369="TE",LeagueInfo!$D$6*LeagueInfo!$F$2)))</f>
        <v>24</v>
      </c>
    </row>
    <row r="370" spans="1:9" x14ac:dyDescent="0.35">
      <c r="A370">
        <f t="shared" ca="1" si="28"/>
        <v>409</v>
      </c>
      <c r="B370" t="s">
        <v>429</v>
      </c>
      <c r="C370" t="s">
        <v>25</v>
      </c>
      <c r="D370">
        <f t="shared" ca="1" si="30"/>
        <v>7.59</v>
      </c>
      <c r="E370" s="5">
        <f t="shared" ca="1" si="29"/>
        <v>-94.49</v>
      </c>
      <c r="F370" t="str">
        <f ca="1">IF(H370&lt;=I370,"Starter",IF(G370&gt;=LARGE(G:G,FlexOn*LeagueInfo!$F$2),"Starter","Bench"))</f>
        <v>Bench</v>
      </c>
      <c r="G370">
        <f t="shared" ca="1" si="31"/>
        <v>7.59</v>
      </c>
      <c r="H370">
        <f t="shared" ca="1" si="32"/>
        <v>122</v>
      </c>
      <c r="I370">
        <f>IF(C370="RB",LeagueInfo!$D$4*LeagueInfo!$F$2,IF(C370="WR",LeagueInfo!$D$5*LeagueInfo!$F$2,IF(C370="TE",LeagueInfo!$D$6*LeagueInfo!$F$2)))</f>
        <v>24</v>
      </c>
    </row>
    <row r="371" spans="1:9" x14ac:dyDescent="0.35">
      <c r="A371">
        <f t="shared" ca="1" si="28"/>
        <v>404</v>
      </c>
      <c r="B371" t="s">
        <v>659</v>
      </c>
      <c r="C371" t="s">
        <v>25</v>
      </c>
      <c r="D371">
        <f t="shared" ca="1" si="30"/>
        <v>9.3000000000000007</v>
      </c>
      <c r="E371" s="5">
        <f t="shared" ca="1" si="29"/>
        <v>-92.78</v>
      </c>
      <c r="F371" t="str">
        <f ca="1">IF(H371&lt;=I371,"Starter",IF(G371&gt;=LARGE(G:G,FlexOn*LeagueInfo!$F$2),"Starter","Bench"))</f>
        <v>Bench</v>
      </c>
      <c r="G371">
        <f t="shared" ca="1" si="31"/>
        <v>9.3000000000000007</v>
      </c>
      <c r="H371">
        <f t="shared" ca="1" si="32"/>
        <v>120</v>
      </c>
      <c r="I371">
        <f>IF(C371="RB",LeagueInfo!$D$4*LeagueInfo!$F$2,IF(C371="WR",LeagueInfo!$D$5*LeagueInfo!$F$2,IF(C371="TE",LeagueInfo!$D$6*LeagueInfo!$F$2)))</f>
        <v>24</v>
      </c>
    </row>
    <row r="372" spans="1:9" x14ac:dyDescent="0.35">
      <c r="A372">
        <f t="shared" ca="1" si="28"/>
        <v>412</v>
      </c>
      <c r="B372" t="s">
        <v>996</v>
      </c>
      <c r="C372" t="s">
        <v>25</v>
      </c>
      <c r="D372">
        <f t="shared" ca="1" si="30"/>
        <v>7.32</v>
      </c>
      <c r="E372" s="5">
        <f t="shared" ca="1" si="29"/>
        <v>-94.759999999999991</v>
      </c>
      <c r="F372" t="str">
        <f ca="1">IF(H372&lt;=I372,"Starter",IF(G372&gt;=LARGE(G:G,FlexOn*LeagueInfo!$F$2),"Starter","Bench"))</f>
        <v>Bench</v>
      </c>
      <c r="G372">
        <f t="shared" ca="1" si="31"/>
        <v>7.32</v>
      </c>
      <c r="H372">
        <f t="shared" ca="1" si="32"/>
        <v>124</v>
      </c>
      <c r="I372">
        <f>IF(C372="RB",LeagueInfo!$D$4*LeagueInfo!$F$2,IF(C372="WR",LeagueInfo!$D$5*LeagueInfo!$F$2,IF(C372="TE",LeagueInfo!$D$6*LeagueInfo!$F$2)))</f>
        <v>24</v>
      </c>
    </row>
    <row r="373" spans="1:9" x14ac:dyDescent="0.35">
      <c r="A373">
        <f t="shared" ca="1" si="28"/>
        <v>418</v>
      </c>
      <c r="B373" t="s">
        <v>631</v>
      </c>
      <c r="C373" t="s">
        <v>25</v>
      </c>
      <c r="D373">
        <f t="shared" ca="1" si="30"/>
        <v>6.5600000000000005</v>
      </c>
      <c r="E373" s="5">
        <f t="shared" ca="1" si="29"/>
        <v>-95.52</v>
      </c>
      <c r="F373" t="str">
        <f ca="1">IF(H373&lt;=I373,"Starter",IF(G373&gt;=LARGE(G:G,FlexOn*LeagueInfo!$F$2),"Starter","Bench"))</f>
        <v>Bench</v>
      </c>
      <c r="G373">
        <f t="shared" ca="1" si="31"/>
        <v>6.5600000000000005</v>
      </c>
      <c r="H373">
        <f t="shared" ca="1" si="32"/>
        <v>130</v>
      </c>
      <c r="I373">
        <f>IF(C373="RB",LeagueInfo!$D$4*LeagueInfo!$F$2,IF(C373="WR",LeagueInfo!$D$5*LeagueInfo!$F$2,IF(C373="TE",LeagueInfo!$D$6*LeagueInfo!$F$2)))</f>
        <v>24</v>
      </c>
    </row>
    <row r="374" spans="1:9" x14ac:dyDescent="0.35">
      <c r="A374">
        <f t="shared" ca="1" si="28"/>
        <v>423</v>
      </c>
      <c r="B374" t="s">
        <v>997</v>
      </c>
      <c r="C374" t="s">
        <v>25</v>
      </c>
      <c r="D374">
        <f t="shared" ca="1" si="30"/>
        <v>5.8000000000000007</v>
      </c>
      <c r="E374" s="5">
        <f t="shared" ca="1" si="29"/>
        <v>-96.28</v>
      </c>
      <c r="F374" t="str">
        <f ca="1">IF(H374&lt;=I374,"Starter",IF(G374&gt;=LARGE(G:G,FlexOn*LeagueInfo!$F$2),"Starter","Bench"))</f>
        <v>Bench</v>
      </c>
      <c r="G374">
        <f t="shared" ca="1" si="31"/>
        <v>5.8000000000000007</v>
      </c>
      <c r="H374">
        <f t="shared" ca="1" si="32"/>
        <v>132</v>
      </c>
      <c r="I374">
        <f>IF(C374="RB",LeagueInfo!$D$4*LeagueInfo!$F$2,IF(C374="WR",LeagueInfo!$D$5*LeagueInfo!$F$2,IF(C374="TE",LeagueInfo!$D$6*LeagueInfo!$F$2)))</f>
        <v>24</v>
      </c>
    </row>
    <row r="375" spans="1:9" x14ac:dyDescent="0.35">
      <c r="A375">
        <f t="shared" ca="1" si="28"/>
        <v>424</v>
      </c>
      <c r="B375" t="s">
        <v>622</v>
      </c>
      <c r="C375" t="s">
        <v>25</v>
      </c>
      <c r="D375">
        <f t="shared" ca="1" si="30"/>
        <v>5.67</v>
      </c>
      <c r="E375" s="5">
        <f t="shared" ca="1" si="29"/>
        <v>-96.41</v>
      </c>
      <c r="F375" t="str">
        <f ca="1">IF(H375&lt;=I375,"Starter",IF(G375&gt;=LARGE(G:G,FlexOn*LeagueInfo!$F$2),"Starter","Bench"))</f>
        <v>Bench</v>
      </c>
      <c r="G375">
        <f t="shared" ca="1" si="31"/>
        <v>5.67</v>
      </c>
      <c r="H375">
        <f t="shared" ca="1" si="32"/>
        <v>133</v>
      </c>
      <c r="I375">
        <f>IF(C375="RB",LeagueInfo!$D$4*LeagueInfo!$F$2,IF(C375="WR",LeagueInfo!$D$5*LeagueInfo!$F$2,IF(C375="TE",LeagueInfo!$D$6*LeagueInfo!$F$2)))</f>
        <v>24</v>
      </c>
    </row>
    <row r="376" spans="1:9" x14ac:dyDescent="0.35">
      <c r="A376">
        <f t="shared" ca="1" si="28"/>
        <v>417</v>
      </c>
      <c r="B376" t="s">
        <v>998</v>
      </c>
      <c r="C376" t="s">
        <v>25</v>
      </c>
      <c r="D376">
        <f t="shared" ca="1" si="30"/>
        <v>6.7600000000000007</v>
      </c>
      <c r="E376" s="5">
        <f t="shared" ca="1" si="29"/>
        <v>-95.32</v>
      </c>
      <c r="F376" t="str">
        <f ca="1">IF(H376&lt;=I376,"Starter",IF(G376&gt;=LARGE(G:G,FlexOn*LeagueInfo!$F$2),"Starter","Bench"))</f>
        <v>Bench</v>
      </c>
      <c r="G376">
        <f t="shared" ca="1" si="31"/>
        <v>6.7600000000000007</v>
      </c>
      <c r="H376">
        <f t="shared" ca="1" si="32"/>
        <v>129</v>
      </c>
      <c r="I376">
        <f>IF(C376="RB",LeagueInfo!$D$4*LeagueInfo!$F$2,IF(C376="WR",LeagueInfo!$D$5*LeagueInfo!$F$2,IF(C376="TE",LeagueInfo!$D$6*LeagueInfo!$F$2)))</f>
        <v>24</v>
      </c>
    </row>
    <row r="377" spans="1:9" x14ac:dyDescent="0.35">
      <c r="A377">
        <f t="shared" ca="1" si="28"/>
        <v>415</v>
      </c>
      <c r="B377" t="s">
        <v>999</v>
      </c>
      <c r="C377" t="s">
        <v>25</v>
      </c>
      <c r="D377">
        <f t="shared" ca="1" si="30"/>
        <v>6.9</v>
      </c>
      <c r="E377" s="5">
        <f t="shared" ca="1" si="29"/>
        <v>-95.179999999999993</v>
      </c>
      <c r="F377" t="str">
        <f ca="1">IF(H377&lt;=I377,"Starter",IF(G377&gt;=LARGE(G:G,FlexOn*LeagueInfo!$F$2),"Starter","Bench"))</f>
        <v>Bench</v>
      </c>
      <c r="G377">
        <f t="shared" ca="1" si="31"/>
        <v>6.9</v>
      </c>
      <c r="H377">
        <f t="shared" ca="1" si="32"/>
        <v>127</v>
      </c>
      <c r="I377">
        <f>IF(C377="RB",LeagueInfo!$D$4*LeagueInfo!$F$2,IF(C377="WR",LeagueInfo!$D$5*LeagueInfo!$F$2,IF(C377="TE",LeagueInfo!$D$6*LeagueInfo!$F$2)))</f>
        <v>24</v>
      </c>
    </row>
    <row r="378" spans="1:9" x14ac:dyDescent="0.35">
      <c r="A378">
        <f t="shared" ca="1" si="28"/>
        <v>431</v>
      </c>
      <c r="B378" t="s">
        <v>623</v>
      </c>
      <c r="C378" t="s">
        <v>25</v>
      </c>
      <c r="D378">
        <f t="shared" ca="1" si="30"/>
        <v>2.5</v>
      </c>
      <c r="E378" s="5">
        <f t="shared" ca="1" si="29"/>
        <v>-99.58</v>
      </c>
      <c r="F378" t="str">
        <f ca="1">IF(H378&lt;=I378,"Starter",IF(G378&gt;=LARGE(G:G,FlexOn*LeagueInfo!$F$2),"Starter","Bench"))</f>
        <v>Bench</v>
      </c>
      <c r="G378">
        <f t="shared" ca="1" si="31"/>
        <v>2.5</v>
      </c>
      <c r="H378">
        <f t="shared" ca="1" si="32"/>
        <v>135</v>
      </c>
      <c r="I378">
        <f>IF(C378="RB",LeagueInfo!$D$4*LeagueInfo!$F$2,IF(C378="WR",LeagueInfo!$D$5*LeagueInfo!$F$2,IF(C378="TE",LeagueInfo!$D$6*LeagueInfo!$F$2)))</f>
        <v>24</v>
      </c>
    </row>
    <row r="379" spans="1:9" x14ac:dyDescent="0.35">
      <c r="A379">
        <f t="shared" ca="1" si="28"/>
        <v>269</v>
      </c>
      <c r="B379" t="s">
        <v>809</v>
      </c>
      <c r="C379" t="s">
        <v>32</v>
      </c>
      <c r="D379">
        <f t="shared" ca="1" si="30"/>
        <v>31.5</v>
      </c>
      <c r="E379" s="5">
        <f t="shared" ca="1" si="29"/>
        <v>-70.58</v>
      </c>
      <c r="F379" t="str">
        <f ca="1">IF(H379&lt;=I379,"Starter",IF(G379&gt;=LARGE(G:G,FlexOn*LeagueInfo!$F$2),"Starter","Bench"))</f>
        <v>Bench</v>
      </c>
      <c r="G379">
        <f t="shared" ca="1" si="31"/>
        <v>31.5</v>
      </c>
      <c r="H379">
        <f t="shared" ca="1" si="32"/>
        <v>134</v>
      </c>
      <c r="I379">
        <f>IF(C379="RB",LeagueInfo!$D$4*LeagueInfo!$F$2,IF(C379="WR",LeagueInfo!$D$5*LeagueInfo!$F$2,IF(C379="TE",LeagueInfo!$D$6*LeagueInfo!$F$2)))</f>
        <v>24</v>
      </c>
    </row>
    <row r="380" spans="1:9" x14ac:dyDescent="0.35">
      <c r="A380">
        <f t="shared" ca="1" si="28"/>
        <v>341</v>
      </c>
      <c r="B380" t="s">
        <v>409</v>
      </c>
      <c r="C380" t="s">
        <v>32</v>
      </c>
      <c r="D380">
        <f t="shared" ref="D380:D418" ca="1" si="33">INDEX(INDIRECT($C380&amp;"!P:P"),MATCH($B380,INDIRECT($C380&amp;"!B:B"),0))</f>
        <v>19.010000000000002</v>
      </c>
      <c r="E380" s="5">
        <f t="shared" ca="1" si="29"/>
        <v>-83.07</v>
      </c>
      <c r="F380" t="str">
        <f ca="1">IF(H380&lt;=I380,"Starter",IF(G380&gt;=LARGE(G:G,FlexOn*LeagueInfo!$F$2),"Starter","Bench"))</f>
        <v>Bench</v>
      </c>
      <c r="G380">
        <f t="shared" ref="G380:G418" ca="1" si="34">IF(H380&gt;I380,D380,0)</f>
        <v>19.010000000000002</v>
      </c>
      <c r="H380">
        <f t="shared" ref="H380:H418" ca="1" si="35">INDEX(INDIRECT(""&amp;C380&amp;"!A2:A409"),MATCH(B380,INDIRECT(""&amp;C380&amp;"!B2:B409"),0))</f>
        <v>168</v>
      </c>
      <c r="I380">
        <f>IF(C380="RB",LeagueInfo!$D$4*LeagueInfo!$F$2,IF(C380="WR",LeagueInfo!$D$5*LeagueInfo!$F$2,IF(C380="TE",LeagueInfo!$D$6*LeagueInfo!$F$2)))</f>
        <v>24</v>
      </c>
    </row>
    <row r="381" spans="1:9" x14ac:dyDescent="0.35">
      <c r="A381">
        <f t="shared" ca="1" si="28"/>
        <v>225</v>
      </c>
      <c r="B381" t="s">
        <v>500</v>
      </c>
      <c r="C381" t="s">
        <v>32</v>
      </c>
      <c r="D381">
        <f t="shared" ca="1" si="33"/>
        <v>47.98</v>
      </c>
      <c r="E381" s="5">
        <f t="shared" ca="1" si="29"/>
        <v>-54.1</v>
      </c>
      <c r="F381" t="str">
        <f ca="1">IF(H381&lt;=I381,"Starter",IF(G381&gt;=LARGE(G:G,FlexOn*LeagueInfo!$F$2),"Starter","Bench"))</f>
        <v>Bench</v>
      </c>
      <c r="G381">
        <f t="shared" ca="1" si="34"/>
        <v>47.98</v>
      </c>
      <c r="H381">
        <f t="shared" ca="1" si="35"/>
        <v>116</v>
      </c>
      <c r="I381">
        <f>IF(C381="RB",LeagueInfo!$D$4*LeagueInfo!$F$2,IF(C381="WR",LeagueInfo!$D$5*LeagueInfo!$F$2,IF(C381="TE",LeagueInfo!$D$6*LeagueInfo!$F$2)))</f>
        <v>24</v>
      </c>
    </row>
    <row r="382" spans="1:9" x14ac:dyDescent="0.35">
      <c r="A382">
        <f t="shared" ca="1" si="28"/>
        <v>312</v>
      </c>
      <c r="B382" t="s">
        <v>549</v>
      </c>
      <c r="C382" t="s">
        <v>32</v>
      </c>
      <c r="D382">
        <f t="shared" ca="1" si="33"/>
        <v>23.200000000000003</v>
      </c>
      <c r="E382" s="5">
        <f t="shared" ca="1" si="29"/>
        <v>-78.88</v>
      </c>
      <c r="F382" t="str">
        <f ca="1">IF(H382&lt;=I382,"Starter",IF(G382&gt;=LARGE(G:G,FlexOn*LeagueInfo!$F$2),"Starter","Bench"))</f>
        <v>Bench</v>
      </c>
      <c r="G382">
        <f t="shared" ca="1" si="34"/>
        <v>23.200000000000003</v>
      </c>
      <c r="H382">
        <f t="shared" ca="1" si="35"/>
        <v>158</v>
      </c>
      <c r="I382">
        <f>IF(C382="RB",LeagueInfo!$D$4*LeagueInfo!$F$2,IF(C382="WR",LeagueInfo!$D$5*LeagueInfo!$F$2,IF(C382="TE",LeagueInfo!$D$6*LeagueInfo!$F$2)))</f>
        <v>24</v>
      </c>
    </row>
    <row r="383" spans="1:9" x14ac:dyDescent="0.35">
      <c r="A383">
        <f t="shared" ca="1" si="28"/>
        <v>369</v>
      </c>
      <c r="B383" t="s">
        <v>935</v>
      </c>
      <c r="C383" t="s">
        <v>32</v>
      </c>
      <c r="D383">
        <f t="shared" ca="1" si="33"/>
        <v>15.07</v>
      </c>
      <c r="E383" s="5">
        <f t="shared" ca="1" si="29"/>
        <v>-87.009999999999991</v>
      </c>
      <c r="F383" t="str">
        <f ca="1">IF(H383&lt;=I383,"Starter",IF(G383&gt;=LARGE(G:G,FlexOn*LeagueInfo!$F$2),"Starter","Bench"))</f>
        <v>Bench</v>
      </c>
      <c r="G383">
        <f t="shared" ca="1" si="34"/>
        <v>15.07</v>
      </c>
      <c r="H383">
        <f t="shared" ca="1" si="35"/>
        <v>179</v>
      </c>
      <c r="I383">
        <f>IF(C383="RB",LeagueInfo!$D$4*LeagueInfo!$F$2,IF(C383="WR",LeagueInfo!$D$5*LeagueInfo!$F$2,IF(C383="TE",LeagueInfo!$D$6*LeagueInfo!$F$2)))</f>
        <v>24</v>
      </c>
    </row>
    <row r="384" spans="1:9" x14ac:dyDescent="0.35">
      <c r="A384">
        <f t="shared" ca="1" si="28"/>
        <v>357</v>
      </c>
      <c r="B384" t="s">
        <v>246</v>
      </c>
      <c r="C384" t="s">
        <v>32</v>
      </c>
      <c r="D384">
        <f t="shared" ca="1" si="33"/>
        <v>16.450000000000003</v>
      </c>
      <c r="E384" s="5">
        <f t="shared" ca="1" si="29"/>
        <v>-85.63</v>
      </c>
      <c r="F384" t="str">
        <f ca="1">IF(H384&lt;=I384,"Starter",IF(G384&gt;=LARGE(G:G,FlexOn*LeagueInfo!$F$2),"Starter","Bench"))</f>
        <v>Bench</v>
      </c>
      <c r="G384">
        <f t="shared" ca="1" si="34"/>
        <v>16.450000000000003</v>
      </c>
      <c r="H384">
        <f t="shared" ca="1" si="35"/>
        <v>173</v>
      </c>
      <c r="I384">
        <f>IF(C384="RB",LeagueInfo!$D$4*LeagueInfo!$F$2,IF(C384="WR",LeagueInfo!$D$5*LeagueInfo!$F$2,IF(C384="TE",LeagueInfo!$D$6*LeagueInfo!$F$2)))</f>
        <v>24</v>
      </c>
    </row>
    <row r="385" spans="1:9" x14ac:dyDescent="0.35">
      <c r="A385">
        <f t="shared" ca="1" si="28"/>
        <v>351</v>
      </c>
      <c r="B385" t="s">
        <v>497</v>
      </c>
      <c r="C385" t="s">
        <v>32</v>
      </c>
      <c r="D385">
        <f t="shared" ca="1" si="33"/>
        <v>17.739999999999998</v>
      </c>
      <c r="E385" s="5">
        <f t="shared" ca="1" si="29"/>
        <v>-84.34</v>
      </c>
      <c r="F385" t="str">
        <f ca="1">IF(H385&lt;=I385,"Starter",IF(G385&gt;=LARGE(G:G,FlexOn*LeagueInfo!$F$2),"Starter","Bench"))</f>
        <v>Bench</v>
      </c>
      <c r="G385">
        <f t="shared" ca="1" si="34"/>
        <v>17.739999999999998</v>
      </c>
      <c r="H385">
        <f t="shared" ca="1" si="35"/>
        <v>170</v>
      </c>
      <c r="I385">
        <f>IF(C385="RB",LeagueInfo!$D$4*LeagueInfo!$F$2,IF(C385="WR",LeagueInfo!$D$5*LeagueInfo!$F$2,IF(C385="TE",LeagueInfo!$D$6*LeagueInfo!$F$2)))</f>
        <v>24</v>
      </c>
    </row>
    <row r="386" spans="1:9" x14ac:dyDescent="0.35">
      <c r="A386">
        <f t="shared" ref="A386:A432" ca="1" si="36">RANK(E386,E:E)</f>
        <v>354</v>
      </c>
      <c r="B386" t="s">
        <v>235</v>
      </c>
      <c r="C386" t="s">
        <v>32</v>
      </c>
      <c r="D386">
        <f t="shared" ca="1" si="33"/>
        <v>16.82</v>
      </c>
      <c r="E386" s="5">
        <f t="shared" ref="E386:E432" ca="1" si="37">D386-LARGE(D:D,RBCount+WRCount+TECount)</f>
        <v>-85.259999999999991</v>
      </c>
      <c r="F386" t="str">
        <f ca="1">IF(H386&lt;=I386,"Starter",IF(G386&gt;=LARGE(G:G,FlexOn*LeagueInfo!$F$2),"Starter","Bench"))</f>
        <v>Bench</v>
      </c>
      <c r="G386">
        <f t="shared" ca="1" si="34"/>
        <v>16.82</v>
      </c>
      <c r="H386">
        <f t="shared" ca="1" si="35"/>
        <v>172</v>
      </c>
      <c r="I386">
        <f>IF(C386="RB",LeagueInfo!$D$4*LeagueInfo!$F$2,IF(C386="WR",LeagueInfo!$D$5*LeagueInfo!$F$2,IF(C386="TE",LeagueInfo!$D$6*LeagueInfo!$F$2)))</f>
        <v>24</v>
      </c>
    </row>
    <row r="387" spans="1:9" x14ac:dyDescent="0.35">
      <c r="A387">
        <f t="shared" ca="1" si="36"/>
        <v>312</v>
      </c>
      <c r="B387" t="s">
        <v>248</v>
      </c>
      <c r="C387" t="s">
        <v>32</v>
      </c>
      <c r="D387">
        <f t="shared" ca="1" si="33"/>
        <v>23.200000000000003</v>
      </c>
      <c r="E387" s="5">
        <f t="shared" ca="1" si="37"/>
        <v>-78.88</v>
      </c>
      <c r="F387" t="str">
        <f ca="1">IF(H387&lt;=I387,"Starter",IF(G387&gt;=LARGE(G:G,FlexOn*LeagueInfo!$F$2),"Starter","Bench"))</f>
        <v>Bench</v>
      </c>
      <c r="G387">
        <f t="shared" ca="1" si="34"/>
        <v>23.200000000000003</v>
      </c>
      <c r="H387">
        <f t="shared" ca="1" si="35"/>
        <v>158</v>
      </c>
      <c r="I387">
        <f>IF(C387="RB",LeagueInfo!$D$4*LeagueInfo!$F$2,IF(C387="WR",LeagueInfo!$D$5*LeagueInfo!$F$2,IF(C387="TE",LeagueInfo!$D$6*LeagueInfo!$F$2)))</f>
        <v>24</v>
      </c>
    </row>
    <row r="388" spans="1:9" x14ac:dyDescent="0.35">
      <c r="A388">
        <f t="shared" ca="1" si="36"/>
        <v>331</v>
      </c>
      <c r="B388" t="s">
        <v>795</v>
      </c>
      <c r="C388" t="s">
        <v>32</v>
      </c>
      <c r="D388">
        <f t="shared" ca="1" si="33"/>
        <v>20.3</v>
      </c>
      <c r="E388" s="5">
        <f t="shared" ca="1" si="37"/>
        <v>-81.78</v>
      </c>
      <c r="F388" t="str">
        <f ca="1">IF(H388&lt;=I388,"Starter",IF(G388&gt;=LARGE(G:G,FlexOn*LeagueInfo!$F$2),"Starter","Bench"))</f>
        <v>Bench</v>
      </c>
      <c r="G388">
        <f t="shared" ca="1" si="34"/>
        <v>20.3</v>
      </c>
      <c r="H388">
        <f t="shared" ca="1" si="35"/>
        <v>164</v>
      </c>
      <c r="I388">
        <f>IF(C388="RB",LeagueInfo!$D$4*LeagueInfo!$F$2,IF(C388="WR",LeagueInfo!$D$5*LeagueInfo!$F$2,IF(C388="TE",LeagueInfo!$D$6*LeagueInfo!$F$2)))</f>
        <v>24</v>
      </c>
    </row>
    <row r="389" spans="1:9" x14ac:dyDescent="0.35">
      <c r="A389">
        <f t="shared" ca="1" si="36"/>
        <v>253</v>
      </c>
      <c r="B389" t="s">
        <v>606</v>
      </c>
      <c r="C389" t="s">
        <v>32</v>
      </c>
      <c r="D389">
        <f t="shared" ca="1" si="33"/>
        <v>34.47</v>
      </c>
      <c r="E389" s="5">
        <f t="shared" ca="1" si="37"/>
        <v>-67.61</v>
      </c>
      <c r="F389" t="str">
        <f ca="1">IF(H389&lt;=I389,"Starter",IF(G389&gt;=LARGE(G:G,FlexOn*LeagueInfo!$F$2),"Starter","Bench"))</f>
        <v>Bench</v>
      </c>
      <c r="G389">
        <f t="shared" ca="1" si="34"/>
        <v>34.47</v>
      </c>
      <c r="H389">
        <f t="shared" ca="1" si="35"/>
        <v>127</v>
      </c>
      <c r="I389">
        <f>IF(C389="RB",LeagueInfo!$D$4*LeagueInfo!$F$2,IF(C389="WR",LeagueInfo!$D$5*LeagueInfo!$F$2,IF(C389="TE",LeagueInfo!$D$6*LeagueInfo!$F$2)))</f>
        <v>24</v>
      </c>
    </row>
    <row r="390" spans="1:9" x14ac:dyDescent="0.35">
      <c r="A390">
        <f t="shared" ca="1" si="36"/>
        <v>239</v>
      </c>
      <c r="B390" t="s">
        <v>733</v>
      </c>
      <c r="C390" t="s">
        <v>32</v>
      </c>
      <c r="D390">
        <f t="shared" ca="1" si="33"/>
        <v>42.19</v>
      </c>
      <c r="E390" s="5">
        <f t="shared" ca="1" si="37"/>
        <v>-59.89</v>
      </c>
      <c r="F390" t="str">
        <f ca="1">IF(H390&lt;=I390,"Starter",IF(G390&gt;=LARGE(G:G,FlexOn*LeagueInfo!$F$2),"Starter","Bench"))</f>
        <v>Bench</v>
      </c>
      <c r="G390">
        <f t="shared" ca="1" si="34"/>
        <v>42.19</v>
      </c>
      <c r="H390">
        <f t="shared" ca="1" si="35"/>
        <v>123</v>
      </c>
      <c r="I390">
        <f>IF(C390="RB",LeagueInfo!$D$4*LeagueInfo!$F$2,IF(C390="WR",LeagueInfo!$D$5*LeagueInfo!$F$2,IF(C390="TE",LeagueInfo!$D$6*LeagueInfo!$F$2)))</f>
        <v>24</v>
      </c>
    </row>
    <row r="391" spans="1:9" x14ac:dyDescent="0.35">
      <c r="A391">
        <f t="shared" ca="1" si="36"/>
        <v>375</v>
      </c>
      <c r="B391" t="s">
        <v>810</v>
      </c>
      <c r="C391" t="s">
        <v>32</v>
      </c>
      <c r="D391">
        <f t="shared" ca="1" si="33"/>
        <v>14.559999999999999</v>
      </c>
      <c r="E391" s="5">
        <f t="shared" ca="1" si="37"/>
        <v>-87.52</v>
      </c>
      <c r="F391" t="str">
        <f ca="1">IF(H391&lt;=I391,"Starter",IF(G391&gt;=LARGE(G:G,FlexOn*LeagueInfo!$F$2),"Starter","Bench"))</f>
        <v>Bench</v>
      </c>
      <c r="G391">
        <f t="shared" ca="1" si="34"/>
        <v>14.559999999999999</v>
      </c>
      <c r="H391">
        <f t="shared" ca="1" si="35"/>
        <v>186</v>
      </c>
      <c r="I391">
        <f>IF(C391="RB",LeagueInfo!$D$4*LeagueInfo!$F$2,IF(C391="WR",LeagueInfo!$D$5*LeagueInfo!$F$2,IF(C391="TE",LeagueInfo!$D$6*LeagueInfo!$F$2)))</f>
        <v>24</v>
      </c>
    </row>
    <row r="392" spans="1:9" x14ac:dyDescent="0.35">
      <c r="A392">
        <f t="shared" ca="1" si="36"/>
        <v>358</v>
      </c>
      <c r="B392" t="s">
        <v>788</v>
      </c>
      <c r="C392" t="s">
        <v>32</v>
      </c>
      <c r="D392">
        <f t="shared" ca="1" si="33"/>
        <v>16.190000000000001</v>
      </c>
      <c r="E392" s="5">
        <f t="shared" ca="1" si="37"/>
        <v>-85.89</v>
      </c>
      <c r="F392" t="str">
        <f ca="1">IF(H392&lt;=I392,"Starter",IF(G392&gt;=LARGE(G:G,FlexOn*LeagueInfo!$F$2),"Starter","Bench"))</f>
        <v>Bench</v>
      </c>
      <c r="G392">
        <f t="shared" ca="1" si="34"/>
        <v>16.190000000000001</v>
      </c>
      <c r="H392">
        <f t="shared" ca="1" si="35"/>
        <v>174</v>
      </c>
      <c r="I392">
        <f>IF(C392="RB",LeagueInfo!$D$4*LeagueInfo!$F$2,IF(C392="WR",LeagueInfo!$D$5*LeagueInfo!$F$2,IF(C392="TE",LeagueInfo!$D$6*LeagueInfo!$F$2)))</f>
        <v>24</v>
      </c>
    </row>
    <row r="393" spans="1:9" x14ac:dyDescent="0.35">
      <c r="A393">
        <f t="shared" ca="1" si="36"/>
        <v>286</v>
      </c>
      <c r="B393" t="s">
        <v>440</v>
      </c>
      <c r="C393" t="s">
        <v>32</v>
      </c>
      <c r="D393">
        <f t="shared" ca="1" si="33"/>
        <v>26.73</v>
      </c>
      <c r="E393" s="5">
        <f t="shared" ca="1" si="37"/>
        <v>-75.349999999999994</v>
      </c>
      <c r="F393" t="str">
        <f ca="1">IF(H393&lt;=I393,"Starter",IF(G393&gt;=LARGE(G:G,FlexOn*LeagueInfo!$F$2),"Starter","Bench"))</f>
        <v>Bench</v>
      </c>
      <c r="G393">
        <f t="shared" ca="1" si="34"/>
        <v>26.73</v>
      </c>
      <c r="H393">
        <f t="shared" ca="1" si="35"/>
        <v>144</v>
      </c>
      <c r="I393">
        <f>IF(C393="RB",LeagueInfo!$D$4*LeagueInfo!$F$2,IF(C393="WR",LeagueInfo!$D$5*LeagueInfo!$F$2,IF(C393="TE",LeagueInfo!$D$6*LeagueInfo!$F$2)))</f>
        <v>24</v>
      </c>
    </row>
    <row r="394" spans="1:9" x14ac:dyDescent="0.35">
      <c r="A394">
        <f t="shared" ca="1" si="36"/>
        <v>310</v>
      </c>
      <c r="B394" t="s">
        <v>495</v>
      </c>
      <c r="C394" t="s">
        <v>32</v>
      </c>
      <c r="D394">
        <f t="shared" ca="1" si="33"/>
        <v>23.5</v>
      </c>
      <c r="E394" s="5">
        <f t="shared" ca="1" si="37"/>
        <v>-78.58</v>
      </c>
      <c r="F394" t="str">
        <f ca="1">IF(H394&lt;=I394,"Starter",IF(G394&gt;=LARGE(G:G,FlexOn*LeagueInfo!$F$2),"Starter","Bench"))</f>
        <v>Bench</v>
      </c>
      <c r="G394">
        <f t="shared" ca="1" si="34"/>
        <v>23.5</v>
      </c>
      <c r="H394">
        <f t="shared" ca="1" si="35"/>
        <v>157</v>
      </c>
      <c r="I394">
        <f>IF(C394="RB",LeagueInfo!$D$4*LeagueInfo!$F$2,IF(C394="WR",LeagueInfo!$D$5*LeagueInfo!$F$2,IF(C394="TE",LeagueInfo!$D$6*LeagueInfo!$F$2)))</f>
        <v>24</v>
      </c>
    </row>
    <row r="395" spans="1:9" x14ac:dyDescent="0.35">
      <c r="A395">
        <f t="shared" ca="1" si="36"/>
        <v>371</v>
      </c>
      <c r="B395" t="s">
        <v>609</v>
      </c>
      <c r="C395" t="s">
        <v>32</v>
      </c>
      <c r="D395">
        <f t="shared" ca="1" si="33"/>
        <v>14.97</v>
      </c>
      <c r="E395" s="5">
        <f t="shared" ca="1" si="37"/>
        <v>-87.11</v>
      </c>
      <c r="F395" t="str">
        <f ca="1">IF(H395&lt;=I395,"Starter",IF(G395&gt;=LARGE(G:G,FlexOn*LeagueInfo!$F$2),"Starter","Bench"))</f>
        <v>Bench</v>
      </c>
      <c r="G395">
        <f t="shared" ca="1" si="34"/>
        <v>14.97</v>
      </c>
      <c r="H395">
        <f t="shared" ca="1" si="35"/>
        <v>181</v>
      </c>
      <c r="I395">
        <f>IF(C395="RB",LeagueInfo!$D$4*LeagueInfo!$F$2,IF(C395="WR",LeagueInfo!$D$5*LeagueInfo!$F$2,IF(C395="TE",LeagueInfo!$D$6*LeagueInfo!$F$2)))</f>
        <v>24</v>
      </c>
    </row>
    <row r="396" spans="1:9" x14ac:dyDescent="0.35">
      <c r="A396">
        <f t="shared" ca="1" si="36"/>
        <v>375</v>
      </c>
      <c r="B396" t="s">
        <v>444</v>
      </c>
      <c r="C396" t="s">
        <v>32</v>
      </c>
      <c r="D396">
        <f t="shared" ca="1" si="33"/>
        <v>14.56</v>
      </c>
      <c r="E396" s="5">
        <f t="shared" ca="1" si="37"/>
        <v>-87.52</v>
      </c>
      <c r="F396" t="str">
        <f ca="1">IF(H396&lt;=I396,"Starter",IF(G396&gt;=LARGE(G:G,FlexOn*LeagueInfo!$F$2),"Starter","Bench"))</f>
        <v>Bench</v>
      </c>
      <c r="G396">
        <f t="shared" ca="1" si="34"/>
        <v>14.56</v>
      </c>
      <c r="H396">
        <f t="shared" ca="1" si="35"/>
        <v>185</v>
      </c>
      <c r="I396">
        <f>IF(C396="RB",LeagueInfo!$D$4*LeagueInfo!$F$2,IF(C396="WR",LeagueInfo!$D$5*LeagueInfo!$F$2,IF(C396="TE",LeagueInfo!$D$6*LeagueInfo!$F$2)))</f>
        <v>24</v>
      </c>
    </row>
    <row r="397" spans="1:9" x14ac:dyDescent="0.35">
      <c r="A397">
        <f t="shared" ca="1" si="36"/>
        <v>382</v>
      </c>
      <c r="B397" t="s">
        <v>496</v>
      </c>
      <c r="C397" t="s">
        <v>32</v>
      </c>
      <c r="D397">
        <f t="shared" ca="1" si="33"/>
        <v>13.350000000000001</v>
      </c>
      <c r="E397" s="5">
        <f t="shared" ca="1" si="37"/>
        <v>-88.72999999999999</v>
      </c>
      <c r="F397" t="str">
        <f ca="1">IF(H397&lt;=I397,"Starter",IF(G397&gt;=LARGE(G:G,FlexOn*LeagueInfo!$F$2),"Starter","Bench"))</f>
        <v>Bench</v>
      </c>
      <c r="G397">
        <f t="shared" ca="1" si="34"/>
        <v>13.350000000000001</v>
      </c>
      <c r="H397">
        <f t="shared" ca="1" si="35"/>
        <v>189</v>
      </c>
      <c r="I397">
        <f>IF(C397="RB",LeagueInfo!$D$4*LeagueInfo!$F$2,IF(C397="WR",LeagueInfo!$D$5*LeagueInfo!$F$2,IF(C397="TE",LeagueInfo!$D$6*LeagueInfo!$F$2)))</f>
        <v>24</v>
      </c>
    </row>
    <row r="398" spans="1:9" x14ac:dyDescent="0.35">
      <c r="A398">
        <f t="shared" ca="1" si="36"/>
        <v>372</v>
      </c>
      <c r="B398" t="s">
        <v>718</v>
      </c>
      <c r="C398" t="s">
        <v>32</v>
      </c>
      <c r="D398">
        <f t="shared" ca="1" si="33"/>
        <v>14.89</v>
      </c>
      <c r="E398" s="5">
        <f t="shared" ca="1" si="37"/>
        <v>-87.19</v>
      </c>
      <c r="F398" t="str">
        <f ca="1">IF(H398&lt;=I398,"Starter",IF(G398&gt;=LARGE(G:G,FlexOn*LeagueInfo!$F$2),"Starter","Bench"))</f>
        <v>Bench</v>
      </c>
      <c r="G398">
        <f t="shared" ca="1" si="34"/>
        <v>14.89</v>
      </c>
      <c r="H398">
        <f t="shared" ca="1" si="35"/>
        <v>182</v>
      </c>
      <c r="I398">
        <f>IF(C398="RB",LeagueInfo!$D$4*LeagueInfo!$F$2,IF(C398="WR",LeagueInfo!$D$5*LeagueInfo!$F$2,IF(C398="TE",LeagueInfo!$D$6*LeagueInfo!$F$2)))</f>
        <v>24</v>
      </c>
    </row>
    <row r="399" spans="1:9" x14ac:dyDescent="0.35">
      <c r="A399">
        <f t="shared" ca="1" si="36"/>
        <v>316</v>
      </c>
      <c r="B399" t="s">
        <v>1013</v>
      </c>
      <c r="C399" t="s">
        <v>32</v>
      </c>
      <c r="D399">
        <f t="shared" ca="1" si="33"/>
        <v>22.8</v>
      </c>
      <c r="E399" s="5">
        <f t="shared" ca="1" si="37"/>
        <v>-79.28</v>
      </c>
      <c r="F399" t="str">
        <f ca="1">IF(H399&lt;=I399,"Starter",IF(G399&gt;=LARGE(G:G,FlexOn*LeagueInfo!$F$2),"Starter","Bench"))</f>
        <v>Bench</v>
      </c>
      <c r="G399">
        <f t="shared" ca="1" si="34"/>
        <v>22.8</v>
      </c>
      <c r="H399">
        <f t="shared" ca="1" si="35"/>
        <v>160</v>
      </c>
      <c r="I399">
        <f>IF(C399="RB",LeagueInfo!$D$4*LeagueInfo!$F$2,IF(C399="WR",LeagueInfo!$D$5*LeagueInfo!$F$2,IF(C399="TE",LeagueInfo!$D$6*LeagueInfo!$F$2)))</f>
        <v>24</v>
      </c>
    </row>
    <row r="400" spans="1:9" x14ac:dyDescent="0.35">
      <c r="A400">
        <f t="shared" ca="1" si="36"/>
        <v>361</v>
      </c>
      <c r="B400" t="s">
        <v>411</v>
      </c>
      <c r="C400" t="s">
        <v>32</v>
      </c>
      <c r="D400">
        <f t="shared" ca="1" si="33"/>
        <v>16.159999999999997</v>
      </c>
      <c r="E400" s="5">
        <f t="shared" ca="1" si="37"/>
        <v>-85.92</v>
      </c>
      <c r="F400" t="str">
        <f ca="1">IF(H400&lt;=I400,"Starter",IF(G400&gt;=LARGE(G:G,FlexOn*LeagueInfo!$F$2),"Starter","Bench"))</f>
        <v>Bench</v>
      </c>
      <c r="G400">
        <f t="shared" ca="1" si="34"/>
        <v>16.159999999999997</v>
      </c>
      <c r="H400">
        <f t="shared" ca="1" si="35"/>
        <v>176</v>
      </c>
      <c r="I400">
        <f>IF(C400="RB",LeagueInfo!$D$4*LeagueInfo!$F$2,IF(C400="WR",LeagueInfo!$D$5*LeagueInfo!$F$2,IF(C400="TE",LeagueInfo!$D$6*LeagueInfo!$F$2)))</f>
        <v>24</v>
      </c>
    </row>
    <row r="401" spans="1:9" x14ac:dyDescent="0.35">
      <c r="A401">
        <f t="shared" ca="1" si="36"/>
        <v>383</v>
      </c>
      <c r="B401" t="s">
        <v>612</v>
      </c>
      <c r="C401" t="s">
        <v>32</v>
      </c>
      <c r="D401">
        <f t="shared" ca="1" si="33"/>
        <v>13.24</v>
      </c>
      <c r="E401" s="5">
        <f t="shared" ca="1" si="37"/>
        <v>-88.84</v>
      </c>
      <c r="F401" t="str">
        <f ca="1">IF(H401&lt;=I401,"Starter",IF(G401&gt;=LARGE(G:G,FlexOn*LeagueInfo!$F$2),"Starter","Bench"))</f>
        <v>Bench</v>
      </c>
      <c r="G401">
        <f t="shared" ca="1" si="34"/>
        <v>13.24</v>
      </c>
      <c r="H401">
        <f t="shared" ca="1" si="35"/>
        <v>190</v>
      </c>
      <c r="I401">
        <f>IF(C401="RB",LeagueInfo!$D$4*LeagueInfo!$F$2,IF(C401="WR",LeagueInfo!$D$5*LeagueInfo!$F$2,IF(C401="TE",LeagueInfo!$D$6*LeagueInfo!$F$2)))</f>
        <v>24</v>
      </c>
    </row>
    <row r="402" spans="1:9" x14ac:dyDescent="0.35">
      <c r="A402">
        <f t="shared" ca="1" si="36"/>
        <v>385</v>
      </c>
      <c r="B402" t="s">
        <v>846</v>
      </c>
      <c r="C402" t="s">
        <v>32</v>
      </c>
      <c r="D402">
        <f t="shared" ca="1" si="33"/>
        <v>12.959999999999999</v>
      </c>
      <c r="E402" s="5">
        <f t="shared" ca="1" si="37"/>
        <v>-89.12</v>
      </c>
      <c r="F402" t="str">
        <f ca="1">IF(H402&lt;=I402,"Starter",IF(G402&gt;=LARGE(G:G,FlexOn*LeagueInfo!$F$2),"Starter","Bench"))</f>
        <v>Bench</v>
      </c>
      <c r="G402">
        <f t="shared" ca="1" si="34"/>
        <v>12.959999999999999</v>
      </c>
      <c r="H402">
        <f t="shared" ca="1" si="35"/>
        <v>191</v>
      </c>
      <c r="I402">
        <f>IF(C402="RB",LeagueInfo!$D$4*LeagueInfo!$F$2,IF(C402="WR",LeagueInfo!$D$5*LeagueInfo!$F$2,IF(C402="TE",LeagueInfo!$D$6*LeagueInfo!$F$2)))</f>
        <v>24</v>
      </c>
    </row>
    <row r="403" spans="1:9" x14ac:dyDescent="0.35">
      <c r="A403">
        <f t="shared" ca="1" si="36"/>
        <v>394</v>
      </c>
      <c r="B403" t="s">
        <v>1014</v>
      </c>
      <c r="C403" t="s">
        <v>32</v>
      </c>
      <c r="D403">
        <f t="shared" ca="1" si="33"/>
        <v>11.22</v>
      </c>
      <c r="E403" s="5">
        <f t="shared" ca="1" si="37"/>
        <v>-90.86</v>
      </c>
      <c r="F403" t="str">
        <f ca="1">IF(H403&lt;=I403,"Starter",IF(G403&gt;=LARGE(G:G,FlexOn*LeagueInfo!$F$2),"Starter","Bench"))</f>
        <v>Bench</v>
      </c>
      <c r="G403">
        <f t="shared" ca="1" si="34"/>
        <v>11.22</v>
      </c>
      <c r="H403">
        <f t="shared" ca="1" si="35"/>
        <v>195</v>
      </c>
      <c r="I403">
        <f>IF(C403="RB",LeagueInfo!$D$4*LeagueInfo!$F$2,IF(C403="WR",LeagueInfo!$D$5*LeagueInfo!$F$2,IF(C403="TE",LeagueInfo!$D$6*LeagueInfo!$F$2)))</f>
        <v>24</v>
      </c>
    </row>
    <row r="404" spans="1:9" x14ac:dyDescent="0.35">
      <c r="A404">
        <f t="shared" ca="1" si="36"/>
        <v>388</v>
      </c>
      <c r="B404" t="s">
        <v>1015</v>
      </c>
      <c r="C404" t="s">
        <v>32</v>
      </c>
      <c r="D404">
        <f t="shared" ca="1" si="33"/>
        <v>11.950000000000001</v>
      </c>
      <c r="E404" s="5">
        <f t="shared" ca="1" si="37"/>
        <v>-90.13</v>
      </c>
      <c r="F404" t="str">
        <f ca="1">IF(H404&lt;=I404,"Starter",IF(G404&gt;=LARGE(G:G,FlexOn*LeagueInfo!$F$2),"Starter","Bench"))</f>
        <v>Bench</v>
      </c>
      <c r="G404">
        <f t="shared" ca="1" si="34"/>
        <v>11.950000000000001</v>
      </c>
      <c r="H404">
        <f t="shared" ca="1" si="35"/>
        <v>193</v>
      </c>
      <c r="I404">
        <f>IF(C404="RB",LeagueInfo!$D$4*LeagueInfo!$F$2,IF(C404="WR",LeagueInfo!$D$5*LeagueInfo!$F$2,IF(C404="TE",LeagueInfo!$D$6*LeagueInfo!$F$2)))</f>
        <v>24</v>
      </c>
    </row>
    <row r="405" spans="1:9" x14ac:dyDescent="0.35">
      <c r="A405">
        <f t="shared" ca="1" si="36"/>
        <v>342</v>
      </c>
      <c r="B405" t="s">
        <v>366</v>
      </c>
      <c r="C405" t="s">
        <v>32</v>
      </c>
      <c r="D405">
        <f t="shared" ca="1" si="33"/>
        <v>19</v>
      </c>
      <c r="E405" s="5">
        <f t="shared" ca="1" si="37"/>
        <v>-83.08</v>
      </c>
      <c r="F405" t="str">
        <f ca="1">IF(H405&lt;=I405,"Starter",IF(G405&gt;=LARGE(G:G,FlexOn*LeagueInfo!$F$2),"Starter","Bench"))</f>
        <v>Bench</v>
      </c>
      <c r="G405">
        <f t="shared" ca="1" si="34"/>
        <v>19</v>
      </c>
      <c r="H405">
        <f t="shared" ca="1" si="35"/>
        <v>169</v>
      </c>
      <c r="I405">
        <f>IF(C405="RB",LeagueInfo!$D$4*LeagueInfo!$F$2,IF(C405="WR",LeagueInfo!$D$5*LeagueInfo!$F$2,IF(C405="TE",LeagueInfo!$D$6*LeagueInfo!$F$2)))</f>
        <v>24</v>
      </c>
    </row>
    <row r="406" spans="1:9" x14ac:dyDescent="0.35">
      <c r="A406">
        <f t="shared" ca="1" si="36"/>
        <v>389</v>
      </c>
      <c r="B406" t="s">
        <v>471</v>
      </c>
      <c r="C406" t="s">
        <v>32</v>
      </c>
      <c r="D406">
        <f t="shared" ca="1" si="33"/>
        <v>11.690000000000001</v>
      </c>
      <c r="E406" s="5">
        <f t="shared" ca="1" si="37"/>
        <v>-90.39</v>
      </c>
      <c r="F406" t="str">
        <f ca="1">IF(H406&lt;=I406,"Starter",IF(G406&gt;=LARGE(G:G,FlexOn*LeagueInfo!$F$2),"Starter","Bench"))</f>
        <v>Bench</v>
      </c>
      <c r="G406">
        <f t="shared" ca="1" si="34"/>
        <v>11.690000000000001</v>
      </c>
      <c r="H406">
        <f t="shared" ca="1" si="35"/>
        <v>194</v>
      </c>
      <c r="I406">
        <f>IF(C406="RB",LeagueInfo!$D$4*LeagueInfo!$F$2,IF(C406="WR",LeagueInfo!$D$5*LeagueInfo!$F$2,IF(C406="TE",LeagueInfo!$D$6*LeagueInfo!$F$2)))</f>
        <v>24</v>
      </c>
    </row>
    <row r="407" spans="1:9" x14ac:dyDescent="0.35">
      <c r="A407">
        <f t="shared" ca="1" si="36"/>
        <v>430</v>
      </c>
      <c r="B407" t="s">
        <v>1090</v>
      </c>
      <c r="C407" t="s">
        <v>32</v>
      </c>
      <c r="D407">
        <f t="shared" ca="1" si="33"/>
        <v>3.54</v>
      </c>
      <c r="E407" s="5">
        <f t="shared" ca="1" si="37"/>
        <v>-98.539999999999992</v>
      </c>
      <c r="F407" t="str">
        <f ca="1">IF(H407&lt;=I407,"Starter",IF(G407&gt;=LARGE(G:G,FlexOn*LeagueInfo!$F$2),"Starter","Bench"))</f>
        <v>Bench</v>
      </c>
      <c r="G407">
        <f t="shared" ca="1" si="34"/>
        <v>3.54</v>
      </c>
      <c r="H407">
        <f t="shared" ca="1" si="35"/>
        <v>211</v>
      </c>
      <c r="I407">
        <f>IF(C407="RB",LeagueInfo!$D$4*LeagueInfo!$F$2,IF(C407="WR",LeagueInfo!$D$5*LeagueInfo!$F$2,IF(C407="TE",LeagueInfo!$D$6*LeagueInfo!$F$2)))</f>
        <v>24</v>
      </c>
    </row>
    <row r="408" spans="1:9" x14ac:dyDescent="0.35">
      <c r="A408">
        <f t="shared" ca="1" si="36"/>
        <v>410</v>
      </c>
      <c r="B408" t="s">
        <v>813</v>
      </c>
      <c r="C408" t="s">
        <v>32</v>
      </c>
      <c r="D408">
        <f t="shared" ca="1" si="33"/>
        <v>7.54</v>
      </c>
      <c r="E408" s="5">
        <f t="shared" ca="1" si="37"/>
        <v>-94.539999999999992</v>
      </c>
      <c r="F408" t="str">
        <f ca="1">IF(H408&lt;=I408,"Starter",IF(G408&gt;=LARGE(G:G,FlexOn*LeagueInfo!$F$2),"Starter","Bench"))</f>
        <v>Bench</v>
      </c>
      <c r="G408">
        <f t="shared" ca="1" si="34"/>
        <v>7.54</v>
      </c>
      <c r="H408">
        <f t="shared" ca="1" si="35"/>
        <v>202</v>
      </c>
      <c r="I408">
        <f>IF(C408="RB",LeagueInfo!$D$4*LeagueInfo!$F$2,IF(C408="WR",LeagueInfo!$D$5*LeagueInfo!$F$2,IF(C408="TE",LeagueInfo!$D$6*LeagueInfo!$F$2)))</f>
        <v>24</v>
      </c>
    </row>
    <row r="409" spans="1:9" x14ac:dyDescent="0.35">
      <c r="A409">
        <f t="shared" ca="1" si="36"/>
        <v>419</v>
      </c>
      <c r="B409" t="s">
        <v>564</v>
      </c>
      <c r="C409" t="s">
        <v>32</v>
      </c>
      <c r="D409">
        <f t="shared" ca="1" si="33"/>
        <v>6.5299999999999994</v>
      </c>
      <c r="E409" s="5">
        <f t="shared" ca="1" si="37"/>
        <v>-95.55</v>
      </c>
      <c r="F409" t="str">
        <f ca="1">IF(H409&lt;=I409,"Starter",IF(G409&gt;=LARGE(G:G,FlexOn*LeagueInfo!$F$2),"Starter","Bench"))</f>
        <v>Bench</v>
      </c>
      <c r="G409">
        <f t="shared" ca="1" si="34"/>
        <v>6.5299999999999994</v>
      </c>
      <c r="H409">
        <f t="shared" ca="1" si="35"/>
        <v>204</v>
      </c>
      <c r="I409">
        <f>IF(C409="RB",LeagueInfo!$D$4*LeagueInfo!$F$2,IF(C409="WR",LeagueInfo!$D$5*LeagueInfo!$F$2,IF(C409="TE",LeagueInfo!$D$6*LeagueInfo!$F$2)))</f>
        <v>24</v>
      </c>
    </row>
    <row r="410" spans="1:9" x14ac:dyDescent="0.35">
      <c r="A410">
        <f t="shared" ca="1" si="36"/>
        <v>403</v>
      </c>
      <c r="B410" t="s">
        <v>1023</v>
      </c>
      <c r="C410" t="s">
        <v>32</v>
      </c>
      <c r="D410">
        <f t="shared" ca="1" si="33"/>
        <v>10.129999999999999</v>
      </c>
      <c r="E410" s="5">
        <f t="shared" ca="1" si="37"/>
        <v>-91.95</v>
      </c>
      <c r="F410" t="str">
        <f ca="1">IF(H410&lt;=I410,"Starter",IF(G410&gt;=LARGE(G:G,FlexOn*LeagueInfo!$F$2),"Starter","Bench"))</f>
        <v>Bench</v>
      </c>
      <c r="G410">
        <f t="shared" ca="1" si="34"/>
        <v>10.129999999999999</v>
      </c>
      <c r="H410">
        <f t="shared" ca="1" si="35"/>
        <v>198</v>
      </c>
      <c r="I410">
        <f>IF(C410="RB",LeagueInfo!$D$4*LeagueInfo!$F$2,IF(C410="WR",LeagueInfo!$D$5*LeagueInfo!$F$2,IF(C410="TE",LeagueInfo!$D$6*LeagueInfo!$F$2)))</f>
        <v>24</v>
      </c>
    </row>
    <row r="411" spans="1:9" x14ac:dyDescent="0.35">
      <c r="A411">
        <f t="shared" ca="1" si="36"/>
        <v>377</v>
      </c>
      <c r="B411" t="s">
        <v>1017</v>
      </c>
      <c r="C411" t="s">
        <v>32</v>
      </c>
      <c r="D411">
        <f t="shared" ca="1" si="33"/>
        <v>14.34</v>
      </c>
      <c r="E411" s="5">
        <f t="shared" ca="1" si="37"/>
        <v>-87.74</v>
      </c>
      <c r="F411" t="str">
        <f ca="1">IF(H411&lt;=I411,"Starter",IF(G411&gt;=LARGE(G:G,FlexOn*LeagueInfo!$F$2),"Starter","Bench"))</f>
        <v>Bench</v>
      </c>
      <c r="G411">
        <f t="shared" ca="1" si="34"/>
        <v>14.34</v>
      </c>
      <c r="H411">
        <f t="shared" ca="1" si="35"/>
        <v>187</v>
      </c>
      <c r="I411">
        <f>IF(C411="RB",LeagueInfo!$D$4*LeagueInfo!$F$2,IF(C411="WR",LeagueInfo!$D$5*LeagueInfo!$F$2,IF(C411="TE",LeagueInfo!$D$6*LeagueInfo!$F$2)))</f>
        <v>24</v>
      </c>
    </row>
    <row r="412" spans="1:9" x14ac:dyDescent="0.35">
      <c r="A412">
        <f t="shared" ca="1" si="36"/>
        <v>398</v>
      </c>
      <c r="B412" t="s">
        <v>1018</v>
      </c>
      <c r="C412" t="s">
        <v>32</v>
      </c>
      <c r="D412">
        <f t="shared" ca="1" si="33"/>
        <v>10.92</v>
      </c>
      <c r="E412" s="5">
        <f t="shared" ca="1" si="37"/>
        <v>-91.16</v>
      </c>
      <c r="F412" t="str">
        <f ca="1">IF(H412&lt;=I412,"Starter",IF(G412&gt;=LARGE(G:G,FlexOn*LeagueInfo!$F$2),"Starter","Bench"))</f>
        <v>Bench</v>
      </c>
      <c r="G412">
        <f t="shared" ca="1" si="34"/>
        <v>10.92</v>
      </c>
      <c r="H412">
        <f t="shared" ca="1" si="35"/>
        <v>196</v>
      </c>
      <c r="I412">
        <f>IF(C412="RB",LeagueInfo!$D$4*LeagueInfo!$F$2,IF(C412="WR",LeagueInfo!$D$5*LeagueInfo!$F$2,IF(C412="TE",LeagueInfo!$D$6*LeagueInfo!$F$2)))</f>
        <v>24</v>
      </c>
    </row>
    <row r="413" spans="1:9" x14ac:dyDescent="0.35">
      <c r="A413">
        <f t="shared" ca="1" si="36"/>
        <v>399</v>
      </c>
      <c r="B413" t="s">
        <v>1019</v>
      </c>
      <c r="C413" t="s">
        <v>32</v>
      </c>
      <c r="D413">
        <f t="shared" ca="1" si="33"/>
        <v>10.88</v>
      </c>
      <c r="E413" s="5">
        <f t="shared" ca="1" si="37"/>
        <v>-91.2</v>
      </c>
      <c r="F413" t="str">
        <f ca="1">IF(H413&lt;=I413,"Starter",IF(G413&gt;=LARGE(G:G,FlexOn*LeagueInfo!$F$2),"Starter","Bench"))</f>
        <v>Bench</v>
      </c>
      <c r="G413">
        <f t="shared" ca="1" si="34"/>
        <v>10.88</v>
      </c>
      <c r="H413">
        <f t="shared" ca="1" si="35"/>
        <v>197</v>
      </c>
      <c r="I413">
        <f>IF(C413="RB",LeagueInfo!$D$4*LeagueInfo!$F$2,IF(C413="WR",LeagueInfo!$D$5*LeagueInfo!$F$2,IF(C413="TE",LeagueInfo!$D$6*LeagueInfo!$F$2)))</f>
        <v>24</v>
      </c>
    </row>
    <row r="414" spans="1:9" x14ac:dyDescent="0.35">
      <c r="A414">
        <f t="shared" ca="1" si="36"/>
        <v>386</v>
      </c>
      <c r="B414" t="s">
        <v>363</v>
      </c>
      <c r="C414" t="s">
        <v>32</v>
      </c>
      <c r="D414">
        <f t="shared" ca="1" si="33"/>
        <v>12.9</v>
      </c>
      <c r="E414" s="5">
        <f t="shared" ca="1" si="37"/>
        <v>-89.179999999999993</v>
      </c>
      <c r="F414" t="str">
        <f ca="1">IF(H414&lt;=I414,"Starter",IF(G414&gt;=LARGE(G:G,FlexOn*LeagueInfo!$F$2),"Starter","Bench"))</f>
        <v>Bench</v>
      </c>
      <c r="G414">
        <f t="shared" ca="1" si="34"/>
        <v>12.9</v>
      </c>
      <c r="H414">
        <f t="shared" ca="1" si="35"/>
        <v>192</v>
      </c>
      <c r="I414">
        <f>IF(C414="RB",LeagueInfo!$D$4*LeagueInfo!$F$2,IF(C414="WR",LeagueInfo!$D$5*LeagueInfo!$F$2,IF(C414="TE",LeagueInfo!$D$6*LeagueInfo!$F$2)))</f>
        <v>24</v>
      </c>
    </row>
    <row r="415" spans="1:9" x14ac:dyDescent="0.35">
      <c r="A415">
        <f t="shared" ca="1" si="36"/>
        <v>421</v>
      </c>
      <c r="B415" t="s">
        <v>1024</v>
      </c>
      <c r="C415" t="s">
        <v>32</v>
      </c>
      <c r="D415">
        <f t="shared" ca="1" si="33"/>
        <v>6.3900000000000006</v>
      </c>
      <c r="E415" s="5">
        <f t="shared" ca="1" si="37"/>
        <v>-95.69</v>
      </c>
      <c r="F415" t="str">
        <f ca="1">IF(H415&lt;=I415,"Starter",IF(G415&gt;=LARGE(G:G,FlexOn*LeagueInfo!$F$2),"Starter","Bench"))</f>
        <v>Bench</v>
      </c>
      <c r="G415">
        <f t="shared" ca="1" si="34"/>
        <v>6.3900000000000006</v>
      </c>
      <c r="H415">
        <f t="shared" ca="1" si="35"/>
        <v>205</v>
      </c>
      <c r="I415">
        <f>IF(C415="RB",LeagueInfo!$D$4*LeagueInfo!$F$2,IF(C415="WR",LeagueInfo!$D$5*LeagueInfo!$F$2,IF(C415="TE",LeagueInfo!$D$6*LeagueInfo!$F$2)))</f>
        <v>24</v>
      </c>
    </row>
    <row r="416" spans="1:9" x14ac:dyDescent="0.35">
      <c r="A416">
        <f t="shared" ca="1" si="36"/>
        <v>422</v>
      </c>
      <c r="B416" t="s">
        <v>1098</v>
      </c>
      <c r="C416" t="s">
        <v>32</v>
      </c>
      <c r="D416">
        <f t="shared" ca="1" si="33"/>
        <v>6.1000000000000005</v>
      </c>
      <c r="E416" s="5">
        <f t="shared" ca="1" si="37"/>
        <v>-95.98</v>
      </c>
      <c r="F416" t="str">
        <f ca="1">IF(H416&lt;=I416,"Starter",IF(G416&gt;=LARGE(G:G,FlexOn*LeagueInfo!$F$2),"Starter","Bench"))</f>
        <v>Bench</v>
      </c>
      <c r="G416">
        <f t="shared" ca="1" si="34"/>
        <v>6.1000000000000005</v>
      </c>
      <c r="H416">
        <f t="shared" ca="1" si="35"/>
        <v>206</v>
      </c>
      <c r="I416">
        <f>IF(C416="RB",LeagueInfo!$D$4*LeagueInfo!$F$2,IF(C416="WR",LeagueInfo!$D$5*LeagueInfo!$F$2,IF(C416="TE",LeagueInfo!$D$6*LeagueInfo!$F$2)))</f>
        <v>24</v>
      </c>
    </row>
    <row r="417" spans="1:9" x14ac:dyDescent="0.35">
      <c r="A417">
        <f t="shared" ca="1" si="36"/>
        <v>425</v>
      </c>
      <c r="B417" t="s">
        <v>601</v>
      </c>
      <c r="C417" t="s">
        <v>32</v>
      </c>
      <c r="D417">
        <f t="shared" ca="1" si="33"/>
        <v>5.6199999999999992</v>
      </c>
      <c r="E417" s="5">
        <f t="shared" ca="1" si="37"/>
        <v>-96.46</v>
      </c>
      <c r="F417" t="str">
        <f ca="1">IF(H417&lt;=I417,"Starter",IF(G417&gt;=LARGE(G:G,FlexOn*LeagueInfo!$F$2),"Starter","Bench"))</f>
        <v>Bench</v>
      </c>
      <c r="G417">
        <f t="shared" ca="1" si="34"/>
        <v>5.6199999999999992</v>
      </c>
      <c r="H417">
        <f t="shared" ca="1" si="35"/>
        <v>207</v>
      </c>
      <c r="I417">
        <f>IF(C417="RB",LeagueInfo!$D$4*LeagueInfo!$F$2,IF(C417="WR",LeagueInfo!$D$5*LeagueInfo!$F$2,IF(C417="TE",LeagueInfo!$D$6*LeagueInfo!$F$2)))</f>
        <v>24</v>
      </c>
    </row>
    <row r="418" spans="1:9" x14ac:dyDescent="0.35">
      <c r="A418">
        <f t="shared" ca="1" si="36"/>
        <v>428</v>
      </c>
      <c r="B418" t="s">
        <v>1021</v>
      </c>
      <c r="C418" t="s">
        <v>32</v>
      </c>
      <c r="D418">
        <f t="shared" ca="1" si="33"/>
        <v>4.16</v>
      </c>
      <c r="E418" s="5">
        <f t="shared" ca="1" si="37"/>
        <v>-97.92</v>
      </c>
      <c r="F418" t="str">
        <f ca="1">IF(H418&lt;=I418,"Starter",IF(G418&gt;=LARGE(G:G,FlexOn*LeagueInfo!$F$2),"Starter","Bench"))</f>
        <v>Bench</v>
      </c>
      <c r="G418">
        <f t="shared" ca="1" si="34"/>
        <v>4.16</v>
      </c>
      <c r="H418">
        <f t="shared" ca="1" si="35"/>
        <v>209</v>
      </c>
      <c r="I418">
        <f>IF(C418="RB",LeagueInfo!$D$4*LeagueInfo!$F$2,IF(C418="WR",LeagueInfo!$D$5*LeagueInfo!$F$2,IF(C418="TE",LeagueInfo!$D$6*LeagueInfo!$F$2)))</f>
        <v>24</v>
      </c>
    </row>
    <row r="419" spans="1:9" x14ac:dyDescent="0.35">
      <c r="A419">
        <f t="shared" ca="1" si="36"/>
        <v>426</v>
      </c>
      <c r="B419" t="s">
        <v>848</v>
      </c>
      <c r="C419" t="s">
        <v>32</v>
      </c>
      <c r="D419">
        <f t="shared" ref="D419:D430" ca="1" si="38">INDEX(INDIRECT($C419&amp;"!P:P"),MATCH($B419,INDIRECT($C419&amp;"!B:B"),0))</f>
        <v>5.4700000000000006</v>
      </c>
      <c r="E419" s="5">
        <f t="shared" ca="1" si="37"/>
        <v>-96.61</v>
      </c>
      <c r="F419" t="str">
        <f ca="1">IF(H419&lt;=I419,"Starter",IF(G419&gt;=LARGE(G:G,FlexOn*LeagueInfo!$F$2),"Starter","Bench"))</f>
        <v>Bench</v>
      </c>
      <c r="G419">
        <f t="shared" ref="G419:G430" ca="1" si="39">IF(H419&gt;I419,D419,0)</f>
        <v>5.4700000000000006</v>
      </c>
      <c r="H419">
        <f t="shared" ref="H419:H430" ca="1" si="40">INDEX(INDIRECT(""&amp;C419&amp;"!A2:A409"),MATCH(B419,INDIRECT(""&amp;C419&amp;"!B2:B409"),0))</f>
        <v>208</v>
      </c>
      <c r="I419">
        <f>IF(C419="RB",LeagueInfo!$D$4*LeagueInfo!$F$2,IF(C419="WR",LeagueInfo!$D$5*LeagueInfo!$F$2,IF(C419="TE",LeagueInfo!$D$6*LeagueInfo!$F$2)))</f>
        <v>24</v>
      </c>
    </row>
    <row r="420" spans="1:9" x14ac:dyDescent="0.35">
      <c r="A420">
        <f t="shared" ca="1" si="36"/>
        <v>407</v>
      </c>
      <c r="B420" t="s">
        <v>1027</v>
      </c>
      <c r="C420" t="s">
        <v>32</v>
      </c>
      <c r="D420">
        <f t="shared" ca="1" si="38"/>
        <v>7.7500000000000009</v>
      </c>
      <c r="E420" s="5">
        <f t="shared" ca="1" si="37"/>
        <v>-94.33</v>
      </c>
      <c r="F420" t="str">
        <f ca="1">IF(H420&lt;=I420,"Starter",IF(G420&gt;=LARGE(G:G,FlexOn*LeagueInfo!$F$2),"Starter","Bench"))</f>
        <v>Bench</v>
      </c>
      <c r="G420">
        <f t="shared" ca="1" si="39"/>
        <v>7.7500000000000009</v>
      </c>
      <c r="H420">
        <f t="shared" ca="1" si="40"/>
        <v>201</v>
      </c>
      <c r="I420">
        <f>IF(C420="RB",LeagueInfo!$D$4*LeagueInfo!$F$2,IF(C420="WR",LeagueInfo!$D$5*LeagueInfo!$F$2,IF(C420="TE",LeagueInfo!$D$6*LeagueInfo!$F$2)))</f>
        <v>24</v>
      </c>
    </row>
    <row r="421" spans="1:9" x14ac:dyDescent="0.35">
      <c r="A421">
        <f t="shared" ca="1" si="36"/>
        <v>408</v>
      </c>
      <c r="B421" t="s">
        <v>484</v>
      </c>
      <c r="C421" t="s">
        <v>40</v>
      </c>
      <c r="D421">
        <f t="shared" ca="1" si="38"/>
        <v>7.6000000000000005</v>
      </c>
      <c r="E421" s="5">
        <f t="shared" ca="1" si="37"/>
        <v>-94.48</v>
      </c>
      <c r="F421" t="str">
        <f ca="1">IF(H421&lt;=I421,"Starter",IF(G421&gt;=LARGE(G:G,FlexOn*LeagueInfo!$F$2),"Starter","Bench"))</f>
        <v>Bench</v>
      </c>
      <c r="G421">
        <f t="shared" ca="1" si="39"/>
        <v>7.6000000000000005</v>
      </c>
      <c r="H421">
        <f t="shared" ca="1" si="40"/>
        <v>110</v>
      </c>
      <c r="I421">
        <f>IF(C421="RB",LeagueInfo!$D$4*LeagueInfo!$F$2,IF(C421="WR",LeagueInfo!$D$5*LeagueInfo!$F$2,IF(C421="TE",LeagueInfo!$D$6*LeagueInfo!$F$2)))</f>
        <v>12</v>
      </c>
    </row>
    <row r="422" spans="1:9" x14ac:dyDescent="0.35">
      <c r="A422">
        <f t="shared" ca="1" si="36"/>
        <v>402</v>
      </c>
      <c r="B422" t="s">
        <v>641</v>
      </c>
      <c r="C422" t="s">
        <v>40</v>
      </c>
      <c r="D422">
        <f t="shared" ca="1" si="38"/>
        <v>10.6</v>
      </c>
      <c r="E422" s="5">
        <f t="shared" ca="1" si="37"/>
        <v>-91.48</v>
      </c>
      <c r="F422" t="str">
        <f ca="1">IF(H422&lt;=I422,"Starter",IF(G422&gt;=LARGE(G:G,FlexOn*LeagueInfo!$F$2),"Starter","Bench"))</f>
        <v>Bench</v>
      </c>
      <c r="G422">
        <f t="shared" ca="1" si="39"/>
        <v>10.6</v>
      </c>
      <c r="H422">
        <f t="shared" ca="1" si="40"/>
        <v>105</v>
      </c>
      <c r="I422">
        <f>IF(C422="RB",LeagueInfo!$D$4*LeagueInfo!$F$2,IF(C422="WR",LeagueInfo!$D$5*LeagueInfo!$F$2,IF(C422="TE",LeagueInfo!$D$6*LeagueInfo!$F$2)))</f>
        <v>12</v>
      </c>
    </row>
    <row r="423" spans="1:9" x14ac:dyDescent="0.35">
      <c r="A423">
        <f t="shared" ca="1" si="36"/>
        <v>393</v>
      </c>
      <c r="B423" t="s">
        <v>486</v>
      </c>
      <c r="C423" t="s">
        <v>40</v>
      </c>
      <c r="D423">
        <f t="shared" ca="1" si="38"/>
        <v>11.3</v>
      </c>
      <c r="E423" s="5">
        <f t="shared" ca="1" si="37"/>
        <v>-90.78</v>
      </c>
      <c r="F423" t="str">
        <f ca="1">IF(H423&lt;=I423,"Starter",IF(G423&gt;=LARGE(G:G,FlexOn*LeagueInfo!$F$2),"Starter","Bench"))</f>
        <v>Bench</v>
      </c>
      <c r="G423">
        <f t="shared" ca="1" si="39"/>
        <v>11.3</v>
      </c>
      <c r="H423">
        <f t="shared" ca="1" si="40"/>
        <v>102</v>
      </c>
      <c r="I423">
        <f>IF(C423="RB",LeagueInfo!$D$4*LeagueInfo!$F$2,IF(C423="WR",LeagueInfo!$D$5*LeagueInfo!$F$2,IF(C423="TE",LeagueInfo!$D$6*LeagueInfo!$F$2)))</f>
        <v>12</v>
      </c>
    </row>
    <row r="424" spans="1:9" x14ac:dyDescent="0.35">
      <c r="A424">
        <f t="shared" ca="1" si="36"/>
        <v>356</v>
      </c>
      <c r="B424" t="s">
        <v>1082</v>
      </c>
      <c r="C424" t="s">
        <v>40</v>
      </c>
      <c r="D424">
        <f t="shared" ca="1" si="38"/>
        <v>16.559999999999999</v>
      </c>
      <c r="E424" s="5">
        <f t="shared" ca="1" si="37"/>
        <v>-85.52</v>
      </c>
      <c r="F424" t="str">
        <f ca="1">IF(H424&lt;=I424,"Starter",IF(G424&gt;=LARGE(G:G,FlexOn*LeagueInfo!$F$2),"Starter","Bench"))</f>
        <v>Bench</v>
      </c>
      <c r="G424">
        <f t="shared" ca="1" si="39"/>
        <v>16.559999999999999</v>
      </c>
      <c r="H424">
        <f t="shared" ca="1" si="40"/>
        <v>90</v>
      </c>
      <c r="I424">
        <f>IF(C424="RB",LeagueInfo!$D$4*LeagueInfo!$F$2,IF(C424="WR",LeagueInfo!$D$5*LeagueInfo!$F$2,IF(C424="TE",LeagueInfo!$D$6*LeagueInfo!$F$2)))</f>
        <v>12</v>
      </c>
    </row>
    <row r="425" spans="1:9" x14ac:dyDescent="0.35">
      <c r="A425">
        <f t="shared" ca="1" si="36"/>
        <v>390</v>
      </c>
      <c r="B425" t="s">
        <v>636</v>
      </c>
      <c r="C425" t="s">
        <v>40</v>
      </c>
      <c r="D425">
        <f t="shared" ca="1" si="38"/>
        <v>11.65</v>
      </c>
      <c r="E425" s="5">
        <f t="shared" ca="1" si="37"/>
        <v>-90.429999999999993</v>
      </c>
      <c r="F425" t="str">
        <f ca="1">IF(H425&lt;=I425,"Starter",IF(G425&gt;=LARGE(G:G,FlexOn*LeagueInfo!$F$2),"Starter","Bench"))</f>
        <v>Bench</v>
      </c>
      <c r="G425">
        <f t="shared" ca="1" si="39"/>
        <v>11.65</v>
      </c>
      <c r="H425">
        <f t="shared" ca="1" si="40"/>
        <v>100</v>
      </c>
      <c r="I425">
        <f>IF(C425="RB",LeagueInfo!$D$4*LeagueInfo!$F$2,IF(C425="WR",LeagueInfo!$D$5*LeagueInfo!$F$2,IF(C425="TE",LeagueInfo!$D$6*LeagueInfo!$F$2)))</f>
        <v>12</v>
      </c>
    </row>
    <row r="426" spans="1:9" x14ac:dyDescent="0.35">
      <c r="A426">
        <f t="shared" ca="1" si="36"/>
        <v>391</v>
      </c>
      <c r="B426" t="s">
        <v>838</v>
      </c>
      <c r="C426" t="s">
        <v>40</v>
      </c>
      <c r="D426">
        <f t="shared" ca="1" si="38"/>
        <v>11.39</v>
      </c>
      <c r="E426" s="5">
        <f t="shared" ca="1" si="37"/>
        <v>-90.69</v>
      </c>
      <c r="F426" t="str">
        <f ca="1">IF(H426&lt;=I426,"Starter",IF(G426&gt;=LARGE(G:G,FlexOn*LeagueInfo!$F$2),"Starter","Bench"))</f>
        <v>Bench</v>
      </c>
      <c r="G426">
        <f t="shared" ca="1" si="39"/>
        <v>11.39</v>
      </c>
      <c r="H426">
        <f t="shared" ca="1" si="40"/>
        <v>101</v>
      </c>
      <c r="I426">
        <f>IF(C426="RB",LeagueInfo!$D$4*LeagueInfo!$F$2,IF(C426="WR",LeagueInfo!$D$5*LeagueInfo!$F$2,IF(C426="TE",LeagueInfo!$D$6*LeagueInfo!$F$2)))</f>
        <v>12</v>
      </c>
    </row>
    <row r="427" spans="1:9" x14ac:dyDescent="0.35">
      <c r="A427">
        <f t="shared" ca="1" si="36"/>
        <v>397</v>
      </c>
      <c r="B427" t="s">
        <v>1006</v>
      </c>
      <c r="C427" t="s">
        <v>40</v>
      </c>
      <c r="D427">
        <f t="shared" ca="1" si="38"/>
        <v>11</v>
      </c>
      <c r="E427" s="5">
        <f t="shared" ca="1" si="37"/>
        <v>-91.08</v>
      </c>
      <c r="F427" t="str">
        <f ca="1">IF(H427&lt;=I427,"Starter",IF(G427&gt;=LARGE(G:G,FlexOn*LeagueInfo!$F$2),"Starter","Bench"))</f>
        <v>Bench</v>
      </c>
      <c r="G427">
        <f t="shared" ca="1" si="39"/>
        <v>11</v>
      </c>
      <c r="H427">
        <f t="shared" ca="1" si="40"/>
        <v>104</v>
      </c>
      <c r="I427">
        <f>IF(C427="RB",LeagueInfo!$D$4*LeagueInfo!$F$2,IF(C427="WR",LeagueInfo!$D$5*LeagueInfo!$F$2,IF(C427="TE",LeagueInfo!$D$6*LeagueInfo!$F$2)))</f>
        <v>12</v>
      </c>
    </row>
    <row r="428" spans="1:9" x14ac:dyDescent="0.35">
      <c r="A428">
        <f t="shared" ca="1" si="36"/>
        <v>347</v>
      </c>
      <c r="B428" t="s">
        <v>944</v>
      </c>
      <c r="C428" t="s">
        <v>40</v>
      </c>
      <c r="D428">
        <f t="shared" ca="1" si="38"/>
        <v>18.200000000000003</v>
      </c>
      <c r="E428" s="5">
        <f t="shared" ca="1" si="37"/>
        <v>-83.88</v>
      </c>
      <c r="F428" t="str">
        <f ca="1">IF(H428&lt;=I428,"Starter",IF(G428&gt;=LARGE(G:G,FlexOn*LeagueInfo!$F$2),"Starter","Bench"))</f>
        <v>Bench</v>
      </c>
      <c r="G428">
        <f t="shared" ca="1" si="39"/>
        <v>18.200000000000003</v>
      </c>
      <c r="H428">
        <f t="shared" ca="1" si="40"/>
        <v>87</v>
      </c>
      <c r="I428">
        <f>IF(C428="RB",LeagueInfo!$D$4*LeagueInfo!$F$2,IF(C428="WR",LeagueInfo!$D$5*LeagueInfo!$F$2,IF(C428="TE",LeagueInfo!$D$6*LeagueInfo!$F$2)))</f>
        <v>12</v>
      </c>
    </row>
    <row r="429" spans="1:9" x14ac:dyDescent="0.35">
      <c r="A429">
        <f t="shared" ca="1" si="36"/>
        <v>429</v>
      </c>
      <c r="B429" t="s">
        <v>650</v>
      </c>
      <c r="C429" t="s">
        <v>40</v>
      </c>
      <c r="D429">
        <f t="shared" ca="1" si="38"/>
        <v>4.1399999999999997</v>
      </c>
      <c r="E429" s="5">
        <f t="shared" ca="1" si="37"/>
        <v>-97.94</v>
      </c>
      <c r="F429" t="str">
        <f ca="1">IF(H429&lt;=I429,"Starter",IF(G429&gt;=LARGE(G:G,FlexOn*LeagueInfo!$F$2),"Starter","Bench"))</f>
        <v>Bench</v>
      </c>
      <c r="G429">
        <f t="shared" ca="1" si="39"/>
        <v>4.1399999999999997</v>
      </c>
      <c r="H429">
        <f t="shared" ca="1" si="40"/>
        <v>113</v>
      </c>
      <c r="I429">
        <f>IF(C429="RB",LeagueInfo!$D$4*LeagueInfo!$F$2,IF(C429="WR",LeagueInfo!$D$5*LeagueInfo!$F$2,IF(C429="TE",LeagueInfo!$D$6*LeagueInfo!$F$2)))</f>
        <v>12</v>
      </c>
    </row>
    <row r="430" spans="1:9" x14ac:dyDescent="0.35">
      <c r="A430">
        <f t="shared" ca="1" si="36"/>
        <v>396</v>
      </c>
      <c r="B430" t="s">
        <v>1007</v>
      </c>
      <c r="C430" t="s">
        <v>40</v>
      </c>
      <c r="D430">
        <f t="shared" ca="1" si="38"/>
        <v>11.06</v>
      </c>
      <c r="E430" s="5">
        <f t="shared" ca="1" si="37"/>
        <v>-91.02</v>
      </c>
      <c r="F430" t="str">
        <f ca="1">IF(H430&lt;=I430,"Starter",IF(G430&gt;=LARGE(G:G,FlexOn*LeagueInfo!$F$2),"Starter","Bench"))</f>
        <v>Bench</v>
      </c>
      <c r="G430">
        <f t="shared" ca="1" si="39"/>
        <v>11.06</v>
      </c>
      <c r="H430">
        <f t="shared" ca="1" si="40"/>
        <v>103</v>
      </c>
      <c r="I430">
        <f>IF(C430="RB",LeagueInfo!$D$4*LeagueInfo!$F$2,IF(C430="WR",LeagueInfo!$D$5*LeagueInfo!$F$2,IF(C430="TE",LeagueInfo!$D$6*LeagueInfo!$F$2)))</f>
        <v>12</v>
      </c>
    </row>
    <row r="431" spans="1:9" x14ac:dyDescent="0.35">
      <c r="A431">
        <f t="shared" ca="1" si="36"/>
        <v>406</v>
      </c>
      <c r="B431" t="s">
        <v>1008</v>
      </c>
      <c r="C431" t="s">
        <v>40</v>
      </c>
      <c r="D431">
        <f t="shared" ref="D431:D432" ca="1" si="41">INDEX(INDIRECT($C431&amp;"!P:P"),MATCH($B431,INDIRECT($C431&amp;"!B:B"),0))</f>
        <v>7.98</v>
      </c>
      <c r="E431" s="5">
        <f t="shared" ca="1" si="37"/>
        <v>-94.1</v>
      </c>
      <c r="F431" t="str">
        <f ca="1">IF(H431&lt;=I431,"Starter",IF(G431&gt;=LARGE(G:G,FlexOn*LeagueInfo!$F$2),"Starter","Bench"))</f>
        <v>Bench</v>
      </c>
      <c r="G431">
        <f t="shared" ref="G431:G432" ca="1" si="42">IF(H431&gt;I431,D431,0)</f>
        <v>7.98</v>
      </c>
      <c r="H431">
        <f t="shared" ref="H431:H432" ca="1" si="43">INDEX(INDIRECT(""&amp;C431&amp;"!A2:A409"),MATCH(B431,INDIRECT(""&amp;C431&amp;"!B2:B409"),0))</f>
        <v>109</v>
      </c>
      <c r="I431">
        <f>IF(C431="RB",LeagueInfo!$D$4*LeagueInfo!$F$2,IF(C431="WR",LeagueInfo!$D$5*LeagueInfo!$F$2,IF(C431="TE",LeagueInfo!$D$6*LeagueInfo!$F$2)))</f>
        <v>12</v>
      </c>
    </row>
    <row r="432" spans="1:9" x14ac:dyDescent="0.35">
      <c r="A432">
        <f t="shared" ca="1" si="36"/>
        <v>405</v>
      </c>
      <c r="B432" t="s">
        <v>1093</v>
      </c>
      <c r="C432" t="s">
        <v>40</v>
      </c>
      <c r="D432">
        <f t="shared" ca="1" si="41"/>
        <v>8.14</v>
      </c>
      <c r="E432" s="5">
        <f t="shared" ca="1" si="37"/>
        <v>-93.94</v>
      </c>
      <c r="F432" t="str">
        <f ca="1">IF(H432&lt;=I432,"Starter",IF(G432&gt;=LARGE(G:G,FlexOn*LeagueInfo!$F$2),"Starter","Bench"))</f>
        <v>Bench</v>
      </c>
      <c r="G432">
        <f t="shared" ca="1" si="42"/>
        <v>8.14</v>
      </c>
      <c r="H432">
        <f t="shared" ca="1" si="43"/>
        <v>108</v>
      </c>
      <c r="I432">
        <f>IF(C432="RB",LeagueInfo!$D$4*LeagueInfo!$F$2,IF(C432="WR",LeagueInfo!$D$5*LeagueInfo!$F$2,IF(C432="TE",LeagueInfo!$D$6*LeagueInfo!$F$2)))</f>
        <v>12</v>
      </c>
    </row>
  </sheetData>
  <autoFilter ref="A1:I432" xr:uid="{00000000-0001-0000-0B00-000000000000}"/>
  <sortState xmlns:xlrd2="http://schemas.microsoft.com/office/spreadsheetml/2017/richdata2" ref="A1:J431">
    <sortCondition descending="1" ref="E1"/>
  </sortState>
  <conditionalFormatting sqref="C249:C255 C242:C247 C240 C235:C237 C233 C227:C231 C219:C225 C205:C217 C181:C185 C187:C203">
    <cfRule type="expression" dxfId="78" priority="7">
      <formula>$J180="Yes"</formula>
    </cfRule>
  </conditionalFormatting>
  <conditionalFormatting sqref="C248 C241 C238:C239 C234 C232 C226 C218 C204 C186">
    <cfRule type="expression" dxfId="77" priority="358">
      <formula>#REF!="Yes"</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1210A-2FED-4379-A0AA-3A1B7DE9A594}">
  <sheetPr codeName="Sheet23"/>
  <dimension ref="A1:I304"/>
  <sheetViews>
    <sheetView zoomScaleNormal="100" workbookViewId="0">
      <selection activeCell="B19" sqref="B19"/>
    </sheetView>
  </sheetViews>
  <sheetFormatPr defaultColWidth="8.90625" defaultRowHeight="14.5" x14ac:dyDescent="0.35"/>
  <cols>
    <col min="2" max="2" width="23.453125" bestFit="1" customWidth="1"/>
    <col min="3" max="3" width="4.453125" bestFit="1" customWidth="1"/>
    <col min="9" max="9" width="10.54296875" bestFit="1" customWidth="1"/>
  </cols>
  <sheetData>
    <row r="1" spans="1:9" ht="15" thickBot="1" x14ac:dyDescent="0.4">
      <c r="A1" s="208" t="s">
        <v>167</v>
      </c>
      <c r="B1" s="208" t="s">
        <v>250</v>
      </c>
      <c r="C1" s="208" t="s">
        <v>17</v>
      </c>
      <c r="D1" s="1" t="s">
        <v>177</v>
      </c>
      <c r="E1" s="2" t="s">
        <v>11</v>
      </c>
      <c r="F1" s="2" t="s">
        <v>251</v>
      </c>
      <c r="G1" s="2" t="s">
        <v>252</v>
      </c>
      <c r="H1" s="2" t="s">
        <v>253</v>
      </c>
      <c r="I1" s="2" t="s">
        <v>254</v>
      </c>
    </row>
    <row r="2" spans="1:9" x14ac:dyDescent="0.35">
      <c r="A2">
        <f t="shared" ref="A2:A65" ca="1" si="0">RANK(E2,E:E)</f>
        <v>1</v>
      </c>
      <c r="B2" t="s">
        <v>488</v>
      </c>
      <c r="C2" t="s">
        <v>32</v>
      </c>
      <c r="D2">
        <f t="shared" ref="D2:D64" ca="1" si="1">INDEX(INDIRECT($C2&amp;"!P:P"),MATCH($B2,INDIRECT($C2&amp;"!B:B"),0))</f>
        <v>274.55</v>
      </c>
      <c r="E2" s="5">
        <f t="shared" ref="E2:E65" ca="1" si="2">D2-LARGE(D:D,TECount+WRCount)</f>
        <v>172.78</v>
      </c>
      <c r="F2" t="str">
        <f ca="1">IF(H2&lt;=I2,"Starter",IF(G2&gt;=LARGE(G:G,FlexOn*LeagueInfo!$F$2),"Starter","Bench"))</f>
        <v>Starter</v>
      </c>
      <c r="G2">
        <f t="shared" ref="G2:G64" ca="1" si="3">IF(H2&gt;I2,D2,0)</f>
        <v>0</v>
      </c>
      <c r="H2">
        <f t="shared" ref="H2:H64" ca="1" si="4">INDEX(INDIRECT(""&amp;C2&amp;"!A2:A489"),MATCH(B2,INDIRECT(""&amp;C2&amp;"!B2:B489"),0))</f>
        <v>1</v>
      </c>
      <c r="I2">
        <f>IF(C2="WR",LeagueInfo!$D$5*LeagueInfo!$F$2,LeagueInfo!$D$6*LeagueInfo!$F$2)</f>
        <v>24</v>
      </c>
    </row>
    <row r="3" spans="1:9" x14ac:dyDescent="0.35">
      <c r="A3">
        <f t="shared" ca="1" si="0"/>
        <v>2</v>
      </c>
      <c r="B3" t="s">
        <v>102</v>
      </c>
      <c r="C3" t="s">
        <v>32</v>
      </c>
      <c r="D3">
        <f t="shared" ca="1" si="1"/>
        <v>270.54000000000002</v>
      </c>
      <c r="E3" s="5">
        <f t="shared" ca="1" si="2"/>
        <v>168.77</v>
      </c>
      <c r="F3" t="str">
        <f ca="1">IF(H3&lt;=I3,"Starter",IF(G3&gt;=LARGE(G:G,FlexOn*LeagueInfo!$F$2),"Starter","Bench"))</f>
        <v>Starter</v>
      </c>
      <c r="G3">
        <f t="shared" ca="1" si="3"/>
        <v>0</v>
      </c>
      <c r="H3">
        <f t="shared" ca="1" si="4"/>
        <v>2</v>
      </c>
      <c r="I3">
        <f>IF(C3="WR",LeagueInfo!$D$5*LeagueInfo!$F$2,LeagueInfo!$D$6*LeagueInfo!$F$2)</f>
        <v>24</v>
      </c>
    </row>
    <row r="4" spans="1:9" x14ac:dyDescent="0.35">
      <c r="A4">
        <f t="shared" ca="1" si="0"/>
        <v>3</v>
      </c>
      <c r="B4" t="s">
        <v>550</v>
      </c>
      <c r="C4" t="s">
        <v>32</v>
      </c>
      <c r="D4">
        <f t="shared" ca="1" si="1"/>
        <v>244.05</v>
      </c>
      <c r="E4" s="5">
        <f t="shared" ca="1" si="2"/>
        <v>142.28</v>
      </c>
      <c r="F4" t="str">
        <f ca="1">IF(H4&lt;=I4,"Starter",IF(G4&gt;=LARGE(G:G,FlexOn*LeagueInfo!$F$2),"Starter","Bench"))</f>
        <v>Starter</v>
      </c>
      <c r="G4">
        <f t="shared" ca="1" si="3"/>
        <v>0</v>
      </c>
      <c r="H4">
        <f t="shared" ca="1" si="4"/>
        <v>3</v>
      </c>
      <c r="I4">
        <f>IF(C4="WR",LeagueInfo!$D$5*LeagueInfo!$F$2,LeagueInfo!$D$6*LeagueInfo!$F$2)</f>
        <v>24</v>
      </c>
    </row>
    <row r="5" spans="1:9" x14ac:dyDescent="0.35">
      <c r="A5">
        <f t="shared" ca="1" si="0"/>
        <v>5</v>
      </c>
      <c r="B5" t="s">
        <v>490</v>
      </c>
      <c r="C5" t="s">
        <v>32</v>
      </c>
      <c r="D5">
        <f t="shared" ca="1" si="1"/>
        <v>240.29</v>
      </c>
      <c r="E5" s="5">
        <f t="shared" ca="1" si="2"/>
        <v>138.51999999999998</v>
      </c>
      <c r="F5" t="str">
        <f ca="1">IF(H5&lt;=I5,"Starter",IF(G5&gt;=LARGE(G:G,FlexOn*LeagueInfo!$F$2),"Starter","Bench"))</f>
        <v>Starter</v>
      </c>
      <c r="G5">
        <f t="shared" ca="1" si="3"/>
        <v>0</v>
      </c>
      <c r="H5">
        <f t="shared" ca="1" si="4"/>
        <v>5</v>
      </c>
      <c r="I5">
        <f>IF(C5="WR",LeagueInfo!$D$5*LeagueInfo!$F$2,LeagueInfo!$D$6*LeagueInfo!$F$2)</f>
        <v>24</v>
      </c>
    </row>
    <row r="6" spans="1:9" x14ac:dyDescent="0.35">
      <c r="A6">
        <f t="shared" ca="1" si="0"/>
        <v>4</v>
      </c>
      <c r="B6" t="s">
        <v>557</v>
      </c>
      <c r="C6" t="s">
        <v>32</v>
      </c>
      <c r="D6">
        <f t="shared" ca="1" si="1"/>
        <v>241.72999999999996</v>
      </c>
      <c r="E6" s="5">
        <f t="shared" ca="1" si="2"/>
        <v>139.95999999999995</v>
      </c>
      <c r="F6" t="str">
        <f ca="1">IF(H6&lt;=I6,"Starter",IF(G6&gt;=LARGE(G:G,FlexOn*LeagueInfo!$F$2),"Starter","Bench"))</f>
        <v>Starter</v>
      </c>
      <c r="G6">
        <f t="shared" ca="1" si="3"/>
        <v>0</v>
      </c>
      <c r="H6">
        <f t="shared" ca="1" si="4"/>
        <v>4</v>
      </c>
      <c r="I6">
        <f>IF(C6="WR",LeagueInfo!$D$5*LeagueInfo!$F$2,LeagueInfo!$D$6*LeagueInfo!$F$2)</f>
        <v>24</v>
      </c>
    </row>
    <row r="7" spans="1:9" x14ac:dyDescent="0.35">
      <c r="A7">
        <f t="shared" ca="1" si="0"/>
        <v>7</v>
      </c>
      <c r="B7" t="s">
        <v>434</v>
      </c>
      <c r="C7" t="s">
        <v>32</v>
      </c>
      <c r="D7">
        <f t="shared" ca="1" si="1"/>
        <v>225.01000000000002</v>
      </c>
      <c r="E7" s="5">
        <f t="shared" ca="1" si="2"/>
        <v>123.24000000000001</v>
      </c>
      <c r="F7" t="str">
        <f ca="1">IF(H7&lt;=I7,"Starter",IF(G7&gt;=LARGE(G:G,FlexOn*LeagueInfo!$F$2),"Starter","Bench"))</f>
        <v>Starter</v>
      </c>
      <c r="G7">
        <f t="shared" ca="1" si="3"/>
        <v>0</v>
      </c>
      <c r="H7">
        <f t="shared" ca="1" si="4"/>
        <v>7</v>
      </c>
      <c r="I7">
        <f>IF(C7="WR",LeagueInfo!$D$5*LeagueInfo!$F$2,LeagueInfo!$D$6*LeagueInfo!$F$2)</f>
        <v>24</v>
      </c>
    </row>
    <row r="8" spans="1:9" x14ac:dyDescent="0.35">
      <c r="A8">
        <f t="shared" ca="1" si="0"/>
        <v>6</v>
      </c>
      <c r="B8" t="s">
        <v>789</v>
      </c>
      <c r="C8" t="s">
        <v>32</v>
      </c>
      <c r="D8">
        <f t="shared" ca="1" si="1"/>
        <v>225.78</v>
      </c>
      <c r="E8" s="5">
        <f t="shared" ca="1" si="2"/>
        <v>124.00999999999999</v>
      </c>
      <c r="F8" t="str">
        <f ca="1">IF(H8&lt;=I8,"Starter",IF(G8&gt;=LARGE(G:G,FlexOn*LeagueInfo!$F$2),"Starter","Bench"))</f>
        <v>Starter</v>
      </c>
      <c r="G8">
        <f t="shared" ca="1" si="3"/>
        <v>0</v>
      </c>
      <c r="H8">
        <f t="shared" ca="1" si="4"/>
        <v>6</v>
      </c>
      <c r="I8">
        <f>IF(C8="WR",LeagueInfo!$D$5*LeagueInfo!$F$2,LeagueInfo!$D$6*LeagueInfo!$F$2)</f>
        <v>24</v>
      </c>
    </row>
    <row r="9" spans="1:9" x14ac:dyDescent="0.35">
      <c r="A9">
        <f t="shared" ca="1" si="0"/>
        <v>8</v>
      </c>
      <c r="B9" t="s">
        <v>590</v>
      </c>
      <c r="C9" t="s">
        <v>32</v>
      </c>
      <c r="D9">
        <f t="shared" ca="1" si="1"/>
        <v>215.74</v>
      </c>
      <c r="E9" s="5">
        <f t="shared" ca="1" si="2"/>
        <v>113.97</v>
      </c>
      <c r="F9" t="str">
        <f ca="1">IF(H9&lt;=I9,"Starter",IF(G9&gt;=LARGE(G:G,FlexOn*LeagueInfo!$F$2),"Starter","Bench"))</f>
        <v>Starter</v>
      </c>
      <c r="G9">
        <f t="shared" ca="1" si="3"/>
        <v>0</v>
      </c>
      <c r="H9">
        <f t="shared" ca="1" si="4"/>
        <v>8</v>
      </c>
      <c r="I9">
        <f>IF(C9="WR",LeagueInfo!$D$5*LeagueInfo!$F$2,LeagueInfo!$D$6*LeagueInfo!$F$2)</f>
        <v>24</v>
      </c>
    </row>
    <row r="10" spans="1:9" x14ac:dyDescent="0.35">
      <c r="A10">
        <f t="shared" ca="1" si="0"/>
        <v>12</v>
      </c>
      <c r="B10" t="s">
        <v>906</v>
      </c>
      <c r="C10" t="s">
        <v>32</v>
      </c>
      <c r="D10">
        <f t="shared" ca="1" si="1"/>
        <v>198.92000000000002</v>
      </c>
      <c r="E10" s="5">
        <f t="shared" ca="1" si="2"/>
        <v>97.15</v>
      </c>
      <c r="F10" t="str">
        <f ca="1">IF(H10&lt;=I10,"Starter",IF(G10&gt;=LARGE(G:G,FlexOn*LeagueInfo!$F$2),"Starter","Bench"))</f>
        <v>Starter</v>
      </c>
      <c r="G10">
        <f t="shared" ca="1" si="3"/>
        <v>0</v>
      </c>
      <c r="H10">
        <f t="shared" ca="1" si="4"/>
        <v>12</v>
      </c>
      <c r="I10">
        <f>IF(C10="WR",LeagueInfo!$D$5*LeagueInfo!$F$2,LeagueInfo!$D$6*LeagueInfo!$F$2)</f>
        <v>24</v>
      </c>
    </row>
    <row r="11" spans="1:9" x14ac:dyDescent="0.35">
      <c r="A11">
        <f t="shared" ca="1" si="0"/>
        <v>11</v>
      </c>
      <c r="B11" t="s">
        <v>90</v>
      </c>
      <c r="C11" t="s">
        <v>32</v>
      </c>
      <c r="D11">
        <f t="shared" ca="1" si="1"/>
        <v>199.36</v>
      </c>
      <c r="E11" s="5">
        <f t="shared" ca="1" si="2"/>
        <v>97.59</v>
      </c>
      <c r="F11" t="str">
        <f ca="1">IF(H11&lt;=I11,"Starter",IF(G11&gt;=LARGE(G:G,FlexOn*LeagueInfo!$F$2),"Starter","Bench"))</f>
        <v>Starter</v>
      </c>
      <c r="G11">
        <f t="shared" ca="1" si="3"/>
        <v>0</v>
      </c>
      <c r="H11">
        <f t="shared" ca="1" si="4"/>
        <v>11</v>
      </c>
      <c r="I11">
        <f>IF(C11="WR",LeagueInfo!$D$5*LeagueInfo!$F$2,LeagueInfo!$D$6*LeagueInfo!$F$2)</f>
        <v>24</v>
      </c>
    </row>
    <row r="12" spans="1:9" x14ac:dyDescent="0.35">
      <c r="A12">
        <f t="shared" ca="1" si="0"/>
        <v>14</v>
      </c>
      <c r="B12" t="s">
        <v>559</v>
      </c>
      <c r="C12" t="s">
        <v>32</v>
      </c>
      <c r="D12">
        <f t="shared" ca="1" si="1"/>
        <v>198.71</v>
      </c>
      <c r="E12" s="5">
        <f t="shared" ca="1" si="2"/>
        <v>96.94</v>
      </c>
      <c r="F12" t="str">
        <f ca="1">IF(H12&lt;=I12,"Starter",IF(G12&gt;=LARGE(G:G,FlexOn*LeagueInfo!$F$2),"Starter","Bench"))</f>
        <v>Starter</v>
      </c>
      <c r="G12">
        <f t="shared" ca="1" si="3"/>
        <v>0</v>
      </c>
      <c r="H12">
        <f t="shared" ca="1" si="4"/>
        <v>14</v>
      </c>
      <c r="I12">
        <f>IF(C12="WR",LeagueInfo!$D$5*LeagueInfo!$F$2,LeagueInfo!$D$6*LeagueInfo!$F$2)</f>
        <v>24</v>
      </c>
    </row>
    <row r="13" spans="1:9" x14ac:dyDescent="0.35">
      <c r="A13">
        <f t="shared" ca="1" si="0"/>
        <v>9</v>
      </c>
      <c r="B13" t="s">
        <v>589</v>
      </c>
      <c r="C13" t="s">
        <v>32</v>
      </c>
      <c r="D13">
        <f t="shared" ca="1" si="1"/>
        <v>203.34000000000003</v>
      </c>
      <c r="E13" s="5">
        <f t="shared" ca="1" si="2"/>
        <v>101.57000000000002</v>
      </c>
      <c r="F13" t="str">
        <f ca="1">IF(H13&lt;=I13,"Starter",IF(G13&gt;=LARGE(G:G,FlexOn*LeagueInfo!$F$2),"Starter","Bench"))</f>
        <v>Starter</v>
      </c>
      <c r="G13">
        <f t="shared" ca="1" si="3"/>
        <v>0</v>
      </c>
      <c r="H13">
        <f t="shared" ca="1" si="4"/>
        <v>9</v>
      </c>
      <c r="I13">
        <f>IF(C13="WR",LeagueInfo!$D$5*LeagueInfo!$F$2,LeagueInfo!$D$6*LeagueInfo!$F$2)</f>
        <v>24</v>
      </c>
    </row>
    <row r="14" spans="1:9" x14ac:dyDescent="0.35">
      <c r="A14">
        <f t="shared" ca="1" si="0"/>
        <v>10</v>
      </c>
      <c r="B14" t="s">
        <v>907</v>
      </c>
      <c r="C14" t="s">
        <v>32</v>
      </c>
      <c r="D14">
        <f t="shared" ca="1" si="1"/>
        <v>199.93</v>
      </c>
      <c r="E14" s="5">
        <f t="shared" ca="1" si="2"/>
        <v>98.16</v>
      </c>
      <c r="F14" t="str">
        <f ca="1">IF(H14&lt;=I14,"Starter",IF(G14&gt;=LARGE(G:G,FlexOn*LeagueInfo!$F$2),"Starter","Bench"))</f>
        <v>Starter</v>
      </c>
      <c r="G14">
        <f t="shared" ca="1" si="3"/>
        <v>0</v>
      </c>
      <c r="H14">
        <f t="shared" ca="1" si="4"/>
        <v>10</v>
      </c>
      <c r="I14">
        <f>IF(C14="WR",LeagueInfo!$D$5*LeagueInfo!$F$2,LeagueInfo!$D$6*LeagueInfo!$F$2)</f>
        <v>24</v>
      </c>
    </row>
    <row r="15" spans="1:9" x14ac:dyDescent="0.35">
      <c r="A15">
        <f t="shared" ca="1" si="0"/>
        <v>13</v>
      </c>
      <c r="B15" t="s">
        <v>588</v>
      </c>
      <c r="C15" t="s">
        <v>32</v>
      </c>
      <c r="D15">
        <f t="shared" ca="1" si="1"/>
        <v>198.76999999999998</v>
      </c>
      <c r="E15" s="5">
        <f t="shared" ca="1" si="2"/>
        <v>96.999999999999972</v>
      </c>
      <c r="F15" t="str">
        <f ca="1">IF(H15&lt;=I15,"Starter",IF(G15&gt;=LARGE(G:G,FlexOn*LeagueInfo!$F$2),"Starter","Bench"))</f>
        <v>Starter</v>
      </c>
      <c r="G15">
        <f t="shared" ca="1" si="3"/>
        <v>0</v>
      </c>
      <c r="H15">
        <f t="shared" ca="1" si="4"/>
        <v>13</v>
      </c>
      <c r="I15">
        <f>IF(C15="WR",LeagueInfo!$D$5*LeagueInfo!$F$2,LeagueInfo!$D$6*LeagueInfo!$F$2)</f>
        <v>24</v>
      </c>
    </row>
    <row r="16" spans="1:9" x14ac:dyDescent="0.35">
      <c r="A16">
        <f t="shared" ca="1" si="0"/>
        <v>18</v>
      </c>
      <c r="B16" t="s">
        <v>586</v>
      </c>
      <c r="C16" t="s">
        <v>32</v>
      </c>
      <c r="D16">
        <f t="shared" ca="1" si="1"/>
        <v>191.42999999999998</v>
      </c>
      <c r="E16" s="5">
        <f t="shared" ca="1" si="2"/>
        <v>89.659999999999968</v>
      </c>
      <c r="F16" t="str">
        <f ca="1">IF(H16&lt;=I16,"Starter",IF(G16&gt;=LARGE(G:G,FlexOn*LeagueInfo!$F$2),"Starter","Bench"))</f>
        <v>Starter</v>
      </c>
      <c r="G16">
        <f t="shared" ca="1" si="3"/>
        <v>0</v>
      </c>
      <c r="H16">
        <f t="shared" ca="1" si="4"/>
        <v>18</v>
      </c>
      <c r="I16">
        <f>IF(C16="WR",LeagueInfo!$D$5*LeagueInfo!$F$2,LeagueInfo!$D$6*LeagueInfo!$F$2)</f>
        <v>24</v>
      </c>
    </row>
    <row r="17" spans="1:9" x14ac:dyDescent="0.35">
      <c r="A17">
        <f t="shared" ca="1" si="0"/>
        <v>19</v>
      </c>
      <c r="B17" t="s">
        <v>492</v>
      </c>
      <c r="C17" t="s">
        <v>32</v>
      </c>
      <c r="D17">
        <f t="shared" ca="1" si="1"/>
        <v>190.1</v>
      </c>
      <c r="E17" s="5">
        <f t="shared" ca="1" si="2"/>
        <v>88.329999999999984</v>
      </c>
      <c r="F17" t="str">
        <f ca="1">IF(H17&lt;=I17,"Starter",IF(G17&gt;=LARGE(G:G,FlexOn*LeagueInfo!$F$2),"Starter","Bench"))</f>
        <v>Starter</v>
      </c>
      <c r="G17">
        <f t="shared" ca="1" si="3"/>
        <v>0</v>
      </c>
      <c r="H17">
        <f t="shared" ca="1" si="4"/>
        <v>19</v>
      </c>
      <c r="I17">
        <f>IF(C17="WR",LeagueInfo!$D$5*LeagueInfo!$F$2,LeagueInfo!$D$6*LeagueInfo!$F$2)</f>
        <v>24</v>
      </c>
    </row>
    <row r="18" spans="1:9" x14ac:dyDescent="0.35">
      <c r="A18">
        <f t="shared" ca="1" si="0"/>
        <v>15</v>
      </c>
      <c r="B18" t="s">
        <v>100</v>
      </c>
      <c r="C18" t="s">
        <v>32</v>
      </c>
      <c r="D18">
        <f t="shared" ca="1" si="1"/>
        <v>197.62</v>
      </c>
      <c r="E18" s="5">
        <f t="shared" ca="1" si="2"/>
        <v>95.85</v>
      </c>
      <c r="F18" t="str">
        <f ca="1">IF(H18&lt;=I18,"Starter",IF(G18&gt;=LARGE(G:G,FlexOn*LeagueInfo!$F$2),"Starter","Bench"))</f>
        <v>Starter</v>
      </c>
      <c r="G18">
        <f t="shared" ca="1" si="3"/>
        <v>0</v>
      </c>
      <c r="H18">
        <f t="shared" ca="1" si="4"/>
        <v>15</v>
      </c>
      <c r="I18">
        <f>IF(C18="WR",LeagueInfo!$D$5*LeagueInfo!$F$2,LeagueInfo!$D$6*LeagueInfo!$F$2)</f>
        <v>24</v>
      </c>
    </row>
    <row r="19" spans="1:9" x14ac:dyDescent="0.35">
      <c r="A19">
        <f t="shared" ca="1" si="0"/>
        <v>16</v>
      </c>
      <c r="B19" t="s">
        <v>239</v>
      </c>
      <c r="C19" t="s">
        <v>32</v>
      </c>
      <c r="D19">
        <f t="shared" ca="1" si="1"/>
        <v>194.21000000000004</v>
      </c>
      <c r="E19" s="5">
        <f t="shared" ca="1" si="2"/>
        <v>92.440000000000026</v>
      </c>
      <c r="F19" t="str">
        <f ca="1">IF(H19&lt;=I19,"Starter",IF(G19&gt;=LARGE(G:G,FlexOn*LeagueInfo!$F$2),"Starter","Bench"))</f>
        <v>Starter</v>
      </c>
      <c r="G19">
        <f t="shared" ca="1" si="3"/>
        <v>0</v>
      </c>
      <c r="H19">
        <f t="shared" ca="1" si="4"/>
        <v>16</v>
      </c>
      <c r="I19">
        <f>IF(C19="WR",LeagueInfo!$D$5*LeagueInfo!$F$2,LeagueInfo!$D$6*LeagueInfo!$F$2)</f>
        <v>24</v>
      </c>
    </row>
    <row r="20" spans="1:9" x14ac:dyDescent="0.35">
      <c r="A20">
        <f t="shared" ca="1" si="0"/>
        <v>17</v>
      </c>
      <c r="B20" t="s">
        <v>551</v>
      </c>
      <c r="C20" t="s">
        <v>32</v>
      </c>
      <c r="D20">
        <f t="shared" ca="1" si="1"/>
        <v>191.54999999999998</v>
      </c>
      <c r="E20" s="5">
        <f t="shared" ca="1" si="2"/>
        <v>89.779999999999973</v>
      </c>
      <c r="F20" t="str">
        <f ca="1">IF(H20&lt;=I20,"Starter",IF(G20&gt;=LARGE(G:G,FlexOn*LeagueInfo!$F$2),"Starter","Bench"))</f>
        <v>Starter</v>
      </c>
      <c r="G20">
        <f t="shared" ca="1" si="3"/>
        <v>0</v>
      </c>
      <c r="H20">
        <f t="shared" ca="1" si="4"/>
        <v>17</v>
      </c>
      <c r="I20">
        <f>IF(C20="WR",LeagueInfo!$D$5*LeagueInfo!$F$2,LeagueInfo!$D$6*LeagueInfo!$F$2)</f>
        <v>24</v>
      </c>
    </row>
    <row r="21" spans="1:9" x14ac:dyDescent="0.35">
      <c r="A21">
        <f t="shared" ca="1" si="0"/>
        <v>20</v>
      </c>
      <c r="B21" t="s">
        <v>552</v>
      </c>
      <c r="C21" t="s">
        <v>32</v>
      </c>
      <c r="D21">
        <f t="shared" ca="1" si="1"/>
        <v>189.19</v>
      </c>
      <c r="E21" s="5">
        <f t="shared" ca="1" si="2"/>
        <v>87.419999999999987</v>
      </c>
      <c r="F21" t="str">
        <f ca="1">IF(H21&lt;=I21,"Starter",IF(G21&gt;=LARGE(G:G,FlexOn*LeagueInfo!$F$2),"Starter","Bench"))</f>
        <v>Starter</v>
      </c>
      <c r="G21">
        <f t="shared" ca="1" si="3"/>
        <v>0</v>
      </c>
      <c r="H21">
        <f t="shared" ca="1" si="4"/>
        <v>20</v>
      </c>
      <c r="I21">
        <f>IF(C21="WR",LeagueInfo!$D$5*LeagueInfo!$F$2,LeagueInfo!$D$6*LeagueInfo!$F$2)</f>
        <v>24</v>
      </c>
    </row>
    <row r="22" spans="1:9" x14ac:dyDescent="0.35">
      <c r="A22">
        <f t="shared" ca="1" si="0"/>
        <v>23</v>
      </c>
      <c r="B22" t="s">
        <v>99</v>
      </c>
      <c r="C22" t="s">
        <v>40</v>
      </c>
      <c r="D22">
        <f t="shared" ca="1" si="1"/>
        <v>183.99</v>
      </c>
      <c r="E22" s="5">
        <f t="shared" ca="1" si="2"/>
        <v>82.22</v>
      </c>
      <c r="F22" t="str">
        <f ca="1">IF(H22&lt;=I22,"Starter",IF(G22&gt;=LARGE(G:G,FlexOn*LeagueInfo!$F$2),"Starter","Bench"))</f>
        <v>Starter</v>
      </c>
      <c r="G22">
        <f t="shared" ca="1" si="3"/>
        <v>0</v>
      </c>
      <c r="H22">
        <f t="shared" ca="1" si="4"/>
        <v>1</v>
      </c>
      <c r="I22">
        <f>IF(C22="WR",LeagueInfo!$D$5*LeagueInfo!$F$2,LeagueInfo!$D$6*LeagueInfo!$F$2)</f>
        <v>12</v>
      </c>
    </row>
    <row r="23" spans="1:9" x14ac:dyDescent="0.35">
      <c r="A23">
        <f t="shared" ca="1" si="0"/>
        <v>22</v>
      </c>
      <c r="B23" t="s">
        <v>585</v>
      </c>
      <c r="C23" t="s">
        <v>32</v>
      </c>
      <c r="D23">
        <f t="shared" ca="1" si="1"/>
        <v>184.46</v>
      </c>
      <c r="E23" s="5">
        <f t="shared" ca="1" si="2"/>
        <v>82.69</v>
      </c>
      <c r="F23" t="str">
        <f ca="1">IF(H23&lt;=I23,"Starter",IF(G23&gt;=LARGE(G:G,FlexOn*LeagueInfo!$F$2),"Starter","Bench"))</f>
        <v>Starter</v>
      </c>
      <c r="G23">
        <f t="shared" ca="1" si="3"/>
        <v>0</v>
      </c>
      <c r="H23">
        <f t="shared" ca="1" si="4"/>
        <v>22</v>
      </c>
      <c r="I23">
        <f>IF(C23="WR",LeagueInfo!$D$5*LeagueInfo!$F$2,LeagueInfo!$D$6*LeagueInfo!$F$2)</f>
        <v>24</v>
      </c>
    </row>
    <row r="24" spans="1:9" x14ac:dyDescent="0.35">
      <c r="A24">
        <f t="shared" ca="1" si="0"/>
        <v>24</v>
      </c>
      <c r="B24" t="s">
        <v>92</v>
      </c>
      <c r="C24" t="s">
        <v>32</v>
      </c>
      <c r="D24">
        <f t="shared" ca="1" si="1"/>
        <v>183.40999999999997</v>
      </c>
      <c r="E24" s="5">
        <f t="shared" ca="1" si="2"/>
        <v>81.639999999999958</v>
      </c>
      <c r="F24" t="str">
        <f ca="1">IF(H24&lt;=I24,"Starter",IF(G24&gt;=LARGE(G:G,FlexOn*LeagueInfo!$F$2),"Starter","Bench"))</f>
        <v>Starter</v>
      </c>
      <c r="G24">
        <f t="shared" ca="1" si="3"/>
        <v>0</v>
      </c>
      <c r="H24">
        <f t="shared" ca="1" si="4"/>
        <v>23</v>
      </c>
      <c r="I24">
        <f>IF(C24="WR",LeagueInfo!$D$5*LeagueInfo!$F$2,LeagueInfo!$D$6*LeagueInfo!$F$2)</f>
        <v>24</v>
      </c>
    </row>
    <row r="25" spans="1:9" x14ac:dyDescent="0.35">
      <c r="A25">
        <f t="shared" ca="1" si="0"/>
        <v>28</v>
      </c>
      <c r="B25" t="s">
        <v>597</v>
      </c>
      <c r="C25" t="s">
        <v>32</v>
      </c>
      <c r="D25">
        <f t="shared" ca="1" si="1"/>
        <v>180.14999999999998</v>
      </c>
      <c r="E25" s="5">
        <f t="shared" ca="1" si="2"/>
        <v>78.379999999999967</v>
      </c>
      <c r="F25" t="str">
        <f ca="1">IF(H25&lt;=I25,"Starter",IF(G25&gt;=LARGE(G:G,FlexOn*LeagueInfo!$F$2),"Starter","Bench"))</f>
        <v>Starter</v>
      </c>
      <c r="G25">
        <f t="shared" ca="1" si="3"/>
        <v>180.14999999999998</v>
      </c>
      <c r="H25">
        <f t="shared" ca="1" si="4"/>
        <v>27</v>
      </c>
      <c r="I25">
        <f>IF(C25="WR",LeagueInfo!$D$5*LeagueInfo!$F$2,LeagueInfo!$D$6*LeagueInfo!$F$2)</f>
        <v>24</v>
      </c>
    </row>
    <row r="26" spans="1:9" x14ac:dyDescent="0.35">
      <c r="A26">
        <f t="shared" ca="1" si="0"/>
        <v>26</v>
      </c>
      <c r="B26" t="s">
        <v>493</v>
      </c>
      <c r="C26" t="s">
        <v>32</v>
      </c>
      <c r="D26">
        <f t="shared" ca="1" si="1"/>
        <v>182.53</v>
      </c>
      <c r="E26" s="5">
        <f t="shared" ca="1" si="2"/>
        <v>80.759999999999991</v>
      </c>
      <c r="F26" t="str">
        <f ca="1">IF(H26&lt;=I26,"Starter",IF(G26&gt;=LARGE(G:G,FlexOn*LeagueInfo!$F$2),"Starter","Bench"))</f>
        <v>Starter</v>
      </c>
      <c r="G26">
        <f t="shared" ca="1" si="3"/>
        <v>182.53</v>
      </c>
      <c r="H26">
        <f t="shared" ca="1" si="4"/>
        <v>25</v>
      </c>
      <c r="I26">
        <f>IF(C26="WR",LeagueInfo!$D$5*LeagueInfo!$F$2,LeagueInfo!$D$6*LeagueInfo!$F$2)</f>
        <v>24</v>
      </c>
    </row>
    <row r="27" spans="1:9" x14ac:dyDescent="0.35">
      <c r="A27">
        <f t="shared" ca="1" si="0"/>
        <v>21</v>
      </c>
      <c r="B27" t="s">
        <v>120</v>
      </c>
      <c r="C27" t="s">
        <v>32</v>
      </c>
      <c r="D27">
        <f t="shared" ca="1" si="1"/>
        <v>184.84</v>
      </c>
      <c r="E27" s="5">
        <f t="shared" ca="1" si="2"/>
        <v>83.07</v>
      </c>
      <c r="F27" t="str">
        <f ca="1">IF(H27&lt;=I27,"Starter",IF(G27&gt;=LARGE(G:G,FlexOn*LeagueInfo!$F$2),"Starter","Bench"))</f>
        <v>Starter</v>
      </c>
      <c r="G27">
        <f t="shared" ca="1" si="3"/>
        <v>0</v>
      </c>
      <c r="H27">
        <f t="shared" ca="1" si="4"/>
        <v>21</v>
      </c>
      <c r="I27">
        <f>IF(C27="WR",LeagueInfo!$D$5*LeagueInfo!$F$2,LeagueInfo!$D$6*LeagueInfo!$F$2)</f>
        <v>24</v>
      </c>
    </row>
    <row r="28" spans="1:9" x14ac:dyDescent="0.35">
      <c r="A28">
        <f t="shared" ca="1" si="0"/>
        <v>30</v>
      </c>
      <c r="B28" t="s">
        <v>790</v>
      </c>
      <c r="C28" t="s">
        <v>32</v>
      </c>
      <c r="D28">
        <f t="shared" ca="1" si="1"/>
        <v>178.60000000000002</v>
      </c>
      <c r="E28" s="5">
        <f t="shared" ca="1" si="2"/>
        <v>76.830000000000013</v>
      </c>
      <c r="F28" t="str">
        <f ca="1">IF(H28&lt;=I28,"Starter",IF(G28&gt;=LARGE(G:G,FlexOn*LeagueInfo!$F$2),"Starter","Bench"))</f>
        <v>Starter</v>
      </c>
      <c r="G28">
        <f t="shared" ca="1" si="3"/>
        <v>178.60000000000002</v>
      </c>
      <c r="H28">
        <f t="shared" ca="1" si="4"/>
        <v>29</v>
      </c>
      <c r="I28">
        <f>IF(C28="WR",LeagueInfo!$D$5*LeagueInfo!$F$2,LeagueInfo!$D$6*LeagueInfo!$F$2)</f>
        <v>24</v>
      </c>
    </row>
    <row r="29" spans="1:9" x14ac:dyDescent="0.35">
      <c r="A29">
        <f t="shared" ca="1" si="0"/>
        <v>27</v>
      </c>
      <c r="B29" t="s">
        <v>908</v>
      </c>
      <c r="C29" t="s">
        <v>32</v>
      </c>
      <c r="D29">
        <f t="shared" ca="1" si="1"/>
        <v>181.76</v>
      </c>
      <c r="E29" s="5">
        <f t="shared" ca="1" si="2"/>
        <v>79.989999999999981</v>
      </c>
      <c r="F29" t="str">
        <f ca="1">IF(H29&lt;=I29,"Starter",IF(G29&gt;=LARGE(G:G,FlexOn*LeagueInfo!$F$2),"Starter","Bench"))</f>
        <v>Starter</v>
      </c>
      <c r="G29">
        <f t="shared" ca="1" si="3"/>
        <v>181.76</v>
      </c>
      <c r="H29">
        <f t="shared" ca="1" si="4"/>
        <v>26</v>
      </c>
      <c r="I29">
        <f>IF(C29="WR",LeagueInfo!$D$5*LeagueInfo!$F$2,LeagueInfo!$D$6*LeagueInfo!$F$2)</f>
        <v>24</v>
      </c>
    </row>
    <row r="30" spans="1:9" x14ac:dyDescent="0.35">
      <c r="A30">
        <f t="shared" ca="1" si="0"/>
        <v>29</v>
      </c>
      <c r="B30" t="s">
        <v>711</v>
      </c>
      <c r="C30" t="s">
        <v>32</v>
      </c>
      <c r="D30">
        <f t="shared" ca="1" si="1"/>
        <v>179.56</v>
      </c>
      <c r="E30" s="5">
        <f t="shared" ca="1" si="2"/>
        <v>77.789999999999992</v>
      </c>
      <c r="F30" t="str">
        <f ca="1">IF(H30&lt;=I30,"Starter",IF(G30&gt;=LARGE(G:G,FlexOn*LeagueInfo!$F$2),"Starter","Bench"))</f>
        <v>Starter</v>
      </c>
      <c r="G30">
        <f t="shared" ca="1" si="3"/>
        <v>179.56</v>
      </c>
      <c r="H30">
        <f t="shared" ca="1" si="4"/>
        <v>28</v>
      </c>
      <c r="I30">
        <f>IF(C30="WR",LeagueInfo!$D$5*LeagueInfo!$F$2,LeagueInfo!$D$6*LeagueInfo!$F$2)</f>
        <v>24</v>
      </c>
    </row>
    <row r="31" spans="1:9" x14ac:dyDescent="0.35">
      <c r="A31">
        <f t="shared" ca="1" si="0"/>
        <v>31</v>
      </c>
      <c r="B31" t="s">
        <v>725</v>
      </c>
      <c r="C31" t="s">
        <v>40</v>
      </c>
      <c r="D31">
        <f t="shared" ca="1" si="1"/>
        <v>177.68</v>
      </c>
      <c r="E31" s="5">
        <f t="shared" ca="1" si="2"/>
        <v>75.91</v>
      </c>
      <c r="F31" t="str">
        <f ca="1">IF(H31&lt;=I31,"Starter",IF(G31&gt;=LARGE(G:G,FlexOn*LeagueInfo!$F$2),"Starter","Bench"))</f>
        <v>Starter</v>
      </c>
      <c r="G31">
        <f t="shared" ca="1" si="3"/>
        <v>0</v>
      </c>
      <c r="H31">
        <f t="shared" ca="1" si="4"/>
        <v>2</v>
      </c>
      <c r="I31">
        <f>IF(C31="WR",LeagueInfo!$D$5*LeagueInfo!$F$2,LeagueInfo!$D$6*LeagueInfo!$F$2)</f>
        <v>12</v>
      </c>
    </row>
    <row r="32" spans="1:9" x14ac:dyDescent="0.35">
      <c r="A32">
        <f t="shared" ca="1" si="0"/>
        <v>33</v>
      </c>
      <c r="B32" t="s">
        <v>359</v>
      </c>
      <c r="C32" t="s">
        <v>32</v>
      </c>
      <c r="D32">
        <f t="shared" ca="1" si="1"/>
        <v>175.06</v>
      </c>
      <c r="E32" s="5">
        <f t="shared" ca="1" si="2"/>
        <v>73.289999999999992</v>
      </c>
      <c r="F32" t="str">
        <f ca="1">IF(H32&lt;=I32,"Starter",IF(G32&gt;=LARGE(G:G,FlexOn*LeagueInfo!$F$2),"Starter","Bench"))</f>
        <v>Starter</v>
      </c>
      <c r="G32">
        <f t="shared" ca="1" si="3"/>
        <v>175.06</v>
      </c>
      <c r="H32">
        <f t="shared" ca="1" si="4"/>
        <v>31</v>
      </c>
      <c r="I32">
        <f>IF(C32="WR",LeagueInfo!$D$5*LeagueInfo!$F$2,LeagueInfo!$D$6*LeagueInfo!$F$2)</f>
        <v>24</v>
      </c>
    </row>
    <row r="33" spans="1:9" x14ac:dyDescent="0.35">
      <c r="A33">
        <f t="shared" ca="1" si="0"/>
        <v>32</v>
      </c>
      <c r="B33" t="s">
        <v>240</v>
      </c>
      <c r="C33" t="s">
        <v>32</v>
      </c>
      <c r="D33">
        <f t="shared" ca="1" si="1"/>
        <v>175.10000000000002</v>
      </c>
      <c r="E33" s="5">
        <f t="shared" ca="1" si="2"/>
        <v>73.330000000000013</v>
      </c>
      <c r="F33" t="str">
        <f ca="1">IF(H33&lt;=I33,"Starter",IF(G33&gt;=LARGE(G:G,FlexOn*LeagueInfo!$F$2),"Starter","Bench"))</f>
        <v>Starter</v>
      </c>
      <c r="G33">
        <f t="shared" ca="1" si="3"/>
        <v>175.10000000000002</v>
      </c>
      <c r="H33">
        <f t="shared" ca="1" si="4"/>
        <v>30</v>
      </c>
      <c r="I33">
        <f>IF(C33="WR",LeagueInfo!$D$5*LeagueInfo!$F$2,LeagueInfo!$D$6*LeagueInfo!$F$2)</f>
        <v>24</v>
      </c>
    </row>
    <row r="34" spans="1:9" x14ac:dyDescent="0.35">
      <c r="A34">
        <f t="shared" ca="1" si="0"/>
        <v>34</v>
      </c>
      <c r="B34" t="s">
        <v>743</v>
      </c>
      <c r="C34" t="s">
        <v>32</v>
      </c>
      <c r="D34">
        <f t="shared" ca="1" si="1"/>
        <v>172.64000000000001</v>
      </c>
      <c r="E34" s="5">
        <f t="shared" ca="1" si="2"/>
        <v>70.87</v>
      </c>
      <c r="F34" t="str">
        <f ca="1">IF(H34&lt;=I34,"Starter",IF(G34&gt;=LARGE(G:G,FlexOn*LeagueInfo!$F$2),"Starter","Bench"))</f>
        <v>Starter</v>
      </c>
      <c r="G34">
        <f t="shared" ca="1" si="3"/>
        <v>172.64000000000001</v>
      </c>
      <c r="H34">
        <f t="shared" ca="1" si="4"/>
        <v>32</v>
      </c>
      <c r="I34">
        <f>IF(C34="WR",LeagueInfo!$D$5*LeagueInfo!$F$2,LeagueInfo!$D$6*LeagueInfo!$F$2)</f>
        <v>24</v>
      </c>
    </row>
    <row r="35" spans="1:9" x14ac:dyDescent="0.35">
      <c r="A35">
        <f t="shared" ca="1" si="0"/>
        <v>25</v>
      </c>
      <c r="B35" t="s">
        <v>491</v>
      </c>
      <c r="C35" t="s">
        <v>32</v>
      </c>
      <c r="D35">
        <f t="shared" ca="1" si="1"/>
        <v>182.72</v>
      </c>
      <c r="E35" s="5">
        <f t="shared" ca="1" si="2"/>
        <v>80.949999999999989</v>
      </c>
      <c r="F35" t="str">
        <f ca="1">IF(H35&lt;=I35,"Starter",IF(G35&gt;=LARGE(G:G,FlexOn*LeagueInfo!$F$2),"Starter","Bench"))</f>
        <v>Starter</v>
      </c>
      <c r="G35">
        <f t="shared" ca="1" si="3"/>
        <v>0</v>
      </c>
      <c r="H35">
        <f t="shared" ca="1" si="4"/>
        <v>24</v>
      </c>
      <c r="I35">
        <f>IF(C35="WR",LeagueInfo!$D$5*LeagueInfo!$F$2,LeagueInfo!$D$6*LeagueInfo!$F$2)</f>
        <v>24</v>
      </c>
    </row>
    <row r="36" spans="1:9" x14ac:dyDescent="0.35">
      <c r="A36">
        <f t="shared" ca="1" si="0"/>
        <v>35</v>
      </c>
      <c r="B36" t="s">
        <v>362</v>
      </c>
      <c r="C36" t="s">
        <v>32</v>
      </c>
      <c r="D36">
        <f t="shared" ca="1" si="1"/>
        <v>171.73000000000002</v>
      </c>
      <c r="E36" s="5">
        <f t="shared" ca="1" si="2"/>
        <v>69.960000000000008</v>
      </c>
      <c r="F36" t="str">
        <f ca="1">IF(H36&lt;=I36,"Starter",IF(G36&gt;=LARGE(G:G,FlexOn*LeagueInfo!$F$2),"Starter","Bench"))</f>
        <v>Starter</v>
      </c>
      <c r="G36">
        <f t="shared" ca="1" si="3"/>
        <v>171.73000000000002</v>
      </c>
      <c r="H36">
        <f t="shared" ca="1" si="4"/>
        <v>33</v>
      </c>
      <c r="I36">
        <f>IF(C36="WR",LeagueInfo!$D$5*LeagueInfo!$F$2,LeagueInfo!$D$6*LeagueInfo!$F$2)</f>
        <v>24</v>
      </c>
    </row>
    <row r="37" spans="1:9" x14ac:dyDescent="0.35">
      <c r="A37">
        <f t="shared" ca="1" si="0"/>
        <v>36</v>
      </c>
      <c r="B37" t="s">
        <v>371</v>
      </c>
      <c r="C37" t="s">
        <v>40</v>
      </c>
      <c r="D37">
        <f t="shared" ca="1" si="1"/>
        <v>169.29000000000002</v>
      </c>
      <c r="E37" s="5">
        <f t="shared" ca="1" si="2"/>
        <v>67.52000000000001</v>
      </c>
      <c r="F37" t="str">
        <f ca="1">IF(H37&lt;=I37,"Starter",IF(G37&gt;=LARGE(G:G,FlexOn*LeagueInfo!$F$2),"Starter","Bench"))</f>
        <v>Starter</v>
      </c>
      <c r="G37">
        <f t="shared" ca="1" si="3"/>
        <v>0</v>
      </c>
      <c r="H37">
        <f t="shared" ca="1" si="4"/>
        <v>3</v>
      </c>
      <c r="I37">
        <f>IF(C37="WR",LeagueInfo!$D$5*LeagueInfo!$F$2,LeagueInfo!$D$6*LeagueInfo!$F$2)</f>
        <v>12</v>
      </c>
    </row>
    <row r="38" spans="1:9" x14ac:dyDescent="0.35">
      <c r="A38">
        <f t="shared" ca="1" si="0"/>
        <v>48</v>
      </c>
      <c r="B38" t="s">
        <v>595</v>
      </c>
      <c r="C38" t="s">
        <v>32</v>
      </c>
      <c r="D38">
        <f t="shared" ca="1" si="1"/>
        <v>150.15</v>
      </c>
      <c r="E38" s="5">
        <f t="shared" ca="1" si="2"/>
        <v>48.379999999999995</v>
      </c>
      <c r="F38" t="str">
        <f ca="1">IF(H38&lt;=I38,"Starter",IF(G38&gt;=LARGE(G:G,FlexOn*LeagueInfo!$F$2),"Starter","Bench"))</f>
        <v>Bench</v>
      </c>
      <c r="G38">
        <f t="shared" ca="1" si="3"/>
        <v>150.15</v>
      </c>
      <c r="H38">
        <f t="shared" ca="1" si="4"/>
        <v>41</v>
      </c>
      <c r="I38">
        <f>IF(C38="WR",LeagueInfo!$D$5*LeagueInfo!$F$2,LeagueInfo!$D$6*LeagueInfo!$F$2)</f>
        <v>24</v>
      </c>
    </row>
    <row r="39" spans="1:9" x14ac:dyDescent="0.35">
      <c r="A39">
        <f t="shared" ca="1" si="0"/>
        <v>39</v>
      </c>
      <c r="B39" t="s">
        <v>437</v>
      </c>
      <c r="C39" t="s">
        <v>32</v>
      </c>
      <c r="D39">
        <f t="shared" ca="1" si="1"/>
        <v>160.71000000000004</v>
      </c>
      <c r="E39" s="5">
        <f t="shared" ca="1" si="2"/>
        <v>58.940000000000026</v>
      </c>
      <c r="F39" t="str">
        <f ca="1">IF(H39&lt;=I39,"Starter",IF(G39&gt;=LARGE(G:G,FlexOn*LeagueInfo!$F$2),"Starter","Bench"))</f>
        <v>Starter</v>
      </c>
      <c r="G39">
        <f t="shared" ca="1" si="3"/>
        <v>160.71000000000004</v>
      </c>
      <c r="H39">
        <f t="shared" ca="1" si="4"/>
        <v>36</v>
      </c>
      <c r="I39">
        <f>IF(C39="WR",LeagueInfo!$D$5*LeagueInfo!$F$2,LeagueInfo!$D$6*LeagueInfo!$F$2)</f>
        <v>24</v>
      </c>
    </row>
    <row r="40" spans="1:9" x14ac:dyDescent="0.35">
      <c r="A40">
        <f t="shared" ca="1" si="0"/>
        <v>42</v>
      </c>
      <c r="B40" t="s">
        <v>257</v>
      </c>
      <c r="C40" t="s">
        <v>40</v>
      </c>
      <c r="D40">
        <f t="shared" ca="1" si="1"/>
        <v>156.11000000000001</v>
      </c>
      <c r="E40" s="5">
        <f t="shared" ca="1" si="2"/>
        <v>54.34</v>
      </c>
      <c r="F40" t="str">
        <f ca="1">IF(H40&lt;=I40,"Starter",IF(G40&gt;=LARGE(G:G,FlexOn*LeagueInfo!$F$2),"Starter","Bench"))</f>
        <v>Starter</v>
      </c>
      <c r="G40">
        <f t="shared" ca="1" si="3"/>
        <v>0</v>
      </c>
      <c r="H40">
        <f t="shared" ca="1" si="4"/>
        <v>5</v>
      </c>
      <c r="I40">
        <f>IF(C40="WR",LeagueInfo!$D$5*LeagueInfo!$F$2,LeagueInfo!$D$6*LeagueInfo!$F$2)</f>
        <v>12</v>
      </c>
    </row>
    <row r="41" spans="1:9" x14ac:dyDescent="0.35">
      <c r="A41">
        <f t="shared" ca="1" si="0"/>
        <v>41</v>
      </c>
      <c r="B41" t="s">
        <v>727</v>
      </c>
      <c r="C41" t="s">
        <v>32</v>
      </c>
      <c r="D41">
        <f t="shared" ca="1" si="1"/>
        <v>160.50000000000003</v>
      </c>
      <c r="E41" s="5">
        <f t="shared" ca="1" si="2"/>
        <v>58.730000000000018</v>
      </c>
      <c r="F41" t="str">
        <f ca="1">IF(H41&lt;=I41,"Starter",IF(G41&gt;=LARGE(G:G,FlexOn*LeagueInfo!$F$2),"Starter","Bench"))</f>
        <v>Bench</v>
      </c>
      <c r="G41">
        <f t="shared" ca="1" si="3"/>
        <v>160.50000000000003</v>
      </c>
      <c r="H41">
        <f t="shared" ca="1" si="4"/>
        <v>37</v>
      </c>
      <c r="I41">
        <f>IF(C41="WR",LeagueInfo!$D$5*LeagueInfo!$F$2,LeagueInfo!$D$6*LeagueInfo!$F$2)</f>
        <v>24</v>
      </c>
    </row>
    <row r="42" spans="1:9" x14ac:dyDescent="0.35">
      <c r="A42">
        <f t="shared" ca="1" si="0"/>
        <v>37</v>
      </c>
      <c r="B42" t="s">
        <v>435</v>
      </c>
      <c r="C42" t="s">
        <v>32</v>
      </c>
      <c r="D42">
        <f t="shared" ca="1" si="1"/>
        <v>165.96</v>
      </c>
      <c r="E42" s="5">
        <f t="shared" ca="1" si="2"/>
        <v>64.19</v>
      </c>
      <c r="F42" t="str">
        <f ca="1">IF(H42&lt;=I42,"Starter",IF(G42&gt;=LARGE(G:G,FlexOn*LeagueInfo!$F$2),"Starter","Bench"))</f>
        <v>Starter</v>
      </c>
      <c r="G42">
        <f t="shared" ca="1" si="3"/>
        <v>165.96</v>
      </c>
      <c r="H42">
        <f t="shared" ca="1" si="4"/>
        <v>34</v>
      </c>
      <c r="I42">
        <f>IF(C42="WR",LeagueInfo!$D$5*LeagueInfo!$F$2,LeagueInfo!$D$6*LeagueInfo!$F$2)</f>
        <v>24</v>
      </c>
    </row>
    <row r="43" spans="1:9" x14ac:dyDescent="0.35">
      <c r="A43">
        <f t="shared" ca="1" si="0"/>
        <v>45</v>
      </c>
      <c r="B43" t="s">
        <v>567</v>
      </c>
      <c r="C43" t="s">
        <v>40</v>
      </c>
      <c r="D43">
        <f t="shared" ca="1" si="1"/>
        <v>151.76</v>
      </c>
      <c r="E43" s="5">
        <f t="shared" ca="1" si="2"/>
        <v>49.989999999999981</v>
      </c>
      <c r="F43" t="str">
        <f ca="1">IF(H43&lt;=I43,"Starter",IF(G43&gt;=LARGE(G:G,FlexOn*LeagueInfo!$F$2),"Starter","Bench"))</f>
        <v>Starter</v>
      </c>
      <c r="G43">
        <f t="shared" ca="1" si="3"/>
        <v>0</v>
      </c>
      <c r="H43">
        <f t="shared" ca="1" si="4"/>
        <v>7</v>
      </c>
      <c r="I43">
        <f>IF(C43="WR",LeagueInfo!$D$5*LeagueInfo!$F$2,LeagueInfo!$D$6*LeagueInfo!$F$2)</f>
        <v>12</v>
      </c>
    </row>
    <row r="44" spans="1:9" x14ac:dyDescent="0.35">
      <c r="A44">
        <f t="shared" ca="1" si="0"/>
        <v>40</v>
      </c>
      <c r="B44" t="s">
        <v>634</v>
      </c>
      <c r="C44" t="s">
        <v>40</v>
      </c>
      <c r="D44">
        <f t="shared" ca="1" si="1"/>
        <v>160.64000000000001</v>
      </c>
      <c r="E44" s="5">
        <f t="shared" ca="1" si="2"/>
        <v>58.870000000000005</v>
      </c>
      <c r="F44" t="str">
        <f ca="1">IF(H44&lt;=I44,"Starter",IF(G44&gt;=LARGE(G:G,FlexOn*LeagueInfo!$F$2),"Starter","Bench"))</f>
        <v>Starter</v>
      </c>
      <c r="G44">
        <f t="shared" ca="1" si="3"/>
        <v>0</v>
      </c>
      <c r="H44">
        <f t="shared" ca="1" si="4"/>
        <v>4</v>
      </c>
      <c r="I44">
        <f>IF(C44="WR",LeagueInfo!$D$5*LeagueInfo!$F$2,LeagueInfo!$D$6*LeagueInfo!$F$2)</f>
        <v>12</v>
      </c>
    </row>
    <row r="45" spans="1:9" x14ac:dyDescent="0.35">
      <c r="A45">
        <f t="shared" ca="1" si="0"/>
        <v>49</v>
      </c>
      <c r="B45" t="s">
        <v>753</v>
      </c>
      <c r="C45" t="s">
        <v>32</v>
      </c>
      <c r="D45">
        <f t="shared" ca="1" si="1"/>
        <v>149.97000000000003</v>
      </c>
      <c r="E45" s="5">
        <f t="shared" ca="1" si="2"/>
        <v>48.200000000000017</v>
      </c>
      <c r="F45" t="str">
        <f ca="1">IF(H45&lt;=I45,"Starter",IF(G45&gt;=LARGE(G:G,FlexOn*LeagueInfo!$F$2),"Starter","Bench"))</f>
        <v>Bench</v>
      </c>
      <c r="G45">
        <f t="shared" ca="1" si="3"/>
        <v>149.97000000000003</v>
      </c>
      <c r="H45">
        <f t="shared" ca="1" si="4"/>
        <v>42</v>
      </c>
      <c r="I45">
        <f>IF(C45="WR",LeagueInfo!$D$5*LeagueInfo!$F$2,LeagueInfo!$D$6*LeagueInfo!$F$2)</f>
        <v>24</v>
      </c>
    </row>
    <row r="46" spans="1:9" x14ac:dyDescent="0.35">
      <c r="A46">
        <f t="shared" ca="1" si="0"/>
        <v>43</v>
      </c>
      <c r="B46" t="s">
        <v>712</v>
      </c>
      <c r="C46" t="s">
        <v>40</v>
      </c>
      <c r="D46">
        <f t="shared" ca="1" si="1"/>
        <v>154.14000000000001</v>
      </c>
      <c r="E46" s="5">
        <f t="shared" ca="1" si="2"/>
        <v>52.370000000000005</v>
      </c>
      <c r="F46" t="str">
        <f ca="1">IF(H46&lt;=I46,"Starter",IF(G46&gt;=LARGE(G:G,FlexOn*LeagueInfo!$F$2),"Starter","Bench"))</f>
        <v>Starter</v>
      </c>
      <c r="G46">
        <f t="shared" ca="1" si="3"/>
        <v>0</v>
      </c>
      <c r="H46">
        <f t="shared" ca="1" si="4"/>
        <v>6</v>
      </c>
      <c r="I46">
        <f>IF(C46="WR",LeagueInfo!$D$5*LeagueInfo!$F$2,LeagueInfo!$D$6*LeagueInfo!$F$2)</f>
        <v>12</v>
      </c>
    </row>
    <row r="47" spans="1:9" x14ac:dyDescent="0.35">
      <c r="A47">
        <f t="shared" ca="1" si="0"/>
        <v>47</v>
      </c>
      <c r="B47" t="s">
        <v>93</v>
      </c>
      <c r="C47" t="s">
        <v>32</v>
      </c>
      <c r="D47">
        <f t="shared" ca="1" si="1"/>
        <v>150.95999999999998</v>
      </c>
      <c r="E47" s="5">
        <f t="shared" ca="1" si="2"/>
        <v>49.189999999999969</v>
      </c>
      <c r="F47" t="str">
        <f ca="1">IF(H47&lt;=I47,"Starter",IF(G47&gt;=LARGE(G:G,FlexOn*LeagueInfo!$F$2),"Starter","Bench"))</f>
        <v>Bench</v>
      </c>
      <c r="G47">
        <f t="shared" ca="1" si="3"/>
        <v>150.95999999999998</v>
      </c>
      <c r="H47">
        <f t="shared" ca="1" si="4"/>
        <v>40</v>
      </c>
      <c r="I47">
        <f>IF(C47="WR",LeagueInfo!$D$5*LeagueInfo!$F$2,LeagueInfo!$D$6*LeagueInfo!$F$2)</f>
        <v>24</v>
      </c>
    </row>
    <row r="48" spans="1:9" x14ac:dyDescent="0.35">
      <c r="A48">
        <f t="shared" ca="1" si="0"/>
        <v>50</v>
      </c>
      <c r="B48" t="s">
        <v>910</v>
      </c>
      <c r="C48" t="s">
        <v>32</v>
      </c>
      <c r="D48">
        <f t="shared" ca="1" si="1"/>
        <v>148.91</v>
      </c>
      <c r="E48" s="5">
        <f t="shared" ca="1" si="2"/>
        <v>47.139999999999986</v>
      </c>
      <c r="F48" t="str">
        <f ca="1">IF(H48&lt;=I48,"Starter",IF(G48&gt;=LARGE(G:G,FlexOn*LeagueInfo!$F$2),"Starter","Bench"))</f>
        <v>Bench</v>
      </c>
      <c r="G48">
        <f t="shared" ca="1" si="3"/>
        <v>148.91</v>
      </c>
      <c r="H48">
        <f t="shared" ca="1" si="4"/>
        <v>43</v>
      </c>
      <c r="I48">
        <f>IF(C48="WR",LeagueInfo!$D$5*LeagueInfo!$F$2,LeagueInfo!$D$6*LeagueInfo!$F$2)</f>
        <v>24</v>
      </c>
    </row>
    <row r="49" spans="1:9" x14ac:dyDescent="0.35">
      <c r="A49">
        <f t="shared" ca="1" si="0"/>
        <v>38</v>
      </c>
      <c r="B49" t="s">
        <v>101</v>
      </c>
      <c r="C49" t="s">
        <v>32</v>
      </c>
      <c r="D49">
        <f t="shared" ca="1" si="1"/>
        <v>161.6</v>
      </c>
      <c r="E49" s="5">
        <f t="shared" ca="1" si="2"/>
        <v>59.829999999999984</v>
      </c>
      <c r="F49" t="str">
        <f ca="1">IF(H49&lt;=I49,"Starter",IF(G49&gt;=LARGE(G:G,FlexOn*LeagueInfo!$F$2),"Starter","Bench"))</f>
        <v>Starter</v>
      </c>
      <c r="G49">
        <f t="shared" ca="1" si="3"/>
        <v>161.6</v>
      </c>
      <c r="H49">
        <f t="shared" ca="1" si="4"/>
        <v>35</v>
      </c>
      <c r="I49">
        <f>IF(C49="WR",LeagueInfo!$D$5*LeagueInfo!$F$2,LeagueInfo!$D$6*LeagueInfo!$F$2)</f>
        <v>24</v>
      </c>
    </row>
    <row r="50" spans="1:9" x14ac:dyDescent="0.35">
      <c r="A50">
        <f t="shared" ca="1" si="0"/>
        <v>51</v>
      </c>
      <c r="B50" t="s">
        <v>912</v>
      </c>
      <c r="C50" t="s">
        <v>32</v>
      </c>
      <c r="D50">
        <f t="shared" ca="1" si="1"/>
        <v>147.33000000000004</v>
      </c>
      <c r="E50" s="5">
        <f t="shared" ca="1" si="2"/>
        <v>45.560000000000031</v>
      </c>
      <c r="F50" t="str">
        <f ca="1">IF(H50&lt;=I50,"Starter",IF(G50&gt;=LARGE(G:G,FlexOn*LeagueInfo!$F$2),"Starter","Bench"))</f>
        <v>Bench</v>
      </c>
      <c r="G50">
        <f t="shared" ca="1" si="3"/>
        <v>147.33000000000004</v>
      </c>
      <c r="H50">
        <f t="shared" ca="1" si="4"/>
        <v>44</v>
      </c>
      <c r="I50">
        <f>IF(C50="WR",LeagueInfo!$D$5*LeagueInfo!$F$2,LeagueInfo!$D$6*LeagueInfo!$F$2)</f>
        <v>24</v>
      </c>
    </row>
    <row r="51" spans="1:9" x14ac:dyDescent="0.35">
      <c r="A51">
        <f t="shared" ca="1" si="0"/>
        <v>44</v>
      </c>
      <c r="B51" t="s">
        <v>360</v>
      </c>
      <c r="C51" t="s">
        <v>32</v>
      </c>
      <c r="D51">
        <f t="shared" ca="1" si="1"/>
        <v>152.02000000000001</v>
      </c>
      <c r="E51" s="5">
        <f t="shared" ca="1" si="2"/>
        <v>50.25</v>
      </c>
      <c r="F51" t="str">
        <f ca="1">IF(H51&lt;=I51,"Starter",IF(G51&gt;=LARGE(G:G,FlexOn*LeagueInfo!$F$2),"Starter","Bench"))</f>
        <v>Bench</v>
      </c>
      <c r="G51">
        <f t="shared" ca="1" si="3"/>
        <v>152.02000000000001</v>
      </c>
      <c r="H51">
        <f t="shared" ca="1" si="4"/>
        <v>38</v>
      </c>
      <c r="I51">
        <f>IF(C51="WR",LeagueInfo!$D$5*LeagueInfo!$F$2,LeagueInfo!$D$6*LeagueInfo!$F$2)</f>
        <v>24</v>
      </c>
    </row>
    <row r="52" spans="1:9" x14ac:dyDescent="0.35">
      <c r="A52">
        <f t="shared" ca="1" si="0"/>
        <v>55</v>
      </c>
      <c r="B52" t="s">
        <v>638</v>
      </c>
      <c r="C52" t="s">
        <v>40</v>
      </c>
      <c r="D52">
        <f t="shared" ca="1" si="1"/>
        <v>143.6</v>
      </c>
      <c r="E52" s="5">
        <f t="shared" ca="1" si="2"/>
        <v>41.829999999999984</v>
      </c>
      <c r="F52" t="str">
        <f ca="1">IF(H52&lt;=I52,"Starter",IF(G52&gt;=LARGE(G:G,FlexOn*LeagueInfo!$F$2),"Starter","Bench"))</f>
        <v>Starter</v>
      </c>
      <c r="G52">
        <f t="shared" ca="1" si="3"/>
        <v>0</v>
      </c>
      <c r="H52">
        <f t="shared" ca="1" si="4"/>
        <v>9</v>
      </c>
      <c r="I52">
        <f>IF(C52="WR",LeagueInfo!$D$5*LeagueInfo!$F$2,LeagueInfo!$D$6*LeagueInfo!$F$2)</f>
        <v>12</v>
      </c>
    </row>
    <row r="53" spans="1:9" x14ac:dyDescent="0.35">
      <c r="A53">
        <f t="shared" ca="1" si="0"/>
        <v>53</v>
      </c>
      <c r="B53" t="s">
        <v>914</v>
      </c>
      <c r="C53" t="s">
        <v>32</v>
      </c>
      <c r="D53">
        <f t="shared" ca="1" si="1"/>
        <v>144.48000000000002</v>
      </c>
      <c r="E53" s="5">
        <f t="shared" ca="1" si="2"/>
        <v>42.710000000000008</v>
      </c>
      <c r="F53" t="str">
        <f ca="1">IF(H53&lt;=I53,"Starter",IF(G53&gt;=LARGE(G:G,FlexOn*LeagueInfo!$F$2),"Starter","Bench"))</f>
        <v>Bench</v>
      </c>
      <c r="G53">
        <f t="shared" ca="1" si="3"/>
        <v>144.48000000000002</v>
      </c>
      <c r="H53">
        <f t="shared" ca="1" si="4"/>
        <v>45</v>
      </c>
      <c r="I53">
        <f>IF(C53="WR",LeagueInfo!$D$5*LeagueInfo!$F$2,LeagueInfo!$D$6*LeagueInfo!$F$2)</f>
        <v>24</v>
      </c>
    </row>
    <row r="54" spans="1:9" x14ac:dyDescent="0.35">
      <c r="A54">
        <f t="shared" ca="1" si="0"/>
        <v>54</v>
      </c>
      <c r="B54" t="s">
        <v>911</v>
      </c>
      <c r="C54" t="s">
        <v>32</v>
      </c>
      <c r="D54">
        <f t="shared" ca="1" si="1"/>
        <v>144.28000000000003</v>
      </c>
      <c r="E54" s="5">
        <f t="shared" ca="1" si="2"/>
        <v>42.510000000000019</v>
      </c>
      <c r="F54" t="str">
        <f ca="1">IF(H54&lt;=I54,"Starter",IF(G54&gt;=LARGE(G:G,FlexOn*LeagueInfo!$F$2),"Starter","Bench"))</f>
        <v>Bench</v>
      </c>
      <c r="G54">
        <f t="shared" ca="1" si="3"/>
        <v>144.28000000000003</v>
      </c>
      <c r="H54">
        <f t="shared" ca="1" si="4"/>
        <v>46</v>
      </c>
      <c r="I54">
        <f>IF(C54="WR",LeagueInfo!$D$5*LeagueInfo!$F$2,LeagueInfo!$D$6*LeagueInfo!$F$2)</f>
        <v>24</v>
      </c>
    </row>
    <row r="55" spans="1:9" x14ac:dyDescent="0.35">
      <c r="A55">
        <f t="shared" ca="1" si="0"/>
        <v>56</v>
      </c>
      <c r="B55" t="s">
        <v>142</v>
      </c>
      <c r="C55" t="s">
        <v>40</v>
      </c>
      <c r="D55">
        <f t="shared" ca="1" si="1"/>
        <v>142.78</v>
      </c>
      <c r="E55" s="5">
        <f t="shared" ca="1" si="2"/>
        <v>41.009999999999991</v>
      </c>
      <c r="F55" t="str">
        <f ca="1">IF(H55&lt;=I55,"Starter",IF(G55&gt;=LARGE(G:G,FlexOn*LeagueInfo!$F$2),"Starter","Bench"))</f>
        <v>Starter</v>
      </c>
      <c r="G55">
        <f t="shared" ca="1" si="3"/>
        <v>0</v>
      </c>
      <c r="H55">
        <f t="shared" ca="1" si="4"/>
        <v>10</v>
      </c>
      <c r="I55">
        <f>IF(C55="WR",LeagueInfo!$D$5*LeagueInfo!$F$2,LeagueInfo!$D$6*LeagueInfo!$F$2)</f>
        <v>12</v>
      </c>
    </row>
    <row r="56" spans="1:9" x14ac:dyDescent="0.35">
      <c r="A56">
        <f t="shared" ca="1" si="0"/>
        <v>58</v>
      </c>
      <c r="B56" t="s">
        <v>596</v>
      </c>
      <c r="C56" t="s">
        <v>32</v>
      </c>
      <c r="D56">
        <f t="shared" ca="1" si="1"/>
        <v>141.13</v>
      </c>
      <c r="E56" s="5">
        <f t="shared" ca="1" si="2"/>
        <v>39.359999999999985</v>
      </c>
      <c r="F56" t="str">
        <f ca="1">IF(H56&lt;=I56,"Starter",IF(G56&gt;=LARGE(G:G,FlexOn*LeagueInfo!$F$2),"Starter","Bench"))</f>
        <v>Bench</v>
      </c>
      <c r="G56">
        <f t="shared" ca="1" si="3"/>
        <v>141.13</v>
      </c>
      <c r="H56">
        <f t="shared" ca="1" si="4"/>
        <v>48</v>
      </c>
      <c r="I56">
        <f>IF(C56="WR",LeagueInfo!$D$5*LeagueInfo!$F$2,LeagueInfo!$D$6*LeagueInfo!$F$2)</f>
        <v>24</v>
      </c>
    </row>
    <row r="57" spans="1:9" x14ac:dyDescent="0.35">
      <c r="A57">
        <f t="shared" ca="1" si="0"/>
        <v>52</v>
      </c>
      <c r="B57" t="s">
        <v>145</v>
      </c>
      <c r="C57" t="s">
        <v>40</v>
      </c>
      <c r="D57">
        <f t="shared" ca="1" si="1"/>
        <v>145.94999999999999</v>
      </c>
      <c r="E57" s="5">
        <f t="shared" ca="1" si="2"/>
        <v>44.179999999999978</v>
      </c>
      <c r="F57" t="str">
        <f ca="1">IF(H57&lt;=I57,"Starter",IF(G57&gt;=LARGE(G:G,FlexOn*LeagueInfo!$F$2),"Starter","Bench"))</f>
        <v>Starter</v>
      </c>
      <c r="G57">
        <f t="shared" ca="1" si="3"/>
        <v>0</v>
      </c>
      <c r="H57">
        <f t="shared" ca="1" si="4"/>
        <v>8</v>
      </c>
      <c r="I57">
        <f>IF(C57="WR",LeagueInfo!$D$5*LeagueInfo!$F$2,LeagueInfo!$D$6*LeagueInfo!$F$2)</f>
        <v>12</v>
      </c>
    </row>
    <row r="58" spans="1:9" x14ac:dyDescent="0.35">
      <c r="A58">
        <f t="shared" ca="1" si="0"/>
        <v>57</v>
      </c>
      <c r="B58" t="s">
        <v>489</v>
      </c>
      <c r="C58" t="s">
        <v>32</v>
      </c>
      <c r="D58">
        <f t="shared" ca="1" si="1"/>
        <v>141.19000000000003</v>
      </c>
      <c r="E58" s="5">
        <f t="shared" ca="1" si="2"/>
        <v>39.420000000000016</v>
      </c>
      <c r="F58" t="str">
        <f ca="1">IF(H58&lt;=I58,"Starter",IF(G58&gt;=LARGE(G:G,FlexOn*LeagueInfo!$F$2),"Starter","Bench"))</f>
        <v>Bench</v>
      </c>
      <c r="G58">
        <f t="shared" ca="1" si="3"/>
        <v>141.19000000000003</v>
      </c>
      <c r="H58">
        <f t="shared" ca="1" si="4"/>
        <v>47</v>
      </c>
      <c r="I58">
        <f>IF(C58="WR",LeagueInfo!$D$5*LeagueInfo!$F$2,LeagueInfo!$D$6*LeagueInfo!$F$2)</f>
        <v>24</v>
      </c>
    </row>
    <row r="59" spans="1:9" x14ac:dyDescent="0.35">
      <c r="A59">
        <f t="shared" ca="1" si="0"/>
        <v>46</v>
      </c>
      <c r="B59" t="s">
        <v>769</v>
      </c>
      <c r="C59" t="s">
        <v>32</v>
      </c>
      <c r="D59">
        <f t="shared" ca="1" si="1"/>
        <v>151.70000000000005</v>
      </c>
      <c r="E59" s="5">
        <f t="shared" ca="1" si="2"/>
        <v>49.930000000000035</v>
      </c>
      <c r="F59" t="str">
        <f ca="1">IF(H59&lt;=I59,"Starter",IF(G59&gt;=LARGE(G:G,FlexOn*LeagueInfo!$F$2),"Starter","Bench"))</f>
        <v>Bench</v>
      </c>
      <c r="G59">
        <f t="shared" ca="1" si="3"/>
        <v>151.70000000000005</v>
      </c>
      <c r="H59">
        <f t="shared" ca="1" si="4"/>
        <v>39</v>
      </c>
      <c r="I59">
        <f>IF(C59="WR",LeagueInfo!$D$5*LeagueInfo!$F$2,LeagueInfo!$D$6*LeagueInfo!$F$2)</f>
        <v>24</v>
      </c>
    </row>
    <row r="60" spans="1:9" x14ac:dyDescent="0.35">
      <c r="A60">
        <f t="shared" ca="1" si="0"/>
        <v>59</v>
      </c>
      <c r="B60" t="s">
        <v>139</v>
      </c>
      <c r="C60" t="s">
        <v>32</v>
      </c>
      <c r="D60">
        <f t="shared" ca="1" si="1"/>
        <v>139.79000000000002</v>
      </c>
      <c r="E60" s="5">
        <f t="shared" ca="1" si="2"/>
        <v>38.02000000000001</v>
      </c>
      <c r="F60" t="str">
        <f ca="1">IF(H60&lt;=I60,"Starter",IF(G60&gt;=LARGE(G:G,FlexOn*LeagueInfo!$F$2),"Starter","Bench"))</f>
        <v>Bench</v>
      </c>
      <c r="G60">
        <f t="shared" ca="1" si="3"/>
        <v>139.79000000000002</v>
      </c>
      <c r="H60">
        <f t="shared" ca="1" si="4"/>
        <v>49</v>
      </c>
      <c r="I60">
        <f>IF(C60="WR",LeagueInfo!$D$5*LeagueInfo!$F$2,LeagueInfo!$D$6*LeagueInfo!$F$2)</f>
        <v>24</v>
      </c>
    </row>
    <row r="61" spans="1:9" x14ac:dyDescent="0.35">
      <c r="A61">
        <f t="shared" ca="1" si="0"/>
        <v>60</v>
      </c>
      <c r="B61" t="s">
        <v>578</v>
      </c>
      <c r="C61" t="s">
        <v>32</v>
      </c>
      <c r="D61">
        <f t="shared" ca="1" si="1"/>
        <v>136.45999999999998</v>
      </c>
      <c r="E61" s="5">
        <f t="shared" ca="1" si="2"/>
        <v>34.689999999999969</v>
      </c>
      <c r="F61" t="str">
        <f ca="1">IF(H61&lt;=I61,"Starter",IF(G61&gt;=LARGE(G:G,FlexOn*LeagueInfo!$F$2),"Starter","Bench"))</f>
        <v>Bench</v>
      </c>
      <c r="G61">
        <f t="shared" ca="1" si="3"/>
        <v>136.45999999999998</v>
      </c>
      <c r="H61">
        <f t="shared" ca="1" si="4"/>
        <v>51</v>
      </c>
      <c r="I61">
        <f>IF(C61="WR",LeagueInfo!$D$5*LeagueInfo!$F$2,LeagueInfo!$D$6*LeagueInfo!$F$2)</f>
        <v>24</v>
      </c>
    </row>
    <row r="62" spans="1:9" x14ac:dyDescent="0.35">
      <c r="A62">
        <f t="shared" ca="1" si="0"/>
        <v>61</v>
      </c>
      <c r="B62" t="s">
        <v>236</v>
      </c>
      <c r="C62" t="s">
        <v>32</v>
      </c>
      <c r="D62">
        <f t="shared" ca="1" si="1"/>
        <v>136.07</v>
      </c>
      <c r="E62" s="5">
        <f t="shared" ca="1" si="2"/>
        <v>34.299999999999983</v>
      </c>
      <c r="F62" t="str">
        <f ca="1">IF(H62&lt;=I62,"Starter",IF(G62&gt;=LARGE(G:G,FlexOn*LeagueInfo!$F$2),"Starter","Bench"))</f>
        <v>Bench</v>
      </c>
      <c r="G62">
        <f t="shared" ca="1" si="3"/>
        <v>136.07</v>
      </c>
      <c r="H62">
        <f t="shared" ca="1" si="4"/>
        <v>52</v>
      </c>
      <c r="I62">
        <f>IF(C62="WR",LeagueInfo!$D$5*LeagueInfo!$F$2,LeagueInfo!$D$6*LeagueInfo!$F$2)</f>
        <v>24</v>
      </c>
    </row>
    <row r="63" spans="1:9" x14ac:dyDescent="0.35">
      <c r="A63">
        <f t="shared" ca="1" si="0"/>
        <v>65</v>
      </c>
      <c r="B63" t="s">
        <v>127</v>
      </c>
      <c r="C63" t="s">
        <v>32</v>
      </c>
      <c r="D63">
        <f t="shared" ca="1" si="1"/>
        <v>132.62</v>
      </c>
      <c r="E63" s="5">
        <f t="shared" ca="1" si="2"/>
        <v>30.849999999999994</v>
      </c>
      <c r="F63" t="str">
        <f ca="1">IF(H63&lt;=I63,"Starter",IF(G63&gt;=LARGE(G:G,FlexOn*LeagueInfo!$F$2),"Starter","Bench"))</f>
        <v>Bench</v>
      </c>
      <c r="G63">
        <f t="shared" ca="1" si="3"/>
        <v>132.62</v>
      </c>
      <c r="H63">
        <f t="shared" ca="1" si="4"/>
        <v>56</v>
      </c>
      <c r="I63">
        <f>IF(C63="WR",LeagueInfo!$D$5*LeagueInfo!$F$2,LeagueInfo!$D$6*LeagueInfo!$F$2)</f>
        <v>24</v>
      </c>
    </row>
    <row r="64" spans="1:9" x14ac:dyDescent="0.35">
      <c r="A64">
        <f t="shared" ca="1" si="0"/>
        <v>64</v>
      </c>
      <c r="B64" t="s">
        <v>96</v>
      </c>
      <c r="C64" t="s">
        <v>32</v>
      </c>
      <c r="D64">
        <f t="shared" ca="1" si="1"/>
        <v>132.79000000000002</v>
      </c>
      <c r="E64" s="5">
        <f t="shared" ca="1" si="2"/>
        <v>31.02000000000001</v>
      </c>
      <c r="F64" t="str">
        <f ca="1">IF(H64&lt;=I64,"Starter",IF(G64&gt;=LARGE(G:G,FlexOn*LeagueInfo!$F$2),"Starter","Bench"))</f>
        <v>Bench</v>
      </c>
      <c r="G64">
        <f t="shared" ca="1" si="3"/>
        <v>132.79000000000002</v>
      </c>
      <c r="H64">
        <f t="shared" ca="1" si="4"/>
        <v>55</v>
      </c>
      <c r="I64">
        <f>IF(C64="WR",LeagueInfo!$D$5*LeagueInfo!$F$2,LeagueInfo!$D$6*LeagueInfo!$F$2)</f>
        <v>24</v>
      </c>
    </row>
    <row r="65" spans="1:9" x14ac:dyDescent="0.35">
      <c r="A65">
        <f t="shared" ca="1" si="0"/>
        <v>63</v>
      </c>
      <c r="B65" t="s">
        <v>607</v>
      </c>
      <c r="C65" t="s">
        <v>32</v>
      </c>
      <c r="D65">
        <f t="shared" ref="D65:D128" ca="1" si="5">INDEX(INDIRECT($C65&amp;"!P:P"),MATCH($B65,INDIRECT($C65&amp;"!B:B"),0))</f>
        <v>134.1</v>
      </c>
      <c r="E65" s="5">
        <f t="shared" ca="1" si="2"/>
        <v>32.329999999999984</v>
      </c>
      <c r="F65" t="str">
        <f ca="1">IF(H65&lt;=I65,"Starter",IF(G65&gt;=LARGE(G:G,FlexOn*LeagueInfo!$F$2),"Starter","Bench"))</f>
        <v>Bench</v>
      </c>
      <c r="G65">
        <f t="shared" ref="G65:G128" ca="1" si="6">IF(H65&gt;I65,D65,0)</f>
        <v>134.1</v>
      </c>
      <c r="H65">
        <f t="shared" ref="H65:H128" ca="1" si="7">INDEX(INDIRECT(""&amp;C65&amp;"!A2:A489"),MATCH(B65,INDIRECT(""&amp;C65&amp;"!B2:B489"),0))</f>
        <v>54</v>
      </c>
      <c r="I65">
        <f>IF(C65="WR",LeagueInfo!$D$5*LeagueInfo!$F$2,LeagueInfo!$D$6*LeagueInfo!$F$2)</f>
        <v>24</v>
      </c>
    </row>
    <row r="66" spans="1:9" x14ac:dyDescent="0.35">
      <c r="A66">
        <f t="shared" ref="A66:A129" ca="1" si="8">RANK(E66,E:E)</f>
        <v>62</v>
      </c>
      <c r="B66" t="s">
        <v>466</v>
      </c>
      <c r="C66" t="s">
        <v>32</v>
      </c>
      <c r="D66">
        <f t="shared" ca="1" si="5"/>
        <v>135.18</v>
      </c>
      <c r="E66" s="5">
        <f t="shared" ref="E66:E129" ca="1" si="9">D66-LARGE(D:D,TECount+WRCount)</f>
        <v>33.409999999999997</v>
      </c>
      <c r="F66" t="str">
        <f ca="1">IF(H66&lt;=I66,"Starter",IF(G66&gt;=LARGE(G:G,FlexOn*LeagueInfo!$F$2),"Starter","Bench"))</f>
        <v>Bench</v>
      </c>
      <c r="G66">
        <f t="shared" ca="1" si="6"/>
        <v>135.18</v>
      </c>
      <c r="H66">
        <f t="shared" ca="1" si="7"/>
        <v>53</v>
      </c>
      <c r="I66">
        <f>IF(C66="WR",LeagueInfo!$D$5*LeagueInfo!$F$2,LeagueInfo!$D$6*LeagueInfo!$F$2)</f>
        <v>24</v>
      </c>
    </row>
    <row r="67" spans="1:9" x14ac:dyDescent="0.35">
      <c r="A67">
        <f t="shared" ca="1" si="8"/>
        <v>68</v>
      </c>
      <c r="B67" t="s">
        <v>785</v>
      </c>
      <c r="C67" t="s">
        <v>32</v>
      </c>
      <c r="D67">
        <f t="shared" ca="1" si="5"/>
        <v>130.22999999999999</v>
      </c>
      <c r="E67" s="5">
        <f t="shared" ca="1" si="9"/>
        <v>28.45999999999998</v>
      </c>
      <c r="F67" t="str">
        <f ca="1">IF(H67&lt;=I67,"Starter",IF(G67&gt;=LARGE(G:G,FlexOn*LeagueInfo!$F$2),"Starter","Bench"))</f>
        <v>Bench</v>
      </c>
      <c r="G67">
        <f t="shared" ca="1" si="6"/>
        <v>130.22999999999999</v>
      </c>
      <c r="H67">
        <f t="shared" ca="1" si="7"/>
        <v>59</v>
      </c>
      <c r="I67">
        <f>IF(C67="WR",LeagueInfo!$D$5*LeagueInfo!$F$2,LeagueInfo!$D$6*LeagueInfo!$F$2)</f>
        <v>24</v>
      </c>
    </row>
    <row r="68" spans="1:9" x14ac:dyDescent="0.35">
      <c r="A68">
        <f t="shared" ca="1" si="8"/>
        <v>67</v>
      </c>
      <c r="B68" t="s">
        <v>138</v>
      </c>
      <c r="C68" t="s">
        <v>32</v>
      </c>
      <c r="D68">
        <f t="shared" ca="1" si="5"/>
        <v>130.27000000000001</v>
      </c>
      <c r="E68" s="5">
        <f t="shared" ca="1" si="9"/>
        <v>28.5</v>
      </c>
      <c r="F68" t="str">
        <f ca="1">IF(H68&lt;=I68,"Starter",IF(G68&gt;=LARGE(G:G,FlexOn*LeagueInfo!$F$2),"Starter","Bench"))</f>
        <v>Bench</v>
      </c>
      <c r="G68">
        <f t="shared" ca="1" si="6"/>
        <v>130.27000000000001</v>
      </c>
      <c r="H68">
        <f t="shared" ca="1" si="7"/>
        <v>58</v>
      </c>
      <c r="I68">
        <f>IF(C68="WR",LeagueInfo!$D$5*LeagueInfo!$F$2,LeagueInfo!$D$6*LeagueInfo!$F$2)</f>
        <v>24</v>
      </c>
    </row>
    <row r="69" spans="1:9" x14ac:dyDescent="0.35">
      <c r="A69">
        <f t="shared" ca="1" si="8"/>
        <v>69</v>
      </c>
      <c r="B69" t="s">
        <v>604</v>
      </c>
      <c r="C69" t="s">
        <v>32</v>
      </c>
      <c r="D69">
        <f t="shared" ca="1" si="5"/>
        <v>129.30000000000001</v>
      </c>
      <c r="E69" s="5">
        <f t="shared" ca="1" si="9"/>
        <v>27.53</v>
      </c>
      <c r="F69" t="str">
        <f ca="1">IF(H69&lt;=I69,"Starter",IF(G69&gt;=LARGE(G:G,FlexOn*LeagueInfo!$F$2),"Starter","Bench"))</f>
        <v>Bench</v>
      </c>
      <c r="G69">
        <f t="shared" ca="1" si="6"/>
        <v>129.30000000000001</v>
      </c>
      <c r="H69">
        <f t="shared" ca="1" si="7"/>
        <v>60</v>
      </c>
      <c r="I69">
        <f>IF(C69="WR",LeagueInfo!$D$5*LeagueInfo!$F$2,LeagueInfo!$D$6*LeagueInfo!$F$2)</f>
        <v>24</v>
      </c>
    </row>
    <row r="70" spans="1:9" x14ac:dyDescent="0.35">
      <c r="A70">
        <f t="shared" ca="1" si="8"/>
        <v>73</v>
      </c>
      <c r="B70" t="s">
        <v>759</v>
      </c>
      <c r="C70" t="s">
        <v>32</v>
      </c>
      <c r="D70">
        <f t="shared" ca="1" si="5"/>
        <v>124.75</v>
      </c>
      <c r="E70" s="5">
        <f t="shared" ca="1" si="9"/>
        <v>22.97999999999999</v>
      </c>
      <c r="F70" t="str">
        <f ca="1">IF(H70&lt;=I70,"Starter",IF(G70&gt;=LARGE(G:G,FlexOn*LeagueInfo!$F$2),"Starter","Bench"))</f>
        <v>Bench</v>
      </c>
      <c r="G70">
        <f t="shared" ca="1" si="6"/>
        <v>124.75</v>
      </c>
      <c r="H70">
        <f t="shared" ca="1" si="7"/>
        <v>62</v>
      </c>
      <c r="I70">
        <f>IF(C70="WR",LeagueInfo!$D$5*LeagueInfo!$F$2,LeagueInfo!$D$6*LeagueInfo!$F$2)</f>
        <v>24</v>
      </c>
    </row>
    <row r="71" spans="1:9" x14ac:dyDescent="0.35">
      <c r="A71">
        <f t="shared" ca="1" si="8"/>
        <v>66</v>
      </c>
      <c r="B71" t="s">
        <v>913</v>
      </c>
      <c r="C71" t="s">
        <v>32</v>
      </c>
      <c r="D71">
        <f t="shared" ca="1" si="5"/>
        <v>130.71</v>
      </c>
      <c r="E71" s="5">
        <f t="shared" ca="1" si="9"/>
        <v>28.939999999999998</v>
      </c>
      <c r="F71" t="str">
        <f ca="1">IF(H71&lt;=I71,"Starter",IF(G71&gt;=LARGE(G:G,FlexOn*LeagueInfo!$F$2),"Starter","Bench"))</f>
        <v>Bench</v>
      </c>
      <c r="G71">
        <f t="shared" ca="1" si="6"/>
        <v>130.71</v>
      </c>
      <c r="H71">
        <f t="shared" ca="1" si="7"/>
        <v>57</v>
      </c>
      <c r="I71">
        <f>IF(C71="WR",LeagueInfo!$D$5*LeagueInfo!$F$2,LeagueInfo!$D$6*LeagueInfo!$F$2)</f>
        <v>24</v>
      </c>
    </row>
    <row r="72" spans="1:9" x14ac:dyDescent="0.35">
      <c r="A72">
        <f t="shared" ca="1" si="8"/>
        <v>72</v>
      </c>
      <c r="B72" t="s">
        <v>370</v>
      </c>
      <c r="C72" t="s">
        <v>40</v>
      </c>
      <c r="D72">
        <f t="shared" ca="1" si="5"/>
        <v>124.81</v>
      </c>
      <c r="E72" s="5">
        <f t="shared" ca="1" si="9"/>
        <v>23.039999999999992</v>
      </c>
      <c r="F72" t="str">
        <f ca="1">IF(H72&lt;=I72,"Starter",IF(G72&gt;=LARGE(G:G,FlexOn*LeagueInfo!$F$2),"Starter","Bench"))</f>
        <v>Starter</v>
      </c>
      <c r="G72">
        <f t="shared" ca="1" si="6"/>
        <v>0</v>
      </c>
      <c r="H72">
        <f t="shared" ca="1" si="7"/>
        <v>12</v>
      </c>
      <c r="I72">
        <f>IF(C72="WR",LeagueInfo!$D$5*LeagueInfo!$F$2,LeagueInfo!$D$6*LeagueInfo!$F$2)</f>
        <v>12</v>
      </c>
    </row>
    <row r="73" spans="1:9" x14ac:dyDescent="0.35">
      <c r="A73">
        <f t="shared" ca="1" si="8"/>
        <v>71</v>
      </c>
      <c r="B73" t="s">
        <v>936</v>
      </c>
      <c r="C73" t="s">
        <v>40</v>
      </c>
      <c r="D73">
        <f t="shared" ca="1" si="5"/>
        <v>126.36</v>
      </c>
      <c r="E73" s="5">
        <f t="shared" ca="1" si="9"/>
        <v>24.589999999999989</v>
      </c>
      <c r="F73" t="str">
        <f ca="1">IF(H73&lt;=I73,"Starter",IF(G73&gt;=LARGE(G:G,FlexOn*LeagueInfo!$F$2),"Starter","Bench"))</f>
        <v>Starter</v>
      </c>
      <c r="G73">
        <f t="shared" ca="1" si="6"/>
        <v>0</v>
      </c>
      <c r="H73">
        <f t="shared" ca="1" si="7"/>
        <v>11</v>
      </c>
      <c r="I73">
        <f>IF(C73="WR",LeagueInfo!$D$5*LeagueInfo!$F$2,LeagueInfo!$D$6*LeagueInfo!$F$2)</f>
        <v>12</v>
      </c>
    </row>
    <row r="74" spans="1:9" x14ac:dyDescent="0.35">
      <c r="A74">
        <f t="shared" ca="1" si="8"/>
        <v>70</v>
      </c>
      <c r="B74" t="s">
        <v>915</v>
      </c>
      <c r="C74" t="s">
        <v>32</v>
      </c>
      <c r="D74">
        <f t="shared" ca="1" si="5"/>
        <v>127.62000000000002</v>
      </c>
      <c r="E74" s="5">
        <f t="shared" ca="1" si="9"/>
        <v>25.850000000000009</v>
      </c>
      <c r="F74" t="str">
        <f ca="1">IF(H74&lt;=I74,"Starter",IF(G74&gt;=LARGE(G:G,FlexOn*LeagueInfo!$F$2),"Starter","Bench"))</f>
        <v>Bench</v>
      </c>
      <c r="G74">
        <f t="shared" ca="1" si="6"/>
        <v>127.62000000000002</v>
      </c>
      <c r="H74">
        <f t="shared" ca="1" si="7"/>
        <v>61</v>
      </c>
      <c r="I74">
        <f>IF(C74="WR",LeagueInfo!$D$5*LeagueInfo!$F$2,LeagueInfo!$D$6*LeagueInfo!$F$2)</f>
        <v>24</v>
      </c>
    </row>
    <row r="75" spans="1:9" x14ac:dyDescent="0.35">
      <c r="A75">
        <f t="shared" ca="1" si="8"/>
        <v>74</v>
      </c>
      <c r="B75" t="s">
        <v>502</v>
      </c>
      <c r="C75" t="s">
        <v>32</v>
      </c>
      <c r="D75">
        <f t="shared" ca="1" si="5"/>
        <v>122.07</v>
      </c>
      <c r="E75" s="5">
        <f t="shared" ca="1" si="9"/>
        <v>20.299999999999983</v>
      </c>
      <c r="F75" t="str">
        <f ca="1">IF(H75&lt;=I75,"Starter",IF(G75&gt;=LARGE(G:G,FlexOn*LeagueInfo!$F$2),"Starter","Bench"))</f>
        <v>Bench</v>
      </c>
      <c r="G75">
        <f t="shared" ca="1" si="6"/>
        <v>122.07</v>
      </c>
      <c r="H75">
        <f t="shared" ca="1" si="7"/>
        <v>63</v>
      </c>
      <c r="I75">
        <f>IF(C75="WR",LeagueInfo!$D$5*LeagueInfo!$F$2,LeagueInfo!$D$6*LeagueInfo!$F$2)</f>
        <v>24</v>
      </c>
    </row>
    <row r="76" spans="1:9" x14ac:dyDescent="0.35">
      <c r="A76">
        <f t="shared" ca="1" si="8"/>
        <v>76</v>
      </c>
      <c r="B76" t="s">
        <v>376</v>
      </c>
      <c r="C76" t="s">
        <v>40</v>
      </c>
      <c r="D76">
        <f t="shared" ca="1" si="5"/>
        <v>117.02000000000002</v>
      </c>
      <c r="E76" s="5">
        <f t="shared" ca="1" si="9"/>
        <v>15.250000000000014</v>
      </c>
      <c r="F76" t="str">
        <f ca="1">IF(H76&lt;=I76,"Starter",IF(G76&gt;=LARGE(G:G,FlexOn*LeagueInfo!$F$2),"Starter","Bench"))</f>
        <v>Bench</v>
      </c>
      <c r="G76">
        <f t="shared" ca="1" si="6"/>
        <v>117.02000000000002</v>
      </c>
      <c r="H76">
        <f t="shared" ca="1" si="7"/>
        <v>13</v>
      </c>
      <c r="I76">
        <f>IF(C76="WR",LeagueInfo!$D$5*LeagueInfo!$F$2,LeagueInfo!$D$6*LeagueInfo!$F$2)</f>
        <v>12</v>
      </c>
    </row>
    <row r="77" spans="1:9" x14ac:dyDescent="0.35">
      <c r="A77">
        <f t="shared" ca="1" si="8"/>
        <v>77</v>
      </c>
      <c r="B77" t="s">
        <v>728</v>
      </c>
      <c r="C77" t="s">
        <v>32</v>
      </c>
      <c r="D77">
        <f t="shared" ca="1" si="5"/>
        <v>112.76</v>
      </c>
      <c r="E77" s="5">
        <f t="shared" ca="1" si="9"/>
        <v>10.989999999999995</v>
      </c>
      <c r="F77" t="str">
        <f ca="1">IF(H77&lt;=I77,"Starter",IF(G77&gt;=LARGE(G:G,FlexOn*LeagueInfo!$F$2),"Starter","Bench"))</f>
        <v>Bench</v>
      </c>
      <c r="G77">
        <f t="shared" ca="1" si="6"/>
        <v>112.76</v>
      </c>
      <c r="H77">
        <f t="shared" ca="1" si="7"/>
        <v>66</v>
      </c>
      <c r="I77">
        <f>IF(C77="WR",LeagueInfo!$D$5*LeagueInfo!$F$2,LeagueInfo!$D$6*LeagueInfo!$F$2)</f>
        <v>24</v>
      </c>
    </row>
    <row r="78" spans="1:9" x14ac:dyDescent="0.35">
      <c r="A78">
        <f t="shared" ca="1" si="8"/>
        <v>82</v>
      </c>
      <c r="B78" t="s">
        <v>569</v>
      </c>
      <c r="C78" t="s">
        <v>40</v>
      </c>
      <c r="D78">
        <f t="shared" ca="1" si="5"/>
        <v>108.22999999999999</v>
      </c>
      <c r="E78" s="5">
        <f t="shared" ca="1" si="9"/>
        <v>6.4599999999999795</v>
      </c>
      <c r="F78" t="str">
        <f ca="1">IF(H78&lt;=I78,"Starter",IF(G78&gt;=LARGE(G:G,FlexOn*LeagueInfo!$F$2),"Starter","Bench"))</f>
        <v>Bench</v>
      </c>
      <c r="G78">
        <f t="shared" ca="1" si="6"/>
        <v>108.22999999999999</v>
      </c>
      <c r="H78">
        <f t="shared" ca="1" si="7"/>
        <v>14</v>
      </c>
      <c r="I78">
        <f>IF(C78="WR",LeagueInfo!$D$5*LeagueInfo!$F$2,LeagueInfo!$D$6*LeagueInfo!$F$2)</f>
        <v>12</v>
      </c>
    </row>
    <row r="79" spans="1:9" x14ac:dyDescent="0.35">
      <c r="A79">
        <f t="shared" ca="1" si="8"/>
        <v>80</v>
      </c>
      <c r="B79" t="s">
        <v>917</v>
      </c>
      <c r="C79" t="s">
        <v>32</v>
      </c>
      <c r="D79">
        <f t="shared" ca="1" si="5"/>
        <v>111.62</v>
      </c>
      <c r="E79" s="5">
        <f t="shared" ca="1" si="9"/>
        <v>9.8499999999999943</v>
      </c>
      <c r="F79" t="str">
        <f ca="1">IF(H79&lt;=I79,"Starter",IF(G79&gt;=LARGE(G:G,FlexOn*LeagueInfo!$F$2),"Starter","Bench"))</f>
        <v>Bench</v>
      </c>
      <c r="G79">
        <f t="shared" ca="1" si="6"/>
        <v>111.62</v>
      </c>
      <c r="H79">
        <f t="shared" ca="1" si="7"/>
        <v>69</v>
      </c>
      <c r="I79">
        <f>IF(C79="WR",LeagueInfo!$D$5*LeagueInfo!$F$2,LeagueInfo!$D$6*LeagueInfo!$F$2)</f>
        <v>24</v>
      </c>
    </row>
    <row r="80" spans="1:9" x14ac:dyDescent="0.35">
      <c r="A80">
        <f t="shared" ca="1" si="8"/>
        <v>85</v>
      </c>
      <c r="B80" t="s">
        <v>591</v>
      </c>
      <c r="C80" t="s">
        <v>32</v>
      </c>
      <c r="D80">
        <f t="shared" ca="1" si="5"/>
        <v>102.98</v>
      </c>
      <c r="E80" s="5">
        <f t="shared" ca="1" si="9"/>
        <v>1.2099999999999937</v>
      </c>
      <c r="F80" t="str">
        <f ca="1">IF(H80&lt;=I80,"Starter",IF(G80&gt;=LARGE(G:G,FlexOn*LeagueInfo!$F$2),"Starter","Bench"))</f>
        <v>Bench</v>
      </c>
      <c r="G80">
        <f t="shared" ca="1" si="6"/>
        <v>102.98</v>
      </c>
      <c r="H80">
        <f t="shared" ca="1" si="7"/>
        <v>73</v>
      </c>
      <c r="I80">
        <f>IF(C80="WR",LeagueInfo!$D$5*LeagueInfo!$F$2,LeagueInfo!$D$6*LeagueInfo!$F$2)</f>
        <v>24</v>
      </c>
    </row>
    <row r="81" spans="1:9" x14ac:dyDescent="0.35">
      <c r="A81">
        <f t="shared" ca="1" si="8"/>
        <v>83</v>
      </c>
      <c r="B81" t="s">
        <v>245</v>
      </c>
      <c r="C81" t="s">
        <v>32</v>
      </c>
      <c r="D81">
        <f t="shared" ca="1" si="5"/>
        <v>107.62</v>
      </c>
      <c r="E81" s="5">
        <f t="shared" ca="1" si="9"/>
        <v>5.8499999999999943</v>
      </c>
      <c r="F81" t="str">
        <f ca="1">IF(H81&lt;=I81,"Starter",IF(G81&gt;=LARGE(G:G,FlexOn*LeagueInfo!$F$2),"Starter","Bench"))</f>
        <v>Bench</v>
      </c>
      <c r="G81">
        <f t="shared" ca="1" si="6"/>
        <v>107.62</v>
      </c>
      <c r="H81">
        <f t="shared" ca="1" si="7"/>
        <v>71</v>
      </c>
      <c r="I81">
        <f>IF(C81="WR",LeagueInfo!$D$5*LeagueInfo!$F$2,LeagueInfo!$D$6*LeagueInfo!$F$2)</f>
        <v>24</v>
      </c>
    </row>
    <row r="82" spans="1:9" x14ac:dyDescent="0.35">
      <c r="A82">
        <f t="shared" ca="1" si="8"/>
        <v>81</v>
      </c>
      <c r="B82" t="s">
        <v>736</v>
      </c>
      <c r="C82" t="s">
        <v>32</v>
      </c>
      <c r="D82">
        <f t="shared" ca="1" si="5"/>
        <v>109.36</v>
      </c>
      <c r="E82" s="5">
        <f t="shared" ca="1" si="9"/>
        <v>7.5899999999999892</v>
      </c>
      <c r="F82" t="str">
        <f ca="1">IF(H82&lt;=I82,"Starter",IF(G82&gt;=LARGE(G:G,FlexOn*LeagueInfo!$F$2),"Starter","Bench"))</f>
        <v>Bench</v>
      </c>
      <c r="G82">
        <f t="shared" ca="1" si="6"/>
        <v>109.36</v>
      </c>
      <c r="H82">
        <f t="shared" ca="1" si="7"/>
        <v>70</v>
      </c>
      <c r="I82">
        <f>IF(C82="WR",LeagueInfo!$D$5*LeagueInfo!$F$2,LeagueInfo!$D$6*LeagueInfo!$F$2)</f>
        <v>24</v>
      </c>
    </row>
    <row r="83" spans="1:9" x14ac:dyDescent="0.35">
      <c r="A83">
        <f t="shared" ca="1" si="8"/>
        <v>86</v>
      </c>
      <c r="B83" t="s">
        <v>438</v>
      </c>
      <c r="C83" t="s">
        <v>32</v>
      </c>
      <c r="D83">
        <f t="shared" ca="1" si="5"/>
        <v>102.08</v>
      </c>
      <c r="E83" s="5">
        <f t="shared" ca="1" si="9"/>
        <v>0.30999999999998806</v>
      </c>
      <c r="F83" t="str">
        <f ca="1">IF(H83&lt;=I83,"Starter",IF(G83&gt;=LARGE(G:G,FlexOn*LeagueInfo!$F$2),"Starter","Bench"))</f>
        <v>Bench</v>
      </c>
      <c r="G83">
        <f t="shared" ca="1" si="6"/>
        <v>102.08</v>
      </c>
      <c r="H83">
        <f t="shared" ca="1" si="7"/>
        <v>74</v>
      </c>
      <c r="I83">
        <f>IF(C83="WR",LeagueInfo!$D$5*LeagueInfo!$F$2,LeagueInfo!$D$6*LeagueInfo!$F$2)</f>
        <v>24</v>
      </c>
    </row>
    <row r="84" spans="1:9" x14ac:dyDescent="0.35">
      <c r="A84">
        <f t="shared" ca="1" si="8"/>
        <v>84</v>
      </c>
      <c r="B84" t="s">
        <v>553</v>
      </c>
      <c r="C84" t="s">
        <v>32</v>
      </c>
      <c r="D84">
        <f t="shared" ca="1" si="5"/>
        <v>104.62</v>
      </c>
      <c r="E84" s="5">
        <f t="shared" ca="1" si="9"/>
        <v>2.8499999999999943</v>
      </c>
      <c r="F84" t="str">
        <f ca="1">IF(H84&lt;=I84,"Starter",IF(G84&gt;=LARGE(G:G,FlexOn*LeagueInfo!$F$2),"Starter","Bench"))</f>
        <v>Bench</v>
      </c>
      <c r="G84">
        <f t="shared" ca="1" si="6"/>
        <v>104.62</v>
      </c>
      <c r="H84">
        <f t="shared" ca="1" si="7"/>
        <v>72</v>
      </c>
      <c r="I84">
        <f>IF(C84="WR",LeagueInfo!$D$5*LeagueInfo!$F$2,LeagueInfo!$D$6*LeagueInfo!$F$2)</f>
        <v>24</v>
      </c>
    </row>
    <row r="85" spans="1:9" x14ac:dyDescent="0.35">
      <c r="A85">
        <f t="shared" ca="1" si="8"/>
        <v>129</v>
      </c>
      <c r="B85" t="s">
        <v>938</v>
      </c>
      <c r="C85" t="s">
        <v>40</v>
      </c>
      <c r="D85">
        <f t="shared" ca="1" si="5"/>
        <v>64.97</v>
      </c>
      <c r="E85" s="5">
        <f t="shared" ca="1" si="9"/>
        <v>-36.800000000000011</v>
      </c>
      <c r="F85" t="str">
        <f ca="1">IF(H85&lt;=I85,"Starter",IF(G85&gt;=LARGE(G:G,FlexOn*LeagueInfo!$F$2),"Starter","Bench"))</f>
        <v>Bench</v>
      </c>
      <c r="G85">
        <f t="shared" ca="1" si="6"/>
        <v>64.97</v>
      </c>
      <c r="H85">
        <f t="shared" ca="1" si="7"/>
        <v>32</v>
      </c>
      <c r="I85">
        <f>IF(C85="WR",LeagueInfo!$D$5*LeagueInfo!$F$2,LeagueInfo!$D$6*LeagueInfo!$F$2)</f>
        <v>12</v>
      </c>
    </row>
    <row r="86" spans="1:9" x14ac:dyDescent="0.35">
      <c r="A86">
        <f t="shared" ca="1" si="8"/>
        <v>75</v>
      </c>
      <c r="B86" t="s">
        <v>919</v>
      </c>
      <c r="C86" t="s">
        <v>32</v>
      </c>
      <c r="D86">
        <f t="shared" ca="1" si="5"/>
        <v>119.53000000000002</v>
      </c>
      <c r="E86" s="5">
        <f t="shared" ca="1" si="9"/>
        <v>17.760000000000005</v>
      </c>
      <c r="F86" t="str">
        <f ca="1">IF(H86&lt;=I86,"Starter",IF(G86&gt;=LARGE(G:G,FlexOn*LeagueInfo!$F$2),"Starter","Bench"))</f>
        <v>Bench</v>
      </c>
      <c r="G86">
        <f t="shared" ca="1" si="6"/>
        <v>119.53000000000002</v>
      </c>
      <c r="H86">
        <f t="shared" ca="1" si="7"/>
        <v>64</v>
      </c>
      <c r="I86">
        <f>IF(C86="WR",LeagueInfo!$D$5*LeagueInfo!$F$2,LeagueInfo!$D$6*LeagueInfo!$F$2)</f>
        <v>24</v>
      </c>
    </row>
    <row r="87" spans="1:9" x14ac:dyDescent="0.35">
      <c r="A87">
        <f t="shared" ca="1" si="8"/>
        <v>88</v>
      </c>
      <c r="B87" t="s">
        <v>916</v>
      </c>
      <c r="C87" t="s">
        <v>32</v>
      </c>
      <c r="D87">
        <f t="shared" ca="1" si="5"/>
        <v>101.67</v>
      </c>
      <c r="E87" s="5">
        <f t="shared" ca="1" si="9"/>
        <v>-0.10000000000000853</v>
      </c>
      <c r="F87" t="str">
        <f ca="1">IF(H87&lt;=I87,"Starter",IF(G87&gt;=LARGE(G:G,FlexOn*LeagueInfo!$F$2),"Starter","Bench"))</f>
        <v>Bench</v>
      </c>
      <c r="G87">
        <f t="shared" ca="1" si="6"/>
        <v>101.67</v>
      </c>
      <c r="H87">
        <f t="shared" ca="1" si="7"/>
        <v>75</v>
      </c>
      <c r="I87">
        <f>IF(C87="WR",LeagueInfo!$D$5*LeagueInfo!$F$2,LeagueInfo!$D$6*LeagueInfo!$F$2)</f>
        <v>24</v>
      </c>
    </row>
    <row r="88" spans="1:9" x14ac:dyDescent="0.35">
      <c r="A88">
        <f t="shared" ca="1" si="8"/>
        <v>78</v>
      </c>
      <c r="B88" t="s">
        <v>709</v>
      </c>
      <c r="C88" t="s">
        <v>32</v>
      </c>
      <c r="D88">
        <f t="shared" ca="1" si="5"/>
        <v>111.99000000000001</v>
      </c>
      <c r="E88" s="5">
        <f t="shared" ca="1" si="9"/>
        <v>10.219999999999999</v>
      </c>
      <c r="F88" t="str">
        <f ca="1">IF(H88&lt;=I88,"Starter",IF(G88&gt;=LARGE(G:G,FlexOn*LeagueInfo!$F$2),"Starter","Bench"))</f>
        <v>Bench</v>
      </c>
      <c r="G88">
        <f t="shared" ca="1" si="6"/>
        <v>111.99000000000001</v>
      </c>
      <c r="H88">
        <f t="shared" ca="1" si="7"/>
        <v>67</v>
      </c>
      <c r="I88">
        <f>IF(C88="WR",LeagueInfo!$D$5*LeagueInfo!$F$2,LeagueInfo!$D$6*LeagueInfo!$F$2)</f>
        <v>24</v>
      </c>
    </row>
    <row r="89" spans="1:9" x14ac:dyDescent="0.35">
      <c r="A89">
        <f t="shared" ca="1" si="8"/>
        <v>104</v>
      </c>
      <c r="B89" t="s">
        <v>364</v>
      </c>
      <c r="C89" t="s">
        <v>32</v>
      </c>
      <c r="D89">
        <f t="shared" ca="1" si="5"/>
        <v>85.990000000000009</v>
      </c>
      <c r="E89" s="5">
        <f t="shared" ca="1" si="9"/>
        <v>-15.780000000000001</v>
      </c>
      <c r="F89" t="str">
        <f ca="1">IF(H89&lt;=I89,"Starter",IF(G89&gt;=LARGE(G:G,FlexOn*LeagueInfo!$F$2),"Starter","Bench"))</f>
        <v>Bench</v>
      </c>
      <c r="G89">
        <f t="shared" ca="1" si="6"/>
        <v>85.990000000000009</v>
      </c>
      <c r="H89">
        <f t="shared" ca="1" si="7"/>
        <v>83</v>
      </c>
      <c r="I89">
        <f>IF(C89="WR",LeagueInfo!$D$5*LeagueInfo!$F$2,LeagueInfo!$D$6*LeagueInfo!$F$2)</f>
        <v>24</v>
      </c>
    </row>
    <row r="90" spans="1:9" x14ac:dyDescent="0.35">
      <c r="A90">
        <f t="shared" ca="1" si="8"/>
        <v>91</v>
      </c>
      <c r="B90" t="s">
        <v>377</v>
      </c>
      <c r="C90" t="s">
        <v>40</v>
      </c>
      <c r="D90">
        <f t="shared" ca="1" si="5"/>
        <v>99.49</v>
      </c>
      <c r="E90" s="5">
        <f t="shared" ca="1" si="9"/>
        <v>-2.2800000000000153</v>
      </c>
      <c r="F90" t="str">
        <f ca="1">IF(H90&lt;=I90,"Starter",IF(G90&gt;=LARGE(G:G,FlexOn*LeagueInfo!$F$2),"Starter","Bench"))</f>
        <v>Bench</v>
      </c>
      <c r="G90">
        <f t="shared" ca="1" si="6"/>
        <v>99.49</v>
      </c>
      <c r="H90">
        <f t="shared" ca="1" si="7"/>
        <v>18</v>
      </c>
      <c r="I90">
        <f>IF(C90="WR",LeagueInfo!$D$5*LeagueInfo!$F$2,LeagueInfo!$D$6*LeagueInfo!$F$2)</f>
        <v>12</v>
      </c>
    </row>
    <row r="91" spans="1:9" x14ac:dyDescent="0.35">
      <c r="A91">
        <f t="shared" ca="1" si="8"/>
        <v>90</v>
      </c>
      <c r="B91" t="s">
        <v>446</v>
      </c>
      <c r="C91" t="s">
        <v>40</v>
      </c>
      <c r="D91">
        <f t="shared" ca="1" si="5"/>
        <v>99.61999999999999</v>
      </c>
      <c r="E91" s="5">
        <f t="shared" ca="1" si="9"/>
        <v>-2.1500000000000199</v>
      </c>
      <c r="F91" t="str">
        <f ca="1">IF(H91&lt;=I91,"Starter",IF(G91&gt;=LARGE(G:G,FlexOn*LeagueInfo!$F$2),"Starter","Bench"))</f>
        <v>Bench</v>
      </c>
      <c r="G91">
        <f t="shared" ca="1" si="6"/>
        <v>99.61999999999999</v>
      </c>
      <c r="H91">
        <f t="shared" ca="1" si="7"/>
        <v>17</v>
      </c>
      <c r="I91">
        <f>IF(C91="WR",LeagueInfo!$D$5*LeagueInfo!$F$2,LeagueInfo!$D$6*LeagueInfo!$F$2)</f>
        <v>12</v>
      </c>
    </row>
    <row r="92" spans="1:9" x14ac:dyDescent="0.35">
      <c r="A92">
        <f t="shared" ca="1" si="8"/>
        <v>87</v>
      </c>
      <c r="B92" t="s">
        <v>448</v>
      </c>
      <c r="C92" t="s">
        <v>40</v>
      </c>
      <c r="D92">
        <f t="shared" ca="1" si="5"/>
        <v>101.77000000000001</v>
      </c>
      <c r="E92" s="5">
        <f t="shared" ca="1" si="9"/>
        <v>0</v>
      </c>
      <c r="F92" t="str">
        <f ca="1">IF(H92&lt;=I92,"Starter",IF(G92&gt;=LARGE(G:G,FlexOn*LeagueInfo!$F$2),"Starter","Bench"))</f>
        <v>Bench</v>
      </c>
      <c r="G92">
        <f t="shared" ca="1" si="6"/>
        <v>101.77000000000001</v>
      </c>
      <c r="H92">
        <f t="shared" ca="1" si="7"/>
        <v>15</v>
      </c>
      <c r="I92">
        <f>IF(C92="WR",LeagueInfo!$D$5*LeagueInfo!$F$2,LeagueInfo!$D$6*LeagueInfo!$F$2)</f>
        <v>12</v>
      </c>
    </row>
    <row r="93" spans="1:9" x14ac:dyDescent="0.35">
      <c r="A93">
        <f t="shared" ca="1" si="8"/>
        <v>79</v>
      </c>
      <c r="B93" t="s">
        <v>602</v>
      </c>
      <c r="C93" t="s">
        <v>32</v>
      </c>
      <c r="D93">
        <f t="shared" ca="1" si="5"/>
        <v>111.92</v>
      </c>
      <c r="E93" s="5">
        <f t="shared" ca="1" si="9"/>
        <v>10.149999999999991</v>
      </c>
      <c r="F93" t="str">
        <f ca="1">IF(H93&lt;=I93,"Starter",IF(G93&gt;=LARGE(G:G,FlexOn*LeagueInfo!$F$2),"Starter","Bench"))</f>
        <v>Bench</v>
      </c>
      <c r="G93">
        <f t="shared" ca="1" si="6"/>
        <v>111.92</v>
      </c>
      <c r="H93">
        <f t="shared" ca="1" si="7"/>
        <v>68</v>
      </c>
      <c r="I93">
        <f>IF(C93="WR",LeagueInfo!$D$5*LeagueInfo!$F$2,LeagueInfo!$D$6*LeagueInfo!$F$2)</f>
        <v>24</v>
      </c>
    </row>
    <row r="94" spans="1:9" x14ac:dyDescent="0.35">
      <c r="A94">
        <f t="shared" ca="1" si="8"/>
        <v>89</v>
      </c>
      <c r="B94" t="s">
        <v>480</v>
      </c>
      <c r="C94" t="s">
        <v>40</v>
      </c>
      <c r="D94">
        <f t="shared" ca="1" si="5"/>
        <v>99.990000000000009</v>
      </c>
      <c r="E94" s="5">
        <f t="shared" ca="1" si="9"/>
        <v>-1.7800000000000011</v>
      </c>
      <c r="F94" t="str">
        <f ca="1">IF(H94&lt;=I94,"Starter",IF(G94&gt;=LARGE(G:G,FlexOn*LeagueInfo!$F$2),"Starter","Bench"))</f>
        <v>Bench</v>
      </c>
      <c r="G94">
        <f t="shared" ca="1" si="6"/>
        <v>99.990000000000009</v>
      </c>
      <c r="H94">
        <f t="shared" ca="1" si="7"/>
        <v>16</v>
      </c>
      <c r="I94">
        <f>IF(C94="WR",LeagueInfo!$D$5*LeagueInfo!$F$2,LeagueInfo!$D$6*LeagueInfo!$F$2)</f>
        <v>12</v>
      </c>
    </row>
    <row r="95" spans="1:9" x14ac:dyDescent="0.35">
      <c r="A95">
        <f t="shared" ca="1" si="8"/>
        <v>105</v>
      </c>
      <c r="B95" t="s">
        <v>408</v>
      </c>
      <c r="C95" t="s">
        <v>32</v>
      </c>
      <c r="D95">
        <f t="shared" ca="1" si="5"/>
        <v>84.6</v>
      </c>
      <c r="E95" s="5">
        <f t="shared" ca="1" si="9"/>
        <v>-17.170000000000016</v>
      </c>
      <c r="F95" t="str">
        <f ca="1">IF(H95&lt;=I95,"Starter",IF(G95&gt;=LARGE(G:G,FlexOn*LeagueInfo!$F$2),"Starter","Bench"))</f>
        <v>Bench</v>
      </c>
      <c r="G95">
        <f t="shared" ca="1" si="6"/>
        <v>84.6</v>
      </c>
      <c r="H95">
        <f t="shared" ca="1" si="7"/>
        <v>84</v>
      </c>
      <c r="I95">
        <f>IF(C95="WR",LeagueInfo!$D$5*LeagueInfo!$F$2,LeagueInfo!$D$6*LeagueInfo!$F$2)</f>
        <v>24</v>
      </c>
    </row>
    <row r="96" spans="1:9" x14ac:dyDescent="0.35">
      <c r="A96">
        <f t="shared" ca="1" si="8"/>
        <v>119</v>
      </c>
      <c r="B96" t="s">
        <v>921</v>
      </c>
      <c r="C96" t="s">
        <v>32</v>
      </c>
      <c r="D96">
        <f t="shared" ca="1" si="5"/>
        <v>74.67</v>
      </c>
      <c r="E96" s="5">
        <f t="shared" ca="1" si="9"/>
        <v>-27.100000000000009</v>
      </c>
      <c r="F96" t="str">
        <f ca="1">IF(H96&lt;=I96,"Starter",IF(G96&gt;=LARGE(G:G,FlexOn*LeagueInfo!$F$2),"Starter","Bench"))</f>
        <v>Bench</v>
      </c>
      <c r="G96">
        <f t="shared" ca="1" si="6"/>
        <v>74.67</v>
      </c>
      <c r="H96">
        <f t="shared" ca="1" si="7"/>
        <v>96</v>
      </c>
      <c r="I96">
        <f>IF(C96="WR",LeagueInfo!$D$5*LeagueInfo!$F$2,LeagueInfo!$D$6*LeagueInfo!$F$2)</f>
        <v>24</v>
      </c>
    </row>
    <row r="97" spans="1:9" x14ac:dyDescent="0.35">
      <c r="A97">
        <f t="shared" ca="1" si="8"/>
        <v>96</v>
      </c>
      <c r="B97" t="s">
        <v>729</v>
      </c>
      <c r="C97" t="s">
        <v>40</v>
      </c>
      <c r="D97">
        <f t="shared" ca="1" si="5"/>
        <v>92.470000000000013</v>
      </c>
      <c r="E97" s="5">
        <f t="shared" ca="1" si="9"/>
        <v>-9.2999999999999972</v>
      </c>
      <c r="F97" t="str">
        <f ca="1">IF(H97&lt;=I97,"Starter",IF(G97&gt;=LARGE(G:G,FlexOn*LeagueInfo!$F$2),"Starter","Bench"))</f>
        <v>Bench</v>
      </c>
      <c r="G97">
        <f t="shared" ca="1" si="6"/>
        <v>92.470000000000013</v>
      </c>
      <c r="H97">
        <f t="shared" ca="1" si="7"/>
        <v>20</v>
      </c>
      <c r="I97">
        <f>IF(C97="WR",LeagueInfo!$D$5*LeagueInfo!$F$2,LeagueInfo!$D$6*LeagueInfo!$F$2)</f>
        <v>12</v>
      </c>
    </row>
    <row r="98" spans="1:9" x14ac:dyDescent="0.35">
      <c r="A98">
        <f t="shared" ca="1" si="8"/>
        <v>92</v>
      </c>
      <c r="B98" t="s">
        <v>633</v>
      </c>
      <c r="C98" t="s">
        <v>40</v>
      </c>
      <c r="D98">
        <f t="shared" ca="1" si="5"/>
        <v>94.97</v>
      </c>
      <c r="E98" s="5">
        <f t="shared" ca="1" si="9"/>
        <v>-6.8000000000000114</v>
      </c>
      <c r="F98" t="str">
        <f ca="1">IF(H98&lt;=I98,"Starter",IF(G98&gt;=LARGE(G:G,FlexOn*LeagueInfo!$F$2),"Starter","Bench"))</f>
        <v>Bench</v>
      </c>
      <c r="G98">
        <f t="shared" ca="1" si="6"/>
        <v>94.97</v>
      </c>
      <c r="H98">
        <f t="shared" ca="1" si="7"/>
        <v>19</v>
      </c>
      <c r="I98">
        <f>IF(C98="WR",LeagueInfo!$D$5*LeagueInfo!$F$2,LeagueInfo!$D$6*LeagueInfo!$F$2)</f>
        <v>12</v>
      </c>
    </row>
    <row r="99" spans="1:9" x14ac:dyDescent="0.35">
      <c r="A99">
        <f t="shared" ca="1" si="8"/>
        <v>126</v>
      </c>
      <c r="B99" t="s">
        <v>89</v>
      </c>
      <c r="C99" t="s">
        <v>32</v>
      </c>
      <c r="D99">
        <f t="shared" ca="1" si="5"/>
        <v>66.900000000000006</v>
      </c>
      <c r="E99" s="5">
        <f t="shared" ca="1" si="9"/>
        <v>-34.870000000000005</v>
      </c>
      <c r="F99" t="str">
        <f ca="1">IF(H99&lt;=I99,"Starter",IF(G99&gt;=LARGE(G:G,FlexOn*LeagueInfo!$F$2),"Starter","Bench"))</f>
        <v>Bench</v>
      </c>
      <c r="G99">
        <f t="shared" ca="1" si="6"/>
        <v>66.900000000000006</v>
      </c>
      <c r="H99">
        <f t="shared" ca="1" si="7"/>
        <v>100</v>
      </c>
      <c r="I99">
        <f>IF(C99="WR",LeagueInfo!$D$5*LeagueInfo!$F$2,LeagueInfo!$D$6*LeagueInfo!$F$2)</f>
        <v>24</v>
      </c>
    </row>
    <row r="100" spans="1:9" x14ac:dyDescent="0.35">
      <c r="A100">
        <f t="shared" ca="1" si="8"/>
        <v>121</v>
      </c>
      <c r="B100" t="s">
        <v>924</v>
      </c>
      <c r="C100" t="s">
        <v>32</v>
      </c>
      <c r="D100">
        <f t="shared" ca="1" si="5"/>
        <v>72.530000000000015</v>
      </c>
      <c r="E100" s="5">
        <f t="shared" ca="1" si="9"/>
        <v>-29.239999999999995</v>
      </c>
      <c r="F100" t="str">
        <f ca="1">IF(H100&lt;=I100,"Starter",IF(G100&gt;=LARGE(G:G,FlexOn*LeagueInfo!$F$2),"Starter","Bench"))</f>
        <v>Bench</v>
      </c>
      <c r="G100">
        <f t="shared" ca="1" si="6"/>
        <v>72.530000000000015</v>
      </c>
      <c r="H100">
        <f t="shared" ca="1" si="7"/>
        <v>98</v>
      </c>
      <c r="I100">
        <f>IF(C100="WR",LeagueInfo!$D$5*LeagueInfo!$F$2,LeagueInfo!$D$6*LeagueInfo!$F$2)</f>
        <v>24</v>
      </c>
    </row>
    <row r="101" spans="1:9" x14ac:dyDescent="0.35">
      <c r="A101">
        <f t="shared" ca="1" si="8"/>
        <v>95</v>
      </c>
      <c r="B101" t="s">
        <v>722</v>
      </c>
      <c r="C101" t="s">
        <v>32</v>
      </c>
      <c r="D101">
        <f t="shared" ca="1" si="5"/>
        <v>92.670000000000016</v>
      </c>
      <c r="E101" s="5">
        <f t="shared" ca="1" si="9"/>
        <v>-9.0999999999999943</v>
      </c>
      <c r="F101" t="str">
        <f ca="1">IF(H101&lt;=I101,"Starter",IF(G101&gt;=LARGE(G:G,FlexOn*LeagueInfo!$F$2),"Starter","Bench"))</f>
        <v>Bench</v>
      </c>
      <c r="G101">
        <f t="shared" ca="1" si="6"/>
        <v>92.670000000000016</v>
      </c>
      <c r="H101">
        <f t="shared" ca="1" si="7"/>
        <v>78</v>
      </c>
      <c r="I101">
        <f>IF(C101="WR",LeagueInfo!$D$5*LeagueInfo!$F$2,LeagueInfo!$D$6*LeagueInfo!$F$2)</f>
        <v>24</v>
      </c>
    </row>
    <row r="102" spans="1:9" x14ac:dyDescent="0.35">
      <c r="A102">
        <f t="shared" ca="1" si="8"/>
        <v>98</v>
      </c>
      <c r="B102" t="s">
        <v>562</v>
      </c>
      <c r="C102" t="s">
        <v>40</v>
      </c>
      <c r="D102">
        <f t="shared" ca="1" si="5"/>
        <v>90.77</v>
      </c>
      <c r="E102" s="5">
        <f t="shared" ca="1" si="9"/>
        <v>-11.000000000000014</v>
      </c>
      <c r="F102" t="str">
        <f ca="1">IF(H102&lt;=I102,"Starter",IF(G102&gt;=LARGE(G:G,FlexOn*LeagueInfo!$F$2),"Starter","Bench"))</f>
        <v>Bench</v>
      </c>
      <c r="G102">
        <f t="shared" ca="1" si="6"/>
        <v>90.77</v>
      </c>
      <c r="H102">
        <f t="shared" ca="1" si="7"/>
        <v>22</v>
      </c>
      <c r="I102">
        <f>IF(C102="WR",LeagueInfo!$D$5*LeagueInfo!$F$2,LeagueInfo!$D$6*LeagueInfo!$F$2)</f>
        <v>12</v>
      </c>
    </row>
    <row r="103" spans="1:9" x14ac:dyDescent="0.35">
      <c r="A103">
        <f t="shared" ca="1" si="8"/>
        <v>97</v>
      </c>
      <c r="B103" t="s">
        <v>647</v>
      </c>
      <c r="C103" t="s">
        <v>40</v>
      </c>
      <c r="D103">
        <f t="shared" ca="1" si="5"/>
        <v>90.830000000000013</v>
      </c>
      <c r="E103" s="5">
        <f t="shared" ca="1" si="9"/>
        <v>-10.939999999999998</v>
      </c>
      <c r="F103" t="str">
        <f ca="1">IF(H103&lt;=I103,"Starter",IF(G103&gt;=LARGE(G:G,FlexOn*LeagueInfo!$F$2),"Starter","Bench"))</f>
        <v>Bench</v>
      </c>
      <c r="G103">
        <f t="shared" ca="1" si="6"/>
        <v>90.830000000000013</v>
      </c>
      <c r="H103">
        <f t="shared" ca="1" si="7"/>
        <v>21</v>
      </c>
      <c r="I103">
        <f>IF(C103="WR",LeagueInfo!$D$5*LeagueInfo!$F$2,LeagueInfo!$D$6*LeagueInfo!$F$2)</f>
        <v>12</v>
      </c>
    </row>
    <row r="104" spans="1:9" x14ac:dyDescent="0.35">
      <c r="A104">
        <f t="shared" ca="1" si="8"/>
        <v>103</v>
      </c>
      <c r="B104" t="s">
        <v>923</v>
      </c>
      <c r="C104" t="s">
        <v>32</v>
      </c>
      <c r="D104">
        <f t="shared" ca="1" si="5"/>
        <v>87.929999999999993</v>
      </c>
      <c r="E104" s="5">
        <f t="shared" ca="1" si="9"/>
        <v>-13.840000000000018</v>
      </c>
      <c r="F104" t="str">
        <f ca="1">IF(H104&lt;=I104,"Starter",IF(G104&gt;=LARGE(G:G,FlexOn*LeagueInfo!$F$2),"Starter","Bench"))</f>
        <v>Bench</v>
      </c>
      <c r="G104">
        <f t="shared" ca="1" si="6"/>
        <v>87.929999999999993</v>
      </c>
      <c r="H104">
        <f t="shared" ca="1" si="7"/>
        <v>82</v>
      </c>
      <c r="I104">
        <f>IF(C104="WR",LeagueInfo!$D$5*LeagueInfo!$F$2,LeagueInfo!$D$6*LeagueInfo!$F$2)</f>
        <v>24</v>
      </c>
    </row>
    <row r="105" spans="1:9" x14ac:dyDescent="0.35">
      <c r="A105">
        <f t="shared" ca="1" si="8"/>
        <v>99</v>
      </c>
      <c r="B105" t="s">
        <v>746</v>
      </c>
      <c r="C105" t="s">
        <v>32</v>
      </c>
      <c r="D105">
        <f t="shared" ca="1" si="5"/>
        <v>90.43</v>
      </c>
      <c r="E105" s="5">
        <f t="shared" ca="1" si="9"/>
        <v>-11.340000000000003</v>
      </c>
      <c r="F105" t="str">
        <f ca="1">IF(H105&lt;=I105,"Starter",IF(G105&gt;=LARGE(G:G,FlexOn*LeagueInfo!$F$2),"Starter","Bench"))</f>
        <v>Bench</v>
      </c>
      <c r="G105">
        <f t="shared" ca="1" si="6"/>
        <v>90.43</v>
      </c>
      <c r="H105">
        <f t="shared" ca="1" si="7"/>
        <v>79</v>
      </c>
      <c r="I105">
        <f>IF(C105="WR",LeagueInfo!$D$5*LeagueInfo!$F$2,LeagueInfo!$D$6*LeagueInfo!$F$2)</f>
        <v>24</v>
      </c>
    </row>
    <row r="106" spans="1:9" x14ac:dyDescent="0.35">
      <c r="A106">
        <f t="shared" ca="1" si="8"/>
        <v>113</v>
      </c>
      <c r="B106" t="s">
        <v>918</v>
      </c>
      <c r="C106" t="s">
        <v>32</v>
      </c>
      <c r="D106">
        <f t="shared" ca="1" si="5"/>
        <v>78.199999999999989</v>
      </c>
      <c r="E106" s="5">
        <f t="shared" ca="1" si="9"/>
        <v>-23.570000000000022</v>
      </c>
      <c r="F106" t="str">
        <f ca="1">IF(H106&lt;=I106,"Starter",IF(G106&gt;=LARGE(G:G,FlexOn*LeagueInfo!$F$2),"Starter","Bench"))</f>
        <v>Bench</v>
      </c>
      <c r="G106">
        <f t="shared" ca="1" si="6"/>
        <v>78.199999999999989</v>
      </c>
      <c r="H106">
        <f t="shared" ca="1" si="7"/>
        <v>91</v>
      </c>
      <c r="I106">
        <f>IF(C106="WR",LeagueInfo!$D$5*LeagueInfo!$F$2,LeagueInfo!$D$6*LeagueInfo!$F$2)</f>
        <v>24</v>
      </c>
    </row>
    <row r="107" spans="1:9" x14ac:dyDescent="0.35">
      <c r="A107">
        <f t="shared" ca="1" si="8"/>
        <v>100</v>
      </c>
      <c r="B107" t="s">
        <v>787</v>
      </c>
      <c r="C107" t="s">
        <v>32</v>
      </c>
      <c r="D107">
        <f t="shared" ca="1" si="5"/>
        <v>90.070000000000022</v>
      </c>
      <c r="E107" s="5">
        <f t="shared" ca="1" si="9"/>
        <v>-11.699999999999989</v>
      </c>
      <c r="F107" t="str">
        <f ca="1">IF(H107&lt;=I107,"Starter",IF(G107&gt;=LARGE(G:G,FlexOn*LeagueInfo!$F$2),"Starter","Bench"))</f>
        <v>Bench</v>
      </c>
      <c r="G107">
        <f t="shared" ca="1" si="6"/>
        <v>90.070000000000022</v>
      </c>
      <c r="H107">
        <f t="shared" ca="1" si="7"/>
        <v>80</v>
      </c>
      <c r="I107">
        <f>IF(C107="WR",LeagueInfo!$D$5*LeagueInfo!$F$2,LeagueInfo!$D$6*LeagueInfo!$F$2)</f>
        <v>24</v>
      </c>
    </row>
    <row r="108" spans="1:9" x14ac:dyDescent="0.35">
      <c r="A108">
        <f t="shared" ca="1" si="8"/>
        <v>94</v>
      </c>
      <c r="B108" t="s">
        <v>925</v>
      </c>
      <c r="C108" t="s">
        <v>32</v>
      </c>
      <c r="D108">
        <f t="shared" ca="1" si="5"/>
        <v>93.220000000000013</v>
      </c>
      <c r="E108" s="5">
        <f t="shared" ca="1" si="9"/>
        <v>-8.5499999999999972</v>
      </c>
      <c r="F108" t="str">
        <f ca="1">IF(H108&lt;=I108,"Starter",IF(G108&gt;=LARGE(G:G,FlexOn*LeagueInfo!$F$2),"Starter","Bench"))</f>
        <v>Bench</v>
      </c>
      <c r="G108">
        <f t="shared" ca="1" si="6"/>
        <v>93.220000000000013</v>
      </c>
      <c r="H108">
        <f t="shared" ca="1" si="7"/>
        <v>77</v>
      </c>
      <c r="I108">
        <f>IF(C108="WR",LeagueInfo!$D$5*LeagueInfo!$F$2,LeagueInfo!$D$6*LeagueInfo!$F$2)</f>
        <v>24</v>
      </c>
    </row>
    <row r="109" spans="1:9" x14ac:dyDescent="0.35">
      <c r="A109">
        <f t="shared" ca="1" si="8"/>
        <v>107</v>
      </c>
      <c r="B109" t="s">
        <v>920</v>
      </c>
      <c r="C109" t="s">
        <v>32</v>
      </c>
      <c r="D109">
        <f t="shared" ca="1" si="5"/>
        <v>83.490000000000009</v>
      </c>
      <c r="E109" s="5">
        <f t="shared" ca="1" si="9"/>
        <v>-18.28</v>
      </c>
      <c r="F109" t="str">
        <f ca="1">IF(H109&lt;=I109,"Starter",IF(G109&gt;=LARGE(G:G,FlexOn*LeagueInfo!$F$2),"Starter","Bench"))</f>
        <v>Bench</v>
      </c>
      <c r="G109">
        <f t="shared" ca="1" si="6"/>
        <v>83.490000000000009</v>
      </c>
      <c r="H109">
        <f t="shared" ca="1" si="7"/>
        <v>85</v>
      </c>
      <c r="I109">
        <f>IF(C109="WR",LeagueInfo!$D$5*LeagueInfo!$F$2,LeagueInfo!$D$6*LeagueInfo!$F$2)</f>
        <v>24</v>
      </c>
    </row>
    <row r="110" spans="1:9" x14ac:dyDescent="0.35">
      <c r="A110">
        <f t="shared" ca="1" si="8"/>
        <v>101</v>
      </c>
      <c r="B110" t="s">
        <v>238</v>
      </c>
      <c r="C110" t="s">
        <v>32</v>
      </c>
      <c r="D110">
        <f t="shared" ca="1" si="5"/>
        <v>89.68</v>
      </c>
      <c r="E110" s="5">
        <f t="shared" ca="1" si="9"/>
        <v>-12.090000000000003</v>
      </c>
      <c r="F110" t="str">
        <f ca="1">IF(H110&lt;=I110,"Starter",IF(G110&gt;=LARGE(G:G,FlexOn*LeagueInfo!$F$2),"Starter","Bench"))</f>
        <v>Bench</v>
      </c>
      <c r="G110">
        <f t="shared" ca="1" si="6"/>
        <v>89.68</v>
      </c>
      <c r="H110">
        <f t="shared" ca="1" si="7"/>
        <v>81</v>
      </c>
      <c r="I110">
        <f>IF(C110="WR",LeagueInfo!$D$5*LeagueInfo!$F$2,LeagueInfo!$D$6*LeagueInfo!$F$2)</f>
        <v>24</v>
      </c>
    </row>
    <row r="111" spans="1:9" x14ac:dyDescent="0.35">
      <c r="A111">
        <f t="shared" ca="1" si="8"/>
        <v>108</v>
      </c>
      <c r="B111" t="s">
        <v>592</v>
      </c>
      <c r="C111" t="s">
        <v>32</v>
      </c>
      <c r="D111">
        <f t="shared" ca="1" si="5"/>
        <v>83.02</v>
      </c>
      <c r="E111" s="5">
        <f t="shared" ca="1" si="9"/>
        <v>-18.750000000000014</v>
      </c>
      <c r="F111" t="str">
        <f ca="1">IF(H111&lt;=I111,"Starter",IF(G111&gt;=LARGE(G:G,FlexOn*LeagueInfo!$F$2),"Starter","Bench"))</f>
        <v>Bench</v>
      </c>
      <c r="G111">
        <f t="shared" ca="1" si="6"/>
        <v>83.02</v>
      </c>
      <c r="H111">
        <f t="shared" ca="1" si="7"/>
        <v>86</v>
      </c>
      <c r="I111">
        <f>IF(C111="WR",LeagueInfo!$D$5*LeagueInfo!$F$2,LeagueInfo!$D$6*LeagueInfo!$F$2)</f>
        <v>24</v>
      </c>
    </row>
    <row r="112" spans="1:9" x14ac:dyDescent="0.35">
      <c r="A112">
        <f t="shared" ca="1" si="8"/>
        <v>102</v>
      </c>
      <c r="B112" t="s">
        <v>447</v>
      </c>
      <c r="C112" t="s">
        <v>40</v>
      </c>
      <c r="D112">
        <f t="shared" ca="1" si="5"/>
        <v>88.53</v>
      </c>
      <c r="E112" s="5">
        <f t="shared" ca="1" si="9"/>
        <v>-13.240000000000009</v>
      </c>
      <c r="F112" t="str">
        <f ca="1">IF(H112&lt;=I112,"Starter",IF(G112&gt;=LARGE(G:G,FlexOn*LeagueInfo!$F$2),"Starter","Bench"))</f>
        <v>Bench</v>
      </c>
      <c r="G112">
        <f t="shared" ca="1" si="6"/>
        <v>88.53</v>
      </c>
      <c r="H112">
        <f t="shared" ca="1" si="7"/>
        <v>23</v>
      </c>
      <c r="I112">
        <f>IF(C112="WR",LeagueInfo!$D$5*LeagueInfo!$F$2,LeagueInfo!$D$6*LeagueInfo!$F$2)</f>
        <v>12</v>
      </c>
    </row>
    <row r="113" spans="1:9" x14ac:dyDescent="0.35">
      <c r="A113">
        <f t="shared" ca="1" si="8"/>
        <v>112</v>
      </c>
      <c r="B113" t="s">
        <v>744</v>
      </c>
      <c r="C113" t="s">
        <v>32</v>
      </c>
      <c r="D113">
        <f t="shared" ca="1" si="5"/>
        <v>78.980000000000018</v>
      </c>
      <c r="E113" s="5">
        <f t="shared" ca="1" si="9"/>
        <v>-22.789999999999992</v>
      </c>
      <c r="F113" t="str">
        <f ca="1">IF(H113&lt;=I113,"Starter",IF(G113&gt;=LARGE(G:G,FlexOn*LeagueInfo!$F$2),"Starter","Bench"))</f>
        <v>Bench</v>
      </c>
      <c r="G113">
        <f t="shared" ca="1" si="6"/>
        <v>78.980000000000018</v>
      </c>
      <c r="H113">
        <f t="shared" ca="1" si="7"/>
        <v>90</v>
      </c>
      <c r="I113">
        <f>IF(C113="WR",LeagueInfo!$D$5*LeagueInfo!$F$2,LeagueInfo!$D$6*LeagueInfo!$F$2)</f>
        <v>24</v>
      </c>
    </row>
    <row r="114" spans="1:9" x14ac:dyDescent="0.35">
      <c r="A114">
        <f t="shared" ca="1" si="8"/>
        <v>116</v>
      </c>
      <c r="B114" t="s">
        <v>922</v>
      </c>
      <c r="C114" t="s">
        <v>32</v>
      </c>
      <c r="D114">
        <f t="shared" ca="1" si="5"/>
        <v>77.180000000000007</v>
      </c>
      <c r="E114" s="5">
        <f t="shared" ca="1" si="9"/>
        <v>-24.590000000000003</v>
      </c>
      <c r="F114" t="str">
        <f ca="1">IF(H114&lt;=I114,"Starter",IF(G114&gt;=LARGE(G:G,FlexOn*LeagueInfo!$F$2),"Starter","Bench"))</f>
        <v>Bench</v>
      </c>
      <c r="G114">
        <f t="shared" ca="1" si="6"/>
        <v>77.180000000000007</v>
      </c>
      <c r="H114">
        <f t="shared" ca="1" si="7"/>
        <v>93</v>
      </c>
      <c r="I114">
        <f>IF(C114="WR",LeagueInfo!$D$5*LeagueInfo!$F$2,LeagueInfo!$D$6*LeagueInfo!$F$2)</f>
        <v>24</v>
      </c>
    </row>
    <row r="115" spans="1:9" x14ac:dyDescent="0.35">
      <c r="A115">
        <f t="shared" ca="1" si="8"/>
        <v>115</v>
      </c>
      <c r="B115" t="s">
        <v>258</v>
      </c>
      <c r="C115" t="s">
        <v>40</v>
      </c>
      <c r="D115">
        <f t="shared" ca="1" si="5"/>
        <v>77.210000000000008</v>
      </c>
      <c r="E115" s="5">
        <f t="shared" ca="1" si="9"/>
        <v>-24.560000000000002</v>
      </c>
      <c r="F115" t="str">
        <f ca="1">IF(H115&lt;=I115,"Starter",IF(G115&gt;=LARGE(G:G,FlexOn*LeagueInfo!$F$2),"Starter","Bench"))</f>
        <v>Bench</v>
      </c>
      <c r="G115">
        <f t="shared" ca="1" si="6"/>
        <v>77.210000000000008</v>
      </c>
      <c r="H115">
        <f t="shared" ca="1" si="7"/>
        <v>25</v>
      </c>
      <c r="I115">
        <f>IF(C115="WR",LeagueInfo!$D$5*LeagueInfo!$F$2,LeagueInfo!$D$6*LeagueInfo!$F$2)</f>
        <v>12</v>
      </c>
    </row>
    <row r="116" spans="1:9" x14ac:dyDescent="0.35">
      <c r="A116">
        <f t="shared" ca="1" si="8"/>
        <v>109</v>
      </c>
      <c r="B116" t="s">
        <v>594</v>
      </c>
      <c r="C116" t="s">
        <v>32</v>
      </c>
      <c r="D116">
        <f t="shared" ca="1" si="5"/>
        <v>81.78</v>
      </c>
      <c r="E116" s="5">
        <f t="shared" ca="1" si="9"/>
        <v>-19.990000000000009</v>
      </c>
      <c r="F116" t="str">
        <f ca="1">IF(H116&lt;=I116,"Starter",IF(G116&gt;=LARGE(G:G,FlexOn*LeagueInfo!$F$2),"Starter","Bench"))</f>
        <v>Bench</v>
      </c>
      <c r="G116">
        <f t="shared" ca="1" si="6"/>
        <v>81.78</v>
      </c>
      <c r="H116">
        <f t="shared" ca="1" si="7"/>
        <v>87</v>
      </c>
      <c r="I116">
        <f>IF(C116="WR",LeagueInfo!$D$5*LeagueInfo!$F$2,LeagueInfo!$D$6*LeagueInfo!$F$2)</f>
        <v>24</v>
      </c>
    </row>
    <row r="117" spans="1:9" x14ac:dyDescent="0.35">
      <c r="A117">
        <f t="shared" ca="1" si="8"/>
        <v>106</v>
      </c>
      <c r="B117" t="s">
        <v>643</v>
      </c>
      <c r="C117" t="s">
        <v>40</v>
      </c>
      <c r="D117">
        <f t="shared" ca="1" si="5"/>
        <v>84.33</v>
      </c>
      <c r="E117" s="5">
        <f t="shared" ca="1" si="9"/>
        <v>-17.440000000000012</v>
      </c>
      <c r="F117" t="str">
        <f ca="1">IF(H117&lt;=I117,"Starter",IF(G117&gt;=LARGE(G:G,FlexOn*LeagueInfo!$F$2),"Starter","Bench"))</f>
        <v>Bench</v>
      </c>
      <c r="G117">
        <f t="shared" ca="1" si="6"/>
        <v>84.33</v>
      </c>
      <c r="H117">
        <f t="shared" ca="1" si="7"/>
        <v>24</v>
      </c>
      <c r="I117">
        <f>IF(C117="WR",LeagueInfo!$D$5*LeagueInfo!$F$2,LeagueInfo!$D$6*LeagueInfo!$F$2)</f>
        <v>12</v>
      </c>
    </row>
    <row r="118" spans="1:9" x14ac:dyDescent="0.35">
      <c r="A118">
        <f t="shared" ca="1" si="8"/>
        <v>93</v>
      </c>
      <c r="B118" t="s">
        <v>243</v>
      </c>
      <c r="C118" t="s">
        <v>32</v>
      </c>
      <c r="D118">
        <f t="shared" ca="1" si="5"/>
        <v>94.5</v>
      </c>
      <c r="E118" s="5">
        <f t="shared" ca="1" si="9"/>
        <v>-7.2700000000000102</v>
      </c>
      <c r="F118" t="str">
        <f ca="1">IF(H118&lt;=I118,"Starter",IF(G118&gt;=LARGE(G:G,FlexOn*LeagueInfo!$F$2),"Starter","Bench"))</f>
        <v>Bench</v>
      </c>
      <c r="G118">
        <f t="shared" ca="1" si="6"/>
        <v>94.5</v>
      </c>
      <c r="H118">
        <f t="shared" ca="1" si="7"/>
        <v>76</v>
      </c>
      <c r="I118">
        <f>IF(C118="WR",LeagueInfo!$D$5*LeagueInfo!$F$2,LeagueInfo!$D$6*LeagueInfo!$F$2)</f>
        <v>24</v>
      </c>
    </row>
    <row r="119" spans="1:9" x14ac:dyDescent="0.35">
      <c r="A119">
        <f t="shared" ca="1" si="8"/>
        <v>111</v>
      </c>
      <c r="B119" t="s">
        <v>796</v>
      </c>
      <c r="C119" t="s">
        <v>32</v>
      </c>
      <c r="D119">
        <f t="shared" ca="1" si="5"/>
        <v>79.8</v>
      </c>
      <c r="E119" s="5">
        <f t="shared" ca="1" si="9"/>
        <v>-21.970000000000013</v>
      </c>
      <c r="F119" t="str">
        <f ca="1">IF(H119&lt;=I119,"Starter",IF(G119&gt;=LARGE(G:G,FlexOn*LeagueInfo!$F$2),"Starter","Bench"))</f>
        <v>Bench</v>
      </c>
      <c r="G119">
        <f t="shared" ca="1" si="6"/>
        <v>79.8</v>
      </c>
      <c r="H119">
        <f t="shared" ca="1" si="7"/>
        <v>89</v>
      </c>
      <c r="I119">
        <f>IF(C119="WR",LeagueInfo!$D$5*LeagueInfo!$F$2,LeagueInfo!$D$6*LeagueInfo!$F$2)</f>
        <v>24</v>
      </c>
    </row>
    <row r="120" spans="1:9" x14ac:dyDescent="0.35">
      <c r="A120">
        <f t="shared" ca="1" si="8"/>
        <v>153</v>
      </c>
      <c r="B120" t="s">
        <v>143</v>
      </c>
      <c r="C120" t="s">
        <v>32</v>
      </c>
      <c r="D120">
        <f t="shared" ca="1" si="5"/>
        <v>52.37</v>
      </c>
      <c r="E120" s="5">
        <f t="shared" ca="1" si="9"/>
        <v>-49.400000000000013</v>
      </c>
      <c r="F120" t="str">
        <f ca="1">IF(H120&lt;=I120,"Starter",IF(G120&gt;=LARGE(G:G,FlexOn*LeagueInfo!$F$2),"Starter","Bench"))</f>
        <v>Bench</v>
      </c>
      <c r="G120">
        <f t="shared" ca="1" si="6"/>
        <v>52.37</v>
      </c>
      <c r="H120">
        <f t="shared" ca="1" si="7"/>
        <v>114</v>
      </c>
      <c r="I120">
        <f>IF(C120="WR",LeagueInfo!$D$5*LeagueInfo!$F$2,LeagueInfo!$D$6*LeagueInfo!$F$2)</f>
        <v>24</v>
      </c>
    </row>
    <row r="121" spans="1:9" x14ac:dyDescent="0.35">
      <c r="A121">
        <f t="shared" ca="1" si="8"/>
        <v>110</v>
      </c>
      <c r="B121" t="s">
        <v>445</v>
      </c>
      <c r="C121" t="s">
        <v>32</v>
      </c>
      <c r="D121">
        <f t="shared" ca="1" si="5"/>
        <v>80.06</v>
      </c>
      <c r="E121" s="5">
        <f t="shared" ca="1" si="9"/>
        <v>-21.710000000000008</v>
      </c>
      <c r="F121" t="str">
        <f ca="1">IF(H121&lt;=I121,"Starter",IF(G121&gt;=LARGE(G:G,FlexOn*LeagueInfo!$F$2),"Starter","Bench"))</f>
        <v>Bench</v>
      </c>
      <c r="G121">
        <f t="shared" ca="1" si="6"/>
        <v>80.06</v>
      </c>
      <c r="H121">
        <f t="shared" ca="1" si="7"/>
        <v>88</v>
      </c>
      <c r="I121">
        <f>IF(C121="WR",LeagueInfo!$D$5*LeagueInfo!$F$2,LeagueInfo!$D$6*LeagueInfo!$F$2)</f>
        <v>24</v>
      </c>
    </row>
    <row r="122" spans="1:9" x14ac:dyDescent="0.35">
      <c r="A122">
        <f t="shared" ca="1" si="8"/>
        <v>114</v>
      </c>
      <c r="B122" t="s">
        <v>674</v>
      </c>
      <c r="C122" t="s">
        <v>32</v>
      </c>
      <c r="D122">
        <f t="shared" ca="1" si="5"/>
        <v>78.14</v>
      </c>
      <c r="E122" s="5">
        <f t="shared" ca="1" si="9"/>
        <v>-23.63000000000001</v>
      </c>
      <c r="F122" t="str">
        <f ca="1">IF(H122&lt;=I122,"Starter",IF(G122&gt;=LARGE(G:G,FlexOn*LeagueInfo!$F$2),"Starter","Bench"))</f>
        <v>Bench</v>
      </c>
      <c r="G122">
        <f t="shared" ca="1" si="6"/>
        <v>78.14</v>
      </c>
      <c r="H122">
        <f t="shared" ca="1" si="7"/>
        <v>92</v>
      </c>
      <c r="I122">
        <f>IF(C122="WR",LeagueInfo!$D$5*LeagueInfo!$F$2,LeagueInfo!$D$6*LeagueInfo!$F$2)</f>
        <v>24</v>
      </c>
    </row>
    <row r="123" spans="1:9" x14ac:dyDescent="0.35">
      <c r="A123">
        <f t="shared" ca="1" si="8"/>
        <v>117</v>
      </c>
      <c r="B123" t="s">
        <v>554</v>
      </c>
      <c r="C123" t="s">
        <v>32</v>
      </c>
      <c r="D123">
        <f t="shared" ca="1" si="5"/>
        <v>77.14</v>
      </c>
      <c r="E123" s="5">
        <f t="shared" ca="1" si="9"/>
        <v>-24.63000000000001</v>
      </c>
      <c r="F123" t="str">
        <f ca="1">IF(H123&lt;=I123,"Starter",IF(G123&gt;=LARGE(G:G,FlexOn*LeagueInfo!$F$2),"Starter","Bench"))</f>
        <v>Bench</v>
      </c>
      <c r="G123">
        <f t="shared" ca="1" si="6"/>
        <v>77.14</v>
      </c>
      <c r="H123">
        <f t="shared" ca="1" si="7"/>
        <v>94</v>
      </c>
      <c r="I123">
        <f>IF(C123="WR",LeagueInfo!$D$5*LeagueInfo!$F$2,LeagueInfo!$D$6*LeagueInfo!$F$2)</f>
        <v>24</v>
      </c>
    </row>
    <row r="124" spans="1:9" x14ac:dyDescent="0.35">
      <c r="A124">
        <f t="shared" ca="1" si="8"/>
        <v>118</v>
      </c>
      <c r="B124" t="s">
        <v>369</v>
      </c>
      <c r="C124" t="s">
        <v>40</v>
      </c>
      <c r="D124">
        <f t="shared" ca="1" si="5"/>
        <v>76.58</v>
      </c>
      <c r="E124" s="5">
        <f t="shared" ca="1" si="9"/>
        <v>-25.190000000000012</v>
      </c>
      <c r="F124" t="str">
        <f ca="1">IF(H124&lt;=I124,"Starter",IF(G124&gt;=LARGE(G:G,FlexOn*LeagueInfo!$F$2),"Starter","Bench"))</f>
        <v>Bench</v>
      </c>
      <c r="G124">
        <f t="shared" ca="1" si="6"/>
        <v>76.58</v>
      </c>
      <c r="H124">
        <f t="shared" ca="1" si="7"/>
        <v>26</v>
      </c>
      <c r="I124">
        <f>IF(C124="WR",LeagueInfo!$D$5*LeagueInfo!$F$2,LeagueInfo!$D$6*LeagueInfo!$F$2)</f>
        <v>12</v>
      </c>
    </row>
    <row r="125" spans="1:9" x14ac:dyDescent="0.35">
      <c r="A125">
        <f t="shared" ca="1" si="8"/>
        <v>122</v>
      </c>
      <c r="B125" t="s">
        <v>368</v>
      </c>
      <c r="C125" t="s">
        <v>40</v>
      </c>
      <c r="D125">
        <f t="shared" ca="1" si="5"/>
        <v>71.61999999999999</v>
      </c>
      <c r="E125" s="5">
        <f t="shared" ca="1" si="9"/>
        <v>-30.15000000000002</v>
      </c>
      <c r="F125" t="str">
        <f ca="1">IF(H125&lt;=I125,"Starter",IF(G125&gt;=LARGE(G:G,FlexOn*LeagueInfo!$F$2),"Starter","Bench"))</f>
        <v>Bench</v>
      </c>
      <c r="G125">
        <f t="shared" ca="1" si="6"/>
        <v>71.61999999999999</v>
      </c>
      <c r="H125">
        <f t="shared" ca="1" si="7"/>
        <v>27</v>
      </c>
      <c r="I125">
        <f>IF(C125="WR",LeagueInfo!$D$5*LeagueInfo!$F$2,LeagueInfo!$D$6*LeagueInfo!$F$2)</f>
        <v>12</v>
      </c>
    </row>
    <row r="126" spans="1:9" x14ac:dyDescent="0.35">
      <c r="A126">
        <f t="shared" ca="1" si="8"/>
        <v>123</v>
      </c>
      <c r="B126" t="s">
        <v>128</v>
      </c>
      <c r="C126" t="s">
        <v>40</v>
      </c>
      <c r="D126">
        <f t="shared" ca="1" si="5"/>
        <v>69.87</v>
      </c>
      <c r="E126" s="5">
        <f t="shared" ca="1" si="9"/>
        <v>-31.900000000000006</v>
      </c>
      <c r="F126" t="str">
        <f ca="1">IF(H126&lt;=I126,"Starter",IF(G126&gt;=LARGE(G:G,FlexOn*LeagueInfo!$F$2),"Starter","Bench"))</f>
        <v>Bench</v>
      </c>
      <c r="G126">
        <f t="shared" ca="1" si="6"/>
        <v>69.87</v>
      </c>
      <c r="H126">
        <f t="shared" ca="1" si="7"/>
        <v>28</v>
      </c>
      <c r="I126">
        <f>IF(C126="WR",LeagueInfo!$D$5*LeagueInfo!$F$2,LeagueInfo!$D$6*LeagueInfo!$F$2)</f>
        <v>12</v>
      </c>
    </row>
    <row r="127" spans="1:9" x14ac:dyDescent="0.35">
      <c r="A127">
        <f t="shared" ca="1" si="8"/>
        <v>120</v>
      </c>
      <c r="B127" t="s">
        <v>715</v>
      </c>
      <c r="C127" t="s">
        <v>32</v>
      </c>
      <c r="D127">
        <f t="shared" ca="1" si="5"/>
        <v>72.98</v>
      </c>
      <c r="E127" s="5">
        <f t="shared" ca="1" si="9"/>
        <v>-28.790000000000006</v>
      </c>
      <c r="F127" t="str">
        <f ca="1">IF(H127&lt;=I127,"Starter",IF(G127&gt;=LARGE(G:G,FlexOn*LeagueInfo!$F$2),"Starter","Bench"))</f>
        <v>Bench</v>
      </c>
      <c r="G127">
        <f t="shared" ca="1" si="6"/>
        <v>72.98</v>
      </c>
      <c r="H127">
        <f t="shared" ca="1" si="7"/>
        <v>97</v>
      </c>
      <c r="I127">
        <f>IF(C127="WR",LeagueInfo!$D$5*LeagueInfo!$F$2,LeagueInfo!$D$6*LeagueInfo!$F$2)</f>
        <v>24</v>
      </c>
    </row>
    <row r="128" spans="1:9" x14ac:dyDescent="0.35">
      <c r="A128">
        <f t="shared" ca="1" si="8"/>
        <v>128</v>
      </c>
      <c r="B128" t="s">
        <v>635</v>
      </c>
      <c r="C128" t="s">
        <v>40</v>
      </c>
      <c r="D128">
        <f t="shared" ca="1" si="5"/>
        <v>65.649999999999991</v>
      </c>
      <c r="E128" s="5">
        <f t="shared" ca="1" si="9"/>
        <v>-36.120000000000019</v>
      </c>
      <c r="F128" t="str">
        <f ca="1">IF(H128&lt;=I128,"Starter",IF(G128&gt;=LARGE(G:G,FlexOn*LeagueInfo!$F$2),"Starter","Bench"))</f>
        <v>Bench</v>
      </c>
      <c r="G128">
        <f t="shared" ca="1" si="6"/>
        <v>65.649999999999991</v>
      </c>
      <c r="H128">
        <f t="shared" ca="1" si="7"/>
        <v>31</v>
      </c>
      <c r="I128">
        <f>IF(C128="WR",LeagueInfo!$D$5*LeagueInfo!$F$2,LeagueInfo!$D$6*LeagueInfo!$F$2)</f>
        <v>12</v>
      </c>
    </row>
    <row r="129" spans="1:9" x14ac:dyDescent="0.35">
      <c r="A129">
        <f t="shared" ca="1" si="8"/>
        <v>125</v>
      </c>
      <c r="B129" t="s">
        <v>937</v>
      </c>
      <c r="C129" t="s">
        <v>40</v>
      </c>
      <c r="D129">
        <f t="shared" ref="D129:D185" ca="1" si="10">INDEX(INDIRECT($C129&amp;"!P:P"),MATCH($B129,INDIRECT($C129&amp;"!B:B"),0))</f>
        <v>69.36</v>
      </c>
      <c r="E129" s="5">
        <f t="shared" ca="1" si="9"/>
        <v>-32.410000000000011</v>
      </c>
      <c r="F129" t="str">
        <f ca="1">IF(H129&lt;=I129,"Starter",IF(G129&gt;=LARGE(G:G,FlexOn*LeagueInfo!$F$2),"Starter","Bench"))</f>
        <v>Bench</v>
      </c>
      <c r="G129">
        <f t="shared" ref="G129:G185" ca="1" si="11">IF(H129&gt;I129,D129,0)</f>
        <v>69.36</v>
      </c>
      <c r="H129">
        <f t="shared" ref="H129:H185" ca="1" si="12">INDEX(INDIRECT(""&amp;C129&amp;"!A2:A489"),MATCH(B129,INDIRECT(""&amp;C129&amp;"!B2:B489"),0))</f>
        <v>29</v>
      </c>
      <c r="I129">
        <f>IF(C129="WR",LeagueInfo!$D$5*LeagueInfo!$F$2,LeagueInfo!$D$6*LeagueInfo!$F$2)</f>
        <v>12</v>
      </c>
    </row>
    <row r="130" spans="1:9" x14ac:dyDescent="0.35">
      <c r="A130">
        <f t="shared" ref="A130:A193" ca="1" si="13">RANK(E130,E:E)</f>
        <v>131</v>
      </c>
      <c r="B130" t="s">
        <v>452</v>
      </c>
      <c r="C130" t="s">
        <v>40</v>
      </c>
      <c r="D130">
        <f t="shared" ca="1" si="10"/>
        <v>63.489999999999995</v>
      </c>
      <c r="E130" s="5">
        <f t="shared" ref="E130:E193" ca="1" si="14">D130-LARGE(D:D,TECount+WRCount)</f>
        <v>-38.280000000000015</v>
      </c>
      <c r="F130" t="str">
        <f ca="1">IF(H130&lt;=I130,"Starter",IF(G130&gt;=LARGE(G:G,FlexOn*LeagueInfo!$F$2),"Starter","Bench"))</f>
        <v>Bench</v>
      </c>
      <c r="G130">
        <f t="shared" ca="1" si="11"/>
        <v>63.489999999999995</v>
      </c>
      <c r="H130">
        <f t="shared" ca="1" si="12"/>
        <v>33</v>
      </c>
      <c r="I130">
        <f>IF(C130="WR",LeagueInfo!$D$5*LeagueInfo!$F$2,LeagueInfo!$D$6*LeagueInfo!$F$2)</f>
        <v>12</v>
      </c>
    </row>
    <row r="131" spans="1:9" x14ac:dyDescent="0.35">
      <c r="A131">
        <f t="shared" ca="1" si="13"/>
        <v>124</v>
      </c>
      <c r="B131" t="s">
        <v>560</v>
      </c>
      <c r="C131" t="s">
        <v>32</v>
      </c>
      <c r="D131">
        <f t="shared" ca="1" si="10"/>
        <v>69.44</v>
      </c>
      <c r="E131" s="5">
        <f t="shared" ca="1" si="14"/>
        <v>-32.330000000000013</v>
      </c>
      <c r="F131" t="str">
        <f ca="1">IF(H131&lt;=I131,"Starter",IF(G131&gt;=LARGE(G:G,FlexOn*LeagueInfo!$F$2),"Starter","Bench"))</f>
        <v>Bench</v>
      </c>
      <c r="G131">
        <f t="shared" ca="1" si="11"/>
        <v>69.44</v>
      </c>
      <c r="H131">
        <f t="shared" ca="1" si="12"/>
        <v>99</v>
      </c>
      <c r="I131">
        <f>IF(C131="WR",LeagueInfo!$D$5*LeagueInfo!$F$2,LeagueInfo!$D$6*LeagueInfo!$F$2)</f>
        <v>24</v>
      </c>
    </row>
    <row r="132" spans="1:9" x14ac:dyDescent="0.35">
      <c r="A132">
        <f t="shared" ca="1" si="13"/>
        <v>127</v>
      </c>
      <c r="B132" t="s">
        <v>730</v>
      </c>
      <c r="C132" t="s">
        <v>40</v>
      </c>
      <c r="D132">
        <f t="shared" ca="1" si="10"/>
        <v>66.52</v>
      </c>
      <c r="E132" s="5">
        <f t="shared" ca="1" si="14"/>
        <v>-35.250000000000014</v>
      </c>
      <c r="F132" t="str">
        <f ca="1">IF(H132&lt;=I132,"Starter",IF(G132&gt;=LARGE(G:G,FlexOn*LeagueInfo!$F$2),"Starter","Bench"))</f>
        <v>Bench</v>
      </c>
      <c r="G132">
        <f t="shared" ca="1" si="11"/>
        <v>66.52</v>
      </c>
      <c r="H132">
        <f t="shared" ca="1" si="12"/>
        <v>30</v>
      </c>
      <c r="I132">
        <f>IF(C132="WR",LeagueInfo!$D$5*LeagueInfo!$F$2,LeagueInfo!$D$6*LeagueInfo!$F$2)</f>
        <v>12</v>
      </c>
    </row>
    <row r="133" spans="1:9" x14ac:dyDescent="0.35">
      <c r="A133">
        <f t="shared" ca="1" si="13"/>
        <v>146</v>
      </c>
      <c r="B133" t="s">
        <v>487</v>
      </c>
      <c r="C133" t="s">
        <v>40</v>
      </c>
      <c r="D133">
        <f t="shared" ca="1" si="10"/>
        <v>55.330000000000005</v>
      </c>
      <c r="E133" s="5">
        <f t="shared" ca="1" si="14"/>
        <v>-46.440000000000005</v>
      </c>
      <c r="F133" t="str">
        <f ca="1">IF(H133&lt;=I133,"Starter",IF(G133&gt;=LARGE(G:G,FlexOn*LeagueInfo!$F$2),"Starter","Bench"))</f>
        <v>Bench</v>
      </c>
      <c r="G133">
        <f t="shared" ca="1" si="11"/>
        <v>55.330000000000005</v>
      </c>
      <c r="H133">
        <f t="shared" ca="1" si="12"/>
        <v>40</v>
      </c>
      <c r="I133">
        <f>IF(C133="WR",LeagueInfo!$D$5*LeagueInfo!$F$2,LeagueInfo!$D$6*LeagueInfo!$F$2)</f>
        <v>12</v>
      </c>
    </row>
    <row r="134" spans="1:9" x14ac:dyDescent="0.35">
      <c r="A134">
        <f t="shared" ca="1" si="13"/>
        <v>133</v>
      </c>
      <c r="B134" t="s">
        <v>599</v>
      </c>
      <c r="C134" t="s">
        <v>32</v>
      </c>
      <c r="D134">
        <f t="shared" ca="1" si="10"/>
        <v>61.78</v>
      </c>
      <c r="E134" s="5">
        <f t="shared" ca="1" si="14"/>
        <v>-39.990000000000009</v>
      </c>
      <c r="F134" t="str">
        <f ca="1">IF(H134&lt;=I134,"Starter",IF(G134&gt;=LARGE(G:G,FlexOn*LeagueInfo!$F$2),"Starter","Bench"))</f>
        <v>Bench</v>
      </c>
      <c r="G134">
        <f t="shared" ca="1" si="11"/>
        <v>61.78</v>
      </c>
      <c r="H134">
        <f t="shared" ca="1" si="12"/>
        <v>102</v>
      </c>
      <c r="I134">
        <f>IF(C134="WR",LeagueInfo!$D$5*LeagueInfo!$F$2,LeagueInfo!$D$6*LeagueInfo!$F$2)</f>
        <v>24</v>
      </c>
    </row>
    <row r="135" spans="1:9" x14ac:dyDescent="0.35">
      <c r="A135">
        <f t="shared" ca="1" si="13"/>
        <v>139</v>
      </c>
      <c r="B135" t="s">
        <v>255</v>
      </c>
      <c r="C135" t="s">
        <v>40</v>
      </c>
      <c r="D135">
        <f t="shared" ca="1" si="10"/>
        <v>59.25</v>
      </c>
      <c r="E135" s="5">
        <f t="shared" ca="1" si="14"/>
        <v>-42.52000000000001</v>
      </c>
      <c r="F135" t="str">
        <f ca="1">IF(H135&lt;=I135,"Starter",IF(G135&gt;=LARGE(G:G,FlexOn*LeagueInfo!$F$2),"Starter","Bench"))</f>
        <v>Bench</v>
      </c>
      <c r="G135">
        <f t="shared" ca="1" si="11"/>
        <v>59.25</v>
      </c>
      <c r="H135">
        <f t="shared" ca="1" si="12"/>
        <v>37</v>
      </c>
      <c r="I135">
        <f>IF(C135="WR",LeagueInfo!$D$5*LeagueInfo!$F$2,LeagueInfo!$D$6*LeagueInfo!$F$2)</f>
        <v>12</v>
      </c>
    </row>
    <row r="136" spans="1:9" x14ac:dyDescent="0.35">
      <c r="A136">
        <f t="shared" ca="1" si="13"/>
        <v>134</v>
      </c>
      <c r="B136" t="s">
        <v>587</v>
      </c>
      <c r="C136" t="s">
        <v>32</v>
      </c>
      <c r="D136">
        <f t="shared" ca="1" si="10"/>
        <v>61.34</v>
      </c>
      <c r="E136" s="5">
        <f t="shared" ca="1" si="14"/>
        <v>-40.430000000000007</v>
      </c>
      <c r="F136" t="str">
        <f ca="1">IF(H136&lt;=I136,"Starter",IF(G136&gt;=LARGE(G:G,FlexOn*LeagueInfo!$F$2),"Starter","Bench"))</f>
        <v>Bench</v>
      </c>
      <c r="G136">
        <f t="shared" ca="1" si="11"/>
        <v>61.34</v>
      </c>
      <c r="H136">
        <f t="shared" ca="1" si="12"/>
        <v>103</v>
      </c>
      <c r="I136">
        <f>IF(C136="WR",LeagueInfo!$D$5*LeagueInfo!$F$2,LeagueInfo!$D$6*LeagueInfo!$F$2)</f>
        <v>24</v>
      </c>
    </row>
    <row r="137" spans="1:9" x14ac:dyDescent="0.35">
      <c r="A137">
        <f t="shared" ca="1" si="13"/>
        <v>142</v>
      </c>
      <c r="B137" t="s">
        <v>498</v>
      </c>
      <c r="C137" t="s">
        <v>32</v>
      </c>
      <c r="D137">
        <f t="shared" ca="1" si="10"/>
        <v>56.36</v>
      </c>
      <c r="E137" s="5">
        <f t="shared" ca="1" si="14"/>
        <v>-45.410000000000011</v>
      </c>
      <c r="F137" t="str">
        <f ca="1">IF(H137&lt;=I137,"Starter",IF(G137&gt;=LARGE(G:G,FlexOn*LeagueInfo!$F$2),"Starter","Bench"))</f>
        <v>Bench</v>
      </c>
      <c r="G137">
        <f t="shared" ca="1" si="11"/>
        <v>56.36</v>
      </c>
      <c r="H137">
        <f t="shared" ca="1" si="12"/>
        <v>107</v>
      </c>
      <c r="I137">
        <f>IF(C137="WR",LeagueInfo!$D$5*LeagueInfo!$F$2,LeagueInfo!$D$6*LeagueInfo!$F$2)</f>
        <v>24</v>
      </c>
    </row>
    <row r="138" spans="1:9" x14ac:dyDescent="0.35">
      <c r="A138">
        <f t="shared" ca="1" si="13"/>
        <v>132</v>
      </c>
      <c r="B138" t="s">
        <v>256</v>
      </c>
      <c r="C138" t="s">
        <v>40</v>
      </c>
      <c r="D138">
        <f t="shared" ca="1" si="10"/>
        <v>61.85</v>
      </c>
      <c r="E138" s="5">
        <f t="shared" ca="1" si="14"/>
        <v>-39.920000000000009</v>
      </c>
      <c r="F138" t="str">
        <f ca="1">IF(H138&lt;=I138,"Starter",IF(G138&gt;=LARGE(G:G,FlexOn*LeagueInfo!$F$2),"Starter","Bench"))</f>
        <v>Bench</v>
      </c>
      <c r="G138">
        <f t="shared" ca="1" si="11"/>
        <v>61.85</v>
      </c>
      <c r="H138">
        <f t="shared" ca="1" si="12"/>
        <v>34</v>
      </c>
      <c r="I138">
        <f>IF(C138="WR",LeagueInfo!$D$5*LeagueInfo!$F$2,LeagueInfo!$D$6*LeagueInfo!$F$2)</f>
        <v>12</v>
      </c>
    </row>
    <row r="139" spans="1:9" x14ac:dyDescent="0.35">
      <c r="A139">
        <f t="shared" ca="1" si="13"/>
        <v>143</v>
      </c>
      <c r="B139" t="s">
        <v>637</v>
      </c>
      <c r="C139" t="s">
        <v>40</v>
      </c>
      <c r="D139">
        <f t="shared" ca="1" si="10"/>
        <v>56.05</v>
      </c>
      <c r="E139" s="5">
        <f t="shared" ca="1" si="14"/>
        <v>-45.720000000000013</v>
      </c>
      <c r="F139" t="str">
        <f ca="1">IF(H139&lt;=I139,"Starter",IF(G139&gt;=LARGE(G:G,FlexOn*LeagueInfo!$F$2),"Starter","Bench"))</f>
        <v>Bench</v>
      </c>
      <c r="G139">
        <f t="shared" ca="1" si="11"/>
        <v>56.05</v>
      </c>
      <c r="H139">
        <f t="shared" ca="1" si="12"/>
        <v>39</v>
      </c>
      <c r="I139">
        <f>IF(C139="WR",LeagueInfo!$D$5*LeagueInfo!$F$2,LeagueInfo!$D$6*LeagueInfo!$F$2)</f>
        <v>12</v>
      </c>
    </row>
    <row r="140" spans="1:9" x14ac:dyDescent="0.35">
      <c r="A140">
        <f t="shared" ca="1" si="13"/>
        <v>136</v>
      </c>
      <c r="B140" t="s">
        <v>939</v>
      </c>
      <c r="C140" t="s">
        <v>40</v>
      </c>
      <c r="D140">
        <f t="shared" ca="1" si="10"/>
        <v>61.07</v>
      </c>
      <c r="E140" s="5">
        <f t="shared" ca="1" si="14"/>
        <v>-40.70000000000001</v>
      </c>
      <c r="F140" t="str">
        <f ca="1">IF(H140&lt;=I140,"Starter",IF(G140&gt;=LARGE(G:G,FlexOn*LeagueInfo!$F$2),"Starter","Bench"))</f>
        <v>Bench</v>
      </c>
      <c r="G140">
        <f t="shared" ca="1" si="11"/>
        <v>61.07</v>
      </c>
      <c r="H140">
        <f t="shared" ca="1" si="12"/>
        <v>36</v>
      </c>
      <c r="I140">
        <f>IF(C140="WR",LeagueInfo!$D$5*LeagueInfo!$F$2,LeagueInfo!$D$6*LeagueInfo!$F$2)</f>
        <v>12</v>
      </c>
    </row>
    <row r="141" spans="1:9" x14ac:dyDescent="0.35">
      <c r="A141">
        <f t="shared" ca="1" si="13"/>
        <v>141</v>
      </c>
      <c r="B141" t="s">
        <v>745</v>
      </c>
      <c r="C141" t="s">
        <v>40</v>
      </c>
      <c r="D141">
        <f t="shared" ca="1" si="10"/>
        <v>57.67</v>
      </c>
      <c r="E141" s="5">
        <f t="shared" ca="1" si="14"/>
        <v>-44.100000000000009</v>
      </c>
      <c r="F141" t="str">
        <f ca="1">IF(H141&lt;=I141,"Starter",IF(G141&gt;=LARGE(G:G,FlexOn*LeagueInfo!$F$2),"Starter","Bench"))</f>
        <v>Bench</v>
      </c>
      <c r="G141">
        <f t="shared" ca="1" si="11"/>
        <v>57.67</v>
      </c>
      <c r="H141">
        <f t="shared" ca="1" si="12"/>
        <v>38</v>
      </c>
      <c r="I141">
        <f>IF(C141="WR",LeagueInfo!$D$5*LeagueInfo!$F$2,LeagueInfo!$D$6*LeagueInfo!$F$2)</f>
        <v>12</v>
      </c>
    </row>
    <row r="142" spans="1:9" x14ac:dyDescent="0.35">
      <c r="A142">
        <f t="shared" ca="1" si="13"/>
        <v>137</v>
      </c>
      <c r="B142" t="s">
        <v>794</v>
      </c>
      <c r="C142" t="s">
        <v>32</v>
      </c>
      <c r="D142">
        <f t="shared" ca="1" si="10"/>
        <v>60.809999999999995</v>
      </c>
      <c r="E142" s="5">
        <f t="shared" ca="1" si="14"/>
        <v>-40.960000000000015</v>
      </c>
      <c r="F142" t="str">
        <f ca="1">IF(H142&lt;=I142,"Starter",IF(G142&gt;=LARGE(G:G,FlexOn*LeagueInfo!$F$2),"Starter","Bench"))</f>
        <v>Bench</v>
      </c>
      <c r="G142">
        <f t="shared" ca="1" si="11"/>
        <v>60.809999999999995</v>
      </c>
      <c r="H142">
        <f t="shared" ca="1" si="12"/>
        <v>104</v>
      </c>
      <c r="I142">
        <f>IF(C142="WR",LeagueInfo!$D$5*LeagueInfo!$F$2,LeagueInfo!$D$6*LeagueInfo!$F$2)</f>
        <v>24</v>
      </c>
    </row>
    <row r="143" spans="1:9" x14ac:dyDescent="0.35">
      <c r="A143">
        <f t="shared" ca="1" si="13"/>
        <v>154</v>
      </c>
      <c r="B143" t="s">
        <v>926</v>
      </c>
      <c r="C143" t="s">
        <v>32</v>
      </c>
      <c r="D143">
        <f t="shared" ca="1" si="10"/>
        <v>50.81</v>
      </c>
      <c r="E143" s="5">
        <f t="shared" ca="1" si="14"/>
        <v>-50.960000000000008</v>
      </c>
      <c r="F143" t="str">
        <f ca="1">IF(H143&lt;=I143,"Starter",IF(G143&gt;=LARGE(G:G,FlexOn*LeagueInfo!$F$2),"Starter","Bench"))</f>
        <v>Bench</v>
      </c>
      <c r="G143">
        <f t="shared" ca="1" si="11"/>
        <v>50.81</v>
      </c>
      <c r="H143">
        <f t="shared" ca="1" si="12"/>
        <v>115</v>
      </c>
      <c r="I143">
        <f>IF(C143="WR",LeagueInfo!$D$5*LeagueInfo!$F$2,LeagueInfo!$D$6*LeagueInfo!$F$2)</f>
        <v>24</v>
      </c>
    </row>
    <row r="144" spans="1:9" x14ac:dyDescent="0.35">
      <c r="A144">
        <f t="shared" ca="1" si="13"/>
        <v>144</v>
      </c>
      <c r="B144" t="s">
        <v>703</v>
      </c>
      <c r="C144" t="s">
        <v>32</v>
      </c>
      <c r="D144">
        <f t="shared" ca="1" si="10"/>
        <v>55.870000000000005</v>
      </c>
      <c r="E144" s="5">
        <f t="shared" ca="1" si="14"/>
        <v>-45.900000000000006</v>
      </c>
      <c r="F144" t="str">
        <f ca="1">IF(H144&lt;=I144,"Starter",IF(G144&gt;=LARGE(G:G,FlexOn*LeagueInfo!$F$2),"Starter","Bench"))</f>
        <v>Bench</v>
      </c>
      <c r="G144">
        <f t="shared" ca="1" si="11"/>
        <v>55.870000000000005</v>
      </c>
      <c r="H144">
        <f t="shared" ca="1" si="12"/>
        <v>108</v>
      </c>
      <c r="I144">
        <f>IF(C144="WR",LeagueInfo!$D$5*LeagueInfo!$F$2,LeagueInfo!$D$6*LeagueInfo!$F$2)</f>
        <v>24</v>
      </c>
    </row>
    <row r="145" spans="1:9" x14ac:dyDescent="0.35">
      <c r="A145">
        <f t="shared" ca="1" si="13"/>
        <v>151</v>
      </c>
      <c r="B145" t="s">
        <v>242</v>
      </c>
      <c r="C145" t="s">
        <v>32</v>
      </c>
      <c r="D145">
        <f t="shared" ca="1" si="10"/>
        <v>53.42</v>
      </c>
      <c r="E145" s="5">
        <f t="shared" ca="1" si="14"/>
        <v>-48.350000000000009</v>
      </c>
      <c r="F145" t="str">
        <f ca="1">IF(H145&lt;=I145,"Starter",IF(G145&gt;=LARGE(G:G,FlexOn*LeagueInfo!$F$2),"Starter","Bench"))</f>
        <v>Bench</v>
      </c>
      <c r="G145">
        <f t="shared" ca="1" si="11"/>
        <v>53.42</v>
      </c>
      <c r="H145">
        <f t="shared" ca="1" si="12"/>
        <v>112</v>
      </c>
      <c r="I145">
        <f>IF(C145="WR",LeagueInfo!$D$5*LeagueInfo!$F$2,LeagueInfo!$D$6*LeagueInfo!$F$2)</f>
        <v>24</v>
      </c>
    </row>
    <row r="146" spans="1:9" x14ac:dyDescent="0.35">
      <c r="A146">
        <f t="shared" ca="1" si="13"/>
        <v>149</v>
      </c>
      <c r="B146" t="s">
        <v>792</v>
      </c>
      <c r="C146" t="s">
        <v>32</v>
      </c>
      <c r="D146">
        <f t="shared" ca="1" si="10"/>
        <v>54.019999999999996</v>
      </c>
      <c r="E146" s="5">
        <f t="shared" ca="1" si="14"/>
        <v>-47.750000000000014</v>
      </c>
      <c r="F146" t="str">
        <f ca="1">IF(H146&lt;=I146,"Starter",IF(G146&gt;=LARGE(G:G,FlexOn*LeagueInfo!$F$2),"Starter","Bench"))</f>
        <v>Bench</v>
      </c>
      <c r="G146">
        <f t="shared" ca="1" si="11"/>
        <v>54.019999999999996</v>
      </c>
      <c r="H146">
        <f t="shared" ca="1" si="12"/>
        <v>111</v>
      </c>
      <c r="I146">
        <f>IF(C146="WR",LeagueInfo!$D$5*LeagueInfo!$F$2,LeagueInfo!$D$6*LeagueInfo!$F$2)</f>
        <v>24</v>
      </c>
    </row>
    <row r="147" spans="1:9" x14ac:dyDescent="0.35">
      <c r="A147">
        <f t="shared" ca="1" si="13"/>
        <v>145</v>
      </c>
      <c r="B147" t="s">
        <v>605</v>
      </c>
      <c r="C147" t="s">
        <v>32</v>
      </c>
      <c r="D147">
        <f t="shared" ca="1" si="10"/>
        <v>55.6</v>
      </c>
      <c r="E147" s="5">
        <f t="shared" ca="1" si="14"/>
        <v>-46.170000000000009</v>
      </c>
      <c r="F147" t="str">
        <f ca="1">IF(H147&lt;=I147,"Starter",IF(G147&gt;=LARGE(G:G,FlexOn*LeagueInfo!$F$2),"Starter","Bench"))</f>
        <v>Bench</v>
      </c>
      <c r="G147">
        <f t="shared" ca="1" si="11"/>
        <v>55.6</v>
      </c>
      <c r="H147">
        <f t="shared" ca="1" si="12"/>
        <v>109</v>
      </c>
      <c r="I147">
        <f>IF(C147="WR",LeagueInfo!$D$5*LeagueInfo!$F$2,LeagueInfo!$D$6*LeagueInfo!$F$2)</f>
        <v>24</v>
      </c>
    </row>
    <row r="148" spans="1:9" x14ac:dyDescent="0.35">
      <c r="A148">
        <f t="shared" ca="1" si="13"/>
        <v>135</v>
      </c>
      <c r="B148" t="s">
        <v>577</v>
      </c>
      <c r="C148" t="s">
        <v>40</v>
      </c>
      <c r="D148">
        <f t="shared" ca="1" si="10"/>
        <v>61.230000000000004</v>
      </c>
      <c r="E148" s="5">
        <f t="shared" ca="1" si="14"/>
        <v>-40.540000000000006</v>
      </c>
      <c r="F148" t="str">
        <f ca="1">IF(H148&lt;=I148,"Starter",IF(G148&gt;=LARGE(G:G,FlexOn*LeagueInfo!$F$2),"Starter","Bench"))</f>
        <v>Bench</v>
      </c>
      <c r="G148">
        <f t="shared" ca="1" si="11"/>
        <v>61.230000000000004</v>
      </c>
      <c r="H148">
        <f t="shared" ca="1" si="12"/>
        <v>35</v>
      </c>
      <c r="I148">
        <f>IF(C148="WR",LeagueInfo!$D$5*LeagueInfo!$F$2,LeagueInfo!$D$6*LeagueInfo!$F$2)</f>
        <v>12</v>
      </c>
    </row>
    <row r="149" spans="1:9" x14ac:dyDescent="0.35">
      <c r="A149">
        <f t="shared" ca="1" si="13"/>
        <v>148</v>
      </c>
      <c r="B149" t="s">
        <v>719</v>
      </c>
      <c r="C149" t="s">
        <v>32</v>
      </c>
      <c r="D149">
        <f t="shared" ca="1" si="10"/>
        <v>54.660000000000004</v>
      </c>
      <c r="E149" s="5">
        <f t="shared" ca="1" si="14"/>
        <v>-47.110000000000007</v>
      </c>
      <c r="F149" t="str">
        <f ca="1">IF(H149&lt;=I149,"Starter",IF(G149&gt;=LARGE(G:G,FlexOn*LeagueInfo!$F$2),"Starter","Bench"))</f>
        <v>Bench</v>
      </c>
      <c r="G149">
        <f t="shared" ca="1" si="11"/>
        <v>54.660000000000004</v>
      </c>
      <c r="H149">
        <f t="shared" ca="1" si="12"/>
        <v>110</v>
      </c>
      <c r="I149">
        <f>IF(C149="WR",LeagueInfo!$D$5*LeagueInfo!$F$2,LeagueInfo!$D$6*LeagueInfo!$F$2)</f>
        <v>24</v>
      </c>
    </row>
    <row r="150" spans="1:9" x14ac:dyDescent="0.35">
      <c r="A150">
        <f t="shared" ca="1" si="13"/>
        <v>138</v>
      </c>
      <c r="B150" t="s">
        <v>598</v>
      </c>
      <c r="C150" t="s">
        <v>32</v>
      </c>
      <c r="D150">
        <f t="shared" ca="1" si="10"/>
        <v>60.23</v>
      </c>
      <c r="E150" s="5">
        <f t="shared" ca="1" si="14"/>
        <v>-41.540000000000013</v>
      </c>
      <c r="F150" t="str">
        <f ca="1">IF(H150&lt;=I150,"Starter",IF(G150&gt;=LARGE(G:G,FlexOn*LeagueInfo!$F$2),"Starter","Bench"))</f>
        <v>Bench</v>
      </c>
      <c r="G150">
        <f t="shared" ca="1" si="11"/>
        <v>60.23</v>
      </c>
      <c r="H150">
        <f t="shared" ca="1" si="12"/>
        <v>105</v>
      </c>
      <c r="I150">
        <f>IF(C150="WR",LeagueInfo!$D$5*LeagueInfo!$F$2,LeagueInfo!$D$6*LeagueInfo!$F$2)</f>
        <v>24</v>
      </c>
    </row>
    <row r="151" spans="1:9" x14ac:dyDescent="0.35">
      <c r="A151">
        <f t="shared" ca="1" si="13"/>
        <v>164</v>
      </c>
      <c r="B151" t="s">
        <v>740</v>
      </c>
      <c r="C151" t="s">
        <v>32</v>
      </c>
      <c r="D151">
        <f t="shared" ca="1" si="10"/>
        <v>41.910000000000004</v>
      </c>
      <c r="E151" s="5">
        <f t="shared" ca="1" si="14"/>
        <v>-59.860000000000007</v>
      </c>
      <c r="F151" t="str">
        <f ca="1">IF(H151&lt;=I151,"Starter",IF(G151&gt;=LARGE(G:G,FlexOn*LeagueInfo!$F$2),"Starter","Bench"))</f>
        <v>Bench</v>
      </c>
      <c r="G151">
        <f t="shared" ca="1" si="11"/>
        <v>41.910000000000004</v>
      </c>
      <c r="H151">
        <f t="shared" ca="1" si="12"/>
        <v>124</v>
      </c>
      <c r="I151">
        <f>IF(C151="WR",LeagueInfo!$D$5*LeagueInfo!$F$2,LeagueInfo!$D$6*LeagueInfo!$F$2)</f>
        <v>24</v>
      </c>
    </row>
    <row r="152" spans="1:9" x14ac:dyDescent="0.35">
      <c r="A152">
        <f t="shared" ca="1" si="13"/>
        <v>147</v>
      </c>
      <c r="B152" t="s">
        <v>575</v>
      </c>
      <c r="C152" t="s">
        <v>40</v>
      </c>
      <c r="D152">
        <f t="shared" ca="1" si="10"/>
        <v>54.7</v>
      </c>
      <c r="E152" s="5">
        <f t="shared" ca="1" si="14"/>
        <v>-47.070000000000007</v>
      </c>
      <c r="F152" t="str">
        <f ca="1">IF(H152&lt;=I152,"Starter",IF(G152&gt;=LARGE(G:G,FlexOn*LeagueInfo!$F$2),"Starter","Bench"))</f>
        <v>Bench</v>
      </c>
      <c r="G152">
        <f t="shared" ca="1" si="11"/>
        <v>54.7</v>
      </c>
      <c r="H152">
        <f t="shared" ca="1" si="12"/>
        <v>41</v>
      </c>
      <c r="I152">
        <f>IF(C152="WR",LeagueInfo!$D$5*LeagueInfo!$F$2,LeagueInfo!$D$6*LeagueInfo!$F$2)</f>
        <v>12</v>
      </c>
    </row>
    <row r="153" spans="1:9" x14ac:dyDescent="0.35">
      <c r="A153">
        <f t="shared" ca="1" si="13"/>
        <v>140</v>
      </c>
      <c r="B153" t="s">
        <v>611</v>
      </c>
      <c r="C153" t="s">
        <v>32</v>
      </c>
      <c r="D153">
        <f t="shared" ca="1" si="10"/>
        <v>57.929999999999993</v>
      </c>
      <c r="E153" s="5">
        <f t="shared" ca="1" si="14"/>
        <v>-43.840000000000018</v>
      </c>
      <c r="F153" t="str">
        <f ca="1">IF(H153&lt;=I153,"Starter",IF(G153&gt;=LARGE(G:G,FlexOn*LeagueInfo!$F$2),"Starter","Bench"))</f>
        <v>Bench</v>
      </c>
      <c r="G153">
        <f t="shared" ca="1" si="11"/>
        <v>57.929999999999993</v>
      </c>
      <c r="H153">
        <f t="shared" ca="1" si="12"/>
        <v>106</v>
      </c>
      <c r="I153">
        <f>IF(C153="WR",LeagueInfo!$D$5*LeagueInfo!$F$2,LeagueInfo!$D$6*LeagueInfo!$F$2)</f>
        <v>24</v>
      </c>
    </row>
    <row r="154" spans="1:9" x14ac:dyDescent="0.35">
      <c r="A154">
        <f t="shared" ca="1" si="13"/>
        <v>150</v>
      </c>
      <c r="B154" t="s">
        <v>350</v>
      </c>
      <c r="C154" t="s">
        <v>40</v>
      </c>
      <c r="D154">
        <f t="shared" ca="1" si="10"/>
        <v>53.52</v>
      </c>
      <c r="E154" s="5">
        <f t="shared" ca="1" si="14"/>
        <v>-48.250000000000007</v>
      </c>
      <c r="F154" t="str">
        <f ca="1">IF(H154&lt;=I154,"Starter",IF(G154&gt;=LARGE(G:G,FlexOn*LeagueInfo!$F$2),"Starter","Bench"))</f>
        <v>Bench</v>
      </c>
      <c r="G154">
        <f t="shared" ca="1" si="11"/>
        <v>53.52</v>
      </c>
      <c r="H154">
        <f t="shared" ca="1" si="12"/>
        <v>42</v>
      </c>
      <c r="I154">
        <f>IF(C154="WR",LeagueInfo!$D$5*LeagueInfo!$F$2,LeagueInfo!$D$6*LeagueInfo!$F$2)</f>
        <v>12</v>
      </c>
    </row>
    <row r="155" spans="1:9" x14ac:dyDescent="0.35">
      <c r="A155">
        <f t="shared" ca="1" si="13"/>
        <v>130</v>
      </c>
      <c r="B155" t="s">
        <v>441</v>
      </c>
      <c r="C155" t="s">
        <v>32</v>
      </c>
      <c r="D155">
        <f t="shared" ca="1" si="10"/>
        <v>64.209999999999994</v>
      </c>
      <c r="E155" s="5">
        <f t="shared" ca="1" si="14"/>
        <v>-37.560000000000016</v>
      </c>
      <c r="F155" t="str">
        <f ca="1">IF(H155&lt;=I155,"Starter",IF(G155&gt;=LARGE(G:G,FlexOn*LeagueInfo!$F$2),"Starter","Bench"))</f>
        <v>Bench</v>
      </c>
      <c r="G155">
        <f t="shared" ca="1" si="11"/>
        <v>64.209999999999994</v>
      </c>
      <c r="H155">
        <f t="shared" ca="1" si="12"/>
        <v>101</v>
      </c>
      <c r="I155">
        <f>IF(C155="WR",LeagueInfo!$D$5*LeagueInfo!$F$2,LeagueInfo!$D$6*LeagueInfo!$F$2)</f>
        <v>24</v>
      </c>
    </row>
    <row r="156" spans="1:9" x14ac:dyDescent="0.35">
      <c r="A156">
        <f t="shared" ca="1" si="13"/>
        <v>173</v>
      </c>
      <c r="B156" t="s">
        <v>949</v>
      </c>
      <c r="C156" t="s">
        <v>40</v>
      </c>
      <c r="D156">
        <f t="shared" ca="1" si="10"/>
        <v>34.450000000000003</v>
      </c>
      <c r="E156" s="5">
        <f t="shared" ca="1" si="14"/>
        <v>-67.320000000000007</v>
      </c>
      <c r="F156" t="str">
        <f ca="1">IF(H156&lt;=I156,"Starter",IF(G156&gt;=LARGE(G:G,FlexOn*LeagueInfo!$F$2),"Starter","Bench"))</f>
        <v>Bench</v>
      </c>
      <c r="G156">
        <f t="shared" ca="1" si="11"/>
        <v>34.450000000000003</v>
      </c>
      <c r="H156">
        <f t="shared" ca="1" si="12"/>
        <v>50</v>
      </c>
      <c r="I156">
        <f>IF(C156="WR",LeagueInfo!$D$5*LeagueInfo!$F$2,LeagueInfo!$D$6*LeagueInfo!$F$2)</f>
        <v>12</v>
      </c>
    </row>
    <row r="157" spans="1:9" x14ac:dyDescent="0.35">
      <c r="A157">
        <f t="shared" ca="1" si="13"/>
        <v>158</v>
      </c>
      <c r="B157" t="s">
        <v>506</v>
      </c>
      <c r="C157" t="s">
        <v>32</v>
      </c>
      <c r="D157">
        <f t="shared" ca="1" si="10"/>
        <v>46.64</v>
      </c>
      <c r="E157" s="5">
        <f t="shared" ca="1" si="14"/>
        <v>-55.13000000000001</v>
      </c>
      <c r="F157" t="str">
        <f ca="1">IF(H157&lt;=I157,"Starter",IF(G157&gt;=LARGE(G:G,FlexOn*LeagueInfo!$F$2),"Starter","Bench"))</f>
        <v>Bench</v>
      </c>
      <c r="G157">
        <f t="shared" ca="1" si="11"/>
        <v>46.64</v>
      </c>
      <c r="H157">
        <f t="shared" ca="1" si="12"/>
        <v>119</v>
      </c>
      <c r="I157">
        <f>IF(C157="WR",LeagueInfo!$D$5*LeagueInfo!$F$2,LeagueInfo!$D$6*LeagueInfo!$F$2)</f>
        <v>24</v>
      </c>
    </row>
    <row r="158" spans="1:9" x14ac:dyDescent="0.35">
      <c r="A158">
        <f t="shared" ca="1" si="13"/>
        <v>159</v>
      </c>
      <c r="B158" t="s">
        <v>847</v>
      </c>
      <c r="C158" t="s">
        <v>32</v>
      </c>
      <c r="D158">
        <f t="shared" ca="1" si="10"/>
        <v>45.699999999999996</v>
      </c>
      <c r="E158" s="5">
        <f t="shared" ca="1" si="14"/>
        <v>-56.070000000000014</v>
      </c>
      <c r="F158" t="str">
        <f ca="1">IF(H158&lt;=I158,"Starter",IF(G158&gt;=LARGE(G:G,FlexOn*LeagueInfo!$F$2),"Starter","Bench"))</f>
        <v>Bench</v>
      </c>
      <c r="G158">
        <f t="shared" ca="1" si="11"/>
        <v>45.699999999999996</v>
      </c>
      <c r="H158">
        <f t="shared" ca="1" si="12"/>
        <v>120</v>
      </c>
      <c r="I158">
        <f>IF(C158="WR",LeagueInfo!$D$5*LeagueInfo!$F$2,LeagueInfo!$D$6*LeagueInfo!$F$2)</f>
        <v>24</v>
      </c>
    </row>
    <row r="159" spans="1:9" x14ac:dyDescent="0.35">
      <c r="A159">
        <f t="shared" ca="1" si="13"/>
        <v>162</v>
      </c>
      <c r="B159" t="s">
        <v>571</v>
      </c>
      <c r="C159" t="s">
        <v>40</v>
      </c>
      <c r="D159">
        <f t="shared" ca="1" si="10"/>
        <v>45.05</v>
      </c>
      <c r="E159" s="5">
        <f t="shared" ca="1" si="14"/>
        <v>-56.720000000000013</v>
      </c>
      <c r="F159" t="str">
        <f ca="1">IF(H159&lt;=I159,"Starter",IF(G159&gt;=LARGE(G:G,FlexOn*LeagueInfo!$F$2),"Starter","Bench"))</f>
        <v>Bench</v>
      </c>
      <c r="G159">
        <f t="shared" ca="1" si="11"/>
        <v>45.05</v>
      </c>
      <c r="H159">
        <f t="shared" ca="1" si="12"/>
        <v>44</v>
      </c>
      <c r="I159">
        <f>IF(C159="WR",LeagueInfo!$D$5*LeagueInfo!$F$2,LeagueInfo!$D$6*LeagueInfo!$F$2)</f>
        <v>12</v>
      </c>
    </row>
    <row r="160" spans="1:9" x14ac:dyDescent="0.35">
      <c r="A160">
        <f t="shared" ca="1" si="13"/>
        <v>165</v>
      </c>
      <c r="B160" t="s">
        <v>561</v>
      </c>
      <c r="C160" t="s">
        <v>32</v>
      </c>
      <c r="D160">
        <f t="shared" ca="1" si="10"/>
        <v>41.509999999999991</v>
      </c>
      <c r="E160" s="5">
        <f t="shared" ca="1" si="14"/>
        <v>-60.260000000000019</v>
      </c>
      <c r="F160" t="str">
        <f ca="1">IF(H160&lt;=I160,"Starter",IF(G160&gt;=LARGE(G:G,FlexOn*LeagueInfo!$F$2),"Starter","Bench"))</f>
        <v>Bench</v>
      </c>
      <c r="G160">
        <f t="shared" ca="1" si="11"/>
        <v>41.509999999999991</v>
      </c>
      <c r="H160">
        <f t="shared" ca="1" si="12"/>
        <v>125</v>
      </c>
      <c r="I160">
        <f>IF(C160="WR",LeagueInfo!$D$5*LeagueInfo!$F$2,LeagueInfo!$D$6*LeagueInfo!$F$2)</f>
        <v>24</v>
      </c>
    </row>
    <row r="161" spans="1:9" x14ac:dyDescent="0.35">
      <c r="A161">
        <f t="shared" ca="1" si="13"/>
        <v>160</v>
      </c>
      <c r="B161" t="s">
        <v>373</v>
      </c>
      <c r="C161" t="s">
        <v>40</v>
      </c>
      <c r="D161">
        <f t="shared" ca="1" si="10"/>
        <v>45.580000000000005</v>
      </c>
      <c r="E161" s="5">
        <f t="shared" ca="1" si="14"/>
        <v>-56.190000000000005</v>
      </c>
      <c r="F161" t="str">
        <f ca="1">IF(H161&lt;=I161,"Starter",IF(G161&gt;=LARGE(G:G,FlexOn*LeagueInfo!$F$2),"Starter","Bench"))</f>
        <v>Bench</v>
      </c>
      <c r="G161">
        <f t="shared" ca="1" si="11"/>
        <v>45.580000000000005</v>
      </c>
      <c r="H161">
        <f t="shared" ca="1" si="12"/>
        <v>43</v>
      </c>
      <c r="I161">
        <f>IF(C161="WR",LeagueInfo!$D$5*LeagueInfo!$F$2,LeagueInfo!$D$6*LeagueInfo!$F$2)</f>
        <v>12</v>
      </c>
    </row>
    <row r="162" spans="1:9" x14ac:dyDescent="0.35">
      <c r="A162">
        <f t="shared" ca="1" si="13"/>
        <v>157</v>
      </c>
      <c r="B162" t="s">
        <v>933</v>
      </c>
      <c r="C162" t="s">
        <v>32</v>
      </c>
      <c r="D162">
        <f t="shared" ca="1" si="10"/>
        <v>47.03</v>
      </c>
      <c r="E162" s="5">
        <f t="shared" ca="1" si="14"/>
        <v>-54.740000000000009</v>
      </c>
      <c r="F162" t="str">
        <f ca="1">IF(H162&lt;=I162,"Starter",IF(G162&gt;=LARGE(G:G,FlexOn*LeagueInfo!$F$2),"Starter","Bench"))</f>
        <v>Bench</v>
      </c>
      <c r="G162">
        <f t="shared" ca="1" si="11"/>
        <v>47.03</v>
      </c>
      <c r="H162">
        <f t="shared" ca="1" si="12"/>
        <v>118</v>
      </c>
      <c r="I162">
        <f>IF(C162="WR",LeagueInfo!$D$5*LeagueInfo!$F$2,LeagueInfo!$D$6*LeagueInfo!$F$2)</f>
        <v>24</v>
      </c>
    </row>
    <row r="163" spans="1:9" x14ac:dyDescent="0.35">
      <c r="A163">
        <f t="shared" ca="1" si="13"/>
        <v>156</v>
      </c>
      <c r="B163" t="s">
        <v>470</v>
      </c>
      <c r="C163" t="s">
        <v>32</v>
      </c>
      <c r="D163">
        <f t="shared" ca="1" si="10"/>
        <v>47.250000000000007</v>
      </c>
      <c r="E163" s="5">
        <f t="shared" ca="1" si="14"/>
        <v>-54.52</v>
      </c>
      <c r="F163" t="str">
        <f ca="1">IF(H163&lt;=I163,"Starter",IF(G163&gt;=LARGE(G:G,FlexOn*LeagueInfo!$F$2),"Starter","Bench"))</f>
        <v>Bench</v>
      </c>
      <c r="G163">
        <f t="shared" ca="1" si="11"/>
        <v>47.250000000000007</v>
      </c>
      <c r="H163">
        <f t="shared" ca="1" si="12"/>
        <v>117</v>
      </c>
      <c r="I163">
        <f>IF(C163="WR",LeagueInfo!$D$5*LeagueInfo!$F$2,LeagueInfo!$D$6*LeagueInfo!$F$2)</f>
        <v>24</v>
      </c>
    </row>
    <row r="164" spans="1:9" x14ac:dyDescent="0.35">
      <c r="A164">
        <f t="shared" ca="1" si="13"/>
        <v>167</v>
      </c>
      <c r="B164" t="s">
        <v>451</v>
      </c>
      <c r="C164" t="s">
        <v>40</v>
      </c>
      <c r="D164">
        <f t="shared" ca="1" si="10"/>
        <v>40</v>
      </c>
      <c r="E164" s="5">
        <f t="shared" ca="1" si="14"/>
        <v>-61.77000000000001</v>
      </c>
      <c r="F164" t="str">
        <f ca="1">IF(H164&lt;=I164,"Starter",IF(G164&gt;=LARGE(G:G,FlexOn*LeagueInfo!$F$2),"Starter","Bench"))</f>
        <v>Bench</v>
      </c>
      <c r="G164">
        <f t="shared" ca="1" si="11"/>
        <v>40</v>
      </c>
      <c r="H164">
        <f t="shared" ca="1" si="12"/>
        <v>45</v>
      </c>
      <c r="I164">
        <f>IF(C164="WR",LeagueInfo!$D$5*LeagueInfo!$F$2,LeagueInfo!$D$6*LeagueInfo!$F$2)</f>
        <v>12</v>
      </c>
    </row>
    <row r="165" spans="1:9" x14ac:dyDescent="0.35">
      <c r="A165">
        <f t="shared" ca="1" si="13"/>
        <v>170</v>
      </c>
      <c r="B165" t="s">
        <v>572</v>
      </c>
      <c r="C165" t="s">
        <v>40</v>
      </c>
      <c r="D165">
        <f t="shared" ca="1" si="10"/>
        <v>35.880000000000003</v>
      </c>
      <c r="E165" s="5">
        <f t="shared" ca="1" si="14"/>
        <v>-65.890000000000015</v>
      </c>
      <c r="F165" t="str">
        <f ca="1">IF(H165&lt;=I165,"Starter",IF(G165&gt;=LARGE(G:G,FlexOn*LeagueInfo!$F$2),"Starter","Bench"))</f>
        <v>Bench</v>
      </c>
      <c r="G165">
        <f t="shared" ca="1" si="11"/>
        <v>35.880000000000003</v>
      </c>
      <c r="H165">
        <f t="shared" ca="1" si="12"/>
        <v>48</v>
      </c>
      <c r="I165">
        <f>IF(C165="WR",LeagueInfo!$D$5*LeagueInfo!$F$2,LeagueInfo!$D$6*LeagueInfo!$F$2)</f>
        <v>12</v>
      </c>
    </row>
    <row r="166" spans="1:9" x14ac:dyDescent="0.35">
      <c r="A166">
        <f t="shared" ca="1" si="13"/>
        <v>152</v>
      </c>
      <c r="B166" t="s">
        <v>503</v>
      </c>
      <c r="C166" t="s">
        <v>32</v>
      </c>
      <c r="D166">
        <f t="shared" ca="1" si="10"/>
        <v>52.510000000000005</v>
      </c>
      <c r="E166" s="5">
        <f t="shared" ca="1" si="14"/>
        <v>-49.260000000000005</v>
      </c>
      <c r="F166" t="str">
        <f ca="1">IF(H166&lt;=I166,"Starter",IF(G166&gt;=LARGE(G:G,FlexOn*LeagueInfo!$F$2),"Starter","Bench"))</f>
        <v>Bench</v>
      </c>
      <c r="G166">
        <f t="shared" ca="1" si="11"/>
        <v>52.510000000000005</v>
      </c>
      <c r="H166">
        <f t="shared" ca="1" si="12"/>
        <v>113</v>
      </c>
      <c r="I166">
        <f>IF(C166="WR",LeagueInfo!$D$5*LeagueInfo!$F$2,LeagueInfo!$D$6*LeagueInfo!$F$2)</f>
        <v>24</v>
      </c>
    </row>
    <row r="167" spans="1:9" x14ac:dyDescent="0.35">
      <c r="A167">
        <f t="shared" ca="1" si="13"/>
        <v>166</v>
      </c>
      <c r="B167" t="s">
        <v>508</v>
      </c>
      <c r="C167" t="s">
        <v>32</v>
      </c>
      <c r="D167">
        <f t="shared" ca="1" si="10"/>
        <v>41.09</v>
      </c>
      <c r="E167" s="5">
        <f t="shared" ca="1" si="14"/>
        <v>-60.680000000000007</v>
      </c>
      <c r="F167" t="str">
        <f ca="1">IF(H167&lt;=I167,"Starter",IF(G167&gt;=LARGE(G:G,FlexOn*LeagueInfo!$F$2),"Starter","Bench"))</f>
        <v>Bench</v>
      </c>
      <c r="G167">
        <f t="shared" ca="1" si="11"/>
        <v>41.09</v>
      </c>
      <c r="H167">
        <f t="shared" ca="1" si="12"/>
        <v>126</v>
      </c>
      <c r="I167">
        <f>IF(C167="WR",LeagueInfo!$D$5*LeagueInfo!$F$2,LeagueInfo!$D$6*LeagueInfo!$F$2)</f>
        <v>24</v>
      </c>
    </row>
    <row r="168" spans="1:9" x14ac:dyDescent="0.35">
      <c r="A168">
        <f t="shared" ca="1" si="13"/>
        <v>190</v>
      </c>
      <c r="B168" t="s">
        <v>456</v>
      </c>
      <c r="C168" t="s">
        <v>40</v>
      </c>
      <c r="D168">
        <f t="shared" ca="1" si="10"/>
        <v>28.8</v>
      </c>
      <c r="E168" s="5">
        <f t="shared" ca="1" si="14"/>
        <v>-72.970000000000013</v>
      </c>
      <c r="F168" t="str">
        <f ca="1">IF(H168&lt;=I168,"Starter",IF(G168&gt;=LARGE(G:G,FlexOn*LeagueInfo!$F$2),"Starter","Bench"))</f>
        <v>Bench</v>
      </c>
      <c r="G168">
        <f t="shared" ca="1" si="11"/>
        <v>28.8</v>
      </c>
      <c r="H168">
        <f t="shared" ca="1" si="12"/>
        <v>58</v>
      </c>
      <c r="I168">
        <f>IF(C168="WR",LeagueInfo!$D$5*LeagueInfo!$F$2,LeagueInfo!$D$6*LeagueInfo!$F$2)</f>
        <v>12</v>
      </c>
    </row>
    <row r="169" spans="1:9" x14ac:dyDescent="0.35">
      <c r="A169">
        <f t="shared" ca="1" si="13"/>
        <v>168</v>
      </c>
      <c r="B169" t="s">
        <v>374</v>
      </c>
      <c r="C169" t="s">
        <v>40</v>
      </c>
      <c r="D169">
        <f t="shared" ca="1" si="10"/>
        <v>36.74</v>
      </c>
      <c r="E169" s="5">
        <f t="shared" ca="1" si="14"/>
        <v>-65.03</v>
      </c>
      <c r="F169" t="str">
        <f ca="1">IF(H169&lt;=I169,"Starter",IF(G169&gt;=LARGE(G:G,FlexOn*LeagueInfo!$F$2),"Starter","Bench"))</f>
        <v>Bench</v>
      </c>
      <c r="G169">
        <f t="shared" ca="1" si="11"/>
        <v>36.74</v>
      </c>
      <c r="H169">
        <f t="shared" ca="1" si="12"/>
        <v>46</v>
      </c>
      <c r="I169">
        <f>IF(C169="WR",LeagueInfo!$D$5*LeagueInfo!$F$2,LeagueInfo!$D$6*LeagueInfo!$F$2)</f>
        <v>12</v>
      </c>
    </row>
    <row r="170" spans="1:9" x14ac:dyDescent="0.35">
      <c r="A170">
        <f t="shared" ca="1" si="13"/>
        <v>174</v>
      </c>
      <c r="B170" t="s">
        <v>453</v>
      </c>
      <c r="C170" t="s">
        <v>40</v>
      </c>
      <c r="D170">
        <f t="shared" ca="1" si="10"/>
        <v>34.44</v>
      </c>
      <c r="E170" s="5">
        <f t="shared" ca="1" si="14"/>
        <v>-67.330000000000013</v>
      </c>
      <c r="F170" t="str">
        <f ca="1">IF(H170&lt;=I170,"Starter",IF(G170&gt;=LARGE(G:G,FlexOn*LeagueInfo!$F$2),"Starter","Bench"))</f>
        <v>Bench</v>
      </c>
      <c r="G170">
        <f t="shared" ca="1" si="11"/>
        <v>34.44</v>
      </c>
      <c r="H170">
        <f t="shared" ca="1" si="12"/>
        <v>51</v>
      </c>
      <c r="I170">
        <f>IF(C170="WR",LeagueInfo!$D$5*LeagueInfo!$F$2,LeagueInfo!$D$6*LeagueInfo!$F$2)</f>
        <v>12</v>
      </c>
    </row>
    <row r="171" spans="1:9" x14ac:dyDescent="0.35">
      <c r="A171">
        <f t="shared" ca="1" si="13"/>
        <v>155</v>
      </c>
      <c r="B171" t="s">
        <v>500</v>
      </c>
      <c r="C171" t="s">
        <v>32</v>
      </c>
      <c r="D171">
        <f t="shared" ca="1" si="10"/>
        <v>47.98</v>
      </c>
      <c r="E171" s="5">
        <f t="shared" ca="1" si="14"/>
        <v>-53.790000000000013</v>
      </c>
      <c r="F171" t="str">
        <f ca="1">IF(H171&lt;=I171,"Starter",IF(G171&gt;=LARGE(G:G,FlexOn*LeagueInfo!$F$2),"Starter","Bench"))</f>
        <v>Bench</v>
      </c>
      <c r="G171">
        <f t="shared" ca="1" si="11"/>
        <v>47.98</v>
      </c>
      <c r="H171">
        <f t="shared" ca="1" si="12"/>
        <v>116</v>
      </c>
      <c r="I171">
        <f>IF(C171="WR",LeagueInfo!$D$5*LeagueInfo!$F$2,LeagueInfo!$D$6*LeagueInfo!$F$2)</f>
        <v>24</v>
      </c>
    </row>
    <row r="172" spans="1:9" x14ac:dyDescent="0.35">
      <c r="A172">
        <f t="shared" ca="1" si="13"/>
        <v>179</v>
      </c>
      <c r="B172" t="s">
        <v>845</v>
      </c>
      <c r="C172" t="s">
        <v>32</v>
      </c>
      <c r="D172">
        <f t="shared" ca="1" si="10"/>
        <v>32.629999999999995</v>
      </c>
      <c r="E172" s="5">
        <f t="shared" ca="1" si="14"/>
        <v>-69.140000000000015</v>
      </c>
      <c r="F172" t="str">
        <f ca="1">IF(H172&lt;=I172,"Starter",IF(G172&gt;=LARGE(G:G,FlexOn*LeagueInfo!$F$2),"Starter","Bench"))</f>
        <v>Bench</v>
      </c>
      <c r="G172">
        <f t="shared" ca="1" si="11"/>
        <v>32.629999999999995</v>
      </c>
      <c r="H172">
        <f t="shared" ca="1" si="12"/>
        <v>130</v>
      </c>
      <c r="I172">
        <f>IF(C172="WR",LeagueInfo!$D$5*LeagueInfo!$F$2,LeagueInfo!$D$6*LeagueInfo!$F$2)</f>
        <v>24</v>
      </c>
    </row>
    <row r="173" spans="1:9" x14ac:dyDescent="0.35">
      <c r="A173">
        <f t="shared" ca="1" si="13"/>
        <v>175</v>
      </c>
      <c r="B173" t="s">
        <v>639</v>
      </c>
      <c r="C173" t="s">
        <v>40</v>
      </c>
      <c r="D173">
        <f t="shared" ca="1" si="10"/>
        <v>34.269999999999996</v>
      </c>
      <c r="E173" s="5">
        <f t="shared" ca="1" si="14"/>
        <v>-67.500000000000014</v>
      </c>
      <c r="F173" t="str">
        <f ca="1">IF(H173&lt;=I173,"Starter",IF(G173&gt;=LARGE(G:G,FlexOn*LeagueInfo!$F$2),"Starter","Bench"))</f>
        <v>Bench</v>
      </c>
      <c r="G173">
        <f t="shared" ca="1" si="11"/>
        <v>34.269999999999996</v>
      </c>
      <c r="H173">
        <f t="shared" ca="1" si="12"/>
        <v>52</v>
      </c>
      <c r="I173">
        <f>IF(C173="WR",LeagueInfo!$D$5*LeagueInfo!$F$2,LeagueInfo!$D$6*LeagueInfo!$F$2)</f>
        <v>12</v>
      </c>
    </row>
    <row r="174" spans="1:9" x14ac:dyDescent="0.35">
      <c r="A174">
        <f t="shared" ca="1" si="13"/>
        <v>171</v>
      </c>
      <c r="B174" t="s">
        <v>485</v>
      </c>
      <c r="C174" t="s">
        <v>40</v>
      </c>
      <c r="D174">
        <f t="shared" ca="1" si="10"/>
        <v>34.49</v>
      </c>
      <c r="E174" s="5">
        <f t="shared" ca="1" si="14"/>
        <v>-67.28</v>
      </c>
      <c r="F174" t="str">
        <f ca="1">IF(H174&lt;=I174,"Starter",IF(G174&gt;=LARGE(G:G,FlexOn*LeagueInfo!$F$2),"Starter","Bench"))</f>
        <v>Bench</v>
      </c>
      <c r="G174">
        <f t="shared" ca="1" si="11"/>
        <v>34.49</v>
      </c>
      <c r="H174">
        <f t="shared" ca="1" si="12"/>
        <v>49</v>
      </c>
      <c r="I174">
        <f>IF(C174="WR",LeagueInfo!$D$5*LeagueInfo!$F$2,LeagueInfo!$D$6*LeagueInfo!$F$2)</f>
        <v>12</v>
      </c>
    </row>
    <row r="175" spans="1:9" x14ac:dyDescent="0.35">
      <c r="A175">
        <f t="shared" ca="1" si="13"/>
        <v>177</v>
      </c>
      <c r="B175" t="s">
        <v>249</v>
      </c>
      <c r="C175" t="s">
        <v>32</v>
      </c>
      <c r="D175">
        <f t="shared" ca="1" si="10"/>
        <v>33.540000000000006</v>
      </c>
      <c r="E175" s="5">
        <f t="shared" ca="1" si="14"/>
        <v>-68.23</v>
      </c>
      <c r="F175" t="str">
        <f ca="1">IF(H175&lt;=I175,"Starter",IF(G175&gt;=LARGE(G:G,FlexOn*LeagueInfo!$F$2),"Starter","Bench"))</f>
        <v>Bench</v>
      </c>
      <c r="G175">
        <f t="shared" ca="1" si="11"/>
        <v>33.540000000000006</v>
      </c>
      <c r="H175">
        <f t="shared" ca="1" si="12"/>
        <v>129</v>
      </c>
      <c r="I175">
        <f>IF(C175="WR",LeagueInfo!$D$5*LeagueInfo!$F$2,LeagueInfo!$D$6*LeagueInfo!$F$2)</f>
        <v>24</v>
      </c>
    </row>
    <row r="176" spans="1:9" x14ac:dyDescent="0.35">
      <c r="A176">
        <f t="shared" ca="1" si="13"/>
        <v>178</v>
      </c>
      <c r="B176" t="s">
        <v>149</v>
      </c>
      <c r="C176" t="s">
        <v>40</v>
      </c>
      <c r="D176">
        <f t="shared" ca="1" si="10"/>
        <v>33.22</v>
      </c>
      <c r="E176" s="5">
        <f t="shared" ca="1" si="14"/>
        <v>-68.550000000000011</v>
      </c>
      <c r="F176" t="str">
        <f ca="1">IF(H176&lt;=I176,"Starter",IF(G176&gt;=LARGE(G:G,FlexOn*LeagueInfo!$F$2),"Starter","Bench"))</f>
        <v>Bench</v>
      </c>
      <c r="G176">
        <f t="shared" ca="1" si="11"/>
        <v>33.22</v>
      </c>
      <c r="H176">
        <f t="shared" ca="1" si="12"/>
        <v>53</v>
      </c>
      <c r="I176">
        <f>IF(C176="WR",LeagueInfo!$D$5*LeagueInfo!$F$2,LeagueInfo!$D$6*LeagueInfo!$F$2)</f>
        <v>12</v>
      </c>
    </row>
    <row r="177" spans="1:9" x14ac:dyDescent="0.35">
      <c r="A177">
        <f t="shared" ca="1" si="13"/>
        <v>183</v>
      </c>
      <c r="B177" t="s">
        <v>799</v>
      </c>
      <c r="C177" t="s">
        <v>40</v>
      </c>
      <c r="D177">
        <f t="shared" ca="1" si="10"/>
        <v>31.910000000000004</v>
      </c>
      <c r="E177" s="5">
        <f t="shared" ca="1" si="14"/>
        <v>-69.860000000000014</v>
      </c>
      <c r="F177" t="str">
        <f ca="1">IF(H177&lt;=I177,"Starter",IF(G177&gt;=LARGE(G:G,FlexOn*LeagueInfo!$F$2),"Starter","Bench"))</f>
        <v>Bench</v>
      </c>
      <c r="G177">
        <f t="shared" ca="1" si="11"/>
        <v>31.910000000000004</v>
      </c>
      <c r="H177">
        <f t="shared" ca="1" si="12"/>
        <v>56</v>
      </c>
      <c r="I177">
        <f>IF(C177="WR",LeagueInfo!$D$5*LeagueInfo!$F$2,LeagueInfo!$D$6*LeagueInfo!$F$2)</f>
        <v>12</v>
      </c>
    </row>
    <row r="178" spans="1:9" x14ac:dyDescent="0.35">
      <c r="A178">
        <f t="shared" ca="1" si="13"/>
        <v>182</v>
      </c>
      <c r="B178" t="s">
        <v>649</v>
      </c>
      <c r="C178" t="s">
        <v>40</v>
      </c>
      <c r="D178">
        <f t="shared" ca="1" si="10"/>
        <v>31.920000000000005</v>
      </c>
      <c r="E178" s="5">
        <f t="shared" ca="1" si="14"/>
        <v>-69.850000000000009</v>
      </c>
      <c r="F178" t="str">
        <f ca="1">IF(H178&lt;=I178,"Starter",IF(G178&gt;=LARGE(G:G,FlexOn*LeagueInfo!$F$2),"Starter","Bench"))</f>
        <v>Bench</v>
      </c>
      <c r="G178">
        <f t="shared" ca="1" si="11"/>
        <v>31.920000000000005</v>
      </c>
      <c r="H178">
        <f t="shared" ca="1" si="12"/>
        <v>55</v>
      </c>
      <c r="I178">
        <f>IF(C178="WR",LeagueInfo!$D$5*LeagueInfo!$F$2,LeagueInfo!$D$6*LeagueInfo!$F$2)</f>
        <v>12</v>
      </c>
    </row>
    <row r="179" spans="1:9" x14ac:dyDescent="0.35">
      <c r="A179">
        <f t="shared" ca="1" si="13"/>
        <v>169</v>
      </c>
      <c r="B179" t="s">
        <v>449</v>
      </c>
      <c r="C179" t="s">
        <v>40</v>
      </c>
      <c r="D179">
        <f t="shared" ca="1" si="10"/>
        <v>36.5</v>
      </c>
      <c r="E179" s="5">
        <f t="shared" ca="1" si="14"/>
        <v>-65.27000000000001</v>
      </c>
      <c r="F179" t="str">
        <f ca="1">IF(H179&lt;=I179,"Starter",IF(G179&gt;=LARGE(G:G,FlexOn*LeagueInfo!$F$2),"Starter","Bench"))</f>
        <v>Bench</v>
      </c>
      <c r="G179">
        <f t="shared" ca="1" si="11"/>
        <v>36.5</v>
      </c>
      <c r="H179">
        <f t="shared" ca="1" si="12"/>
        <v>47</v>
      </c>
      <c r="I179">
        <f>IF(C179="WR",LeagueInfo!$D$5*LeagueInfo!$F$2,LeagueInfo!$D$6*LeagueInfo!$F$2)</f>
        <v>12</v>
      </c>
    </row>
    <row r="180" spans="1:9" x14ac:dyDescent="0.35">
      <c r="A180">
        <f t="shared" ca="1" si="13"/>
        <v>181</v>
      </c>
      <c r="B180" t="s">
        <v>457</v>
      </c>
      <c r="C180" t="s">
        <v>40</v>
      </c>
      <c r="D180">
        <f t="shared" ca="1" si="10"/>
        <v>32.409999999999997</v>
      </c>
      <c r="E180" s="5">
        <f t="shared" ca="1" si="14"/>
        <v>-69.360000000000014</v>
      </c>
      <c r="F180" t="str">
        <f ca="1">IF(H180&lt;=I180,"Starter",IF(G180&gt;=LARGE(G:G,FlexOn*LeagueInfo!$F$2),"Starter","Bench"))</f>
        <v>Bench</v>
      </c>
      <c r="G180">
        <f t="shared" ca="1" si="11"/>
        <v>32.409999999999997</v>
      </c>
      <c r="H180">
        <f t="shared" ca="1" si="12"/>
        <v>54</v>
      </c>
      <c r="I180">
        <f>IF(C180="WR",LeagueInfo!$D$5*LeagueInfo!$F$2,LeagueInfo!$D$6*LeagueInfo!$F$2)</f>
        <v>12</v>
      </c>
    </row>
    <row r="181" spans="1:9" x14ac:dyDescent="0.35">
      <c r="A181">
        <f t="shared" ca="1" si="13"/>
        <v>189</v>
      </c>
      <c r="B181" t="s">
        <v>927</v>
      </c>
      <c r="C181" t="s">
        <v>32</v>
      </c>
      <c r="D181">
        <f t="shared" ca="1" si="10"/>
        <v>29.22</v>
      </c>
      <c r="E181" s="5">
        <f t="shared" ca="1" si="14"/>
        <v>-72.550000000000011</v>
      </c>
      <c r="F181" t="str">
        <f ca="1">IF(H181&lt;=I181,"Starter",IF(G181&gt;=LARGE(G:G,FlexOn*LeagueInfo!$F$2),"Starter","Bench"))</f>
        <v>Bench</v>
      </c>
      <c r="G181">
        <f t="shared" ca="1" si="11"/>
        <v>29.22</v>
      </c>
      <c r="H181">
        <f t="shared" ca="1" si="12"/>
        <v>139</v>
      </c>
      <c r="I181">
        <f>IF(C181="WR",LeagueInfo!$D$5*LeagueInfo!$F$2,LeagueInfo!$D$6*LeagueInfo!$F$2)</f>
        <v>24</v>
      </c>
    </row>
    <row r="182" spans="1:9" x14ac:dyDescent="0.35">
      <c r="A182">
        <f t="shared" ca="1" si="13"/>
        <v>194</v>
      </c>
      <c r="B182" t="s">
        <v>1095</v>
      </c>
      <c r="C182" t="s">
        <v>32</v>
      </c>
      <c r="D182">
        <f t="shared" ca="1" si="10"/>
        <v>28.1</v>
      </c>
      <c r="E182" s="5">
        <f t="shared" ca="1" si="14"/>
        <v>-73.670000000000016</v>
      </c>
      <c r="F182" t="str">
        <f ca="1">IF(H182&lt;=I182,"Starter",IF(G182&gt;=LARGE(G:G,FlexOn*LeagueInfo!$F$2),"Starter","Bench"))</f>
        <v>Bench</v>
      </c>
      <c r="G182">
        <f t="shared" ca="1" si="11"/>
        <v>28.1</v>
      </c>
      <c r="H182">
        <f t="shared" ca="1" si="12"/>
        <v>142</v>
      </c>
      <c r="I182">
        <f>IF(C182="WR",LeagueInfo!$D$5*LeagueInfo!$F$2,LeagueInfo!$D$6*LeagueInfo!$F$2)</f>
        <v>24</v>
      </c>
    </row>
    <row r="183" spans="1:9" x14ac:dyDescent="0.35">
      <c r="A183">
        <f t="shared" ca="1" si="13"/>
        <v>187</v>
      </c>
      <c r="B183" t="s">
        <v>929</v>
      </c>
      <c r="C183" t="s">
        <v>32</v>
      </c>
      <c r="D183">
        <f t="shared" ca="1" si="10"/>
        <v>29.93</v>
      </c>
      <c r="E183" s="5">
        <f t="shared" ca="1" si="14"/>
        <v>-71.84</v>
      </c>
      <c r="F183" t="str">
        <f ca="1">IF(H183&lt;=I183,"Starter",IF(G183&gt;=LARGE(G:G,FlexOn*LeagueInfo!$F$2),"Starter","Bench"))</f>
        <v>Bench</v>
      </c>
      <c r="G183">
        <f t="shared" ca="1" si="11"/>
        <v>29.93</v>
      </c>
      <c r="H183">
        <f t="shared" ca="1" si="12"/>
        <v>136</v>
      </c>
      <c r="I183">
        <f>IF(C183="WR",LeagueInfo!$D$5*LeagueInfo!$F$2,LeagueInfo!$D$6*LeagueInfo!$F$2)</f>
        <v>24</v>
      </c>
    </row>
    <row r="184" spans="1:9" x14ac:dyDescent="0.35">
      <c r="A184">
        <f t="shared" ca="1" si="13"/>
        <v>184</v>
      </c>
      <c r="B184" t="s">
        <v>367</v>
      </c>
      <c r="C184" t="s">
        <v>32</v>
      </c>
      <c r="D184">
        <f t="shared" ca="1" si="10"/>
        <v>31.860000000000003</v>
      </c>
      <c r="E184" s="5">
        <f t="shared" ca="1" si="14"/>
        <v>-69.910000000000011</v>
      </c>
      <c r="F184" t="str">
        <f ca="1">IF(H184&lt;=I184,"Starter",IF(G184&gt;=LARGE(G:G,FlexOn*LeagueInfo!$F$2),"Starter","Bench"))</f>
        <v>Bench</v>
      </c>
      <c r="G184">
        <f t="shared" ca="1" si="11"/>
        <v>31.860000000000003</v>
      </c>
      <c r="H184">
        <f t="shared" ca="1" si="12"/>
        <v>132</v>
      </c>
      <c r="I184">
        <f>IF(C184="WR",LeagueInfo!$D$5*LeagueInfo!$F$2,LeagueInfo!$D$6*LeagueInfo!$F$2)</f>
        <v>24</v>
      </c>
    </row>
    <row r="185" spans="1:9" x14ac:dyDescent="0.35">
      <c r="A185">
        <f t="shared" ca="1" si="13"/>
        <v>172</v>
      </c>
      <c r="B185" t="s">
        <v>606</v>
      </c>
      <c r="C185" t="s">
        <v>32</v>
      </c>
      <c r="D185">
        <f t="shared" ca="1" si="10"/>
        <v>34.47</v>
      </c>
      <c r="E185" s="5">
        <f t="shared" ca="1" si="14"/>
        <v>-67.300000000000011</v>
      </c>
      <c r="F185" t="str">
        <f ca="1">IF(H185&lt;=I185,"Starter",IF(G185&gt;=LARGE(G:G,FlexOn*LeagueInfo!$F$2),"Starter","Bench"))</f>
        <v>Bench</v>
      </c>
      <c r="G185">
        <f t="shared" ca="1" si="11"/>
        <v>34.47</v>
      </c>
      <c r="H185">
        <f t="shared" ca="1" si="12"/>
        <v>127</v>
      </c>
      <c r="I185">
        <f>IF(C185="WR",LeagueInfo!$D$5*LeagueInfo!$F$2,LeagueInfo!$D$6*LeagueInfo!$F$2)</f>
        <v>24</v>
      </c>
    </row>
    <row r="186" spans="1:9" x14ac:dyDescent="0.35">
      <c r="A186">
        <f t="shared" ca="1" si="13"/>
        <v>161</v>
      </c>
      <c r="B186" t="s">
        <v>442</v>
      </c>
      <c r="C186" t="s">
        <v>32</v>
      </c>
      <c r="D186">
        <f t="shared" ref="D186:D239" ca="1" si="15">INDEX(INDIRECT($C186&amp;"!P:P"),MATCH($B186,INDIRECT($C186&amp;"!B:B"),0))</f>
        <v>45.36999999999999</v>
      </c>
      <c r="E186" s="5">
        <f t="shared" ca="1" si="14"/>
        <v>-56.40000000000002</v>
      </c>
      <c r="F186" t="str">
        <f ca="1">IF(H186&lt;=I186,"Starter",IF(G186&gt;=LARGE(G:G,FlexOn*LeagueInfo!$F$2),"Starter","Bench"))</f>
        <v>Bench</v>
      </c>
      <c r="G186">
        <f t="shared" ref="G186:G239" ca="1" si="16">IF(H186&gt;I186,D186,0)</f>
        <v>45.36999999999999</v>
      </c>
      <c r="H186">
        <f t="shared" ref="H186:H239" ca="1" si="17">INDEX(INDIRECT(""&amp;C186&amp;"!A2:A489"),MATCH(B186,INDIRECT(""&amp;C186&amp;"!B2:B489"),0))</f>
        <v>121</v>
      </c>
      <c r="I186">
        <f>IF(C186="WR",LeagueInfo!$D$5*LeagueInfo!$F$2,LeagueInfo!$D$6*LeagueInfo!$F$2)</f>
        <v>24</v>
      </c>
    </row>
    <row r="187" spans="1:9" x14ac:dyDescent="0.35">
      <c r="A187">
        <f t="shared" ca="1" si="13"/>
        <v>192</v>
      </c>
      <c r="B187" t="s">
        <v>439</v>
      </c>
      <c r="C187" t="s">
        <v>32</v>
      </c>
      <c r="D187">
        <f t="shared" ca="1" si="15"/>
        <v>28.349999999999998</v>
      </c>
      <c r="E187" s="5">
        <f t="shared" ca="1" si="14"/>
        <v>-73.420000000000016</v>
      </c>
      <c r="F187" t="str">
        <f ca="1">IF(H187&lt;=I187,"Starter",IF(G187&gt;=LARGE(G:G,FlexOn*LeagueInfo!$F$2),"Starter","Bench"))</f>
        <v>Bench</v>
      </c>
      <c r="G187">
        <f t="shared" ca="1" si="16"/>
        <v>28.349999999999998</v>
      </c>
      <c r="H187">
        <f t="shared" ca="1" si="17"/>
        <v>141</v>
      </c>
      <c r="I187">
        <f>IF(C187="WR",LeagueInfo!$D$5*LeagueInfo!$F$2,LeagueInfo!$D$6*LeagueInfo!$F$2)</f>
        <v>24</v>
      </c>
    </row>
    <row r="188" spans="1:9" x14ac:dyDescent="0.35">
      <c r="A188">
        <f t="shared" ca="1" si="13"/>
        <v>199</v>
      </c>
      <c r="B188" t="s">
        <v>1010</v>
      </c>
      <c r="C188" t="s">
        <v>32</v>
      </c>
      <c r="D188">
        <f t="shared" ca="1" si="15"/>
        <v>26.200000000000003</v>
      </c>
      <c r="E188" s="5">
        <f t="shared" ca="1" si="14"/>
        <v>-75.570000000000007</v>
      </c>
      <c r="F188" t="str">
        <f ca="1">IF(H188&lt;=I188,"Starter",IF(G188&gt;=LARGE(G:G,FlexOn*LeagueInfo!$F$2),"Starter","Bench"))</f>
        <v>Bench</v>
      </c>
      <c r="G188">
        <f t="shared" ca="1" si="16"/>
        <v>26.200000000000003</v>
      </c>
      <c r="H188">
        <f t="shared" ca="1" si="17"/>
        <v>146</v>
      </c>
      <c r="I188">
        <f>IF(C188="WR",LeagueInfo!$D$5*LeagueInfo!$F$2,LeagueInfo!$D$6*LeagueInfo!$F$2)</f>
        <v>24</v>
      </c>
    </row>
    <row r="189" spans="1:9" x14ac:dyDescent="0.35">
      <c r="A189">
        <f t="shared" ca="1" si="13"/>
        <v>202</v>
      </c>
      <c r="B189" t="s">
        <v>934</v>
      </c>
      <c r="C189" t="s">
        <v>32</v>
      </c>
      <c r="D189">
        <f t="shared" ca="1" si="15"/>
        <v>25.549999999999997</v>
      </c>
      <c r="E189" s="5">
        <f t="shared" ca="1" si="14"/>
        <v>-76.220000000000013</v>
      </c>
      <c r="F189" t="str">
        <f ca="1">IF(H189&lt;=I189,"Starter",IF(G189&gt;=LARGE(G:G,FlexOn*LeagueInfo!$F$2),"Starter","Bench"))</f>
        <v>Bench</v>
      </c>
      <c r="G189">
        <f t="shared" ca="1" si="16"/>
        <v>25.549999999999997</v>
      </c>
      <c r="H189">
        <f t="shared" ca="1" si="17"/>
        <v>148</v>
      </c>
      <c r="I189">
        <f>IF(C189="WR",LeagueInfo!$D$5*LeagueInfo!$F$2,LeagueInfo!$D$6*LeagueInfo!$F$2)</f>
        <v>24</v>
      </c>
    </row>
    <row r="190" spans="1:9" x14ac:dyDescent="0.35">
      <c r="A190">
        <f t="shared" ca="1" si="13"/>
        <v>197</v>
      </c>
      <c r="B190" t="s">
        <v>928</v>
      </c>
      <c r="C190" t="s">
        <v>32</v>
      </c>
      <c r="D190">
        <f t="shared" ca="1" si="15"/>
        <v>26.71</v>
      </c>
      <c r="E190" s="5">
        <f t="shared" ca="1" si="14"/>
        <v>-75.06</v>
      </c>
      <c r="F190" t="str">
        <f ca="1">IF(H190&lt;=I190,"Starter",IF(G190&gt;=LARGE(G:G,FlexOn*LeagueInfo!$F$2),"Starter","Bench"))</f>
        <v>Bench</v>
      </c>
      <c r="G190">
        <f t="shared" ca="1" si="16"/>
        <v>26.71</v>
      </c>
      <c r="H190">
        <f t="shared" ca="1" si="17"/>
        <v>145</v>
      </c>
      <c r="I190">
        <f>IF(C190="WR",LeagueInfo!$D$5*LeagueInfo!$F$2,LeagueInfo!$D$6*LeagueInfo!$F$2)</f>
        <v>24</v>
      </c>
    </row>
    <row r="191" spans="1:9" x14ac:dyDescent="0.35">
      <c r="A191">
        <f t="shared" ca="1" si="13"/>
        <v>205</v>
      </c>
      <c r="B191" t="s">
        <v>455</v>
      </c>
      <c r="C191" t="s">
        <v>40</v>
      </c>
      <c r="D191">
        <f t="shared" ca="1" si="15"/>
        <v>24.7</v>
      </c>
      <c r="E191" s="5">
        <f t="shared" ca="1" si="14"/>
        <v>-77.070000000000007</v>
      </c>
      <c r="F191" t="str">
        <f ca="1">IF(H191&lt;=I191,"Starter",IF(G191&gt;=LARGE(G:G,FlexOn*LeagueInfo!$F$2),"Starter","Bench"))</f>
        <v>Bench</v>
      </c>
      <c r="G191">
        <f t="shared" ca="1" si="16"/>
        <v>24.7</v>
      </c>
      <c r="H191">
        <f t="shared" ca="1" si="17"/>
        <v>62</v>
      </c>
      <c r="I191">
        <f>IF(C191="WR",LeagueInfo!$D$5*LeagueInfo!$F$2,LeagueInfo!$D$6*LeagueInfo!$F$2)</f>
        <v>12</v>
      </c>
    </row>
    <row r="192" spans="1:9" x14ac:dyDescent="0.35">
      <c r="A192">
        <f t="shared" ca="1" si="13"/>
        <v>219</v>
      </c>
      <c r="B192" t="s">
        <v>800</v>
      </c>
      <c r="C192" t="s">
        <v>40</v>
      </c>
      <c r="D192">
        <f t="shared" ca="1" si="15"/>
        <v>23.35</v>
      </c>
      <c r="E192" s="5">
        <f t="shared" ca="1" si="14"/>
        <v>-78.420000000000016</v>
      </c>
      <c r="F192" t="str">
        <f ca="1">IF(H192&lt;=I192,"Starter",IF(G192&gt;=LARGE(G:G,FlexOn*LeagueInfo!$F$2),"Starter","Bench"))</f>
        <v>Bench</v>
      </c>
      <c r="G192">
        <f t="shared" ca="1" si="16"/>
        <v>23.35</v>
      </c>
      <c r="H192">
        <f t="shared" ca="1" si="17"/>
        <v>69</v>
      </c>
      <c r="I192">
        <f>IF(C192="WR",LeagueInfo!$D$5*LeagueInfo!$F$2,LeagueInfo!$D$6*LeagueInfo!$F$2)</f>
        <v>12</v>
      </c>
    </row>
    <row r="193" spans="1:9" x14ac:dyDescent="0.35">
      <c r="A193">
        <f t="shared" ca="1" si="13"/>
        <v>257</v>
      </c>
      <c r="B193" t="s">
        <v>1088</v>
      </c>
      <c r="C193" t="s">
        <v>32</v>
      </c>
      <c r="D193">
        <f t="shared" ca="1" si="15"/>
        <v>16.059999999999999</v>
      </c>
      <c r="E193" s="5">
        <f t="shared" ca="1" si="14"/>
        <v>-85.710000000000008</v>
      </c>
      <c r="F193" t="str">
        <f ca="1">IF(H193&lt;=I193,"Starter",IF(G193&gt;=LARGE(G:G,FlexOn*LeagueInfo!$F$2),"Starter","Bench"))</f>
        <v>Bench</v>
      </c>
      <c r="G193">
        <f t="shared" ca="1" si="16"/>
        <v>16.059999999999999</v>
      </c>
      <c r="H193">
        <f t="shared" ca="1" si="17"/>
        <v>177</v>
      </c>
      <c r="I193">
        <f>IF(C193="WR",LeagueInfo!$D$5*LeagueInfo!$F$2,LeagueInfo!$D$6*LeagueInfo!$F$2)</f>
        <v>24</v>
      </c>
    </row>
    <row r="194" spans="1:9" x14ac:dyDescent="0.35">
      <c r="A194">
        <f t="shared" ref="A194:A257" ca="1" si="18">RANK(E194,E:E)</f>
        <v>213</v>
      </c>
      <c r="B194" t="s">
        <v>737</v>
      </c>
      <c r="C194" t="s">
        <v>40</v>
      </c>
      <c r="D194">
        <f t="shared" ca="1" si="15"/>
        <v>24.120000000000005</v>
      </c>
      <c r="E194" s="5">
        <f t="shared" ref="E194:E257" ca="1" si="19">D194-LARGE(D:D,TECount+WRCount)</f>
        <v>-77.650000000000006</v>
      </c>
      <c r="F194" t="str">
        <f ca="1">IF(H194&lt;=I194,"Starter",IF(G194&gt;=LARGE(G:G,FlexOn*LeagueInfo!$F$2),"Starter","Bench"))</f>
        <v>Bench</v>
      </c>
      <c r="G194">
        <f t="shared" ca="1" si="16"/>
        <v>24.120000000000005</v>
      </c>
      <c r="H194">
        <f t="shared" ca="1" si="17"/>
        <v>67</v>
      </c>
      <c r="I194">
        <f>IF(C194="WR",LeagueInfo!$D$5*LeagueInfo!$F$2,LeagueInfo!$D$6*LeagueInfo!$F$2)</f>
        <v>12</v>
      </c>
    </row>
    <row r="195" spans="1:9" x14ac:dyDescent="0.35">
      <c r="A195">
        <f t="shared" ca="1" si="18"/>
        <v>207</v>
      </c>
      <c r="B195" t="s">
        <v>640</v>
      </c>
      <c r="C195" t="s">
        <v>40</v>
      </c>
      <c r="D195">
        <f t="shared" ca="1" si="15"/>
        <v>24.56</v>
      </c>
      <c r="E195" s="5">
        <f t="shared" ca="1" si="19"/>
        <v>-77.210000000000008</v>
      </c>
      <c r="F195" t="str">
        <f ca="1">IF(H195&lt;=I195,"Starter",IF(G195&gt;=LARGE(G:G,FlexOn*LeagueInfo!$F$2),"Starter","Bench"))</f>
        <v>Bench</v>
      </c>
      <c r="G195">
        <f t="shared" ca="1" si="16"/>
        <v>24.56</v>
      </c>
      <c r="H195">
        <f t="shared" ca="1" si="17"/>
        <v>63</v>
      </c>
      <c r="I195">
        <f>IF(C195="WR",LeagueInfo!$D$5*LeagueInfo!$F$2,LeagueInfo!$D$6*LeagueInfo!$F$2)</f>
        <v>12</v>
      </c>
    </row>
    <row r="196" spans="1:9" x14ac:dyDescent="0.35">
      <c r="A196">
        <f t="shared" ca="1" si="18"/>
        <v>203</v>
      </c>
      <c r="B196" t="s">
        <v>1011</v>
      </c>
      <c r="C196" t="s">
        <v>32</v>
      </c>
      <c r="D196">
        <f t="shared" ca="1" si="15"/>
        <v>25.5</v>
      </c>
      <c r="E196" s="5">
        <f t="shared" ca="1" si="19"/>
        <v>-76.27000000000001</v>
      </c>
      <c r="F196" t="str">
        <f ca="1">IF(H196&lt;=I196,"Starter",IF(G196&gt;=LARGE(G:G,FlexOn*LeagueInfo!$F$2),"Starter","Bench"))</f>
        <v>Bench</v>
      </c>
      <c r="G196">
        <f t="shared" ca="1" si="16"/>
        <v>25.5</v>
      </c>
      <c r="H196">
        <f t="shared" ca="1" si="17"/>
        <v>149</v>
      </c>
      <c r="I196">
        <f>IF(C196="WR",LeagueInfo!$D$5*LeagueInfo!$F$2,LeagueInfo!$D$6*LeagueInfo!$F$2)</f>
        <v>24</v>
      </c>
    </row>
    <row r="197" spans="1:9" x14ac:dyDescent="0.35">
      <c r="A197">
        <f t="shared" ca="1" si="18"/>
        <v>195</v>
      </c>
      <c r="B197" t="s">
        <v>365</v>
      </c>
      <c r="C197" t="s">
        <v>32</v>
      </c>
      <c r="D197">
        <f t="shared" ca="1" si="15"/>
        <v>27.75</v>
      </c>
      <c r="E197" s="5">
        <f t="shared" ca="1" si="19"/>
        <v>-74.02000000000001</v>
      </c>
      <c r="F197" t="str">
        <f ca="1">IF(H197&lt;=I197,"Starter",IF(G197&gt;=LARGE(G:G,FlexOn*LeagueInfo!$F$2),"Starter","Bench"))</f>
        <v>Bench</v>
      </c>
      <c r="G197">
        <f t="shared" ca="1" si="16"/>
        <v>27.75</v>
      </c>
      <c r="H197">
        <f t="shared" ca="1" si="17"/>
        <v>143</v>
      </c>
      <c r="I197">
        <f>IF(C197="WR",LeagueInfo!$D$5*LeagueInfo!$F$2,LeagueInfo!$D$6*LeagueInfo!$F$2)</f>
        <v>24</v>
      </c>
    </row>
    <row r="198" spans="1:9" x14ac:dyDescent="0.35">
      <c r="A198">
        <f t="shared" ca="1" si="18"/>
        <v>206</v>
      </c>
      <c r="B198" t="s">
        <v>1080</v>
      </c>
      <c r="C198" t="s">
        <v>32</v>
      </c>
      <c r="D198">
        <f t="shared" ca="1" si="15"/>
        <v>24.6</v>
      </c>
      <c r="E198" s="5">
        <f t="shared" ca="1" si="19"/>
        <v>-77.170000000000016</v>
      </c>
      <c r="F198" t="str">
        <f ca="1">IF(H198&lt;=I198,"Starter",IF(G198&gt;=LARGE(G:G,FlexOn*LeagueInfo!$F$2),"Starter","Bench"))</f>
        <v>Bench</v>
      </c>
      <c r="G198">
        <f t="shared" ca="1" si="16"/>
        <v>24.6</v>
      </c>
      <c r="H198">
        <f t="shared" ca="1" si="17"/>
        <v>151</v>
      </c>
      <c r="I198">
        <f>IF(C198="WR",LeagueInfo!$D$5*LeagueInfo!$F$2,LeagueInfo!$D$6*LeagueInfo!$F$2)</f>
        <v>24</v>
      </c>
    </row>
    <row r="199" spans="1:9" x14ac:dyDescent="0.35">
      <c r="A199">
        <f t="shared" ca="1" si="18"/>
        <v>210</v>
      </c>
      <c r="B199" t="s">
        <v>1001</v>
      </c>
      <c r="C199" t="s">
        <v>40</v>
      </c>
      <c r="D199">
        <f t="shared" ca="1" si="15"/>
        <v>24.4</v>
      </c>
      <c r="E199" s="5">
        <f t="shared" ca="1" si="19"/>
        <v>-77.37</v>
      </c>
      <c r="F199" t="str">
        <f ca="1">IF(H199&lt;=I199,"Starter",IF(G199&gt;=LARGE(G:G,FlexOn*LeagueInfo!$F$2),"Starter","Bench"))</f>
        <v>Bench</v>
      </c>
      <c r="G199">
        <f t="shared" ca="1" si="16"/>
        <v>24.4</v>
      </c>
      <c r="H199">
        <f t="shared" ca="1" si="17"/>
        <v>65</v>
      </c>
      <c r="I199">
        <f>IF(C199="WR",LeagueInfo!$D$5*LeagueInfo!$F$2,LeagueInfo!$D$6*LeagueInfo!$F$2)</f>
        <v>12</v>
      </c>
    </row>
    <row r="200" spans="1:9" x14ac:dyDescent="0.35">
      <c r="A200">
        <f t="shared" ca="1" si="18"/>
        <v>227</v>
      </c>
      <c r="B200" t="s">
        <v>108</v>
      </c>
      <c r="C200" t="s">
        <v>32</v>
      </c>
      <c r="D200">
        <f t="shared" ca="1" si="15"/>
        <v>22.029999999999998</v>
      </c>
      <c r="E200" s="5">
        <f t="shared" ca="1" si="19"/>
        <v>-79.740000000000009</v>
      </c>
      <c r="F200" t="str">
        <f ca="1">IF(H200&lt;=I200,"Starter",IF(G200&gt;=LARGE(G:G,FlexOn*LeagueInfo!$F$2),"Starter","Bench"))</f>
        <v>Bench</v>
      </c>
      <c r="G200">
        <f t="shared" ca="1" si="16"/>
        <v>22.029999999999998</v>
      </c>
      <c r="H200">
        <f t="shared" ca="1" si="17"/>
        <v>161</v>
      </c>
      <c r="I200">
        <f>IF(C200="WR",LeagueInfo!$D$5*LeagueInfo!$F$2,LeagueInfo!$D$6*LeagueInfo!$F$2)</f>
        <v>24</v>
      </c>
    </row>
    <row r="201" spans="1:9" x14ac:dyDescent="0.35">
      <c r="A201">
        <f t="shared" ca="1" si="18"/>
        <v>215</v>
      </c>
      <c r="B201" t="s">
        <v>844</v>
      </c>
      <c r="C201" t="s">
        <v>40</v>
      </c>
      <c r="D201">
        <f t="shared" ca="1" si="15"/>
        <v>23.840000000000003</v>
      </c>
      <c r="E201" s="5">
        <f t="shared" ca="1" si="19"/>
        <v>-77.930000000000007</v>
      </c>
      <c r="F201" t="str">
        <f ca="1">IF(H201&lt;=I201,"Starter",IF(G201&gt;=LARGE(G:G,FlexOn*LeagueInfo!$F$2),"Starter","Bench"))</f>
        <v>Bench</v>
      </c>
      <c r="G201">
        <f t="shared" ca="1" si="16"/>
        <v>23.840000000000003</v>
      </c>
      <c r="H201">
        <f t="shared" ca="1" si="17"/>
        <v>68</v>
      </c>
      <c r="I201">
        <f>IF(C201="WR",LeagueInfo!$D$5*LeagueInfo!$F$2,LeagueInfo!$D$6*LeagueInfo!$F$2)</f>
        <v>12</v>
      </c>
    </row>
    <row r="202" spans="1:9" x14ac:dyDescent="0.35">
      <c r="A202">
        <f t="shared" ca="1" si="18"/>
        <v>245</v>
      </c>
      <c r="B202" t="s">
        <v>943</v>
      </c>
      <c r="C202" t="s">
        <v>40</v>
      </c>
      <c r="D202">
        <f t="shared" ca="1" si="15"/>
        <v>18.990000000000002</v>
      </c>
      <c r="E202" s="5">
        <f t="shared" ca="1" si="19"/>
        <v>-82.78</v>
      </c>
      <c r="F202" t="str">
        <f ca="1">IF(H202&lt;=I202,"Starter",IF(G202&gt;=LARGE(G:G,FlexOn*LeagueInfo!$F$2),"Starter","Bench"))</f>
        <v>Bench</v>
      </c>
      <c r="G202">
        <f t="shared" ca="1" si="16"/>
        <v>18.990000000000002</v>
      </c>
      <c r="H202">
        <f t="shared" ca="1" si="17"/>
        <v>85</v>
      </c>
      <c r="I202">
        <f>IF(C202="WR",LeagueInfo!$D$5*LeagueInfo!$F$2,LeagueInfo!$D$6*LeagueInfo!$F$2)</f>
        <v>12</v>
      </c>
    </row>
    <row r="203" spans="1:9" x14ac:dyDescent="0.35">
      <c r="A203">
        <f t="shared" ca="1" si="18"/>
        <v>211</v>
      </c>
      <c r="B203" t="s">
        <v>941</v>
      </c>
      <c r="C203" t="s">
        <v>40</v>
      </c>
      <c r="D203">
        <f t="shared" ca="1" si="15"/>
        <v>24.25</v>
      </c>
      <c r="E203" s="5">
        <f t="shared" ca="1" si="19"/>
        <v>-77.52000000000001</v>
      </c>
      <c r="F203" t="str">
        <f ca="1">IF(H203&lt;=I203,"Starter",IF(G203&gt;=LARGE(G:G,FlexOn*LeagueInfo!$F$2),"Starter","Bench"))</f>
        <v>Bench</v>
      </c>
      <c r="G203">
        <f t="shared" ca="1" si="16"/>
        <v>24.25</v>
      </c>
      <c r="H203">
        <f t="shared" ca="1" si="17"/>
        <v>66</v>
      </c>
      <c r="I203">
        <f>IF(C203="WR",LeagueInfo!$D$5*LeagueInfo!$F$2,LeagueInfo!$D$6*LeagueInfo!$F$2)</f>
        <v>12</v>
      </c>
    </row>
    <row r="204" spans="1:9" x14ac:dyDescent="0.35">
      <c r="A204">
        <f t="shared" ca="1" si="18"/>
        <v>231</v>
      </c>
      <c r="B204" t="s">
        <v>946</v>
      </c>
      <c r="C204" t="s">
        <v>40</v>
      </c>
      <c r="D204">
        <f t="shared" ca="1" si="15"/>
        <v>20.990000000000002</v>
      </c>
      <c r="E204" s="5">
        <f t="shared" ca="1" si="19"/>
        <v>-80.78</v>
      </c>
      <c r="F204" t="str">
        <f ca="1">IF(H204&lt;=I204,"Starter",IF(G204&gt;=LARGE(G:G,FlexOn*LeagueInfo!$F$2),"Starter","Bench"))</f>
        <v>Bench</v>
      </c>
      <c r="G204">
        <f t="shared" ca="1" si="16"/>
        <v>20.990000000000002</v>
      </c>
      <c r="H204">
        <f t="shared" ca="1" si="17"/>
        <v>77</v>
      </c>
      <c r="I204">
        <f>IF(C204="WR",LeagueInfo!$D$5*LeagueInfo!$F$2,LeagueInfo!$D$6*LeagueInfo!$F$2)</f>
        <v>12</v>
      </c>
    </row>
    <row r="205" spans="1:9" x14ac:dyDescent="0.35">
      <c r="A205">
        <f t="shared" ca="1" si="18"/>
        <v>212</v>
      </c>
      <c r="B205" t="s">
        <v>1012</v>
      </c>
      <c r="C205" t="s">
        <v>32</v>
      </c>
      <c r="D205">
        <f t="shared" ca="1" si="15"/>
        <v>24.200000000000003</v>
      </c>
      <c r="E205" s="5">
        <f t="shared" ca="1" si="19"/>
        <v>-77.570000000000007</v>
      </c>
      <c r="F205" t="str">
        <f ca="1">IF(H205&lt;=I205,"Starter",IF(G205&gt;=LARGE(G:G,FlexOn*LeagueInfo!$F$2),"Starter","Bench"))</f>
        <v>Bench</v>
      </c>
      <c r="G205">
        <f t="shared" ca="1" si="16"/>
        <v>24.200000000000003</v>
      </c>
      <c r="H205">
        <f t="shared" ca="1" si="17"/>
        <v>153</v>
      </c>
      <c r="I205">
        <f>IF(C205="WR",LeagueInfo!$D$5*LeagueInfo!$F$2,LeagueInfo!$D$6*LeagueInfo!$F$2)</f>
        <v>24</v>
      </c>
    </row>
    <row r="206" spans="1:9" x14ac:dyDescent="0.35">
      <c r="A206">
        <f t="shared" ca="1" si="18"/>
        <v>238</v>
      </c>
      <c r="B206" t="s">
        <v>1079</v>
      </c>
      <c r="C206" t="s">
        <v>32</v>
      </c>
      <c r="D206">
        <f t="shared" ca="1" si="15"/>
        <v>19.73</v>
      </c>
      <c r="E206" s="5">
        <f t="shared" ca="1" si="19"/>
        <v>-82.04</v>
      </c>
      <c r="F206" t="str">
        <f ca="1">IF(H206&lt;=I206,"Starter",IF(G206&gt;=LARGE(G:G,FlexOn*LeagueInfo!$F$2),"Starter","Bench"))</f>
        <v>Bench</v>
      </c>
      <c r="G206">
        <f t="shared" ca="1" si="16"/>
        <v>19.73</v>
      </c>
      <c r="H206">
        <f t="shared" ca="1" si="17"/>
        <v>165</v>
      </c>
      <c r="I206">
        <f>IF(C206="WR",LeagueInfo!$D$5*LeagueInfo!$F$2,LeagueInfo!$D$6*LeagueInfo!$F$2)</f>
        <v>24</v>
      </c>
    </row>
    <row r="207" spans="1:9" x14ac:dyDescent="0.35">
      <c r="A207">
        <f t="shared" ca="1" si="18"/>
        <v>217</v>
      </c>
      <c r="B207" t="s">
        <v>1097</v>
      </c>
      <c r="C207" t="s">
        <v>32</v>
      </c>
      <c r="D207">
        <f t="shared" ca="1" si="15"/>
        <v>23.700000000000003</v>
      </c>
      <c r="E207" s="5">
        <f t="shared" ca="1" si="19"/>
        <v>-78.070000000000007</v>
      </c>
      <c r="F207" t="str">
        <f ca="1">IF(H207&lt;=I207,"Starter",IF(G207&gt;=LARGE(G:G,FlexOn*LeagueInfo!$F$2),"Starter","Bench"))</f>
        <v>Bench</v>
      </c>
      <c r="G207">
        <f t="shared" ca="1" si="16"/>
        <v>23.700000000000003</v>
      </c>
      <c r="H207">
        <f t="shared" ca="1" si="17"/>
        <v>156</v>
      </c>
      <c r="I207">
        <f>IF(C207="WR",LeagueInfo!$D$5*LeagueInfo!$F$2,LeagueInfo!$D$6*LeagueInfo!$F$2)</f>
        <v>24</v>
      </c>
    </row>
    <row r="208" spans="1:9" x14ac:dyDescent="0.35">
      <c r="A208">
        <f t="shared" ca="1" si="18"/>
        <v>214</v>
      </c>
      <c r="B208" t="s">
        <v>1089</v>
      </c>
      <c r="C208" t="s">
        <v>32</v>
      </c>
      <c r="D208">
        <f t="shared" ca="1" si="15"/>
        <v>24</v>
      </c>
      <c r="E208" s="5">
        <f t="shared" ca="1" si="19"/>
        <v>-77.77000000000001</v>
      </c>
      <c r="F208" t="str">
        <f ca="1">IF(H208&lt;=I208,"Starter",IF(G208&gt;=LARGE(G:G,FlexOn*LeagueInfo!$F$2),"Starter","Bench"))</f>
        <v>Bench</v>
      </c>
      <c r="G208">
        <f t="shared" ca="1" si="16"/>
        <v>24</v>
      </c>
      <c r="H208">
        <f t="shared" ca="1" si="17"/>
        <v>154</v>
      </c>
      <c r="I208">
        <f>IF(C208="WR",LeagueInfo!$D$5*LeagueInfo!$F$2,LeagueInfo!$D$6*LeagueInfo!$F$2)</f>
        <v>24</v>
      </c>
    </row>
    <row r="209" spans="1:9" x14ac:dyDescent="0.35">
      <c r="A209">
        <f t="shared" ca="1" si="18"/>
        <v>216</v>
      </c>
      <c r="B209" t="s">
        <v>930</v>
      </c>
      <c r="C209" t="s">
        <v>32</v>
      </c>
      <c r="D209">
        <f t="shared" ca="1" si="15"/>
        <v>23.759999999999998</v>
      </c>
      <c r="E209" s="5">
        <f t="shared" ca="1" si="19"/>
        <v>-78.010000000000019</v>
      </c>
      <c r="F209" t="str">
        <f ca="1">IF(H209&lt;=I209,"Starter",IF(G209&gt;=LARGE(G:G,FlexOn*LeagueInfo!$F$2),"Starter","Bench"))</f>
        <v>Bench</v>
      </c>
      <c r="G209">
        <f t="shared" ca="1" si="16"/>
        <v>23.759999999999998</v>
      </c>
      <c r="H209">
        <f t="shared" ca="1" si="17"/>
        <v>155</v>
      </c>
      <c r="I209">
        <f>IF(C209="WR",LeagueInfo!$D$5*LeagueInfo!$F$2,LeagueInfo!$D$6*LeagueInfo!$F$2)</f>
        <v>24</v>
      </c>
    </row>
    <row r="210" spans="1:9" x14ac:dyDescent="0.35">
      <c r="A210">
        <f t="shared" ca="1" si="18"/>
        <v>259</v>
      </c>
      <c r="B210" t="s">
        <v>704</v>
      </c>
      <c r="C210" t="s">
        <v>40</v>
      </c>
      <c r="D210">
        <f t="shared" ca="1" si="15"/>
        <v>15.86</v>
      </c>
      <c r="E210" s="5">
        <f t="shared" ca="1" si="19"/>
        <v>-85.910000000000011</v>
      </c>
      <c r="F210" t="str">
        <f ca="1">IF(H210&lt;=I210,"Starter",IF(G210&gt;=LARGE(G:G,FlexOn*LeagueInfo!$F$2),"Starter","Bench"))</f>
        <v>Bench</v>
      </c>
      <c r="G210">
        <f t="shared" ca="1" si="16"/>
        <v>15.86</v>
      </c>
      <c r="H210">
        <f t="shared" ca="1" si="17"/>
        <v>92</v>
      </c>
      <c r="I210">
        <f>IF(C210="WR",LeagueInfo!$D$5*LeagueInfo!$F$2,LeagueInfo!$D$6*LeagueInfo!$F$2)</f>
        <v>12</v>
      </c>
    </row>
    <row r="211" spans="1:9" x14ac:dyDescent="0.35">
      <c r="A211">
        <f t="shared" ca="1" si="18"/>
        <v>228</v>
      </c>
      <c r="B211" t="s">
        <v>793</v>
      </c>
      <c r="C211" t="s">
        <v>32</v>
      </c>
      <c r="D211">
        <f t="shared" ca="1" si="15"/>
        <v>21.840000000000003</v>
      </c>
      <c r="E211" s="5">
        <f t="shared" ca="1" si="19"/>
        <v>-79.930000000000007</v>
      </c>
      <c r="F211" t="str">
        <f ca="1">IF(H211&lt;=I211,"Starter",IF(G211&gt;=LARGE(G:G,FlexOn*LeagueInfo!$F$2),"Starter","Bench"))</f>
        <v>Bench</v>
      </c>
      <c r="G211">
        <f t="shared" ca="1" si="16"/>
        <v>21.840000000000003</v>
      </c>
      <c r="H211">
        <f t="shared" ca="1" si="17"/>
        <v>162</v>
      </c>
      <c r="I211">
        <f>IF(C211="WR",LeagueInfo!$D$5*LeagueInfo!$F$2,LeagueInfo!$D$6*LeagueInfo!$F$2)</f>
        <v>24</v>
      </c>
    </row>
    <row r="212" spans="1:9" x14ac:dyDescent="0.35">
      <c r="A212">
        <f t="shared" ca="1" si="18"/>
        <v>204</v>
      </c>
      <c r="B212" t="s">
        <v>1096</v>
      </c>
      <c r="C212" t="s">
        <v>32</v>
      </c>
      <c r="D212">
        <f t="shared" ca="1" si="15"/>
        <v>25.21</v>
      </c>
      <c r="E212" s="5">
        <f t="shared" ca="1" si="19"/>
        <v>-76.56</v>
      </c>
      <c r="F212" t="str">
        <f ca="1">IF(H212&lt;=I212,"Starter",IF(G212&gt;=LARGE(G:G,FlexOn*LeagueInfo!$F$2),"Starter","Bench"))</f>
        <v>Bench</v>
      </c>
      <c r="G212">
        <f t="shared" ca="1" si="16"/>
        <v>25.21</v>
      </c>
      <c r="H212">
        <f t="shared" ca="1" si="17"/>
        <v>150</v>
      </c>
      <c r="I212">
        <f>IF(C212="WR",LeagueInfo!$D$5*LeagueInfo!$F$2,LeagueInfo!$D$6*LeagueInfo!$F$2)</f>
        <v>24</v>
      </c>
    </row>
    <row r="213" spans="1:9" x14ac:dyDescent="0.35">
      <c r="A213">
        <f t="shared" ca="1" si="18"/>
        <v>239</v>
      </c>
      <c r="B213" t="s">
        <v>808</v>
      </c>
      <c r="C213" t="s">
        <v>32</v>
      </c>
      <c r="D213">
        <f t="shared" ca="1" si="15"/>
        <v>19.48</v>
      </c>
      <c r="E213" s="5">
        <f t="shared" ca="1" si="19"/>
        <v>-82.29</v>
      </c>
      <c r="F213" t="str">
        <f ca="1">IF(H213&lt;=I213,"Starter",IF(G213&gt;=LARGE(G:G,FlexOn*LeagueInfo!$F$2),"Starter","Bench"))</f>
        <v>Bench</v>
      </c>
      <c r="G213">
        <f t="shared" ca="1" si="16"/>
        <v>19.48</v>
      </c>
      <c r="H213">
        <f t="shared" ca="1" si="17"/>
        <v>166</v>
      </c>
      <c r="I213">
        <f>IF(C213="WR",LeagueInfo!$D$5*LeagueInfo!$F$2,LeagueInfo!$D$6*LeagueInfo!$F$2)</f>
        <v>24</v>
      </c>
    </row>
    <row r="214" spans="1:9" x14ac:dyDescent="0.35">
      <c r="A214">
        <f t="shared" ca="1" si="18"/>
        <v>232</v>
      </c>
      <c r="B214" t="s">
        <v>942</v>
      </c>
      <c r="C214" t="s">
        <v>40</v>
      </c>
      <c r="D214">
        <f t="shared" ca="1" si="15"/>
        <v>20.380000000000003</v>
      </c>
      <c r="E214" s="5">
        <f t="shared" ca="1" si="19"/>
        <v>-81.390000000000015</v>
      </c>
      <c r="F214" t="str">
        <f ca="1">IF(H214&lt;=I214,"Starter",IF(G214&gt;=LARGE(G:G,FlexOn*LeagueInfo!$F$2),"Starter","Bench"))</f>
        <v>Bench</v>
      </c>
      <c r="G214">
        <f t="shared" ca="1" si="16"/>
        <v>20.380000000000003</v>
      </c>
      <c r="H214">
        <f t="shared" ca="1" si="17"/>
        <v>78</v>
      </c>
      <c r="I214">
        <f>IF(C214="WR",LeagueInfo!$D$5*LeagueInfo!$F$2,LeagueInfo!$D$6*LeagueInfo!$F$2)</f>
        <v>12</v>
      </c>
    </row>
    <row r="215" spans="1:9" x14ac:dyDescent="0.35">
      <c r="A215">
        <f t="shared" ca="1" si="18"/>
        <v>201</v>
      </c>
      <c r="B215" t="s">
        <v>802</v>
      </c>
      <c r="C215" t="s">
        <v>40</v>
      </c>
      <c r="D215">
        <f t="shared" ca="1" si="15"/>
        <v>25.620000000000005</v>
      </c>
      <c r="E215" s="5">
        <f t="shared" ca="1" si="19"/>
        <v>-76.150000000000006</v>
      </c>
      <c r="F215" t="str">
        <f ca="1">IF(H215&lt;=I215,"Starter",IF(G215&gt;=LARGE(G:G,FlexOn*LeagueInfo!$F$2),"Starter","Bench"))</f>
        <v>Bench</v>
      </c>
      <c r="G215">
        <f t="shared" ca="1" si="16"/>
        <v>25.620000000000005</v>
      </c>
      <c r="H215">
        <f t="shared" ca="1" si="17"/>
        <v>61</v>
      </c>
      <c r="I215">
        <f>IF(C215="WR",LeagueInfo!$D$5*LeagueInfo!$F$2,LeagueInfo!$D$6*LeagueInfo!$F$2)</f>
        <v>12</v>
      </c>
    </row>
    <row r="216" spans="1:9" x14ac:dyDescent="0.35">
      <c r="A216">
        <f t="shared" ca="1" si="18"/>
        <v>222</v>
      </c>
      <c r="B216" t="s">
        <v>950</v>
      </c>
      <c r="C216" t="s">
        <v>40</v>
      </c>
      <c r="D216">
        <f t="shared" ca="1" si="15"/>
        <v>23.050000000000004</v>
      </c>
      <c r="E216" s="5">
        <f t="shared" ca="1" si="19"/>
        <v>-78.72</v>
      </c>
      <c r="F216" t="str">
        <f ca="1">IF(H216&lt;=I216,"Starter",IF(G216&gt;=LARGE(G:G,FlexOn*LeagueInfo!$F$2),"Starter","Bench"))</f>
        <v>Bench</v>
      </c>
      <c r="G216">
        <f t="shared" ca="1" si="16"/>
        <v>23.050000000000004</v>
      </c>
      <c r="H216">
        <f t="shared" ca="1" si="17"/>
        <v>70</v>
      </c>
      <c r="I216">
        <f>IF(C216="WR",LeagueInfo!$D$5*LeagueInfo!$F$2,LeagueInfo!$D$6*LeagueInfo!$F$2)</f>
        <v>12</v>
      </c>
    </row>
    <row r="217" spans="1:9" x14ac:dyDescent="0.35">
      <c r="A217">
        <f t="shared" ca="1" si="18"/>
        <v>236</v>
      </c>
      <c r="B217" t="s">
        <v>648</v>
      </c>
      <c r="C217" t="s">
        <v>40</v>
      </c>
      <c r="D217">
        <f t="shared" ca="1" si="15"/>
        <v>20</v>
      </c>
      <c r="E217" s="5">
        <f t="shared" ca="1" si="19"/>
        <v>-81.77000000000001</v>
      </c>
      <c r="F217" t="str">
        <f ca="1">IF(H217&lt;=I217,"Starter",IF(G217&gt;=LARGE(G:G,FlexOn*LeagueInfo!$F$2),"Starter","Bench"))</f>
        <v>Bench</v>
      </c>
      <c r="G217">
        <f t="shared" ca="1" si="16"/>
        <v>20</v>
      </c>
      <c r="H217">
        <f t="shared" ca="1" si="17"/>
        <v>81</v>
      </c>
      <c r="I217">
        <f>IF(C217="WR",LeagueInfo!$D$5*LeagueInfo!$F$2,LeagueInfo!$D$6*LeagueInfo!$F$2)</f>
        <v>12</v>
      </c>
    </row>
    <row r="218" spans="1:9" x14ac:dyDescent="0.35">
      <c r="A218">
        <f t="shared" ca="1" si="18"/>
        <v>193</v>
      </c>
      <c r="B218" t="s">
        <v>763</v>
      </c>
      <c r="C218" t="s">
        <v>40</v>
      </c>
      <c r="D218">
        <f t="shared" ca="1" si="15"/>
        <v>28.310000000000002</v>
      </c>
      <c r="E218" s="5">
        <f t="shared" ca="1" si="19"/>
        <v>-73.460000000000008</v>
      </c>
      <c r="F218" t="str">
        <f ca="1">IF(H218&lt;=I218,"Starter",IF(G218&gt;=LARGE(G:G,FlexOn*LeagueInfo!$F$2),"Starter","Bench"))</f>
        <v>Bench</v>
      </c>
      <c r="G218">
        <f t="shared" ca="1" si="16"/>
        <v>28.310000000000002</v>
      </c>
      <c r="H218">
        <f t="shared" ca="1" si="17"/>
        <v>59</v>
      </c>
      <c r="I218">
        <f>IF(C218="WR",LeagueInfo!$D$5*LeagueInfo!$F$2,LeagueInfo!$D$6*LeagueInfo!$F$2)</f>
        <v>12</v>
      </c>
    </row>
    <row r="219" spans="1:9" x14ac:dyDescent="0.35">
      <c r="A219">
        <f t="shared" ca="1" si="18"/>
        <v>223</v>
      </c>
      <c r="B219" t="s">
        <v>375</v>
      </c>
      <c r="C219" t="s">
        <v>40</v>
      </c>
      <c r="D219">
        <f t="shared" ca="1" si="15"/>
        <v>22.92</v>
      </c>
      <c r="E219" s="5">
        <f t="shared" ca="1" si="19"/>
        <v>-78.850000000000009</v>
      </c>
      <c r="F219" t="str">
        <f ca="1">IF(H219&lt;=I219,"Starter",IF(G219&gt;=LARGE(G:G,FlexOn*LeagueInfo!$F$2),"Starter","Bench"))</f>
        <v>Bench</v>
      </c>
      <c r="G219">
        <f t="shared" ca="1" si="16"/>
        <v>22.92</v>
      </c>
      <c r="H219">
        <f t="shared" ca="1" si="17"/>
        <v>71</v>
      </c>
      <c r="I219">
        <f>IF(C219="WR",LeagueInfo!$D$5*LeagueInfo!$F$2,LeagueInfo!$D$6*LeagueInfo!$F$2)</f>
        <v>12</v>
      </c>
    </row>
    <row r="220" spans="1:9" x14ac:dyDescent="0.35">
      <c r="A220">
        <f t="shared" ca="1" si="18"/>
        <v>229</v>
      </c>
      <c r="B220" t="s">
        <v>945</v>
      </c>
      <c r="C220" t="s">
        <v>40</v>
      </c>
      <c r="D220">
        <f t="shared" ca="1" si="15"/>
        <v>21.700000000000003</v>
      </c>
      <c r="E220" s="5">
        <f t="shared" ca="1" si="19"/>
        <v>-80.070000000000007</v>
      </c>
      <c r="F220" t="str">
        <f ca="1">IF(H220&lt;=I220,"Starter",IF(G220&gt;=LARGE(G:G,FlexOn*LeagueInfo!$F$2),"Starter","Bench"))</f>
        <v>Bench</v>
      </c>
      <c r="G220">
        <f t="shared" ca="1" si="16"/>
        <v>21.700000000000003</v>
      </c>
      <c r="H220">
        <f t="shared" ca="1" si="17"/>
        <v>75</v>
      </c>
      <c r="I220">
        <f>IF(C220="WR",LeagueInfo!$D$5*LeagueInfo!$F$2,LeagueInfo!$D$6*LeagueInfo!$F$2)</f>
        <v>12</v>
      </c>
    </row>
    <row r="221" spans="1:9" x14ac:dyDescent="0.35">
      <c r="A221">
        <f t="shared" ca="1" si="18"/>
        <v>199</v>
      </c>
      <c r="B221" t="s">
        <v>932</v>
      </c>
      <c r="C221" t="s">
        <v>32</v>
      </c>
      <c r="D221">
        <f t="shared" ca="1" si="15"/>
        <v>26.200000000000003</v>
      </c>
      <c r="E221" s="5">
        <f t="shared" ca="1" si="19"/>
        <v>-75.570000000000007</v>
      </c>
      <c r="F221" t="str">
        <f ca="1">IF(H221&lt;=I221,"Starter",IF(G221&gt;=LARGE(G:G,FlexOn*LeagueInfo!$F$2),"Starter","Bench"))</f>
        <v>Bench</v>
      </c>
      <c r="G221">
        <f t="shared" ca="1" si="16"/>
        <v>26.200000000000003</v>
      </c>
      <c r="H221">
        <f t="shared" ca="1" si="17"/>
        <v>146</v>
      </c>
      <c r="I221">
        <f>IF(C221="WR",LeagueInfo!$D$5*LeagueInfo!$F$2,LeagueInfo!$D$6*LeagueInfo!$F$2)</f>
        <v>24</v>
      </c>
    </row>
    <row r="222" spans="1:9" x14ac:dyDescent="0.35">
      <c r="A222">
        <f t="shared" ca="1" si="18"/>
        <v>235</v>
      </c>
      <c r="B222" t="s">
        <v>741</v>
      </c>
      <c r="C222" t="s">
        <v>40</v>
      </c>
      <c r="D222">
        <f t="shared" ca="1" si="15"/>
        <v>20.059999999999999</v>
      </c>
      <c r="E222" s="5">
        <f t="shared" ca="1" si="19"/>
        <v>-81.710000000000008</v>
      </c>
      <c r="F222" t="str">
        <f ca="1">IF(H222&lt;=I222,"Starter",IF(G222&gt;=LARGE(G:G,FlexOn*LeagueInfo!$F$2),"Starter","Bench"))</f>
        <v>Bench</v>
      </c>
      <c r="G222">
        <f t="shared" ca="1" si="16"/>
        <v>20.059999999999999</v>
      </c>
      <c r="H222">
        <f t="shared" ca="1" si="17"/>
        <v>80</v>
      </c>
      <c r="I222">
        <f>IF(C222="WR",LeagueInfo!$D$5*LeagueInfo!$F$2,LeagueInfo!$D$6*LeagueInfo!$F$2)</f>
        <v>12</v>
      </c>
    </row>
    <row r="223" spans="1:9" x14ac:dyDescent="0.35">
      <c r="A223">
        <f t="shared" ca="1" si="18"/>
        <v>225</v>
      </c>
      <c r="B223" t="s">
        <v>700</v>
      </c>
      <c r="C223" t="s">
        <v>40</v>
      </c>
      <c r="D223">
        <f t="shared" ca="1" si="15"/>
        <v>22.39</v>
      </c>
      <c r="E223" s="5">
        <f t="shared" ca="1" si="19"/>
        <v>-79.38000000000001</v>
      </c>
      <c r="F223" t="str">
        <f ca="1">IF(H223&lt;=I223,"Starter",IF(G223&gt;=LARGE(G:G,FlexOn*LeagueInfo!$F$2),"Starter","Bench"))</f>
        <v>Bench</v>
      </c>
      <c r="G223">
        <f t="shared" ca="1" si="16"/>
        <v>22.39</v>
      </c>
      <c r="H223">
        <f t="shared" ca="1" si="17"/>
        <v>72</v>
      </c>
      <c r="I223">
        <f>IF(C223="WR",LeagueInfo!$D$5*LeagueInfo!$F$2,LeagueInfo!$D$6*LeagueInfo!$F$2)</f>
        <v>12</v>
      </c>
    </row>
    <row r="224" spans="1:9" x14ac:dyDescent="0.35">
      <c r="A224">
        <f t="shared" ca="1" si="18"/>
        <v>237</v>
      </c>
      <c r="B224" t="s">
        <v>951</v>
      </c>
      <c r="C224" t="s">
        <v>40</v>
      </c>
      <c r="D224">
        <f t="shared" ca="1" si="15"/>
        <v>19.810000000000002</v>
      </c>
      <c r="E224" s="5">
        <f t="shared" ca="1" si="19"/>
        <v>-81.960000000000008</v>
      </c>
      <c r="F224" t="str">
        <f ca="1">IF(H224&lt;=I224,"Starter",IF(G224&gt;=LARGE(G:G,FlexOn*LeagueInfo!$F$2),"Starter","Bench"))</f>
        <v>Bench</v>
      </c>
      <c r="G224">
        <f t="shared" ca="1" si="16"/>
        <v>19.810000000000002</v>
      </c>
      <c r="H224">
        <f t="shared" ca="1" si="17"/>
        <v>82</v>
      </c>
      <c r="I224">
        <f>IF(C224="WR",LeagueInfo!$D$5*LeagueInfo!$F$2,LeagueInfo!$D$6*LeagueInfo!$F$2)</f>
        <v>12</v>
      </c>
    </row>
    <row r="225" spans="1:9" x14ac:dyDescent="0.35">
      <c r="A225">
        <f t="shared" ca="1" si="18"/>
        <v>209</v>
      </c>
      <c r="B225" t="s">
        <v>372</v>
      </c>
      <c r="C225" t="s">
        <v>40</v>
      </c>
      <c r="D225">
        <f t="shared" ca="1" si="15"/>
        <v>24.52</v>
      </c>
      <c r="E225" s="5">
        <f t="shared" ca="1" si="19"/>
        <v>-77.250000000000014</v>
      </c>
      <c r="F225" t="str">
        <f ca="1">IF(H225&lt;=I225,"Starter",IF(G225&gt;=LARGE(G:G,FlexOn*LeagueInfo!$F$2),"Starter","Bench"))</f>
        <v>Bench</v>
      </c>
      <c r="G225">
        <f t="shared" ca="1" si="16"/>
        <v>24.52</v>
      </c>
      <c r="H225">
        <f t="shared" ca="1" si="17"/>
        <v>64</v>
      </c>
      <c r="I225">
        <f>IF(C225="WR",LeagueInfo!$D$5*LeagueInfo!$F$2,LeagueInfo!$D$6*LeagueInfo!$F$2)</f>
        <v>12</v>
      </c>
    </row>
    <row r="226" spans="1:9" x14ac:dyDescent="0.35">
      <c r="A226">
        <f t="shared" ca="1" si="18"/>
        <v>198</v>
      </c>
      <c r="B226" t="s">
        <v>721</v>
      </c>
      <c r="C226" t="s">
        <v>40</v>
      </c>
      <c r="D226">
        <f t="shared" ca="1" si="15"/>
        <v>26.39</v>
      </c>
      <c r="E226" s="5">
        <f t="shared" ca="1" si="19"/>
        <v>-75.38000000000001</v>
      </c>
      <c r="F226" t="str">
        <f ca="1">IF(H226&lt;=I226,"Starter",IF(G226&gt;=LARGE(G:G,FlexOn*LeagueInfo!$F$2),"Starter","Bench"))</f>
        <v>Bench</v>
      </c>
      <c r="G226">
        <f t="shared" ca="1" si="16"/>
        <v>26.39</v>
      </c>
      <c r="H226">
        <f t="shared" ca="1" si="17"/>
        <v>60</v>
      </c>
      <c r="I226">
        <f>IF(C226="WR",LeagueInfo!$D$5*LeagueInfo!$F$2,LeagueInfo!$D$6*LeagueInfo!$F$2)</f>
        <v>12</v>
      </c>
    </row>
    <row r="227" spans="1:9" x14ac:dyDescent="0.35">
      <c r="A227">
        <f t="shared" ca="1" si="18"/>
        <v>241</v>
      </c>
      <c r="B227" t="s">
        <v>953</v>
      </c>
      <c r="C227" t="s">
        <v>40</v>
      </c>
      <c r="D227">
        <f t="shared" ca="1" si="15"/>
        <v>19.350000000000001</v>
      </c>
      <c r="E227" s="5">
        <f t="shared" ca="1" si="19"/>
        <v>-82.420000000000016</v>
      </c>
      <c r="F227" t="str">
        <f ca="1">IF(H227&lt;=I227,"Starter",IF(G227&gt;=LARGE(G:G,FlexOn*LeagueInfo!$F$2),"Starter","Bench"))</f>
        <v>Bench</v>
      </c>
      <c r="G227">
        <f t="shared" ca="1" si="16"/>
        <v>19.350000000000001</v>
      </c>
      <c r="H227">
        <f t="shared" ca="1" si="17"/>
        <v>84</v>
      </c>
      <c r="I227">
        <f>IF(C227="WR",LeagueInfo!$D$5*LeagueInfo!$F$2,LeagueInfo!$D$6*LeagueInfo!$F$2)</f>
        <v>12</v>
      </c>
    </row>
    <row r="228" spans="1:9" x14ac:dyDescent="0.35">
      <c r="A228">
        <f t="shared" ca="1" si="18"/>
        <v>266</v>
      </c>
      <c r="B228" t="s">
        <v>786</v>
      </c>
      <c r="C228" t="s">
        <v>32</v>
      </c>
      <c r="D228">
        <f t="shared" ca="1" si="15"/>
        <v>14.89</v>
      </c>
      <c r="E228" s="5">
        <f t="shared" ca="1" si="19"/>
        <v>-86.88000000000001</v>
      </c>
      <c r="F228" t="str">
        <f ca="1">IF(H228&lt;=I228,"Starter",IF(G228&gt;=LARGE(G:G,FlexOn*LeagueInfo!$F$2),"Starter","Bench"))</f>
        <v>Bench</v>
      </c>
      <c r="G228">
        <f t="shared" ca="1" si="16"/>
        <v>14.89</v>
      </c>
      <c r="H228">
        <f t="shared" ca="1" si="17"/>
        <v>182</v>
      </c>
      <c r="I228">
        <f>IF(C228="WR",LeagueInfo!$D$5*LeagueInfo!$F$2,LeagueInfo!$D$6*LeagueInfo!$F$2)</f>
        <v>24</v>
      </c>
    </row>
    <row r="229" spans="1:9" x14ac:dyDescent="0.35">
      <c r="A229">
        <f t="shared" ca="1" si="18"/>
        <v>230</v>
      </c>
      <c r="B229" t="s">
        <v>833</v>
      </c>
      <c r="C229" t="s">
        <v>32</v>
      </c>
      <c r="D229">
        <f t="shared" ca="1" si="15"/>
        <v>21.240000000000002</v>
      </c>
      <c r="E229" s="5">
        <f t="shared" ca="1" si="19"/>
        <v>-80.53</v>
      </c>
      <c r="F229" t="str">
        <f ca="1">IF(H229&lt;=I229,"Starter",IF(G229&gt;=LARGE(G:G,FlexOn*LeagueInfo!$F$2),"Starter","Bench"))</f>
        <v>Bench</v>
      </c>
      <c r="G229">
        <f t="shared" ca="1" si="16"/>
        <v>21.240000000000002</v>
      </c>
      <c r="H229">
        <f t="shared" ca="1" si="17"/>
        <v>163</v>
      </c>
      <c r="I229">
        <f>IF(C229="WR",LeagueInfo!$D$5*LeagueInfo!$F$2,LeagueInfo!$D$6*LeagueInfo!$F$2)</f>
        <v>24</v>
      </c>
    </row>
    <row r="230" spans="1:9" x14ac:dyDescent="0.35">
      <c r="A230">
        <f t="shared" ca="1" si="18"/>
        <v>191</v>
      </c>
      <c r="B230" t="s">
        <v>432</v>
      </c>
      <c r="C230" t="s">
        <v>32</v>
      </c>
      <c r="D230">
        <f t="shared" ca="1" si="15"/>
        <v>28.700000000000003</v>
      </c>
      <c r="E230" s="5">
        <f t="shared" ca="1" si="19"/>
        <v>-73.070000000000007</v>
      </c>
      <c r="F230" t="str">
        <f ca="1">IF(H230&lt;=I230,"Starter",IF(G230&gt;=LARGE(G:G,FlexOn*LeagueInfo!$F$2),"Starter","Bench"))</f>
        <v>Bench</v>
      </c>
      <c r="G230">
        <f t="shared" ca="1" si="16"/>
        <v>28.700000000000003</v>
      </c>
      <c r="H230">
        <f t="shared" ca="1" si="17"/>
        <v>140</v>
      </c>
      <c r="I230">
        <f>IF(C230="WR",LeagueInfo!$D$5*LeagueInfo!$F$2,LeagueInfo!$D$6*LeagueInfo!$F$2)</f>
        <v>24</v>
      </c>
    </row>
    <row r="231" spans="1:9" x14ac:dyDescent="0.35">
      <c r="A231">
        <f t="shared" ca="1" si="18"/>
        <v>226</v>
      </c>
      <c r="B231" t="s">
        <v>952</v>
      </c>
      <c r="C231" t="s">
        <v>40</v>
      </c>
      <c r="D231">
        <f t="shared" ca="1" si="15"/>
        <v>22.15</v>
      </c>
      <c r="E231" s="5">
        <f t="shared" ca="1" si="19"/>
        <v>-79.62</v>
      </c>
      <c r="F231" t="str">
        <f ca="1">IF(H231&lt;=I231,"Starter",IF(G231&gt;=LARGE(G:G,FlexOn*LeagueInfo!$F$2),"Starter","Bench"))</f>
        <v>Bench</v>
      </c>
      <c r="G231">
        <f t="shared" ca="1" si="16"/>
        <v>22.15</v>
      </c>
      <c r="H231">
        <f t="shared" ca="1" si="17"/>
        <v>73</v>
      </c>
      <c r="I231">
        <f>IF(C231="WR",LeagueInfo!$D$5*LeagueInfo!$F$2,LeagueInfo!$D$6*LeagueInfo!$F$2)</f>
        <v>12</v>
      </c>
    </row>
    <row r="232" spans="1:9" x14ac:dyDescent="0.35">
      <c r="A232">
        <f t="shared" ca="1" si="18"/>
        <v>234</v>
      </c>
      <c r="B232" t="s">
        <v>947</v>
      </c>
      <c r="C232" t="s">
        <v>40</v>
      </c>
      <c r="D232">
        <f t="shared" ca="1" si="15"/>
        <v>20.25</v>
      </c>
      <c r="E232" s="5">
        <f t="shared" ca="1" si="19"/>
        <v>-81.52000000000001</v>
      </c>
      <c r="F232" t="str">
        <f ca="1">IF(H232&lt;=I232,"Starter",IF(G232&gt;=LARGE(G:G,FlexOn*LeagueInfo!$F$2),"Starter","Bench"))</f>
        <v>Bench</v>
      </c>
      <c r="G232">
        <f t="shared" ca="1" si="16"/>
        <v>20.25</v>
      </c>
      <c r="H232">
        <f t="shared" ca="1" si="17"/>
        <v>79</v>
      </c>
      <c r="I232">
        <f>IF(C232="WR",LeagueInfo!$D$5*LeagueInfo!$F$2,LeagueInfo!$D$6*LeagueInfo!$F$2)</f>
        <v>12</v>
      </c>
    </row>
    <row r="233" spans="1:9" x14ac:dyDescent="0.35">
      <c r="A233">
        <f t="shared" ca="1" si="18"/>
        <v>242</v>
      </c>
      <c r="B233" t="s">
        <v>593</v>
      </c>
      <c r="C233" t="s">
        <v>32</v>
      </c>
      <c r="D233">
        <f t="shared" ca="1" si="15"/>
        <v>19.240000000000002</v>
      </c>
      <c r="E233" s="5">
        <f t="shared" ca="1" si="19"/>
        <v>-82.53</v>
      </c>
      <c r="F233" t="str">
        <f ca="1">IF(H233&lt;=I233,"Starter",IF(G233&gt;=LARGE(G:G,FlexOn*LeagueInfo!$F$2),"Starter","Bench"))</f>
        <v>Bench</v>
      </c>
      <c r="G233">
        <f t="shared" ca="1" si="16"/>
        <v>19.240000000000002</v>
      </c>
      <c r="H233">
        <f t="shared" ca="1" si="17"/>
        <v>167</v>
      </c>
      <c r="I233">
        <f>IF(C233="WR",LeagueInfo!$D$5*LeagueInfo!$F$2,LeagueInfo!$D$6*LeagueInfo!$F$2)</f>
        <v>24</v>
      </c>
    </row>
    <row r="234" spans="1:9" x14ac:dyDescent="0.35">
      <c r="A234">
        <f t="shared" ca="1" si="18"/>
        <v>188</v>
      </c>
      <c r="B234" t="s">
        <v>931</v>
      </c>
      <c r="C234" t="s">
        <v>32</v>
      </c>
      <c r="D234">
        <f t="shared" ca="1" si="15"/>
        <v>29.71</v>
      </c>
      <c r="E234" s="5">
        <f t="shared" ca="1" si="19"/>
        <v>-72.06</v>
      </c>
      <c r="F234" t="str">
        <f ca="1">IF(H234&lt;=I234,"Starter",IF(G234&gt;=LARGE(G:G,FlexOn*LeagueInfo!$F$2),"Starter","Bench"))</f>
        <v>Bench</v>
      </c>
      <c r="G234">
        <f t="shared" ca="1" si="16"/>
        <v>29.71</v>
      </c>
      <c r="H234">
        <f t="shared" ca="1" si="17"/>
        <v>137</v>
      </c>
      <c r="I234">
        <f>IF(C234="WR",LeagueInfo!$D$5*LeagueInfo!$F$2,LeagueInfo!$D$6*LeagueInfo!$F$2)</f>
        <v>24</v>
      </c>
    </row>
    <row r="235" spans="1:9" x14ac:dyDescent="0.35">
      <c r="A235">
        <f t="shared" ca="1" si="18"/>
        <v>246</v>
      </c>
      <c r="B235" t="s">
        <v>772</v>
      </c>
      <c r="C235" t="s">
        <v>40</v>
      </c>
      <c r="D235">
        <f t="shared" ca="1" si="15"/>
        <v>18.47</v>
      </c>
      <c r="E235" s="5">
        <f t="shared" ca="1" si="19"/>
        <v>-83.300000000000011</v>
      </c>
      <c r="F235" t="str">
        <f ca="1">IF(H235&lt;=I235,"Starter",IF(G235&gt;=LARGE(G:G,FlexOn*LeagueInfo!$F$2),"Starter","Bench"))</f>
        <v>Bench</v>
      </c>
      <c r="G235">
        <f t="shared" ca="1" si="16"/>
        <v>18.47</v>
      </c>
      <c r="H235">
        <f t="shared" ca="1" si="17"/>
        <v>86</v>
      </c>
      <c r="I235">
        <f>IF(C235="WR",LeagueInfo!$D$5*LeagueInfo!$F$2,LeagueInfo!$D$6*LeagueInfo!$F$2)</f>
        <v>12</v>
      </c>
    </row>
    <row r="236" spans="1:9" x14ac:dyDescent="0.35">
      <c r="A236">
        <f t="shared" ca="1" si="18"/>
        <v>185</v>
      </c>
      <c r="B236" t="s">
        <v>761</v>
      </c>
      <c r="C236" t="s">
        <v>32</v>
      </c>
      <c r="D236">
        <f t="shared" ca="1" si="15"/>
        <v>31.700000000000003</v>
      </c>
      <c r="E236" s="5">
        <f t="shared" ca="1" si="19"/>
        <v>-70.070000000000007</v>
      </c>
      <c r="F236" t="str">
        <f ca="1">IF(H236&lt;=I236,"Starter",IF(G236&gt;=LARGE(G:G,FlexOn*LeagueInfo!$F$2),"Starter","Bench"))</f>
        <v>Bench</v>
      </c>
      <c r="G236">
        <f t="shared" ca="1" si="16"/>
        <v>31.700000000000003</v>
      </c>
      <c r="H236">
        <f t="shared" ca="1" si="17"/>
        <v>133</v>
      </c>
      <c r="I236">
        <f>IF(C236="WR",LeagueInfo!$D$5*LeagueInfo!$F$2,LeagueInfo!$D$6*LeagueInfo!$F$2)</f>
        <v>24</v>
      </c>
    </row>
    <row r="237" spans="1:9" x14ac:dyDescent="0.35">
      <c r="A237">
        <f t="shared" ca="1" si="18"/>
        <v>208</v>
      </c>
      <c r="B237" t="s">
        <v>563</v>
      </c>
      <c r="C237" t="s">
        <v>32</v>
      </c>
      <c r="D237">
        <f t="shared" ca="1" si="15"/>
        <v>24.55</v>
      </c>
      <c r="E237" s="5">
        <f t="shared" ca="1" si="19"/>
        <v>-77.220000000000013</v>
      </c>
      <c r="F237" t="str">
        <f ca="1">IF(H237&lt;=I237,"Starter",IF(G237&gt;=LARGE(G:G,FlexOn*LeagueInfo!$F$2),"Starter","Bench"))</f>
        <v>Bench</v>
      </c>
      <c r="G237">
        <f t="shared" ca="1" si="16"/>
        <v>24.55</v>
      </c>
      <c r="H237">
        <f t="shared" ca="1" si="17"/>
        <v>152</v>
      </c>
      <c r="I237">
        <f>IF(C237="WR",LeagueInfo!$D$5*LeagueInfo!$F$2,LeagueInfo!$D$6*LeagueInfo!$F$2)</f>
        <v>24</v>
      </c>
    </row>
    <row r="238" spans="1:9" x14ac:dyDescent="0.35">
      <c r="A238">
        <f t="shared" ca="1" si="18"/>
        <v>262</v>
      </c>
      <c r="B238" t="s">
        <v>791</v>
      </c>
      <c r="C238" t="s">
        <v>32</v>
      </c>
      <c r="D238">
        <f t="shared" ca="1" si="15"/>
        <v>15.16</v>
      </c>
      <c r="E238" s="5">
        <f t="shared" ca="1" si="19"/>
        <v>-86.610000000000014</v>
      </c>
      <c r="F238" t="str">
        <f ca="1">IF(H238&lt;=I238,"Starter",IF(G238&gt;=LARGE(G:G,FlexOn*LeagueInfo!$F$2),"Starter","Bench"))</f>
        <v>Bench</v>
      </c>
      <c r="G238">
        <f t="shared" ca="1" si="16"/>
        <v>15.16</v>
      </c>
      <c r="H238">
        <f t="shared" ca="1" si="17"/>
        <v>178</v>
      </c>
      <c r="I238">
        <f>IF(C238="WR",LeagueInfo!$D$5*LeagueInfo!$F$2,LeagueInfo!$D$6*LeagueInfo!$F$2)</f>
        <v>24</v>
      </c>
    </row>
    <row r="239" spans="1:9" x14ac:dyDescent="0.35">
      <c r="A239">
        <f t="shared" ca="1" si="18"/>
        <v>176</v>
      </c>
      <c r="B239" t="s">
        <v>849</v>
      </c>
      <c r="C239" t="s">
        <v>32</v>
      </c>
      <c r="D239">
        <f t="shared" ca="1" si="15"/>
        <v>33.800000000000004</v>
      </c>
      <c r="E239" s="5">
        <f t="shared" ca="1" si="19"/>
        <v>-67.97</v>
      </c>
      <c r="F239" t="str">
        <f ca="1">IF(H239&lt;=I239,"Starter",IF(G239&gt;=LARGE(G:G,FlexOn*LeagueInfo!$F$2),"Starter","Bench"))</f>
        <v>Bench</v>
      </c>
      <c r="G239">
        <f t="shared" ca="1" si="16"/>
        <v>33.800000000000004</v>
      </c>
      <c r="H239">
        <f t="shared" ca="1" si="17"/>
        <v>128</v>
      </c>
      <c r="I239">
        <f>IF(C239="WR",LeagueInfo!$D$5*LeagueInfo!$F$2,LeagueInfo!$D$6*LeagueInfo!$F$2)</f>
        <v>24</v>
      </c>
    </row>
    <row r="240" spans="1:9" x14ac:dyDescent="0.35">
      <c r="A240">
        <f t="shared" ca="1" si="18"/>
        <v>258</v>
      </c>
      <c r="B240" t="s">
        <v>689</v>
      </c>
      <c r="C240" t="s">
        <v>40</v>
      </c>
      <c r="D240">
        <f t="shared" ref="D240:D279" ca="1" si="20">INDEX(INDIRECT($C240&amp;"!P:P"),MATCH($B240,INDIRECT($C240&amp;"!B:B"),0))</f>
        <v>15.990000000000002</v>
      </c>
      <c r="E240" s="5">
        <f t="shared" ca="1" si="19"/>
        <v>-85.78</v>
      </c>
      <c r="F240" t="str">
        <f ca="1">IF(H240&lt;=I240,"Starter",IF(G240&gt;=LARGE(G:G,FlexOn*LeagueInfo!$F$2),"Starter","Bench"))</f>
        <v>Bench</v>
      </c>
      <c r="G240">
        <f t="shared" ref="G240:G279" ca="1" si="21">IF(H240&gt;I240,D240,0)</f>
        <v>15.990000000000002</v>
      </c>
      <c r="H240">
        <f t="shared" ref="H240:H279" ca="1" si="22">INDEX(INDIRECT(""&amp;C240&amp;"!A2:A489"),MATCH(B240,INDIRECT(""&amp;C240&amp;"!B2:B489"),0))</f>
        <v>91</v>
      </c>
      <c r="I240">
        <f>IF(C240="WR",LeagueInfo!$D$5*LeagueInfo!$F$2,LeagueInfo!$D$6*LeagueInfo!$F$2)</f>
        <v>12</v>
      </c>
    </row>
    <row r="241" spans="1:9" x14ac:dyDescent="0.35">
      <c r="A241">
        <f t="shared" ca="1" si="18"/>
        <v>254</v>
      </c>
      <c r="B241" t="s">
        <v>1009</v>
      </c>
      <c r="C241" t="s">
        <v>32</v>
      </c>
      <c r="D241">
        <f t="shared" ca="1" si="20"/>
        <v>16.190000000000001</v>
      </c>
      <c r="E241" s="5">
        <f t="shared" ca="1" si="19"/>
        <v>-85.580000000000013</v>
      </c>
      <c r="F241" t="str">
        <f ca="1">IF(H241&lt;=I241,"Starter",IF(G241&gt;=LARGE(G:G,FlexOn*LeagueInfo!$F$2),"Starter","Bench"))</f>
        <v>Bench</v>
      </c>
      <c r="G241">
        <f t="shared" ca="1" si="21"/>
        <v>16.190000000000001</v>
      </c>
      <c r="H241">
        <f t="shared" ca="1" si="22"/>
        <v>174</v>
      </c>
      <c r="I241">
        <f>IF(C241="WR",LeagueInfo!$D$5*LeagueInfo!$F$2,LeagueInfo!$D$6*LeagueInfo!$F$2)</f>
        <v>24</v>
      </c>
    </row>
    <row r="242" spans="1:9" x14ac:dyDescent="0.35">
      <c r="A242">
        <f t="shared" ca="1" si="18"/>
        <v>239</v>
      </c>
      <c r="B242" t="s">
        <v>454</v>
      </c>
      <c r="C242" t="s">
        <v>40</v>
      </c>
      <c r="D242">
        <f t="shared" ca="1" si="20"/>
        <v>19.48</v>
      </c>
      <c r="E242" s="5">
        <f t="shared" ca="1" si="19"/>
        <v>-82.29</v>
      </c>
      <c r="F242" t="str">
        <f ca="1">IF(H242&lt;=I242,"Starter",IF(G242&gt;=LARGE(G:G,FlexOn*LeagueInfo!$F$2),"Starter","Bench"))</f>
        <v>Bench</v>
      </c>
      <c r="G242">
        <f t="shared" ca="1" si="21"/>
        <v>19.48</v>
      </c>
      <c r="H242">
        <f t="shared" ca="1" si="22"/>
        <v>83</v>
      </c>
      <c r="I242">
        <f>IF(C242="WR",LeagueInfo!$D$5*LeagueInfo!$F$2,LeagueInfo!$D$6*LeagueInfo!$F$2)</f>
        <v>12</v>
      </c>
    </row>
    <row r="243" spans="1:9" x14ac:dyDescent="0.35">
      <c r="A243">
        <f t="shared" ca="1" si="18"/>
        <v>264</v>
      </c>
      <c r="B243" t="s">
        <v>705</v>
      </c>
      <c r="C243" t="s">
        <v>40</v>
      </c>
      <c r="D243">
        <f t="shared" ca="1" si="20"/>
        <v>15.030000000000001</v>
      </c>
      <c r="E243" s="5">
        <f t="shared" ca="1" si="19"/>
        <v>-86.740000000000009</v>
      </c>
      <c r="F243" t="str">
        <f ca="1">IF(H243&lt;=I243,"Starter",IF(G243&gt;=LARGE(G:G,FlexOn*LeagueInfo!$F$2),"Starter","Bench"))</f>
        <v>Bench</v>
      </c>
      <c r="G243">
        <f t="shared" ca="1" si="21"/>
        <v>15.030000000000001</v>
      </c>
      <c r="H243">
        <f t="shared" ca="1" si="22"/>
        <v>95</v>
      </c>
      <c r="I243">
        <f>IF(C243="WR",LeagueInfo!$D$5*LeagueInfo!$F$2,LeagueInfo!$D$6*LeagueInfo!$F$2)</f>
        <v>12</v>
      </c>
    </row>
    <row r="244" spans="1:9" x14ac:dyDescent="0.35">
      <c r="A244">
        <f t="shared" ca="1" si="18"/>
        <v>260</v>
      </c>
      <c r="B244" t="s">
        <v>458</v>
      </c>
      <c r="C244" t="s">
        <v>40</v>
      </c>
      <c r="D244">
        <f t="shared" ca="1" si="20"/>
        <v>15.559999999999999</v>
      </c>
      <c r="E244" s="5">
        <f t="shared" ca="1" si="19"/>
        <v>-86.210000000000008</v>
      </c>
      <c r="F244" t="str">
        <f ca="1">IF(H244&lt;=I244,"Starter",IF(G244&gt;=LARGE(G:G,FlexOn*LeagueInfo!$F$2),"Starter","Bench"))</f>
        <v>Bench</v>
      </c>
      <c r="G244">
        <f t="shared" ca="1" si="21"/>
        <v>15.559999999999999</v>
      </c>
      <c r="H244">
        <f t="shared" ca="1" si="22"/>
        <v>93</v>
      </c>
      <c r="I244">
        <f>IF(C244="WR",LeagueInfo!$D$5*LeagueInfo!$F$2,LeagueInfo!$D$6*LeagueInfo!$F$2)</f>
        <v>12</v>
      </c>
    </row>
    <row r="245" spans="1:9" x14ac:dyDescent="0.35">
      <c r="A245">
        <f t="shared" ca="1" si="18"/>
        <v>278</v>
      </c>
      <c r="B245" t="s">
        <v>843</v>
      </c>
      <c r="C245" t="s">
        <v>40</v>
      </c>
      <c r="D245">
        <f t="shared" ca="1" si="20"/>
        <v>12.55</v>
      </c>
      <c r="E245" s="5">
        <f t="shared" ca="1" si="19"/>
        <v>-89.220000000000013</v>
      </c>
      <c r="F245" t="str">
        <f ca="1">IF(H245&lt;=I245,"Starter",IF(G245&gt;=LARGE(G:G,FlexOn*LeagueInfo!$F$2),"Starter","Bench"))</f>
        <v>Bench</v>
      </c>
      <c r="G245">
        <f t="shared" ca="1" si="21"/>
        <v>12.55</v>
      </c>
      <c r="H245">
        <f t="shared" ca="1" si="22"/>
        <v>99</v>
      </c>
      <c r="I245">
        <f>IF(C245="WR",LeagueInfo!$D$5*LeagueInfo!$F$2,LeagueInfo!$D$6*LeagueInfo!$F$2)</f>
        <v>12</v>
      </c>
    </row>
    <row r="246" spans="1:9" x14ac:dyDescent="0.35">
      <c r="A246">
        <f t="shared" ca="1" si="18"/>
        <v>251</v>
      </c>
      <c r="B246" t="s">
        <v>573</v>
      </c>
      <c r="C246" t="s">
        <v>40</v>
      </c>
      <c r="D246">
        <f t="shared" ca="1" si="20"/>
        <v>16.7</v>
      </c>
      <c r="E246" s="5">
        <f t="shared" ca="1" si="19"/>
        <v>-85.070000000000007</v>
      </c>
      <c r="F246" t="str">
        <f ca="1">IF(H246&lt;=I246,"Starter",IF(G246&gt;=LARGE(G:G,FlexOn*LeagueInfo!$F$2),"Starter","Bench"))</f>
        <v>Bench</v>
      </c>
      <c r="G246">
        <f t="shared" ca="1" si="21"/>
        <v>16.7</v>
      </c>
      <c r="H246">
        <f t="shared" ca="1" si="22"/>
        <v>89</v>
      </c>
      <c r="I246">
        <f>IF(C246="WR",LeagueInfo!$D$5*LeagueInfo!$F$2,LeagueInfo!$D$6*LeagueInfo!$F$2)</f>
        <v>12</v>
      </c>
    </row>
    <row r="247" spans="1:9" x14ac:dyDescent="0.35">
      <c r="A247">
        <f t="shared" ca="1" si="18"/>
        <v>261</v>
      </c>
      <c r="B247" t="s">
        <v>483</v>
      </c>
      <c r="C247" t="s">
        <v>40</v>
      </c>
      <c r="D247">
        <f t="shared" ca="1" si="20"/>
        <v>15.5</v>
      </c>
      <c r="E247" s="5">
        <f t="shared" ca="1" si="19"/>
        <v>-86.27000000000001</v>
      </c>
      <c r="F247" t="str">
        <f ca="1">IF(H247&lt;=I247,"Starter",IF(G247&gt;=LARGE(G:G,FlexOn*LeagueInfo!$F$2),"Starter","Bench"))</f>
        <v>Bench</v>
      </c>
      <c r="G247">
        <f t="shared" ca="1" si="21"/>
        <v>15.5</v>
      </c>
      <c r="H247">
        <f t="shared" ca="1" si="22"/>
        <v>94</v>
      </c>
      <c r="I247">
        <f>IF(C247="WR",LeagueInfo!$D$5*LeagueInfo!$F$2,LeagueInfo!$D$6*LeagueInfo!$F$2)</f>
        <v>12</v>
      </c>
    </row>
    <row r="248" spans="1:9" x14ac:dyDescent="0.35">
      <c r="A248">
        <f t="shared" ca="1" si="18"/>
        <v>273</v>
      </c>
      <c r="B248" t="s">
        <v>570</v>
      </c>
      <c r="C248" t="s">
        <v>40</v>
      </c>
      <c r="D248">
        <f t="shared" ca="1" si="20"/>
        <v>13.870000000000001</v>
      </c>
      <c r="E248" s="5">
        <f t="shared" ca="1" si="19"/>
        <v>-87.9</v>
      </c>
      <c r="F248" t="str">
        <f ca="1">IF(H248&lt;=I248,"Starter",IF(G248&gt;=LARGE(G:G,FlexOn*LeagueInfo!$F$2),"Starter","Bench"))</f>
        <v>Bench</v>
      </c>
      <c r="G248">
        <f t="shared" ca="1" si="21"/>
        <v>13.870000000000001</v>
      </c>
      <c r="H248">
        <f t="shared" ca="1" si="22"/>
        <v>97</v>
      </c>
      <c r="I248">
        <f>IF(C248="WR",LeagueInfo!$D$5*LeagueInfo!$F$2,LeagueInfo!$D$6*LeagueInfo!$F$2)</f>
        <v>12</v>
      </c>
    </row>
    <row r="249" spans="1:9" x14ac:dyDescent="0.35">
      <c r="A249">
        <f t="shared" ca="1" si="18"/>
        <v>272</v>
      </c>
      <c r="B249" t="s">
        <v>574</v>
      </c>
      <c r="C249" t="s">
        <v>40</v>
      </c>
      <c r="D249">
        <f t="shared" ca="1" si="20"/>
        <v>14.070000000000002</v>
      </c>
      <c r="E249" s="5">
        <f t="shared" ca="1" si="19"/>
        <v>-87.7</v>
      </c>
      <c r="F249" t="str">
        <f ca="1">IF(H249&lt;=I249,"Starter",IF(G249&gt;=LARGE(G:G,FlexOn*LeagueInfo!$F$2),"Starter","Bench"))</f>
        <v>Bench</v>
      </c>
      <c r="G249">
        <f t="shared" ca="1" si="21"/>
        <v>14.070000000000002</v>
      </c>
      <c r="H249">
        <f t="shared" ca="1" si="22"/>
        <v>96</v>
      </c>
      <c r="I249">
        <f>IF(C249="WR",LeagueInfo!$D$5*LeagueInfo!$F$2,LeagueInfo!$D$6*LeagueInfo!$F$2)</f>
        <v>12</v>
      </c>
    </row>
    <row r="250" spans="1:9" x14ac:dyDescent="0.35">
      <c r="A250">
        <f t="shared" ca="1" si="18"/>
        <v>281</v>
      </c>
      <c r="B250" t="s">
        <v>636</v>
      </c>
      <c r="C250" t="s">
        <v>40</v>
      </c>
      <c r="D250">
        <f t="shared" ca="1" si="20"/>
        <v>11.65</v>
      </c>
      <c r="E250" s="5">
        <f t="shared" ca="1" si="19"/>
        <v>-90.12</v>
      </c>
      <c r="F250" t="str">
        <f ca="1">IF(H250&lt;=I250,"Starter",IF(G250&gt;=LARGE(G:G,FlexOn*LeagueInfo!$F$2),"Starter","Bench"))</f>
        <v>Bench</v>
      </c>
      <c r="G250">
        <f t="shared" ca="1" si="21"/>
        <v>11.65</v>
      </c>
      <c r="H250">
        <f t="shared" ca="1" si="22"/>
        <v>100</v>
      </c>
      <c r="I250">
        <f>IF(C250="WR",LeagueInfo!$D$5*LeagueInfo!$F$2,LeagueInfo!$D$6*LeagueInfo!$F$2)</f>
        <v>12</v>
      </c>
    </row>
    <row r="251" spans="1:9" x14ac:dyDescent="0.35">
      <c r="A251">
        <f t="shared" ca="1" si="18"/>
        <v>294</v>
      </c>
      <c r="B251" t="s">
        <v>484</v>
      </c>
      <c r="C251" t="s">
        <v>40</v>
      </c>
      <c r="D251">
        <f t="shared" ca="1" si="20"/>
        <v>7.6000000000000005</v>
      </c>
      <c r="E251" s="5">
        <f t="shared" ca="1" si="19"/>
        <v>-94.170000000000016</v>
      </c>
      <c r="F251" t="str">
        <f ca="1">IF(H251&lt;=I251,"Starter",IF(G251&gt;=LARGE(G:G,FlexOn*LeagueInfo!$F$2),"Starter","Bench"))</f>
        <v>Bench</v>
      </c>
      <c r="G251">
        <f t="shared" ca="1" si="21"/>
        <v>7.6000000000000005</v>
      </c>
      <c r="H251">
        <f t="shared" ca="1" si="22"/>
        <v>110</v>
      </c>
      <c r="I251">
        <f>IF(C251="WR",LeagueInfo!$D$5*LeagueInfo!$F$2,LeagueInfo!$D$6*LeagueInfo!$F$2)</f>
        <v>12</v>
      </c>
    </row>
    <row r="252" spans="1:9" x14ac:dyDescent="0.35">
      <c r="A252">
        <f t="shared" ca="1" si="18"/>
        <v>289</v>
      </c>
      <c r="B252" t="s">
        <v>641</v>
      </c>
      <c r="C252" t="s">
        <v>40</v>
      </c>
      <c r="D252">
        <f t="shared" ca="1" si="20"/>
        <v>10.6</v>
      </c>
      <c r="E252" s="5">
        <f t="shared" ca="1" si="19"/>
        <v>-91.170000000000016</v>
      </c>
      <c r="F252" t="str">
        <f ca="1">IF(H252&lt;=I252,"Starter",IF(G252&gt;=LARGE(G:G,FlexOn*LeagueInfo!$F$2),"Starter","Bench"))</f>
        <v>Bench</v>
      </c>
      <c r="G252">
        <f t="shared" ca="1" si="21"/>
        <v>10.6</v>
      </c>
      <c r="H252">
        <f t="shared" ca="1" si="22"/>
        <v>105</v>
      </c>
      <c r="I252">
        <f>IF(C252="WR",LeagueInfo!$D$5*LeagueInfo!$F$2,LeagueInfo!$D$6*LeagueInfo!$F$2)</f>
        <v>12</v>
      </c>
    </row>
    <row r="253" spans="1:9" x14ac:dyDescent="0.35">
      <c r="A253">
        <f t="shared" ca="1" si="18"/>
        <v>283</v>
      </c>
      <c r="B253" t="s">
        <v>486</v>
      </c>
      <c r="C253" t="s">
        <v>40</v>
      </c>
      <c r="D253">
        <f t="shared" ca="1" si="20"/>
        <v>11.3</v>
      </c>
      <c r="E253" s="5">
        <f t="shared" ca="1" si="19"/>
        <v>-90.470000000000013</v>
      </c>
      <c r="F253" t="str">
        <f ca="1">IF(H253&lt;=I253,"Starter",IF(G253&gt;=LARGE(G:G,FlexOn*LeagueInfo!$F$2),"Starter","Bench"))</f>
        <v>Bench</v>
      </c>
      <c r="G253">
        <f t="shared" ca="1" si="21"/>
        <v>11.3</v>
      </c>
      <c r="H253">
        <f t="shared" ca="1" si="22"/>
        <v>102</v>
      </c>
      <c r="I253">
        <f>IF(C253="WR",LeagueInfo!$D$5*LeagueInfo!$F$2,LeagueInfo!$D$6*LeagueInfo!$F$2)</f>
        <v>12</v>
      </c>
    </row>
    <row r="254" spans="1:9" x14ac:dyDescent="0.35">
      <c r="A254">
        <f t="shared" ca="1" si="18"/>
        <v>249</v>
      </c>
      <c r="B254" t="s">
        <v>645</v>
      </c>
      <c r="C254" t="s">
        <v>40</v>
      </c>
      <c r="D254">
        <f t="shared" ca="1" si="20"/>
        <v>17.03</v>
      </c>
      <c r="E254" s="5">
        <f t="shared" ca="1" si="19"/>
        <v>-84.740000000000009</v>
      </c>
      <c r="F254" t="str">
        <f ca="1">IF(H254&lt;=I254,"Starter",IF(G254&gt;=LARGE(G:G,FlexOn*LeagueInfo!$F$2),"Starter","Bench"))</f>
        <v>Bench</v>
      </c>
      <c r="G254">
        <f t="shared" ca="1" si="21"/>
        <v>17.03</v>
      </c>
      <c r="H254">
        <f t="shared" ca="1" si="22"/>
        <v>88</v>
      </c>
      <c r="I254">
        <f>IF(C254="WR",LeagueInfo!$D$5*LeagueInfo!$F$2,LeagueInfo!$D$6*LeagueInfo!$F$2)</f>
        <v>12</v>
      </c>
    </row>
    <row r="255" spans="1:9" x14ac:dyDescent="0.35">
      <c r="A255">
        <f t="shared" ca="1" si="18"/>
        <v>252</v>
      </c>
      <c r="B255" t="s">
        <v>1082</v>
      </c>
      <c r="C255" t="s">
        <v>40</v>
      </c>
      <c r="D255">
        <f t="shared" ca="1" si="20"/>
        <v>16.559999999999999</v>
      </c>
      <c r="E255" s="5">
        <f t="shared" ca="1" si="19"/>
        <v>-85.210000000000008</v>
      </c>
      <c r="F255" t="str">
        <f ca="1">IF(H255&lt;=I255,"Starter",IF(G255&gt;=LARGE(G:G,FlexOn*LeagueInfo!$F$2),"Starter","Bench"))</f>
        <v>Bench</v>
      </c>
      <c r="G255">
        <f t="shared" ca="1" si="21"/>
        <v>16.559999999999999</v>
      </c>
      <c r="H255">
        <f t="shared" ca="1" si="22"/>
        <v>90</v>
      </c>
      <c r="I255">
        <f>IF(C255="WR",LeagueInfo!$D$5*LeagueInfo!$F$2,LeagueInfo!$D$6*LeagueInfo!$F$2)</f>
        <v>12</v>
      </c>
    </row>
    <row r="256" spans="1:9" x14ac:dyDescent="0.35">
      <c r="A256">
        <f t="shared" ca="1" si="18"/>
        <v>282</v>
      </c>
      <c r="B256" t="s">
        <v>838</v>
      </c>
      <c r="C256" t="s">
        <v>40</v>
      </c>
      <c r="D256">
        <f t="shared" ca="1" si="20"/>
        <v>11.39</v>
      </c>
      <c r="E256" s="5">
        <f t="shared" ca="1" si="19"/>
        <v>-90.38000000000001</v>
      </c>
      <c r="F256" t="str">
        <f ca="1">IF(H256&lt;=I256,"Starter",IF(G256&gt;=LARGE(G:G,FlexOn*LeagueInfo!$F$2),"Starter","Bench"))</f>
        <v>Bench</v>
      </c>
      <c r="G256">
        <f t="shared" ca="1" si="21"/>
        <v>11.39</v>
      </c>
      <c r="H256">
        <f t="shared" ca="1" si="22"/>
        <v>101</v>
      </c>
      <c r="I256">
        <f>IF(C256="WR",LeagueInfo!$D$5*LeagueInfo!$F$2,LeagueInfo!$D$6*LeagueInfo!$F$2)</f>
        <v>12</v>
      </c>
    </row>
    <row r="257" spans="1:9" x14ac:dyDescent="0.35">
      <c r="A257">
        <f t="shared" ca="1" si="18"/>
        <v>286</v>
      </c>
      <c r="B257" t="s">
        <v>1006</v>
      </c>
      <c r="C257" t="s">
        <v>40</v>
      </c>
      <c r="D257">
        <f t="shared" ca="1" si="20"/>
        <v>11</v>
      </c>
      <c r="E257" s="5">
        <f t="shared" ca="1" si="19"/>
        <v>-90.77000000000001</v>
      </c>
      <c r="F257" t="str">
        <f ca="1">IF(H257&lt;=I257,"Starter",IF(G257&gt;=LARGE(G:G,FlexOn*LeagueInfo!$F$2),"Starter","Bench"))</f>
        <v>Bench</v>
      </c>
      <c r="G257">
        <f t="shared" ca="1" si="21"/>
        <v>11</v>
      </c>
      <c r="H257">
        <f t="shared" ca="1" si="22"/>
        <v>104</v>
      </c>
      <c r="I257">
        <f>IF(C257="WR",LeagueInfo!$D$5*LeagueInfo!$F$2,LeagueInfo!$D$6*LeagueInfo!$F$2)</f>
        <v>12</v>
      </c>
    </row>
    <row r="258" spans="1:9" x14ac:dyDescent="0.35">
      <c r="A258">
        <f t="shared" ref="A258:A304" ca="1" si="23">RANK(E258,E:E)</f>
        <v>247</v>
      </c>
      <c r="B258" t="s">
        <v>944</v>
      </c>
      <c r="C258" t="s">
        <v>40</v>
      </c>
      <c r="D258">
        <f t="shared" ca="1" si="20"/>
        <v>18.200000000000003</v>
      </c>
      <c r="E258" s="5">
        <f t="shared" ref="E258:E304" ca="1" si="24">D258-LARGE(D:D,TECount+WRCount)</f>
        <v>-83.570000000000007</v>
      </c>
      <c r="F258" t="str">
        <f ca="1">IF(H258&lt;=I258,"Starter",IF(G258&gt;=LARGE(G:G,FlexOn*LeagueInfo!$F$2),"Starter","Bench"))</f>
        <v>Bench</v>
      </c>
      <c r="G258">
        <f t="shared" ca="1" si="21"/>
        <v>18.200000000000003</v>
      </c>
      <c r="H258">
        <f t="shared" ca="1" si="22"/>
        <v>87</v>
      </c>
      <c r="I258">
        <f>IF(C258="WR",LeagueInfo!$D$5*LeagueInfo!$F$2,LeagueInfo!$D$6*LeagueInfo!$F$2)</f>
        <v>12</v>
      </c>
    </row>
    <row r="259" spans="1:9" x14ac:dyDescent="0.35">
      <c r="A259">
        <f t="shared" ca="1" si="23"/>
        <v>302</v>
      </c>
      <c r="B259" t="s">
        <v>650</v>
      </c>
      <c r="C259" t="s">
        <v>40</v>
      </c>
      <c r="D259">
        <f t="shared" ca="1" si="20"/>
        <v>4.1399999999999997</v>
      </c>
      <c r="E259" s="5">
        <f t="shared" ca="1" si="24"/>
        <v>-97.63000000000001</v>
      </c>
      <c r="F259" t="str">
        <f ca="1">IF(H259&lt;=I259,"Starter",IF(G259&gt;=LARGE(G:G,FlexOn*LeagueInfo!$F$2),"Starter","Bench"))</f>
        <v>Bench</v>
      </c>
      <c r="G259">
        <f t="shared" ca="1" si="21"/>
        <v>4.1399999999999997</v>
      </c>
      <c r="H259">
        <f t="shared" ca="1" si="22"/>
        <v>113</v>
      </c>
      <c r="I259">
        <f>IF(C259="WR",LeagueInfo!$D$5*LeagueInfo!$F$2,LeagueInfo!$D$6*LeagueInfo!$F$2)</f>
        <v>12</v>
      </c>
    </row>
    <row r="260" spans="1:9" x14ac:dyDescent="0.35">
      <c r="A260">
        <f t="shared" ca="1" si="23"/>
        <v>285</v>
      </c>
      <c r="B260" t="s">
        <v>1007</v>
      </c>
      <c r="C260" t="s">
        <v>40</v>
      </c>
      <c r="D260">
        <f t="shared" ca="1" si="20"/>
        <v>11.06</v>
      </c>
      <c r="E260" s="5">
        <f t="shared" ca="1" si="24"/>
        <v>-90.710000000000008</v>
      </c>
      <c r="F260" t="str">
        <f ca="1">IF(H260&lt;=I260,"Starter",IF(G260&gt;=LARGE(G:G,FlexOn*LeagueInfo!$F$2),"Starter","Bench"))</f>
        <v>Bench</v>
      </c>
      <c r="G260">
        <f t="shared" ca="1" si="21"/>
        <v>11.06</v>
      </c>
      <c r="H260">
        <f t="shared" ca="1" si="22"/>
        <v>103</v>
      </c>
      <c r="I260">
        <f>IF(C260="WR",LeagueInfo!$D$5*LeagueInfo!$F$2,LeagueInfo!$D$6*LeagueInfo!$F$2)</f>
        <v>12</v>
      </c>
    </row>
    <row r="261" spans="1:9" x14ac:dyDescent="0.35">
      <c r="A261">
        <f t="shared" ca="1" si="23"/>
        <v>292</v>
      </c>
      <c r="B261" t="s">
        <v>1008</v>
      </c>
      <c r="C261" t="s">
        <v>40</v>
      </c>
      <c r="D261">
        <f t="shared" ca="1" si="20"/>
        <v>7.98</v>
      </c>
      <c r="E261" s="5">
        <f t="shared" ca="1" si="24"/>
        <v>-93.79</v>
      </c>
      <c r="F261" t="str">
        <f ca="1">IF(H261&lt;=I261,"Starter",IF(G261&gt;=LARGE(G:G,FlexOn*LeagueInfo!$F$2),"Starter","Bench"))</f>
        <v>Bench</v>
      </c>
      <c r="G261">
        <f t="shared" ca="1" si="21"/>
        <v>7.98</v>
      </c>
      <c r="H261">
        <f t="shared" ca="1" si="22"/>
        <v>109</v>
      </c>
      <c r="I261">
        <f>IF(C261="WR",LeagueInfo!$D$5*LeagueInfo!$F$2,LeagueInfo!$D$6*LeagueInfo!$F$2)</f>
        <v>12</v>
      </c>
    </row>
    <row r="262" spans="1:9" x14ac:dyDescent="0.35">
      <c r="A262">
        <f t="shared" ca="1" si="23"/>
        <v>291</v>
      </c>
      <c r="B262" t="s">
        <v>1093</v>
      </c>
      <c r="C262" t="s">
        <v>40</v>
      </c>
      <c r="D262">
        <f t="shared" ca="1" si="20"/>
        <v>8.14</v>
      </c>
      <c r="E262" s="5">
        <f t="shared" ca="1" si="24"/>
        <v>-93.63000000000001</v>
      </c>
      <c r="F262" t="str">
        <f ca="1">IF(H262&lt;=I262,"Starter",IF(G262&gt;=LARGE(G:G,FlexOn*LeagueInfo!$F$2),"Starter","Bench"))</f>
        <v>Bench</v>
      </c>
      <c r="G262">
        <f t="shared" ca="1" si="21"/>
        <v>8.14</v>
      </c>
      <c r="H262">
        <f t="shared" ca="1" si="22"/>
        <v>108</v>
      </c>
      <c r="I262">
        <f>IF(C262="WR",LeagueInfo!$D$5*LeagueInfo!$F$2,LeagueInfo!$D$6*LeagueInfo!$F$2)</f>
        <v>12</v>
      </c>
    </row>
    <row r="263" spans="1:9" x14ac:dyDescent="0.35">
      <c r="A263">
        <f t="shared" ca="1" si="23"/>
        <v>186</v>
      </c>
      <c r="B263" t="s">
        <v>809</v>
      </c>
      <c r="C263" t="s">
        <v>32</v>
      </c>
      <c r="D263">
        <f t="shared" ca="1" si="20"/>
        <v>31.5</v>
      </c>
      <c r="E263" s="5">
        <f t="shared" ca="1" si="24"/>
        <v>-70.27000000000001</v>
      </c>
      <c r="F263" t="str">
        <f ca="1">IF(H263&lt;=I263,"Starter",IF(G263&gt;=LARGE(G:G,FlexOn*LeagueInfo!$F$2),"Starter","Bench"))</f>
        <v>Bench</v>
      </c>
      <c r="G263">
        <f t="shared" ca="1" si="21"/>
        <v>31.5</v>
      </c>
      <c r="H263">
        <f t="shared" ca="1" si="22"/>
        <v>134</v>
      </c>
      <c r="I263">
        <f>IF(C263="WR",LeagueInfo!$D$5*LeagueInfo!$F$2,LeagueInfo!$D$6*LeagueInfo!$F$2)</f>
        <v>24</v>
      </c>
    </row>
    <row r="264" spans="1:9" x14ac:dyDescent="0.35">
      <c r="A264">
        <f t="shared" ca="1" si="23"/>
        <v>243</v>
      </c>
      <c r="B264" t="s">
        <v>409</v>
      </c>
      <c r="C264" t="s">
        <v>32</v>
      </c>
      <c r="D264">
        <f t="shared" ca="1" si="20"/>
        <v>19.010000000000002</v>
      </c>
      <c r="E264" s="5">
        <f t="shared" ca="1" si="24"/>
        <v>-82.76</v>
      </c>
      <c r="F264" t="str">
        <f ca="1">IF(H264&lt;=I264,"Starter",IF(G264&gt;=LARGE(G:G,FlexOn*LeagueInfo!$F$2),"Starter","Bench"))</f>
        <v>Bench</v>
      </c>
      <c r="G264">
        <f t="shared" ca="1" si="21"/>
        <v>19.010000000000002</v>
      </c>
      <c r="H264">
        <f t="shared" ca="1" si="22"/>
        <v>168</v>
      </c>
      <c r="I264">
        <f>IF(C264="WR",LeagueInfo!$D$5*LeagueInfo!$F$2,LeagueInfo!$D$6*LeagueInfo!$F$2)</f>
        <v>24</v>
      </c>
    </row>
    <row r="265" spans="1:9" x14ac:dyDescent="0.35">
      <c r="A265">
        <f t="shared" ca="1" si="23"/>
        <v>220</v>
      </c>
      <c r="B265" t="s">
        <v>549</v>
      </c>
      <c r="C265" t="s">
        <v>32</v>
      </c>
      <c r="D265">
        <f t="shared" ca="1" si="20"/>
        <v>23.200000000000003</v>
      </c>
      <c r="E265" s="5">
        <f t="shared" ca="1" si="24"/>
        <v>-78.570000000000007</v>
      </c>
      <c r="F265" t="str">
        <f ca="1">IF(H265&lt;=I265,"Starter",IF(G265&gt;=LARGE(G:G,FlexOn*LeagueInfo!$F$2),"Starter","Bench"))</f>
        <v>Bench</v>
      </c>
      <c r="G265">
        <f t="shared" ca="1" si="21"/>
        <v>23.200000000000003</v>
      </c>
      <c r="H265">
        <f t="shared" ca="1" si="22"/>
        <v>158</v>
      </c>
      <c r="I265">
        <f>IF(C265="WR",LeagueInfo!$D$5*LeagueInfo!$F$2,LeagueInfo!$D$6*LeagueInfo!$F$2)</f>
        <v>24</v>
      </c>
    </row>
    <row r="266" spans="1:9" x14ac:dyDescent="0.35">
      <c r="A266">
        <f t="shared" ca="1" si="23"/>
        <v>263</v>
      </c>
      <c r="B266" t="s">
        <v>935</v>
      </c>
      <c r="C266" t="s">
        <v>32</v>
      </c>
      <c r="D266">
        <f t="shared" ca="1" si="20"/>
        <v>15.07</v>
      </c>
      <c r="E266" s="5">
        <f t="shared" ca="1" si="24"/>
        <v>-86.700000000000017</v>
      </c>
      <c r="F266" t="str">
        <f ca="1">IF(H266&lt;=I266,"Starter",IF(G266&gt;=LARGE(G:G,FlexOn*LeagueInfo!$F$2),"Starter","Bench"))</f>
        <v>Bench</v>
      </c>
      <c r="G266">
        <f t="shared" ca="1" si="21"/>
        <v>15.07</v>
      </c>
      <c r="H266">
        <f t="shared" ca="1" si="22"/>
        <v>179</v>
      </c>
      <c r="I266">
        <f>IF(C266="WR",LeagueInfo!$D$5*LeagueInfo!$F$2,LeagueInfo!$D$6*LeagueInfo!$F$2)</f>
        <v>24</v>
      </c>
    </row>
    <row r="267" spans="1:9" x14ac:dyDescent="0.35">
      <c r="A267">
        <f t="shared" ca="1" si="23"/>
        <v>253</v>
      </c>
      <c r="B267" t="s">
        <v>246</v>
      </c>
      <c r="C267" t="s">
        <v>32</v>
      </c>
      <c r="D267">
        <f t="shared" ca="1" si="20"/>
        <v>16.450000000000003</v>
      </c>
      <c r="E267" s="5">
        <f t="shared" ca="1" si="24"/>
        <v>-85.320000000000007</v>
      </c>
      <c r="F267" t="str">
        <f ca="1">IF(H267&lt;=I267,"Starter",IF(G267&gt;=LARGE(G:G,FlexOn*LeagueInfo!$F$2),"Starter","Bench"))</f>
        <v>Bench</v>
      </c>
      <c r="G267">
        <f t="shared" ca="1" si="21"/>
        <v>16.450000000000003</v>
      </c>
      <c r="H267">
        <f t="shared" ca="1" si="22"/>
        <v>173</v>
      </c>
      <c r="I267">
        <f>IF(C267="WR",LeagueInfo!$D$5*LeagueInfo!$F$2,LeagueInfo!$D$6*LeagueInfo!$F$2)</f>
        <v>24</v>
      </c>
    </row>
    <row r="268" spans="1:9" x14ac:dyDescent="0.35">
      <c r="A268">
        <f t="shared" ca="1" si="23"/>
        <v>248</v>
      </c>
      <c r="B268" t="s">
        <v>497</v>
      </c>
      <c r="C268" t="s">
        <v>32</v>
      </c>
      <c r="D268">
        <f t="shared" ca="1" si="20"/>
        <v>17.739999999999998</v>
      </c>
      <c r="E268" s="5">
        <f t="shared" ca="1" si="24"/>
        <v>-84.030000000000015</v>
      </c>
      <c r="F268" t="str">
        <f ca="1">IF(H268&lt;=I268,"Starter",IF(G268&gt;=LARGE(G:G,FlexOn*LeagueInfo!$F$2),"Starter","Bench"))</f>
        <v>Bench</v>
      </c>
      <c r="G268">
        <f t="shared" ca="1" si="21"/>
        <v>17.739999999999998</v>
      </c>
      <c r="H268">
        <f t="shared" ca="1" si="22"/>
        <v>170</v>
      </c>
      <c r="I268">
        <f>IF(C268="WR",LeagueInfo!$D$5*LeagueInfo!$F$2,LeagueInfo!$D$6*LeagueInfo!$F$2)</f>
        <v>24</v>
      </c>
    </row>
    <row r="269" spans="1:9" x14ac:dyDescent="0.35">
      <c r="A269">
        <f t="shared" ca="1" si="23"/>
        <v>250</v>
      </c>
      <c r="B269" t="s">
        <v>235</v>
      </c>
      <c r="C269" t="s">
        <v>32</v>
      </c>
      <c r="D269">
        <f t="shared" ca="1" si="20"/>
        <v>16.82</v>
      </c>
      <c r="E269" s="5">
        <f t="shared" ca="1" si="24"/>
        <v>-84.950000000000017</v>
      </c>
      <c r="F269" t="str">
        <f ca="1">IF(H269&lt;=I269,"Starter",IF(G269&gt;=LARGE(G:G,FlexOn*LeagueInfo!$F$2),"Starter","Bench"))</f>
        <v>Bench</v>
      </c>
      <c r="G269">
        <f t="shared" ca="1" si="21"/>
        <v>16.82</v>
      </c>
      <c r="H269">
        <f t="shared" ca="1" si="22"/>
        <v>172</v>
      </c>
      <c r="I269">
        <f>IF(C269="WR",LeagueInfo!$D$5*LeagueInfo!$F$2,LeagueInfo!$D$6*LeagueInfo!$F$2)</f>
        <v>24</v>
      </c>
    </row>
    <row r="270" spans="1:9" x14ac:dyDescent="0.35">
      <c r="A270">
        <f t="shared" ca="1" si="23"/>
        <v>180</v>
      </c>
      <c r="B270" t="s">
        <v>600</v>
      </c>
      <c r="C270" t="s">
        <v>32</v>
      </c>
      <c r="D270">
        <f t="shared" ca="1" si="20"/>
        <v>32.450000000000003</v>
      </c>
      <c r="E270" s="5">
        <f t="shared" ca="1" si="24"/>
        <v>-69.320000000000007</v>
      </c>
      <c r="F270" t="str">
        <f ca="1">IF(H270&lt;=I270,"Starter",IF(G270&gt;=LARGE(G:G,FlexOn*LeagueInfo!$F$2),"Starter","Bench"))</f>
        <v>Bench</v>
      </c>
      <c r="G270">
        <f t="shared" ca="1" si="21"/>
        <v>32.450000000000003</v>
      </c>
      <c r="H270">
        <f t="shared" ca="1" si="22"/>
        <v>131</v>
      </c>
      <c r="I270">
        <f>IF(C270="WR",LeagueInfo!$D$5*LeagueInfo!$F$2,LeagueInfo!$D$6*LeagueInfo!$F$2)</f>
        <v>24</v>
      </c>
    </row>
    <row r="271" spans="1:9" x14ac:dyDescent="0.35">
      <c r="A271">
        <f t="shared" ca="1" si="23"/>
        <v>220</v>
      </c>
      <c r="B271" t="s">
        <v>248</v>
      </c>
      <c r="C271" t="s">
        <v>32</v>
      </c>
      <c r="D271">
        <f t="shared" ca="1" si="20"/>
        <v>23.200000000000003</v>
      </c>
      <c r="E271" s="5">
        <f t="shared" ca="1" si="24"/>
        <v>-78.570000000000007</v>
      </c>
      <c r="F271" t="str">
        <f ca="1">IF(H271&lt;=I271,"Starter",IF(G271&gt;=LARGE(G:G,FlexOn*LeagueInfo!$F$2),"Starter","Bench"))</f>
        <v>Bench</v>
      </c>
      <c r="G271">
        <f t="shared" ca="1" si="21"/>
        <v>23.200000000000003</v>
      </c>
      <c r="H271">
        <f t="shared" ca="1" si="22"/>
        <v>158</v>
      </c>
      <c r="I271">
        <f>IF(C271="WR",LeagueInfo!$D$5*LeagueInfo!$F$2,LeagueInfo!$D$6*LeagueInfo!$F$2)</f>
        <v>24</v>
      </c>
    </row>
    <row r="272" spans="1:9" x14ac:dyDescent="0.35">
      <c r="A272">
        <f t="shared" ca="1" si="23"/>
        <v>233</v>
      </c>
      <c r="B272" t="s">
        <v>795</v>
      </c>
      <c r="C272" t="s">
        <v>32</v>
      </c>
      <c r="D272">
        <f t="shared" ca="1" si="20"/>
        <v>20.3</v>
      </c>
      <c r="E272" s="5">
        <f t="shared" ca="1" si="24"/>
        <v>-81.470000000000013</v>
      </c>
      <c r="F272" t="str">
        <f ca="1">IF(H272&lt;=I272,"Starter",IF(G272&gt;=LARGE(G:G,FlexOn*LeagueInfo!$F$2),"Starter","Bench"))</f>
        <v>Bench</v>
      </c>
      <c r="G272">
        <f t="shared" ca="1" si="21"/>
        <v>20.3</v>
      </c>
      <c r="H272">
        <f t="shared" ca="1" si="22"/>
        <v>164</v>
      </c>
      <c r="I272">
        <f>IF(C272="WR",LeagueInfo!$D$5*LeagueInfo!$F$2,LeagueInfo!$D$6*LeagueInfo!$F$2)</f>
        <v>24</v>
      </c>
    </row>
    <row r="273" spans="1:9" x14ac:dyDescent="0.35">
      <c r="A273">
        <f t="shared" ca="1" si="23"/>
        <v>268</v>
      </c>
      <c r="B273" t="s">
        <v>505</v>
      </c>
      <c r="C273" t="s">
        <v>32</v>
      </c>
      <c r="D273">
        <f t="shared" ca="1" si="20"/>
        <v>14.799999999999999</v>
      </c>
      <c r="E273" s="5">
        <f t="shared" ca="1" si="24"/>
        <v>-86.970000000000013</v>
      </c>
      <c r="F273" t="str">
        <f ca="1">IF(H273&lt;=I273,"Starter",IF(G273&gt;=LARGE(G:G,FlexOn*LeagueInfo!$F$2),"Starter","Bench"))</f>
        <v>Bench</v>
      </c>
      <c r="G273">
        <f t="shared" ca="1" si="21"/>
        <v>14.799999999999999</v>
      </c>
      <c r="H273">
        <f t="shared" ca="1" si="22"/>
        <v>184</v>
      </c>
      <c r="I273">
        <f>IF(C273="WR",LeagueInfo!$D$5*LeagueInfo!$F$2,LeagueInfo!$D$6*LeagueInfo!$F$2)</f>
        <v>24</v>
      </c>
    </row>
    <row r="274" spans="1:9" x14ac:dyDescent="0.35">
      <c r="A274">
        <f t="shared" ca="1" si="23"/>
        <v>163</v>
      </c>
      <c r="B274" t="s">
        <v>733</v>
      </c>
      <c r="C274" t="s">
        <v>32</v>
      </c>
      <c r="D274">
        <f t="shared" ca="1" si="20"/>
        <v>42.19</v>
      </c>
      <c r="E274" s="5">
        <f t="shared" ca="1" si="24"/>
        <v>-59.580000000000013</v>
      </c>
      <c r="F274" t="str">
        <f ca="1">IF(H274&lt;=I274,"Starter",IF(G274&gt;=LARGE(G:G,FlexOn*LeagueInfo!$F$2),"Starter","Bench"))</f>
        <v>Bench</v>
      </c>
      <c r="G274">
        <f t="shared" ca="1" si="21"/>
        <v>42.19</v>
      </c>
      <c r="H274">
        <f t="shared" ca="1" si="22"/>
        <v>123</v>
      </c>
      <c r="I274">
        <f>IF(C274="WR",LeagueInfo!$D$5*LeagueInfo!$F$2,LeagueInfo!$D$6*LeagueInfo!$F$2)</f>
        <v>24</v>
      </c>
    </row>
    <row r="275" spans="1:9" x14ac:dyDescent="0.35">
      <c r="A275">
        <f t="shared" ca="1" si="23"/>
        <v>269</v>
      </c>
      <c r="B275" t="s">
        <v>810</v>
      </c>
      <c r="C275" t="s">
        <v>32</v>
      </c>
      <c r="D275">
        <f t="shared" ca="1" si="20"/>
        <v>14.559999999999999</v>
      </c>
      <c r="E275" s="5">
        <f t="shared" ca="1" si="24"/>
        <v>-87.210000000000008</v>
      </c>
      <c r="F275" t="str">
        <f ca="1">IF(H275&lt;=I275,"Starter",IF(G275&gt;=LARGE(G:G,FlexOn*LeagueInfo!$F$2),"Starter","Bench"))</f>
        <v>Bench</v>
      </c>
      <c r="G275">
        <f t="shared" ca="1" si="21"/>
        <v>14.559999999999999</v>
      </c>
      <c r="H275">
        <f t="shared" ca="1" si="22"/>
        <v>186</v>
      </c>
      <c r="I275">
        <f>IF(C275="WR",LeagueInfo!$D$5*LeagueInfo!$F$2,LeagueInfo!$D$6*LeagueInfo!$F$2)</f>
        <v>24</v>
      </c>
    </row>
    <row r="276" spans="1:9" x14ac:dyDescent="0.35">
      <c r="A276">
        <f t="shared" ca="1" si="23"/>
        <v>254</v>
      </c>
      <c r="B276" t="s">
        <v>788</v>
      </c>
      <c r="C276" t="s">
        <v>32</v>
      </c>
      <c r="D276">
        <f t="shared" ca="1" si="20"/>
        <v>16.190000000000001</v>
      </c>
      <c r="E276" s="5">
        <f t="shared" ca="1" si="24"/>
        <v>-85.580000000000013</v>
      </c>
      <c r="F276" t="str">
        <f ca="1">IF(H276&lt;=I276,"Starter",IF(G276&gt;=LARGE(G:G,FlexOn*LeagueInfo!$F$2),"Starter","Bench"))</f>
        <v>Bench</v>
      </c>
      <c r="G276">
        <f t="shared" ca="1" si="21"/>
        <v>16.190000000000001</v>
      </c>
      <c r="H276">
        <f t="shared" ca="1" si="22"/>
        <v>174</v>
      </c>
      <c r="I276">
        <f>IF(C276="WR",LeagueInfo!$D$5*LeagueInfo!$F$2,LeagueInfo!$D$6*LeagueInfo!$F$2)</f>
        <v>24</v>
      </c>
    </row>
    <row r="277" spans="1:9" x14ac:dyDescent="0.35">
      <c r="A277">
        <f t="shared" ca="1" si="23"/>
        <v>196</v>
      </c>
      <c r="B277" t="s">
        <v>440</v>
      </c>
      <c r="C277" t="s">
        <v>32</v>
      </c>
      <c r="D277">
        <f t="shared" ca="1" si="20"/>
        <v>26.73</v>
      </c>
      <c r="E277" s="5">
        <f t="shared" ca="1" si="24"/>
        <v>-75.040000000000006</v>
      </c>
      <c r="F277" t="str">
        <f ca="1">IF(H277&lt;=I277,"Starter",IF(G277&gt;=LARGE(G:G,FlexOn*LeagueInfo!$F$2),"Starter","Bench"))</f>
        <v>Bench</v>
      </c>
      <c r="G277">
        <f t="shared" ca="1" si="21"/>
        <v>26.73</v>
      </c>
      <c r="H277">
        <f t="shared" ca="1" si="22"/>
        <v>144</v>
      </c>
      <c r="I277">
        <f>IF(C277="WR",LeagueInfo!$D$5*LeagueInfo!$F$2,LeagueInfo!$D$6*LeagueInfo!$F$2)</f>
        <v>24</v>
      </c>
    </row>
    <row r="278" spans="1:9" x14ac:dyDescent="0.35">
      <c r="A278">
        <f t="shared" ca="1" si="23"/>
        <v>218</v>
      </c>
      <c r="B278" t="s">
        <v>495</v>
      </c>
      <c r="C278" t="s">
        <v>32</v>
      </c>
      <c r="D278">
        <f t="shared" ca="1" si="20"/>
        <v>23.5</v>
      </c>
      <c r="E278" s="5">
        <f t="shared" ca="1" si="24"/>
        <v>-78.27000000000001</v>
      </c>
      <c r="F278" t="str">
        <f ca="1">IF(H278&lt;=I278,"Starter",IF(G278&gt;=LARGE(G:G,FlexOn*LeagueInfo!$F$2),"Starter","Bench"))</f>
        <v>Bench</v>
      </c>
      <c r="G278">
        <f t="shared" ca="1" si="21"/>
        <v>23.5</v>
      </c>
      <c r="H278">
        <f t="shared" ca="1" si="22"/>
        <v>157</v>
      </c>
      <c r="I278">
        <f>IF(C278="WR",LeagueInfo!$D$5*LeagueInfo!$F$2,LeagueInfo!$D$6*LeagueInfo!$F$2)</f>
        <v>24</v>
      </c>
    </row>
    <row r="279" spans="1:9" x14ac:dyDescent="0.35">
      <c r="A279">
        <f t="shared" ca="1" si="23"/>
        <v>265</v>
      </c>
      <c r="B279" t="s">
        <v>609</v>
      </c>
      <c r="C279" t="s">
        <v>32</v>
      </c>
      <c r="D279">
        <f t="shared" ca="1" si="20"/>
        <v>14.97</v>
      </c>
      <c r="E279" s="5">
        <f t="shared" ca="1" si="24"/>
        <v>-86.800000000000011</v>
      </c>
      <c r="F279" t="str">
        <f ca="1">IF(H279&lt;=I279,"Starter",IF(G279&gt;=LARGE(G:G,FlexOn*LeagueInfo!$F$2),"Starter","Bench"))</f>
        <v>Bench</v>
      </c>
      <c r="G279">
        <f t="shared" ca="1" si="21"/>
        <v>14.97</v>
      </c>
      <c r="H279">
        <f t="shared" ca="1" si="22"/>
        <v>181</v>
      </c>
      <c r="I279">
        <f>IF(C279="WR",LeagueInfo!$D$5*LeagueInfo!$F$2,LeagueInfo!$D$6*LeagueInfo!$F$2)</f>
        <v>24</v>
      </c>
    </row>
    <row r="280" spans="1:9" x14ac:dyDescent="0.35">
      <c r="A280">
        <f t="shared" ca="1" si="23"/>
        <v>269</v>
      </c>
      <c r="B280" t="s">
        <v>444</v>
      </c>
      <c r="C280" t="s">
        <v>32</v>
      </c>
      <c r="D280">
        <f t="shared" ref="D280:D303" ca="1" si="25">INDEX(INDIRECT($C280&amp;"!P:P"),MATCH($B280,INDIRECT($C280&amp;"!B:B"),0))</f>
        <v>14.56</v>
      </c>
      <c r="E280" s="5">
        <f t="shared" ca="1" si="24"/>
        <v>-87.210000000000008</v>
      </c>
      <c r="F280" t="str">
        <f ca="1">IF(H280&lt;=I280,"Starter",IF(G280&gt;=LARGE(G:G,FlexOn*LeagueInfo!$F$2),"Starter","Bench"))</f>
        <v>Bench</v>
      </c>
      <c r="G280">
        <f t="shared" ref="G280:G303" ca="1" si="26">IF(H280&gt;I280,D280,0)</f>
        <v>14.56</v>
      </c>
      <c r="H280">
        <f t="shared" ref="H280:H303" ca="1" si="27">INDEX(INDIRECT(""&amp;C280&amp;"!A2:A489"),MATCH(B280,INDIRECT(""&amp;C280&amp;"!B2:B489"),0))</f>
        <v>185</v>
      </c>
      <c r="I280">
        <f>IF(C280="WR",LeagueInfo!$D$5*LeagueInfo!$F$2,LeagueInfo!$D$6*LeagueInfo!$F$2)</f>
        <v>24</v>
      </c>
    </row>
    <row r="281" spans="1:9" x14ac:dyDescent="0.35">
      <c r="A281">
        <f t="shared" ca="1" si="23"/>
        <v>274</v>
      </c>
      <c r="B281" t="s">
        <v>496</v>
      </c>
      <c r="C281" t="s">
        <v>32</v>
      </c>
      <c r="D281">
        <f t="shared" ca="1" si="25"/>
        <v>13.350000000000001</v>
      </c>
      <c r="E281" s="5">
        <f t="shared" ca="1" si="24"/>
        <v>-88.420000000000016</v>
      </c>
      <c r="F281" t="str">
        <f ca="1">IF(H281&lt;=I281,"Starter",IF(G281&gt;=LARGE(G:G,FlexOn*LeagueInfo!$F$2),"Starter","Bench"))</f>
        <v>Bench</v>
      </c>
      <c r="G281">
        <f t="shared" ca="1" si="26"/>
        <v>13.350000000000001</v>
      </c>
      <c r="H281">
        <f t="shared" ca="1" si="27"/>
        <v>189</v>
      </c>
      <c r="I281">
        <f>IF(C281="WR",LeagueInfo!$D$5*LeagueInfo!$F$2,LeagueInfo!$D$6*LeagueInfo!$F$2)</f>
        <v>24</v>
      </c>
    </row>
    <row r="282" spans="1:9" x14ac:dyDescent="0.35">
      <c r="A282">
        <f t="shared" ca="1" si="23"/>
        <v>266</v>
      </c>
      <c r="B282" t="s">
        <v>718</v>
      </c>
      <c r="C282" t="s">
        <v>32</v>
      </c>
      <c r="D282">
        <f t="shared" ca="1" si="25"/>
        <v>14.89</v>
      </c>
      <c r="E282" s="5">
        <f t="shared" ca="1" si="24"/>
        <v>-86.88000000000001</v>
      </c>
      <c r="F282" t="str">
        <f ca="1">IF(H282&lt;=I282,"Starter",IF(G282&gt;=LARGE(G:G,FlexOn*LeagueInfo!$F$2),"Starter","Bench"))</f>
        <v>Bench</v>
      </c>
      <c r="G282">
        <f t="shared" ca="1" si="26"/>
        <v>14.89</v>
      </c>
      <c r="H282">
        <f t="shared" ca="1" si="27"/>
        <v>182</v>
      </c>
      <c r="I282">
        <f>IF(C282="WR",LeagueInfo!$D$5*LeagueInfo!$F$2,LeagueInfo!$D$6*LeagueInfo!$F$2)</f>
        <v>24</v>
      </c>
    </row>
    <row r="283" spans="1:9" x14ac:dyDescent="0.35">
      <c r="A283">
        <f t="shared" ca="1" si="23"/>
        <v>224</v>
      </c>
      <c r="B283" t="s">
        <v>1013</v>
      </c>
      <c r="C283" t="s">
        <v>32</v>
      </c>
      <c r="D283">
        <f t="shared" ca="1" si="25"/>
        <v>22.8</v>
      </c>
      <c r="E283" s="5">
        <f t="shared" ca="1" si="24"/>
        <v>-78.970000000000013</v>
      </c>
      <c r="F283" t="str">
        <f ca="1">IF(H283&lt;=I283,"Starter",IF(G283&gt;=LARGE(G:G,FlexOn*LeagueInfo!$F$2),"Starter","Bench"))</f>
        <v>Bench</v>
      </c>
      <c r="G283">
        <f t="shared" ca="1" si="26"/>
        <v>22.8</v>
      </c>
      <c r="H283">
        <f t="shared" ca="1" si="27"/>
        <v>160</v>
      </c>
      <c r="I283">
        <f>IF(C283="WR",LeagueInfo!$D$5*LeagueInfo!$F$2,LeagueInfo!$D$6*LeagueInfo!$F$2)</f>
        <v>24</v>
      </c>
    </row>
    <row r="284" spans="1:9" x14ac:dyDescent="0.35">
      <c r="A284">
        <f t="shared" ca="1" si="23"/>
        <v>256</v>
      </c>
      <c r="B284" t="s">
        <v>411</v>
      </c>
      <c r="C284" t="s">
        <v>32</v>
      </c>
      <c r="D284">
        <f t="shared" ca="1" si="25"/>
        <v>16.159999999999997</v>
      </c>
      <c r="E284" s="5">
        <f t="shared" ca="1" si="24"/>
        <v>-85.610000000000014</v>
      </c>
      <c r="F284" t="str">
        <f ca="1">IF(H284&lt;=I284,"Starter",IF(G284&gt;=LARGE(G:G,FlexOn*LeagueInfo!$F$2),"Starter","Bench"))</f>
        <v>Bench</v>
      </c>
      <c r="G284">
        <f t="shared" ca="1" si="26"/>
        <v>16.159999999999997</v>
      </c>
      <c r="H284">
        <f t="shared" ca="1" si="27"/>
        <v>176</v>
      </c>
      <c r="I284">
        <f>IF(C284="WR",LeagueInfo!$D$5*LeagueInfo!$F$2,LeagueInfo!$D$6*LeagueInfo!$F$2)</f>
        <v>24</v>
      </c>
    </row>
    <row r="285" spans="1:9" x14ac:dyDescent="0.35">
      <c r="A285">
        <f t="shared" ca="1" si="23"/>
        <v>275</v>
      </c>
      <c r="B285" t="s">
        <v>612</v>
      </c>
      <c r="C285" t="s">
        <v>32</v>
      </c>
      <c r="D285">
        <f t="shared" ca="1" si="25"/>
        <v>13.24</v>
      </c>
      <c r="E285" s="5">
        <f t="shared" ca="1" si="24"/>
        <v>-88.530000000000015</v>
      </c>
      <c r="F285" t="str">
        <f ca="1">IF(H285&lt;=I285,"Starter",IF(G285&gt;=LARGE(G:G,FlexOn*LeagueInfo!$F$2),"Starter","Bench"))</f>
        <v>Bench</v>
      </c>
      <c r="G285">
        <f t="shared" ca="1" si="26"/>
        <v>13.24</v>
      </c>
      <c r="H285">
        <f t="shared" ca="1" si="27"/>
        <v>190</v>
      </c>
      <c r="I285">
        <f>IF(C285="WR",LeagueInfo!$D$5*LeagueInfo!$F$2,LeagueInfo!$D$6*LeagueInfo!$F$2)</f>
        <v>24</v>
      </c>
    </row>
    <row r="286" spans="1:9" x14ac:dyDescent="0.35">
      <c r="A286">
        <f t="shared" ca="1" si="23"/>
        <v>276</v>
      </c>
      <c r="B286" t="s">
        <v>846</v>
      </c>
      <c r="C286" t="s">
        <v>32</v>
      </c>
      <c r="D286">
        <f t="shared" ca="1" si="25"/>
        <v>12.959999999999999</v>
      </c>
      <c r="E286" s="5">
        <f t="shared" ca="1" si="24"/>
        <v>-88.810000000000016</v>
      </c>
      <c r="F286" t="str">
        <f ca="1">IF(H286&lt;=I286,"Starter",IF(G286&gt;=LARGE(G:G,FlexOn*LeagueInfo!$F$2),"Starter","Bench"))</f>
        <v>Bench</v>
      </c>
      <c r="G286">
        <f t="shared" ca="1" si="26"/>
        <v>12.959999999999999</v>
      </c>
      <c r="H286">
        <f t="shared" ca="1" si="27"/>
        <v>191</v>
      </c>
      <c r="I286">
        <f>IF(C286="WR",LeagueInfo!$D$5*LeagueInfo!$F$2,LeagueInfo!$D$6*LeagueInfo!$F$2)</f>
        <v>24</v>
      </c>
    </row>
    <row r="287" spans="1:9" x14ac:dyDescent="0.35">
      <c r="A287">
        <f t="shared" ca="1" si="23"/>
        <v>284</v>
      </c>
      <c r="B287" t="s">
        <v>1014</v>
      </c>
      <c r="C287" t="s">
        <v>32</v>
      </c>
      <c r="D287">
        <f t="shared" ca="1" si="25"/>
        <v>11.22</v>
      </c>
      <c r="E287" s="5">
        <f t="shared" ca="1" si="24"/>
        <v>-90.550000000000011</v>
      </c>
      <c r="F287" t="str">
        <f ca="1">IF(H287&lt;=I287,"Starter",IF(G287&gt;=LARGE(G:G,FlexOn*LeagueInfo!$F$2),"Starter","Bench"))</f>
        <v>Bench</v>
      </c>
      <c r="G287">
        <f t="shared" ca="1" si="26"/>
        <v>11.22</v>
      </c>
      <c r="H287">
        <f t="shared" ca="1" si="27"/>
        <v>195</v>
      </c>
      <c r="I287">
        <f>IF(C287="WR",LeagueInfo!$D$5*LeagueInfo!$F$2,LeagueInfo!$D$6*LeagueInfo!$F$2)</f>
        <v>24</v>
      </c>
    </row>
    <row r="288" spans="1:9" x14ac:dyDescent="0.35">
      <c r="A288">
        <f t="shared" ca="1" si="23"/>
        <v>279</v>
      </c>
      <c r="B288" t="s">
        <v>1015</v>
      </c>
      <c r="C288" t="s">
        <v>32</v>
      </c>
      <c r="D288">
        <f t="shared" ca="1" si="25"/>
        <v>11.950000000000001</v>
      </c>
      <c r="E288" s="5">
        <f t="shared" ca="1" si="24"/>
        <v>-89.820000000000007</v>
      </c>
      <c r="F288" t="str">
        <f ca="1">IF(H288&lt;=I288,"Starter",IF(G288&gt;=LARGE(G:G,FlexOn*LeagueInfo!$F$2),"Starter","Bench"))</f>
        <v>Bench</v>
      </c>
      <c r="G288">
        <f t="shared" ca="1" si="26"/>
        <v>11.950000000000001</v>
      </c>
      <c r="H288">
        <f t="shared" ca="1" si="27"/>
        <v>193</v>
      </c>
      <c r="I288">
        <f>IF(C288="WR",LeagueInfo!$D$5*LeagueInfo!$F$2,LeagueInfo!$D$6*LeagueInfo!$F$2)</f>
        <v>24</v>
      </c>
    </row>
    <row r="289" spans="1:9" x14ac:dyDescent="0.35">
      <c r="A289">
        <f t="shared" ca="1" si="23"/>
        <v>244</v>
      </c>
      <c r="B289" t="s">
        <v>366</v>
      </c>
      <c r="C289" t="s">
        <v>32</v>
      </c>
      <c r="D289">
        <f t="shared" ca="1" si="25"/>
        <v>19</v>
      </c>
      <c r="E289" s="5">
        <f t="shared" ca="1" si="24"/>
        <v>-82.77000000000001</v>
      </c>
      <c r="F289" t="str">
        <f ca="1">IF(H289&lt;=I289,"Starter",IF(G289&gt;=LARGE(G:G,FlexOn*LeagueInfo!$F$2),"Starter","Bench"))</f>
        <v>Bench</v>
      </c>
      <c r="G289">
        <f t="shared" ca="1" si="26"/>
        <v>19</v>
      </c>
      <c r="H289">
        <f t="shared" ca="1" si="27"/>
        <v>169</v>
      </c>
      <c r="I289">
        <f>IF(C289="WR",LeagueInfo!$D$5*LeagueInfo!$F$2,LeagueInfo!$D$6*LeagueInfo!$F$2)</f>
        <v>24</v>
      </c>
    </row>
    <row r="290" spans="1:9" x14ac:dyDescent="0.35">
      <c r="A290">
        <f t="shared" ca="1" si="23"/>
        <v>280</v>
      </c>
      <c r="B290" t="s">
        <v>471</v>
      </c>
      <c r="C290" t="s">
        <v>32</v>
      </c>
      <c r="D290">
        <f t="shared" ca="1" si="25"/>
        <v>11.690000000000001</v>
      </c>
      <c r="E290" s="5">
        <f t="shared" ca="1" si="24"/>
        <v>-90.080000000000013</v>
      </c>
      <c r="F290" t="str">
        <f ca="1">IF(H290&lt;=I290,"Starter",IF(G290&gt;=LARGE(G:G,FlexOn*LeagueInfo!$F$2),"Starter","Bench"))</f>
        <v>Bench</v>
      </c>
      <c r="G290">
        <f t="shared" ca="1" si="26"/>
        <v>11.690000000000001</v>
      </c>
      <c r="H290">
        <f t="shared" ca="1" si="27"/>
        <v>194</v>
      </c>
      <c r="I290">
        <f>IF(C290="WR",LeagueInfo!$D$5*LeagueInfo!$F$2,LeagueInfo!$D$6*LeagueInfo!$F$2)</f>
        <v>24</v>
      </c>
    </row>
    <row r="291" spans="1:9" x14ac:dyDescent="0.35">
      <c r="A291">
        <f t="shared" ca="1" si="23"/>
        <v>295</v>
      </c>
      <c r="B291" t="s">
        <v>813</v>
      </c>
      <c r="C291" t="s">
        <v>32</v>
      </c>
      <c r="D291">
        <f t="shared" ca="1" si="25"/>
        <v>7.54</v>
      </c>
      <c r="E291" s="5">
        <f t="shared" ca="1" si="24"/>
        <v>-94.23</v>
      </c>
      <c r="F291" t="str">
        <f ca="1">IF(H291&lt;=I291,"Starter",IF(G291&gt;=LARGE(G:G,FlexOn*LeagueInfo!$F$2),"Starter","Bench"))</f>
        <v>Bench</v>
      </c>
      <c r="G291">
        <f t="shared" ca="1" si="26"/>
        <v>7.54</v>
      </c>
      <c r="H291">
        <f t="shared" ca="1" si="27"/>
        <v>202</v>
      </c>
      <c r="I291">
        <f>IF(C291="WR",LeagueInfo!$D$5*LeagueInfo!$F$2,LeagueInfo!$D$6*LeagueInfo!$F$2)</f>
        <v>24</v>
      </c>
    </row>
    <row r="292" spans="1:9" x14ac:dyDescent="0.35">
      <c r="A292">
        <f t="shared" ca="1" si="23"/>
        <v>296</v>
      </c>
      <c r="B292" t="s">
        <v>564</v>
      </c>
      <c r="C292" t="s">
        <v>32</v>
      </c>
      <c r="D292">
        <f t="shared" ca="1" si="25"/>
        <v>6.5299999999999994</v>
      </c>
      <c r="E292" s="5">
        <f t="shared" ca="1" si="24"/>
        <v>-95.240000000000009</v>
      </c>
      <c r="F292" t="str">
        <f ca="1">IF(H292&lt;=I292,"Starter",IF(G292&gt;=LARGE(G:G,FlexOn*LeagueInfo!$F$2),"Starter","Bench"))</f>
        <v>Bench</v>
      </c>
      <c r="G292">
        <f t="shared" ca="1" si="26"/>
        <v>6.5299999999999994</v>
      </c>
      <c r="H292">
        <f t="shared" ca="1" si="27"/>
        <v>204</v>
      </c>
      <c r="I292">
        <f>IF(C292="WR",LeagueInfo!$D$5*LeagueInfo!$F$2,LeagueInfo!$D$6*LeagueInfo!$F$2)</f>
        <v>24</v>
      </c>
    </row>
    <row r="293" spans="1:9" x14ac:dyDescent="0.35">
      <c r="A293">
        <f t="shared" ca="1" si="23"/>
        <v>271</v>
      </c>
      <c r="B293" t="s">
        <v>1017</v>
      </c>
      <c r="C293" t="s">
        <v>32</v>
      </c>
      <c r="D293">
        <f t="shared" ca="1" si="25"/>
        <v>14.34</v>
      </c>
      <c r="E293" s="5">
        <f t="shared" ca="1" si="24"/>
        <v>-87.43</v>
      </c>
      <c r="F293" t="str">
        <f ca="1">IF(H293&lt;=I293,"Starter",IF(G293&gt;=LARGE(G:G,FlexOn*LeagueInfo!$F$2),"Starter","Bench"))</f>
        <v>Bench</v>
      </c>
      <c r="G293">
        <f t="shared" ca="1" si="26"/>
        <v>14.34</v>
      </c>
      <c r="H293">
        <f t="shared" ca="1" si="27"/>
        <v>187</v>
      </c>
      <c r="I293">
        <f>IF(C293="WR",LeagueInfo!$D$5*LeagueInfo!$F$2,LeagueInfo!$D$6*LeagueInfo!$F$2)</f>
        <v>24</v>
      </c>
    </row>
    <row r="294" spans="1:9" x14ac:dyDescent="0.35">
      <c r="A294">
        <f t="shared" ca="1" si="23"/>
        <v>287</v>
      </c>
      <c r="B294" t="s">
        <v>1018</v>
      </c>
      <c r="C294" t="s">
        <v>32</v>
      </c>
      <c r="D294">
        <f t="shared" ca="1" si="25"/>
        <v>10.92</v>
      </c>
      <c r="E294" s="5">
        <f t="shared" ca="1" si="24"/>
        <v>-90.850000000000009</v>
      </c>
      <c r="F294" t="str">
        <f ca="1">IF(H294&lt;=I294,"Starter",IF(G294&gt;=LARGE(G:G,FlexOn*LeagueInfo!$F$2),"Starter","Bench"))</f>
        <v>Bench</v>
      </c>
      <c r="G294">
        <f t="shared" ca="1" si="26"/>
        <v>10.92</v>
      </c>
      <c r="H294">
        <f t="shared" ca="1" si="27"/>
        <v>196</v>
      </c>
      <c r="I294">
        <f>IF(C294="WR",LeagueInfo!$D$5*LeagueInfo!$F$2,LeagueInfo!$D$6*LeagueInfo!$F$2)</f>
        <v>24</v>
      </c>
    </row>
    <row r="295" spans="1:9" x14ac:dyDescent="0.35">
      <c r="A295">
        <f t="shared" ca="1" si="23"/>
        <v>288</v>
      </c>
      <c r="B295" t="s">
        <v>1019</v>
      </c>
      <c r="C295" t="s">
        <v>32</v>
      </c>
      <c r="D295">
        <f t="shared" ca="1" si="25"/>
        <v>10.88</v>
      </c>
      <c r="E295" s="5">
        <f t="shared" ca="1" si="24"/>
        <v>-90.890000000000015</v>
      </c>
      <c r="F295" t="str">
        <f ca="1">IF(H295&lt;=I295,"Starter",IF(G295&gt;=LARGE(G:G,FlexOn*LeagueInfo!$F$2),"Starter","Bench"))</f>
        <v>Bench</v>
      </c>
      <c r="G295">
        <f t="shared" ca="1" si="26"/>
        <v>10.88</v>
      </c>
      <c r="H295">
        <f t="shared" ca="1" si="27"/>
        <v>197</v>
      </c>
      <c r="I295">
        <f>IF(C295="WR",LeagueInfo!$D$5*LeagueInfo!$F$2,LeagueInfo!$D$6*LeagueInfo!$F$2)</f>
        <v>24</v>
      </c>
    </row>
    <row r="296" spans="1:9" x14ac:dyDescent="0.35">
      <c r="A296">
        <f t="shared" ca="1" si="23"/>
        <v>277</v>
      </c>
      <c r="B296" t="s">
        <v>363</v>
      </c>
      <c r="C296" t="s">
        <v>32</v>
      </c>
      <c r="D296">
        <f t="shared" ca="1" si="25"/>
        <v>12.9</v>
      </c>
      <c r="E296" s="5">
        <f t="shared" ca="1" si="24"/>
        <v>-88.87</v>
      </c>
      <c r="F296" t="str">
        <f ca="1">IF(H296&lt;=I296,"Starter",IF(G296&gt;=LARGE(G:G,FlexOn*LeagueInfo!$F$2),"Starter","Bench"))</f>
        <v>Bench</v>
      </c>
      <c r="G296">
        <f t="shared" ca="1" si="26"/>
        <v>12.9</v>
      </c>
      <c r="H296">
        <f t="shared" ca="1" si="27"/>
        <v>192</v>
      </c>
      <c r="I296">
        <f>IF(C296="WR",LeagueInfo!$D$5*LeagueInfo!$F$2,LeagueInfo!$D$6*LeagueInfo!$F$2)</f>
        <v>24</v>
      </c>
    </row>
    <row r="297" spans="1:9" x14ac:dyDescent="0.35">
      <c r="A297">
        <f t="shared" ca="1" si="23"/>
        <v>297</v>
      </c>
      <c r="B297" t="s">
        <v>1024</v>
      </c>
      <c r="C297" t="s">
        <v>32</v>
      </c>
      <c r="D297">
        <f t="shared" ca="1" si="25"/>
        <v>6.3900000000000006</v>
      </c>
      <c r="E297" s="5">
        <f t="shared" ca="1" si="24"/>
        <v>-95.38000000000001</v>
      </c>
      <c r="F297" t="str">
        <f ca="1">IF(H297&lt;=I297,"Starter",IF(G297&gt;=LARGE(G:G,FlexOn*LeagueInfo!$F$2),"Starter","Bench"))</f>
        <v>Bench</v>
      </c>
      <c r="G297">
        <f t="shared" ca="1" si="26"/>
        <v>6.3900000000000006</v>
      </c>
      <c r="H297">
        <f t="shared" ca="1" si="27"/>
        <v>205</v>
      </c>
      <c r="I297">
        <f>IF(C297="WR",LeagueInfo!$D$5*LeagueInfo!$F$2,LeagueInfo!$D$6*LeagueInfo!$F$2)</f>
        <v>24</v>
      </c>
    </row>
    <row r="298" spans="1:9" x14ac:dyDescent="0.35">
      <c r="A298">
        <f t="shared" ca="1" si="23"/>
        <v>290</v>
      </c>
      <c r="B298" t="s">
        <v>1023</v>
      </c>
      <c r="C298" t="s">
        <v>32</v>
      </c>
      <c r="D298">
        <f t="shared" ca="1" si="25"/>
        <v>10.129999999999999</v>
      </c>
      <c r="E298" s="5">
        <f t="shared" ca="1" si="24"/>
        <v>-91.640000000000015</v>
      </c>
      <c r="F298" t="str">
        <f ca="1">IF(H298&lt;=I298,"Starter",IF(G298&gt;=LARGE(G:G,FlexOn*LeagueInfo!$F$2),"Starter","Bench"))</f>
        <v>Bench</v>
      </c>
      <c r="G298">
        <f t="shared" ca="1" si="26"/>
        <v>10.129999999999999</v>
      </c>
      <c r="H298">
        <f t="shared" ca="1" si="27"/>
        <v>198</v>
      </c>
      <c r="I298">
        <f>IF(C298="WR",LeagueInfo!$D$5*LeagueInfo!$F$2,LeagueInfo!$D$6*LeagueInfo!$F$2)</f>
        <v>24</v>
      </c>
    </row>
    <row r="299" spans="1:9" x14ac:dyDescent="0.35">
      <c r="A299">
        <f t="shared" ca="1" si="23"/>
        <v>298</v>
      </c>
      <c r="B299" t="s">
        <v>1098</v>
      </c>
      <c r="C299" t="s">
        <v>32</v>
      </c>
      <c r="D299">
        <f t="shared" ca="1" si="25"/>
        <v>6.1000000000000005</v>
      </c>
      <c r="E299" s="5">
        <f t="shared" ca="1" si="24"/>
        <v>-95.670000000000016</v>
      </c>
      <c r="F299" t="str">
        <f ca="1">IF(H299&lt;=I299,"Starter",IF(G299&gt;=LARGE(G:G,FlexOn*LeagueInfo!$F$2),"Starter","Bench"))</f>
        <v>Bench</v>
      </c>
      <c r="G299">
        <f t="shared" ca="1" si="26"/>
        <v>6.1000000000000005</v>
      </c>
      <c r="H299">
        <f t="shared" ca="1" si="27"/>
        <v>206</v>
      </c>
      <c r="I299">
        <f>IF(C299="WR",LeagueInfo!$D$5*LeagueInfo!$F$2,LeagueInfo!$D$6*LeagueInfo!$F$2)</f>
        <v>24</v>
      </c>
    </row>
    <row r="300" spans="1:9" x14ac:dyDescent="0.35">
      <c r="A300">
        <f t="shared" ca="1" si="23"/>
        <v>299</v>
      </c>
      <c r="B300" t="s">
        <v>601</v>
      </c>
      <c r="C300" t="s">
        <v>32</v>
      </c>
      <c r="D300">
        <f t="shared" ca="1" si="25"/>
        <v>5.6199999999999992</v>
      </c>
      <c r="E300" s="5">
        <f t="shared" ca="1" si="24"/>
        <v>-96.15</v>
      </c>
      <c r="F300" t="str">
        <f ca="1">IF(H300&lt;=I300,"Starter",IF(G300&gt;=LARGE(G:G,FlexOn*LeagueInfo!$F$2),"Starter","Bench"))</f>
        <v>Bench</v>
      </c>
      <c r="G300">
        <f t="shared" ca="1" si="26"/>
        <v>5.6199999999999992</v>
      </c>
      <c r="H300">
        <f t="shared" ca="1" si="27"/>
        <v>207</v>
      </c>
      <c r="I300">
        <f>IF(C300="WR",LeagueInfo!$D$5*LeagueInfo!$F$2,LeagueInfo!$D$6*LeagueInfo!$F$2)</f>
        <v>24</v>
      </c>
    </row>
    <row r="301" spans="1:9" x14ac:dyDescent="0.35">
      <c r="A301">
        <f t="shared" ca="1" si="23"/>
        <v>303</v>
      </c>
      <c r="B301" t="s">
        <v>1090</v>
      </c>
      <c r="C301" t="s">
        <v>32</v>
      </c>
      <c r="D301">
        <f t="shared" ca="1" si="25"/>
        <v>3.54</v>
      </c>
      <c r="E301" s="5">
        <f t="shared" ca="1" si="24"/>
        <v>-98.23</v>
      </c>
      <c r="F301" t="str">
        <f ca="1">IF(H301&lt;=I301,"Starter",IF(G301&gt;=LARGE(G:G,FlexOn*LeagueInfo!$F$2),"Starter","Bench"))</f>
        <v>Bench</v>
      </c>
      <c r="G301">
        <f t="shared" ca="1" si="26"/>
        <v>3.54</v>
      </c>
      <c r="H301">
        <f t="shared" ca="1" si="27"/>
        <v>211</v>
      </c>
      <c r="I301">
        <f>IF(C301="WR",LeagueInfo!$D$5*LeagueInfo!$F$2,LeagueInfo!$D$6*LeagueInfo!$F$2)</f>
        <v>24</v>
      </c>
    </row>
    <row r="302" spans="1:9" x14ac:dyDescent="0.35">
      <c r="A302">
        <f t="shared" ca="1" si="23"/>
        <v>301</v>
      </c>
      <c r="B302" t="s">
        <v>1021</v>
      </c>
      <c r="C302" t="s">
        <v>32</v>
      </c>
      <c r="D302">
        <f t="shared" ca="1" si="25"/>
        <v>4.16</v>
      </c>
      <c r="E302" s="5">
        <f t="shared" ca="1" si="24"/>
        <v>-97.610000000000014</v>
      </c>
      <c r="F302" t="str">
        <f ca="1">IF(H302&lt;=I302,"Starter",IF(G302&gt;=LARGE(G:G,FlexOn*LeagueInfo!$F$2),"Starter","Bench"))</f>
        <v>Bench</v>
      </c>
      <c r="G302">
        <f t="shared" ca="1" si="26"/>
        <v>4.16</v>
      </c>
      <c r="H302">
        <f t="shared" ca="1" si="27"/>
        <v>209</v>
      </c>
      <c r="I302">
        <f>IF(C302="WR",LeagueInfo!$D$5*LeagueInfo!$F$2,LeagueInfo!$D$6*LeagueInfo!$F$2)</f>
        <v>24</v>
      </c>
    </row>
    <row r="303" spans="1:9" x14ac:dyDescent="0.35">
      <c r="A303">
        <f t="shared" ca="1" si="23"/>
        <v>300</v>
      </c>
      <c r="B303" t="s">
        <v>848</v>
      </c>
      <c r="C303" t="s">
        <v>32</v>
      </c>
      <c r="D303">
        <f t="shared" ca="1" si="25"/>
        <v>5.4700000000000006</v>
      </c>
      <c r="E303" s="5">
        <f t="shared" ca="1" si="24"/>
        <v>-96.300000000000011</v>
      </c>
      <c r="F303" t="str">
        <f ca="1">IF(H303&lt;=I303,"Starter",IF(G303&gt;=LARGE(G:G,FlexOn*LeagueInfo!$F$2),"Starter","Bench"))</f>
        <v>Bench</v>
      </c>
      <c r="G303">
        <f t="shared" ca="1" si="26"/>
        <v>5.4700000000000006</v>
      </c>
      <c r="H303">
        <f t="shared" ca="1" si="27"/>
        <v>208</v>
      </c>
      <c r="I303">
        <f>IF(C303="WR",LeagueInfo!$D$5*LeagueInfo!$F$2,LeagueInfo!$D$6*LeagueInfo!$F$2)</f>
        <v>24</v>
      </c>
    </row>
    <row r="304" spans="1:9" x14ac:dyDescent="0.35">
      <c r="A304">
        <f t="shared" ca="1" si="23"/>
        <v>293</v>
      </c>
      <c r="B304" t="s">
        <v>1027</v>
      </c>
      <c r="C304" t="s">
        <v>32</v>
      </c>
      <c r="D304">
        <f t="shared" ref="D304" ca="1" si="28">INDEX(INDIRECT($C304&amp;"!P:P"),MATCH($B304,INDIRECT($C304&amp;"!B:B"),0))</f>
        <v>7.7500000000000009</v>
      </c>
      <c r="E304" s="5">
        <f t="shared" ca="1" si="24"/>
        <v>-94.02000000000001</v>
      </c>
      <c r="F304" t="str">
        <f ca="1">IF(H304&lt;=I304,"Starter",IF(G304&gt;=LARGE(G:G,FlexOn*LeagueInfo!$F$2),"Starter","Bench"))</f>
        <v>Bench</v>
      </c>
      <c r="G304">
        <f t="shared" ref="G304" ca="1" si="29">IF(H304&gt;I304,D304,0)</f>
        <v>7.7500000000000009</v>
      </c>
      <c r="H304">
        <f t="shared" ref="H304" ca="1" si="30">INDEX(INDIRECT(""&amp;C304&amp;"!A2:A489"),MATCH(B304,INDIRECT(""&amp;C304&amp;"!B2:B489"),0))</f>
        <v>201</v>
      </c>
      <c r="I304">
        <f>IF(C304="WR",LeagueInfo!$D$5*LeagueInfo!$F$2,LeagueInfo!$D$6*LeagueInfo!$F$2)</f>
        <v>24</v>
      </c>
    </row>
  </sheetData>
  <autoFilter ref="A1:I304" xr:uid="{61D1210A-2FED-4379-A0AA-3A1B7DE9A594}"/>
  <sortState xmlns:xlrd2="http://schemas.microsoft.com/office/spreadsheetml/2017/richdata2" ref="A1:J303">
    <sortCondition descending="1" ref="E1"/>
  </sortState>
  <conditionalFormatting sqref="C233:C235 C226:C231 C220 C207:C217 C188:C205 C183:C186 C175:C181 C167:C173">
    <cfRule type="expression" dxfId="76" priority="1">
      <formula>$J166="Yes"</formula>
    </cfRule>
  </conditionalFormatting>
  <conditionalFormatting sqref="C232 C225 C218:C219 C206 C187 C182 C174 C166">
    <cfRule type="expression" dxfId="75" priority="360">
      <formula>#REF!="Yes"</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AC213"/>
  <sheetViews>
    <sheetView zoomScale="85" zoomScaleNormal="85" workbookViewId="0">
      <selection activeCell="L42" sqref="L42"/>
    </sheetView>
  </sheetViews>
  <sheetFormatPr defaultColWidth="9.90625" defaultRowHeight="14.5" x14ac:dyDescent="0.35"/>
  <cols>
    <col min="1" max="1" width="7.81640625" customWidth="1"/>
    <col min="2" max="2" width="23.1796875" bestFit="1" customWidth="1"/>
    <col min="3" max="4" width="7.453125" bestFit="1" customWidth="1"/>
    <col min="5" max="5" width="7.36328125" bestFit="1" customWidth="1"/>
    <col min="6" max="6" width="6.36328125" bestFit="1" customWidth="1"/>
    <col min="7" max="7" width="7.36328125" bestFit="1" customWidth="1"/>
    <col min="8" max="8" width="7.54296875" bestFit="1" customWidth="1"/>
    <col min="9" max="14" width="7.36328125" bestFit="1" customWidth="1"/>
    <col min="15" max="15" width="5.90625" bestFit="1" customWidth="1"/>
    <col min="16" max="16" width="8.36328125" bestFit="1" customWidth="1"/>
    <col min="17" max="17" width="14" bestFit="1" customWidth="1"/>
    <col min="18" max="18" width="11.08984375" bestFit="1" customWidth="1"/>
    <col min="19" max="19" width="12.453125" bestFit="1" customWidth="1"/>
    <col min="20" max="20" width="7.36328125" bestFit="1" customWidth="1"/>
    <col min="21" max="21" width="11.36328125" bestFit="1" customWidth="1"/>
    <col min="22" max="22" width="10.54296875" style="5" bestFit="1" customWidth="1"/>
    <col min="23" max="23" width="9.90625" bestFit="1" customWidth="1"/>
    <col min="24" max="24" width="0" hidden="1" customWidth="1"/>
    <col min="25" max="25" width="8.08984375" bestFit="1" customWidth="1"/>
    <col min="26" max="26" width="7.81640625" bestFit="1" customWidth="1"/>
    <col min="27" max="27" width="5" bestFit="1" customWidth="1"/>
    <col min="28" max="28" width="9.1796875" bestFit="1" customWidth="1"/>
    <col min="29" max="29" width="7.453125" bestFit="1" customWidth="1"/>
  </cols>
  <sheetData>
    <row r="1" spans="1:29" x14ac:dyDescent="0.35">
      <c r="G1" s="264" t="s">
        <v>165</v>
      </c>
      <c r="H1" s="264"/>
      <c r="I1" s="264" t="s">
        <v>166</v>
      </c>
      <c r="J1" s="264"/>
      <c r="K1" s="264"/>
      <c r="L1" s="264" t="s">
        <v>225</v>
      </c>
      <c r="M1" s="264"/>
      <c r="N1" s="264"/>
    </row>
    <row r="2" spans="1:29" x14ac:dyDescent="0.35">
      <c r="A2" s="99" t="s">
        <v>167</v>
      </c>
      <c r="B2" s="99" t="s">
        <v>82</v>
      </c>
      <c r="C2" s="99" t="s">
        <v>168</v>
      </c>
      <c r="D2" s="99" t="s">
        <v>465</v>
      </c>
      <c r="E2" s="99" t="s">
        <v>169</v>
      </c>
      <c r="F2" s="99" t="s">
        <v>170</v>
      </c>
      <c r="G2" s="99" t="s">
        <v>171</v>
      </c>
      <c r="H2" s="99" t="s">
        <v>172</v>
      </c>
      <c r="I2" s="99" t="s">
        <v>171</v>
      </c>
      <c r="J2" s="99" t="s">
        <v>173</v>
      </c>
      <c r="K2" s="99" t="s">
        <v>174</v>
      </c>
      <c r="L2" s="99" t="s">
        <v>226</v>
      </c>
      <c r="M2" s="99" t="s">
        <v>173</v>
      </c>
      <c r="N2" s="99" t="s">
        <v>174</v>
      </c>
      <c r="O2" s="99" t="s">
        <v>176</v>
      </c>
      <c r="P2" s="99" t="s">
        <v>177</v>
      </c>
      <c r="Q2" s="99" t="s">
        <v>178</v>
      </c>
      <c r="R2" s="99" t="s">
        <v>179</v>
      </c>
      <c r="S2" s="99" t="s">
        <v>180</v>
      </c>
      <c r="T2" s="99" t="s">
        <v>181</v>
      </c>
      <c r="U2" s="99" t="s">
        <v>182</v>
      </c>
      <c r="V2" s="99" t="s">
        <v>183</v>
      </c>
      <c r="W2" s="99" t="s">
        <v>184</v>
      </c>
      <c r="Y2" s="99" t="s">
        <v>185</v>
      </c>
      <c r="Z2" s="99" t="s">
        <v>186</v>
      </c>
      <c r="AA2" s="99" t="s">
        <v>187</v>
      </c>
      <c r="AB2" s="99" t="s">
        <v>188</v>
      </c>
      <c r="AC2" s="99" t="s">
        <v>1094</v>
      </c>
    </row>
    <row r="3" spans="1:29" x14ac:dyDescent="0.35">
      <c r="A3">
        <f t="shared" ref="A3:A66" si="0">RANK(P3,P:P)</f>
        <v>1</v>
      </c>
      <c r="B3" t="str">
        <f>WR_Raw!A2</f>
        <v>CeeDee Lamb</v>
      </c>
      <c r="C3" t="s">
        <v>32</v>
      </c>
      <c r="D3">
        <f>_xlfn.IFNA(INDEX(BYEs!E:E,MATCH(B3,BYEs!D:D,0)),"N/A")</f>
        <v>25</v>
      </c>
      <c r="E3">
        <f>INDEX(BYEs!$B$2:$B$34,MATCH(F3,BYEs!$A$2:$A$34,0))</f>
        <v>7</v>
      </c>
      <c r="F3" t="str">
        <f>WR_Raw!B2</f>
        <v>DAL</v>
      </c>
      <c r="G3" s="202">
        <v>0</v>
      </c>
      <c r="H3" s="203">
        <v>0</v>
      </c>
      <c r="I3" s="200">
        <f>WR_Raw!F2</f>
        <v>9.8000000000000007</v>
      </c>
      <c r="J3" s="200">
        <f>WR_Raw!G2</f>
        <v>68.400000000000006</v>
      </c>
      <c r="K3" s="200">
        <f>WR_Raw!H2</f>
        <v>0.8</v>
      </c>
      <c r="L3" s="202">
        <f>WR_Raw!C2</f>
        <v>116.1</v>
      </c>
      <c r="M3" s="200">
        <f>WR_Raw!D2</f>
        <v>1488.6</v>
      </c>
      <c r="N3" s="203">
        <f>WR_Raw!E2</f>
        <v>9.6999999999999993</v>
      </c>
      <c r="O3" s="200">
        <f>WR_Raw!I2</f>
        <v>1.1000000000000001</v>
      </c>
      <c r="P3" s="204">
        <f t="shared" ref="P3:P66" si="1">(J3*WRRushingYd)+(K3*WRRushingTD)+(L3*WRRec)+(M3*WRRecYd)+(N3*WRRecTD)+(O3*WRFuml)+(I3*WRRushAtt)</f>
        <v>274.55</v>
      </c>
      <c r="Q3" t="str">
        <f t="shared" ref="Q3:Q66" ca="1" si="2">IF(A3&lt;=WRStarters,"Starter",IF(A3&gt;WRStarters+WRBench,"Undrafted","Bench"))</f>
        <v>Starter</v>
      </c>
      <c r="R3">
        <f t="shared" ref="R3:R66" ca="1" si="3">IFERROR(MAX(P3-LARGE(WRSheetCount,WRStarters),0),0)</f>
        <v>108.59</v>
      </c>
      <c r="S3">
        <f t="shared" ref="S3:S66" ca="1" si="4">IFERROR(IF(AllowNegative="Yes",P3-LARGE(WRSheetCount,WRCount),MAX(P3-LARGE(WRSheetCount,WRCount),0)),0)</f>
        <v>161.79000000000002</v>
      </c>
      <c r="T3" s="84">
        <f t="shared" ref="T3:T66" ca="1" si="5">(S3-R3)*BenchPF+R3*StarterPF</f>
        <v>43.112172959634535</v>
      </c>
      <c r="U3" s="84">
        <f ca="1">T3*Auction!$A$2</f>
        <v>43.112172959634535</v>
      </c>
      <c r="V3" s="5" t="str">
        <f>IF(OR(INDEX(Auction!$H$13:$H$650,MATCH(B3,Auction!$A$13:$A$650,0))&gt;0,IFERROR(INDEX(CheatSheet!$V$5:$V$64,MATCH(B3,CheatSheet!$S$5:$S$64,0)),"")&lt;&gt;""),"Yes","No")</f>
        <v>No</v>
      </c>
      <c r="W3" s="175"/>
      <c r="Y3" s="113">
        <f t="shared" ref="Y3:Y66" ca="1" si="6">IFERROR(SUMIFS(Z:Z,Z:Z,"&gt;0",V:V,"No")/SUMIF(Z:Z,"&gt;0"),0)</f>
        <v>1</v>
      </c>
      <c r="Z3" s="174">
        <f t="shared" ref="Z3" ca="1" si="7">AVERAGE(R3:S3)</f>
        <v>135.19</v>
      </c>
      <c r="AA3" t="str">
        <f ca="1">IF(AC3&gt;3,"WR1",IF(AC3&gt;2.5,"WR2",IF(AC3&gt;2,"WR3",IF(AC3&gt;1.5,"WR4",IF(AC3&gt;1,"WR5",IF(AC3&gt;0.5,"WR6",IF(AC3&gt;0,"WR7","WR8")))))))</f>
        <v>WR1</v>
      </c>
      <c r="AB3" s="174">
        <f ca="1">Z3*LeagueInfo!$H$5</f>
        <v>43.65963443562282</v>
      </c>
      <c r="AC3" s="174">
        <f ca="1">(Z3-AVERAGE(Z:$Z))/_xlfn.STDEV.P(Z:Z)</f>
        <v>3.6954437642856779</v>
      </c>
    </row>
    <row r="4" spans="1:29" x14ac:dyDescent="0.35">
      <c r="A4">
        <f t="shared" si="0"/>
        <v>2</v>
      </c>
      <c r="B4" t="str">
        <f>WR_Raw!A3</f>
        <v>Tyreek Hill</v>
      </c>
      <c r="C4" t="s">
        <v>32</v>
      </c>
      <c r="D4">
        <f>_xlfn.IFNA(INDEX(BYEs!E:E,MATCH(B4,BYEs!D:D,0)),"N/A")</f>
        <v>30</v>
      </c>
      <c r="E4">
        <f>INDEX(BYEs!$B$2:$B$34,MATCH(F4,BYEs!$A$2:$A$34,0))</f>
        <v>6</v>
      </c>
      <c r="F4" t="str">
        <f>WR_Raw!B3</f>
        <v>MIA</v>
      </c>
      <c r="G4" s="202">
        <v>0</v>
      </c>
      <c r="H4" s="203">
        <v>0</v>
      </c>
      <c r="I4" s="200">
        <f>WR_Raw!F3</f>
        <v>5.2</v>
      </c>
      <c r="J4" s="200">
        <f>WR_Raw!G3</f>
        <v>30.5</v>
      </c>
      <c r="K4" s="200">
        <f>WR_Raw!H3</f>
        <v>0.1</v>
      </c>
      <c r="L4" s="202">
        <f>WR_Raw!C3</f>
        <v>110</v>
      </c>
      <c r="M4" s="200">
        <f>WR_Raw!D3</f>
        <v>1544.9</v>
      </c>
      <c r="N4" s="203">
        <f>WR_Raw!E3</f>
        <v>9.9</v>
      </c>
      <c r="O4" s="200">
        <f>WR_Raw!I3</f>
        <v>1</v>
      </c>
      <c r="P4" s="204">
        <f t="shared" si="1"/>
        <v>270.54000000000002</v>
      </c>
      <c r="Q4" t="str">
        <f t="shared" ca="1" si="2"/>
        <v>Starter</v>
      </c>
      <c r="R4">
        <f t="shared" ca="1" si="3"/>
        <v>104.58000000000001</v>
      </c>
      <c r="S4">
        <f t="shared" ca="1" si="4"/>
        <v>157.78000000000003</v>
      </c>
      <c r="T4" s="84">
        <f t="shared" ca="1" si="5"/>
        <v>41.844244095158402</v>
      </c>
      <c r="U4" s="84">
        <f ca="1">T4*Auction!$A$2</f>
        <v>41.844244095158402</v>
      </c>
      <c r="V4" s="5" t="str">
        <f>IF(OR(INDEX(Auction!$H$13:$H$650,MATCH(B4,Auction!$A$13:$A$650,0))&gt;0,IFERROR(INDEX(CheatSheet!$V$5:$V$64,MATCH(B4,CheatSheet!$S$5:$S$64,0)),"")&lt;&gt;""),"Yes","No")</f>
        <v>No</v>
      </c>
      <c r="W4" s="175"/>
      <c r="Y4" s="113">
        <f t="shared" ca="1" si="6"/>
        <v>1</v>
      </c>
      <c r="Z4" s="174">
        <f t="shared" ref="Z4:Z67" ca="1" si="8">AVERAGE(R4:S4)</f>
        <v>131.18</v>
      </c>
      <c r="AA4" t="str">
        <f ca="1">IF(AC4&gt;3,"WR1",IF(AC4&gt;2.5,"WR2",IF(AC4&gt;2,"WR3",IF(AC4&gt;1.5,"WR4",IF(AC4&gt;1,"WR5",IF(AC4&gt;0.5,"WR6",IF(AC4&gt;0,"WR7","WR8")))))))</f>
        <v>WR1</v>
      </c>
      <c r="AB4" s="174">
        <f ca="1">Z4*LeagueInfo!$H$5</f>
        <v>42.364604225645401</v>
      </c>
      <c r="AC4" s="174">
        <f ca="1">(Z4-AVERAGE(Z:$Z))/_xlfn.STDEV.P(Z:Z)</f>
        <v>3.5953944100455941</v>
      </c>
    </row>
    <row r="5" spans="1:29" x14ac:dyDescent="0.35">
      <c r="A5">
        <f t="shared" si="0"/>
        <v>3</v>
      </c>
      <c r="B5" t="str">
        <f>WR_Raw!A4</f>
        <v>Ja'Marr Chase</v>
      </c>
      <c r="C5" t="s">
        <v>32</v>
      </c>
      <c r="D5">
        <f>_xlfn.IFNA(INDEX(BYEs!E:E,MATCH(B5,BYEs!D:D,0)),"N/A")</f>
        <v>24</v>
      </c>
      <c r="E5">
        <f>INDEX(BYEs!$B$2:$B$34,MATCH(F5,BYEs!$A$2:$A$34,0))</f>
        <v>12</v>
      </c>
      <c r="F5" t="str">
        <f>WR_Raw!B4</f>
        <v>CIN</v>
      </c>
      <c r="G5" s="202">
        <v>0</v>
      </c>
      <c r="H5" s="203">
        <v>0</v>
      </c>
      <c r="I5" s="200">
        <f>WR_Raw!F4</f>
        <v>3</v>
      </c>
      <c r="J5" s="200">
        <f>WR_Raw!G4</f>
        <v>12.6</v>
      </c>
      <c r="K5" s="200">
        <f>WR_Raw!H4</f>
        <v>0.1</v>
      </c>
      <c r="L5" s="202">
        <f>WR_Raw!C4</f>
        <v>106.5</v>
      </c>
      <c r="M5" s="200">
        <f>WR_Raw!D4</f>
        <v>1357.4</v>
      </c>
      <c r="N5" s="203">
        <f>WR_Raw!E4</f>
        <v>9.1</v>
      </c>
      <c r="O5" s="200">
        <f>WR_Raw!I4</f>
        <v>0.7</v>
      </c>
      <c r="P5" s="204">
        <f t="shared" si="1"/>
        <v>244.05</v>
      </c>
      <c r="Q5" t="str">
        <f t="shared" ca="1" si="2"/>
        <v>Starter</v>
      </c>
      <c r="R5">
        <f t="shared" ca="1" si="3"/>
        <v>78.09</v>
      </c>
      <c r="S5">
        <f t="shared" ca="1" si="4"/>
        <v>131.29000000000002</v>
      </c>
      <c r="T5" s="84">
        <f t="shared" ca="1" si="5"/>
        <v>33.468324987933237</v>
      </c>
      <c r="U5" s="84">
        <f ca="1">T5*Auction!$A$2</f>
        <v>33.468324987933237</v>
      </c>
      <c r="V5" s="5" t="str">
        <f>IF(OR(INDEX(Auction!$H$13:$H$650,MATCH(B5,Auction!$A$13:$A$650,0))&gt;0,IFERROR(INDEX(CheatSheet!$V$5:$V$64,MATCH(B5,CheatSheet!$S$5:$S$64,0)),"")&lt;&gt;""),"Yes","No")</f>
        <v>No</v>
      </c>
      <c r="W5" s="175"/>
      <c r="Y5" s="113">
        <f t="shared" ca="1" si="6"/>
        <v>1</v>
      </c>
      <c r="Z5" s="174">
        <f t="shared" ca="1" si="8"/>
        <v>104.69000000000001</v>
      </c>
      <c r="AA5" t="str">
        <f t="shared" ref="AA5:AA68" ca="1" si="9">IF(AC5&gt;3,"WR1",IF(AC5&gt;2.5,"WR2",IF(AC5&gt;2,"WR3",IF(AC5&gt;1.5,"WR4",IF(AC5&gt;1,"WR5",IF(AC5&gt;0.5,"WR6",IF(AC5&gt;0,"WR7","WR8")))))))</f>
        <v>WR2</v>
      </c>
      <c r="AB5" s="174">
        <f ca="1">Z5*LeagueInfo!$H$5</f>
        <v>33.809654035545186</v>
      </c>
      <c r="AC5" s="174">
        <f ca="1">(Z5-AVERAGE(Z:$Z))/_xlfn.STDEV.P(Z:Z)</f>
        <v>2.9344698729334198</v>
      </c>
    </row>
    <row r="6" spans="1:29" x14ac:dyDescent="0.35">
      <c r="A6">
        <f t="shared" si="0"/>
        <v>4</v>
      </c>
      <c r="B6" t="str">
        <f>WR_Raw!A6</f>
        <v>Amon-Ra St. Brown</v>
      </c>
      <c r="C6" t="s">
        <v>32</v>
      </c>
      <c r="D6">
        <f>_xlfn.IFNA(INDEX(BYEs!E:E,MATCH(B6,BYEs!D:D,0)),"N/A")</f>
        <v>24</v>
      </c>
      <c r="E6">
        <f>INDEX(BYEs!$B$2:$B$34,MATCH(F6,BYEs!$A$2:$A$34,0))</f>
        <v>5</v>
      </c>
      <c r="F6" t="str">
        <f>WR_Raw!B6</f>
        <v>DET</v>
      </c>
      <c r="G6" s="202">
        <v>0</v>
      </c>
      <c r="H6" s="203">
        <v>0</v>
      </c>
      <c r="I6" s="200">
        <f>WR_Raw!F6</f>
        <v>4.5</v>
      </c>
      <c r="J6" s="200">
        <f>WR_Raw!G6</f>
        <v>31.3</v>
      </c>
      <c r="K6" s="200">
        <f>WR_Raw!H6</f>
        <v>0.1</v>
      </c>
      <c r="L6" s="202">
        <f>WR_Raw!C6</f>
        <v>111</v>
      </c>
      <c r="M6" s="200">
        <f>WR_Raw!D6</f>
        <v>1351</v>
      </c>
      <c r="N6" s="203">
        <f>WR_Raw!E6</f>
        <v>8.1999999999999993</v>
      </c>
      <c r="O6" s="200">
        <f>WR_Raw!I6</f>
        <v>0.9</v>
      </c>
      <c r="P6" s="204">
        <f t="shared" si="1"/>
        <v>241.72999999999996</v>
      </c>
      <c r="Q6" t="str">
        <f t="shared" ca="1" si="2"/>
        <v>Starter</v>
      </c>
      <c r="R6">
        <f t="shared" ca="1" si="3"/>
        <v>75.769999999999953</v>
      </c>
      <c r="S6">
        <f t="shared" ca="1" si="4"/>
        <v>128.96999999999997</v>
      </c>
      <c r="T6" s="84">
        <f t="shared" ca="1" si="5"/>
        <v>32.734760158610371</v>
      </c>
      <c r="U6" s="84">
        <f ca="1">T6*Auction!$A$2</f>
        <v>32.734760158610371</v>
      </c>
      <c r="V6" s="5" t="str">
        <f>IF(OR(INDEX(Auction!$H$13:$H$650,MATCH(B6,Auction!$A$13:$A$650,0))&gt;0,IFERROR(INDEX(CheatSheet!$V$5:$V$64,MATCH(B6,CheatSheet!$S$5:$S$64,0)),"")&lt;&gt;""),"Yes","No")</f>
        <v>No</v>
      </c>
      <c r="W6" s="175"/>
      <c r="Y6" s="113">
        <f t="shared" ca="1" si="6"/>
        <v>1</v>
      </c>
      <c r="Z6" s="174">
        <f t="shared" ca="1" si="8"/>
        <v>102.36999999999996</v>
      </c>
      <c r="AA6" t="str">
        <f t="shared" ca="1" si="9"/>
        <v>WR2</v>
      </c>
      <c r="AB6" s="174">
        <f ca="1">Z6*LeagueInfo!$H$5</f>
        <v>33.060409624785166</v>
      </c>
      <c r="AC6" s="174">
        <f ca="1">(Z6-AVERAGE(Z:$Z))/_xlfn.STDEV.P(Z:Z)</f>
        <v>2.876585957263345</v>
      </c>
    </row>
    <row r="7" spans="1:29" x14ac:dyDescent="0.35">
      <c r="A7">
        <f t="shared" si="0"/>
        <v>5</v>
      </c>
      <c r="B7" t="str">
        <f>WR_Raw!A5</f>
        <v>Justin Jefferson</v>
      </c>
      <c r="C7" t="s">
        <v>32</v>
      </c>
      <c r="D7">
        <f>_xlfn.IFNA(INDEX(BYEs!E:E,MATCH(B7,BYEs!D:D,0)),"N/A")</f>
        <v>25</v>
      </c>
      <c r="E7">
        <f>INDEX(BYEs!$B$2:$B$34,MATCH(F7,BYEs!$A$2:$A$34,0))</f>
        <v>6</v>
      </c>
      <c r="F7" t="str">
        <f>WR_Raw!B5</f>
        <v>MIN</v>
      </c>
      <c r="G7" s="202">
        <v>0</v>
      </c>
      <c r="H7" s="203">
        <v>0</v>
      </c>
      <c r="I7" s="200">
        <f>WR_Raw!F5</f>
        <v>1.2</v>
      </c>
      <c r="J7" s="200">
        <f>WR_Raw!G5</f>
        <v>3.8</v>
      </c>
      <c r="K7" s="200">
        <f>WR_Raw!H5</f>
        <v>0</v>
      </c>
      <c r="L7" s="202">
        <f>WR_Raw!C5</f>
        <v>105.5</v>
      </c>
      <c r="M7" s="200">
        <f>WR_Raw!D5</f>
        <v>1447.6</v>
      </c>
      <c r="N7" s="203">
        <f>WR_Raw!E5</f>
        <v>7.4</v>
      </c>
      <c r="O7" s="200">
        <f>WR_Raw!I5</f>
        <v>1</v>
      </c>
      <c r="P7" s="204">
        <f t="shared" si="1"/>
        <v>240.29</v>
      </c>
      <c r="Q7" t="str">
        <f t="shared" ca="1" si="2"/>
        <v>Starter</v>
      </c>
      <c r="R7">
        <f t="shared" ca="1" si="3"/>
        <v>74.329999999999984</v>
      </c>
      <c r="S7">
        <f t="shared" ca="1" si="4"/>
        <v>127.52999999999999</v>
      </c>
      <c r="T7" s="84">
        <f t="shared" ca="1" si="5"/>
        <v>32.279444057651361</v>
      </c>
      <c r="U7" s="84">
        <f ca="1">T7*Auction!$A$2</f>
        <v>32.279444057651361</v>
      </c>
      <c r="V7" s="5" t="str">
        <f>IF(OR(INDEX(Auction!$H$13:$H$650,MATCH(B7,Auction!$A$13:$A$650,0))&gt;0,IFERROR(INDEX(CheatSheet!$V$5:$V$64,MATCH(B7,CheatSheet!$S$5:$S$64,0)),"")&lt;&gt;""),"Yes","No")</f>
        <v>No</v>
      </c>
      <c r="W7" s="175"/>
      <c r="Y7" s="113">
        <f t="shared" ca="1" si="6"/>
        <v>1</v>
      </c>
      <c r="Z7" s="174">
        <f t="shared" ca="1" si="8"/>
        <v>100.92999999999998</v>
      </c>
      <c r="AA7" t="str">
        <f t="shared" ca="1" si="9"/>
        <v>WR2</v>
      </c>
      <c r="AB7" s="174">
        <f ca="1">Z7*LeagueInfo!$H$5</f>
        <v>32.595361369830684</v>
      </c>
      <c r="AC7" s="174">
        <f ca="1">(Z7-AVERAGE(Z:$Z))/_xlfn.STDEV.P(Z:Z)</f>
        <v>2.8406580096060581</v>
      </c>
    </row>
    <row r="8" spans="1:29" x14ac:dyDescent="0.35">
      <c r="A8">
        <f t="shared" si="0"/>
        <v>6</v>
      </c>
      <c r="B8" t="str">
        <f>WR_Raw!A8</f>
        <v>Puka Nacua</v>
      </c>
      <c r="C8" t="s">
        <v>32</v>
      </c>
      <c r="D8">
        <f>_xlfn.IFNA(INDEX(BYEs!E:E,MATCH(B8,BYEs!D:D,0)),"N/A")</f>
        <v>23</v>
      </c>
      <c r="E8">
        <f>INDEX(BYEs!$B$2:$B$34,MATCH(F8,BYEs!$A$2:$A$34,0))</f>
        <v>6</v>
      </c>
      <c r="F8" t="str">
        <f>WR_Raw!B8</f>
        <v>LAR</v>
      </c>
      <c r="G8" s="202">
        <v>0</v>
      </c>
      <c r="H8" s="203">
        <v>0</v>
      </c>
      <c r="I8" s="200">
        <f>WR_Raw!F8</f>
        <v>8.9</v>
      </c>
      <c r="J8" s="200">
        <f>WR_Raw!G8</f>
        <v>54.7</v>
      </c>
      <c r="K8" s="200">
        <f>WR_Raw!H8</f>
        <v>0.2</v>
      </c>
      <c r="L8" s="202">
        <f>WR_Raw!C8</f>
        <v>94.7</v>
      </c>
      <c r="M8" s="200">
        <f>WR_Raw!D8</f>
        <v>1299.5999999999999</v>
      </c>
      <c r="N8" s="203">
        <f>WR_Raw!E8</f>
        <v>7.2</v>
      </c>
      <c r="O8" s="200">
        <f>WR_Raw!I8</f>
        <v>0.7</v>
      </c>
      <c r="P8" s="204">
        <f t="shared" si="1"/>
        <v>225.78</v>
      </c>
      <c r="Q8" t="str">
        <f t="shared" ca="1" si="2"/>
        <v>Starter</v>
      </c>
      <c r="R8">
        <f t="shared" ca="1" si="3"/>
        <v>59.819999999999993</v>
      </c>
      <c r="S8">
        <f t="shared" ca="1" si="4"/>
        <v>113.02</v>
      </c>
      <c r="T8" s="84">
        <f t="shared" ca="1" si="5"/>
        <v>27.691501957015763</v>
      </c>
      <c r="U8" s="84">
        <f ca="1">T8*Auction!$A$2</f>
        <v>27.691501957015763</v>
      </c>
      <c r="V8" s="5" t="str">
        <f>IF(OR(INDEX(Auction!$H$13:$H$650,MATCH(B8,Auction!$A$13:$A$650,0))&gt;0,IFERROR(INDEX(CheatSheet!$V$5:$V$64,MATCH(B8,CheatSheet!$S$5:$S$64,0)),"")&lt;&gt;""),"Yes","No")</f>
        <v>No</v>
      </c>
      <c r="W8" s="175"/>
      <c r="Y8" s="113">
        <f t="shared" ca="1" si="6"/>
        <v>1</v>
      </c>
      <c r="Z8" s="174">
        <f t="shared" ca="1" si="8"/>
        <v>86.419999999999987</v>
      </c>
      <c r="AA8" t="str">
        <f t="shared" ca="1" si="9"/>
        <v>WR3</v>
      </c>
      <c r="AB8" s="174">
        <f ca="1">Z8*LeagueInfo!$H$5</f>
        <v>27.909354300810143</v>
      </c>
      <c r="AC8" s="174">
        <f ca="1">(Z8-AVERAGE(Z:$Z))/_xlfn.STDEV.P(Z:Z)</f>
        <v>2.4786340370315902</v>
      </c>
    </row>
    <row r="9" spans="1:29" x14ac:dyDescent="0.35">
      <c r="A9">
        <f t="shared" si="0"/>
        <v>7</v>
      </c>
      <c r="B9" t="str">
        <f>WR_Raw!A7</f>
        <v>A.J. Brown</v>
      </c>
      <c r="C9" t="s">
        <v>32</v>
      </c>
      <c r="D9">
        <f>_xlfn.IFNA(INDEX(BYEs!E:E,MATCH(B9,BYEs!D:D,0)),"N/A")</f>
        <v>27</v>
      </c>
      <c r="E9">
        <f>INDEX(BYEs!$B$2:$B$34,MATCH(F9,BYEs!$A$2:$A$34,0))</f>
        <v>5</v>
      </c>
      <c r="F9" t="str">
        <f>WR_Raw!B7</f>
        <v>PHI</v>
      </c>
      <c r="G9" s="202">
        <v>0</v>
      </c>
      <c r="H9" s="203">
        <v>0</v>
      </c>
      <c r="I9" s="200">
        <f>WR_Raw!F7</f>
        <v>0</v>
      </c>
      <c r="J9" s="200">
        <f>WR_Raw!G7</f>
        <v>1.4</v>
      </c>
      <c r="K9" s="200">
        <f>WR_Raw!H7</f>
        <v>0</v>
      </c>
      <c r="L9" s="202">
        <f>WR_Raw!C7</f>
        <v>92.9</v>
      </c>
      <c r="M9" s="200">
        <f>WR_Raw!D7</f>
        <v>1318.2</v>
      </c>
      <c r="N9" s="203">
        <f>WR_Raw!E7</f>
        <v>8.1999999999999993</v>
      </c>
      <c r="O9" s="200">
        <f>WR_Raw!I7</f>
        <v>1.3</v>
      </c>
      <c r="P9" s="204">
        <f t="shared" si="1"/>
        <v>225.01000000000002</v>
      </c>
      <c r="Q9" t="str">
        <f t="shared" ca="1" si="2"/>
        <v>Starter</v>
      </c>
      <c r="R9">
        <f t="shared" ca="1" si="3"/>
        <v>59.050000000000011</v>
      </c>
      <c r="S9">
        <f t="shared" ca="1" si="4"/>
        <v>112.25000000000001</v>
      </c>
      <c r="T9" s="84">
        <f t="shared" ca="1" si="5"/>
        <v>27.44803431969741</v>
      </c>
      <c r="U9" s="84">
        <f ca="1">T9*Auction!$A$2</f>
        <v>27.44803431969741</v>
      </c>
      <c r="V9" s="5" t="str">
        <f>IF(OR(INDEX(Auction!$H$13:$H$650,MATCH(B9,Auction!$A$13:$A$650,0))&gt;0,IFERROR(INDEX(CheatSheet!$V$5:$V$64,MATCH(B9,CheatSheet!$S$5:$S$64,0)),"")&lt;&gt;""),"Yes","No")</f>
        <v>No</v>
      </c>
      <c r="W9" s="175"/>
      <c r="Y9" s="113">
        <f t="shared" ca="1" si="6"/>
        <v>1</v>
      </c>
      <c r="Z9" s="174">
        <f t="shared" ca="1" si="8"/>
        <v>85.65</v>
      </c>
      <c r="AA9" t="str">
        <f t="shared" ca="1" si="9"/>
        <v>WR3</v>
      </c>
      <c r="AB9" s="174">
        <f ca="1">Z9*LeagueInfo!$H$5</f>
        <v>27.660682664480319</v>
      </c>
      <c r="AC9" s="174">
        <f ca="1">(Z9-AVERAGE(Z:$Z))/_xlfn.STDEV.P(Z:Z)</f>
        <v>2.4594225650204025</v>
      </c>
    </row>
    <row r="10" spans="1:29" x14ac:dyDescent="0.35">
      <c r="A10">
        <f t="shared" si="0"/>
        <v>8</v>
      </c>
      <c r="B10" t="str">
        <f>WR_Raw!A9</f>
        <v>Garrett Wilson</v>
      </c>
      <c r="C10" t="s">
        <v>32</v>
      </c>
      <c r="D10">
        <f>_xlfn.IFNA(INDEX(BYEs!E:E,MATCH(B10,BYEs!D:D,0)),"N/A")</f>
        <v>24</v>
      </c>
      <c r="E10">
        <f>INDEX(BYEs!$B$2:$B$34,MATCH(F10,BYEs!$A$2:$A$34,0))</f>
        <v>12</v>
      </c>
      <c r="F10" t="str">
        <f>WR_Raw!B9</f>
        <v>NYJ</v>
      </c>
      <c r="G10" s="202">
        <v>0</v>
      </c>
      <c r="H10" s="203">
        <v>0</v>
      </c>
      <c r="I10" s="200">
        <f>WR_Raw!F9</f>
        <v>3.9</v>
      </c>
      <c r="J10" s="200">
        <f>WR_Raw!G9</f>
        <v>19.2</v>
      </c>
      <c r="K10" s="200">
        <f>WR_Raw!H9</f>
        <v>0.1</v>
      </c>
      <c r="L10" s="202">
        <f>WR_Raw!C9</f>
        <v>95.2</v>
      </c>
      <c r="M10" s="200">
        <f>WR_Raw!D9</f>
        <v>1190.2</v>
      </c>
      <c r="N10" s="203">
        <f>WR_Raw!E9</f>
        <v>8.1999999999999993</v>
      </c>
      <c r="O10" s="200">
        <f>WR_Raw!I9</f>
        <v>1.3</v>
      </c>
      <c r="P10" s="204">
        <f t="shared" si="1"/>
        <v>215.74</v>
      </c>
      <c r="Q10" t="str">
        <f t="shared" ca="1" si="2"/>
        <v>Starter</v>
      </c>
      <c r="R10">
        <f t="shared" ca="1" si="3"/>
        <v>49.78</v>
      </c>
      <c r="S10">
        <f t="shared" ca="1" si="4"/>
        <v>102.98</v>
      </c>
      <c r="T10" s="84">
        <f t="shared" ca="1" si="5"/>
        <v>24.516936919773766</v>
      </c>
      <c r="U10" s="84">
        <f ca="1">T10*Auction!$A$2</f>
        <v>24.516936919773766</v>
      </c>
      <c r="V10" s="5" t="str">
        <f>IF(OR(INDEX(Auction!$H$13:$H$650,MATCH(B10,Auction!$A$13:$A$650,0))&gt;0,IFERROR(INDEX(CheatSheet!$V$5:$V$64,MATCH(B10,CheatSheet!$S$5:$S$64,0)),"")&lt;&gt;""),"Yes","No")</f>
        <v>No</v>
      </c>
      <c r="W10" s="175"/>
      <c r="Y10" s="113">
        <f t="shared" ca="1" si="6"/>
        <v>1</v>
      </c>
      <c r="Z10" s="174">
        <f t="shared" ca="1" si="8"/>
        <v>76.38</v>
      </c>
      <c r="AA10" t="str">
        <f t="shared" ca="1" si="9"/>
        <v>WR3</v>
      </c>
      <c r="AB10" s="174">
        <f ca="1">Z10*LeagueInfo!$H$5</f>
        <v>24.66693452321082</v>
      </c>
      <c r="AC10" s="174">
        <f ca="1">(Z10-AVERAGE(Z:$Z))/_xlfn.STDEV.P(Z:Z)</f>
        <v>2.2281364019766174</v>
      </c>
    </row>
    <row r="11" spans="1:29" x14ac:dyDescent="0.35">
      <c r="A11">
        <f t="shared" si="0"/>
        <v>9</v>
      </c>
      <c r="B11" t="str">
        <f>WR_Raw!A13</f>
        <v>Chris Olave</v>
      </c>
      <c r="C11" t="s">
        <v>32</v>
      </c>
      <c r="D11">
        <f>_xlfn.IFNA(INDEX(BYEs!E:E,MATCH(B11,BYEs!D:D,0)),"N/A")</f>
        <v>24</v>
      </c>
      <c r="E11">
        <f>INDEX(BYEs!$B$2:$B$34,MATCH(F11,BYEs!$A$2:$A$34,0))</f>
        <v>12</v>
      </c>
      <c r="F11" t="str">
        <f>WR_Raw!B13</f>
        <v>NO</v>
      </c>
      <c r="G11" s="202">
        <v>0</v>
      </c>
      <c r="H11" s="203">
        <v>0</v>
      </c>
      <c r="I11" s="200">
        <f>WR_Raw!F13</f>
        <v>0</v>
      </c>
      <c r="J11" s="200">
        <f>WR_Raw!G13</f>
        <v>1</v>
      </c>
      <c r="K11" s="200">
        <f>WR_Raw!H13</f>
        <v>0</v>
      </c>
      <c r="L11" s="202">
        <f>WR_Raw!C13</f>
        <v>89.7</v>
      </c>
      <c r="M11" s="200">
        <f>WR_Raw!D13</f>
        <v>1205.9000000000001</v>
      </c>
      <c r="N11" s="203">
        <f>WR_Raw!E13</f>
        <v>6.5</v>
      </c>
      <c r="O11" s="200">
        <f>WR_Raw!I13</f>
        <v>0.6</v>
      </c>
      <c r="P11" s="204">
        <f t="shared" si="1"/>
        <v>203.34000000000003</v>
      </c>
      <c r="Q11" t="str">
        <f t="shared" ca="1" si="2"/>
        <v>Starter</v>
      </c>
      <c r="R11">
        <f t="shared" ca="1" si="3"/>
        <v>37.380000000000024</v>
      </c>
      <c r="S11">
        <f t="shared" ca="1" si="4"/>
        <v>90.580000000000027</v>
      </c>
      <c r="T11" s="84">
        <f t="shared" ca="1" si="5"/>
        <v>20.596159383737835</v>
      </c>
      <c r="U11" s="84">
        <f ca="1">T11*Auction!$A$2</f>
        <v>20.596159383737835</v>
      </c>
      <c r="V11" s="5" t="str">
        <f>IF(OR(INDEX(Auction!$H$13:$H$650,MATCH(B11,Auction!$A$13:$A$650,0))&gt;0,IFERROR(INDEX(CheatSheet!$V$5:$V$64,MATCH(B11,CheatSheet!$S$5:$S$64,0)),"")&lt;&gt;""),"Yes","No")</f>
        <v>No</v>
      </c>
      <c r="W11" s="175"/>
      <c r="Y11" s="113">
        <f t="shared" ca="1" si="6"/>
        <v>1</v>
      </c>
      <c r="Z11" s="174">
        <f t="shared" ca="1" si="8"/>
        <v>63.980000000000025</v>
      </c>
      <c r="AA11" t="str">
        <f t="shared" ca="1" si="9"/>
        <v>WR4</v>
      </c>
      <c r="AB11" s="174">
        <f ca="1">Z11*LeagueInfo!$H$5</f>
        <v>20.66235232776943</v>
      </c>
      <c r="AC11" s="174">
        <f ca="1">(Z11-AVERAGE(Z:$Z))/_xlfn.STDEV.P(Z:Z)</f>
        <v>1.9187568527055354</v>
      </c>
    </row>
    <row r="12" spans="1:29" x14ac:dyDescent="0.35">
      <c r="A12">
        <f t="shared" si="0"/>
        <v>10</v>
      </c>
      <c r="B12" t="str">
        <f>WR_Raw!A14</f>
        <v>Marvin Harrison Jr.</v>
      </c>
      <c r="C12" t="s">
        <v>32</v>
      </c>
      <c r="D12">
        <f>_xlfn.IFNA(INDEX(BYEs!E:E,MATCH(B12,BYEs!D:D,0)),"N/A")</f>
        <v>21</v>
      </c>
      <c r="E12">
        <f>INDEX(BYEs!$B$2:$B$34,MATCH(F12,BYEs!$A$2:$A$34,0))</f>
        <v>11</v>
      </c>
      <c r="F12" t="str">
        <f>WR_Raw!B14</f>
        <v>ARI</v>
      </c>
      <c r="G12" s="202">
        <v>0</v>
      </c>
      <c r="H12" s="203">
        <v>0</v>
      </c>
      <c r="I12" s="200">
        <f>WR_Raw!F14</f>
        <v>0.5</v>
      </c>
      <c r="J12" s="200">
        <f>WR_Raw!G14</f>
        <v>3.6</v>
      </c>
      <c r="K12" s="200">
        <f>WR_Raw!H14</f>
        <v>0</v>
      </c>
      <c r="L12" s="202">
        <f>WR_Raw!C14</f>
        <v>88.4</v>
      </c>
      <c r="M12" s="200">
        <f>WR_Raw!D14</f>
        <v>1175.7</v>
      </c>
      <c r="N12" s="203">
        <f>WR_Raw!E14</f>
        <v>6.8</v>
      </c>
      <c r="O12" s="200">
        <f>WR_Raw!I14</f>
        <v>1.5</v>
      </c>
      <c r="P12" s="204">
        <f t="shared" si="1"/>
        <v>199.93</v>
      </c>
      <c r="Q12" t="str">
        <f t="shared" ca="1" si="2"/>
        <v>Starter</v>
      </c>
      <c r="R12">
        <f t="shared" ca="1" si="3"/>
        <v>33.97</v>
      </c>
      <c r="S12">
        <f t="shared" ca="1" si="4"/>
        <v>87.17</v>
      </c>
      <c r="T12" s="84">
        <f t="shared" ca="1" si="5"/>
        <v>19.517945561327945</v>
      </c>
      <c r="U12" s="84">
        <f ca="1">T12*Auction!$A$2</f>
        <v>19.517945561327945</v>
      </c>
      <c r="V12" s="5" t="str">
        <f>IF(OR(INDEX(Auction!$H$13:$H$650,MATCH(B12,Auction!$A$13:$A$650,0))&gt;0,IFERROR(INDEX(CheatSheet!$V$5:$V$64,MATCH(B12,CheatSheet!$S$5:$S$64,0)),"")&lt;&gt;""),"Yes","No")</f>
        <v>No</v>
      </c>
      <c r="W12" s="175"/>
      <c r="Y12" s="113">
        <f t="shared" ca="1" si="6"/>
        <v>1</v>
      </c>
      <c r="Z12" s="174">
        <f t="shared" ca="1" si="8"/>
        <v>60.57</v>
      </c>
      <c r="AA12" t="str">
        <f t="shared" ca="1" si="9"/>
        <v>WR4</v>
      </c>
      <c r="AB12" s="174">
        <f ca="1">Z12*LeagueInfo!$H$5</f>
        <v>19.561092224023035</v>
      </c>
      <c r="AC12" s="174">
        <f ca="1">(Z12-AVERAGE(Z:$Z))/_xlfn.STDEV.P(Z:Z)</f>
        <v>1.8336774766559871</v>
      </c>
    </row>
    <row r="13" spans="1:29" x14ac:dyDescent="0.35">
      <c r="A13">
        <f t="shared" si="0"/>
        <v>11</v>
      </c>
      <c r="B13" t="str">
        <f>WR_Raw!A11</f>
        <v>Mike Evans</v>
      </c>
      <c r="C13" t="s">
        <v>32</v>
      </c>
      <c r="D13">
        <f>_xlfn.IFNA(INDEX(BYEs!E:E,MATCH(B13,BYEs!D:D,0)),"N/A")</f>
        <v>30</v>
      </c>
      <c r="E13">
        <f>INDEX(BYEs!$B$2:$B$34,MATCH(F13,BYEs!$A$2:$A$34,0))</f>
        <v>11</v>
      </c>
      <c r="F13" t="str">
        <f>WR_Raw!B11</f>
        <v>TB</v>
      </c>
      <c r="G13" s="202">
        <v>0</v>
      </c>
      <c r="H13" s="203">
        <v>0</v>
      </c>
      <c r="I13" s="200">
        <f>WR_Raw!F11</f>
        <v>0</v>
      </c>
      <c r="J13" s="200">
        <f>WR_Raw!G11</f>
        <v>1.2</v>
      </c>
      <c r="K13" s="200">
        <f>WR_Raw!H11</f>
        <v>0</v>
      </c>
      <c r="L13" s="202">
        <f>WR_Raw!C11</f>
        <v>75.599999999999994</v>
      </c>
      <c r="M13" s="200">
        <f>WR_Raw!D11</f>
        <v>1120.4000000000001</v>
      </c>
      <c r="N13" s="203">
        <f>WR_Raw!E11</f>
        <v>8.4</v>
      </c>
      <c r="O13" s="200">
        <f>WR_Raw!I11</f>
        <v>0.5</v>
      </c>
      <c r="P13" s="204">
        <f t="shared" si="1"/>
        <v>199.36</v>
      </c>
      <c r="Q13" t="str">
        <f t="shared" ca="1" si="2"/>
        <v>Starter</v>
      </c>
      <c r="R13">
        <f t="shared" ca="1" si="3"/>
        <v>33.400000000000006</v>
      </c>
      <c r="S13">
        <f t="shared" ca="1" si="4"/>
        <v>86.600000000000009</v>
      </c>
      <c r="T13" s="84">
        <f t="shared" ca="1" si="5"/>
        <v>19.337716271365004</v>
      </c>
      <c r="U13" s="84">
        <f ca="1">T13*Auction!$A$2</f>
        <v>19.337716271365004</v>
      </c>
      <c r="V13" s="5" t="str">
        <f>IF(OR(INDEX(Auction!$H$13:$H$650,MATCH(B13,Auction!$A$13:$A$650,0))&gt;0,IFERROR(INDEX(CheatSheet!$V$5:$V$64,MATCH(B13,CheatSheet!$S$5:$S$64,0)),"")&lt;&gt;""),"Yes","No")</f>
        <v>No</v>
      </c>
      <c r="W13" s="175"/>
      <c r="Y13" s="113">
        <f t="shared" ca="1" si="6"/>
        <v>1</v>
      </c>
      <c r="Z13" s="174">
        <f t="shared" ca="1" si="8"/>
        <v>60.000000000000007</v>
      </c>
      <c r="AA13" t="str">
        <f t="shared" ca="1" si="9"/>
        <v>WR4</v>
      </c>
      <c r="AB13" s="174">
        <f ca="1">Z13*LeagueInfo!$H$5</f>
        <v>19.377010623103555</v>
      </c>
      <c r="AC13" s="174">
        <f ca="1">(Z13-AVERAGE(Z:$Z))/_xlfn.STDEV.P(Z:Z)</f>
        <v>1.8194559973749778</v>
      </c>
    </row>
    <row r="14" spans="1:29" x14ac:dyDescent="0.35">
      <c r="A14">
        <f t="shared" si="0"/>
        <v>12</v>
      </c>
      <c r="B14" t="str">
        <f>WR_Raw!A10</f>
        <v>Deebo Samuel Sr.</v>
      </c>
      <c r="C14" t="s">
        <v>32</v>
      </c>
      <c r="D14">
        <f>_xlfn.IFNA(INDEX(BYEs!E:E,MATCH(B14,BYEs!D:D,0)),"N/A")</f>
        <v>28</v>
      </c>
      <c r="E14">
        <f>INDEX(BYEs!$B$2:$B$34,MATCH(F14,BYEs!$A$2:$A$34,0))</f>
        <v>9</v>
      </c>
      <c r="F14" t="str">
        <f>WR_Raw!B10</f>
        <v>SF</v>
      </c>
      <c r="G14" s="202">
        <v>0</v>
      </c>
      <c r="H14" s="203">
        <v>0</v>
      </c>
      <c r="I14" s="200">
        <f>WR_Raw!F10</f>
        <v>35.799999999999997</v>
      </c>
      <c r="J14" s="200">
        <f>WR_Raw!G10</f>
        <v>208.2</v>
      </c>
      <c r="K14" s="200">
        <f>WR_Raw!H10</f>
        <v>3.1</v>
      </c>
      <c r="L14" s="202">
        <f>WR_Raw!C10</f>
        <v>66.900000000000006</v>
      </c>
      <c r="M14" s="200">
        <f>WR_Raw!D10</f>
        <v>926.5</v>
      </c>
      <c r="N14" s="203">
        <f>WR_Raw!E10</f>
        <v>5.9</v>
      </c>
      <c r="O14" s="200">
        <f>WR_Raw!I10</f>
        <v>1</v>
      </c>
      <c r="P14" s="204">
        <f t="shared" si="1"/>
        <v>198.92000000000002</v>
      </c>
      <c r="Q14" t="str">
        <f t="shared" ca="1" si="2"/>
        <v>Starter</v>
      </c>
      <c r="R14">
        <f t="shared" ca="1" si="3"/>
        <v>32.960000000000008</v>
      </c>
      <c r="S14">
        <f t="shared" ca="1" si="4"/>
        <v>86.160000000000011</v>
      </c>
      <c r="T14" s="84">
        <f t="shared" ca="1" si="5"/>
        <v>19.198591907183086</v>
      </c>
      <c r="U14" s="84">
        <f ca="1">T14*Auction!$A$2</f>
        <v>19.198591907183086</v>
      </c>
      <c r="V14" s="5" t="str">
        <f>IF(OR(INDEX(Auction!$H$13:$H$650,MATCH(B14,Auction!$A$13:$A$650,0))&gt;0,IFERROR(INDEX(CheatSheet!$V$5:$V$64,MATCH(B14,CheatSheet!$S$5:$S$64,0)),"")&lt;&gt;""),"Yes","No")</f>
        <v>No</v>
      </c>
      <c r="W14" s="175"/>
      <c r="Y14" s="113">
        <f t="shared" ca="1" si="6"/>
        <v>1</v>
      </c>
      <c r="Z14" s="174">
        <f t="shared" ca="1" si="8"/>
        <v>59.560000000000009</v>
      </c>
      <c r="AA14" t="str">
        <f t="shared" ca="1" si="9"/>
        <v>WR4</v>
      </c>
      <c r="AB14" s="174">
        <f ca="1">Z14*LeagueInfo!$H$5</f>
        <v>19.234912545200796</v>
      </c>
      <c r="AC14" s="174">
        <f ca="1">(Z14-AVERAGE(Z:$Z))/_xlfn.STDEV.P(Z:Z)</f>
        <v>1.8084780133685847</v>
      </c>
    </row>
    <row r="15" spans="1:29" x14ac:dyDescent="0.35">
      <c r="A15">
        <f t="shared" si="0"/>
        <v>13</v>
      </c>
      <c r="B15" t="str">
        <f>WR_Raw!A15</f>
        <v>Drake London</v>
      </c>
      <c r="C15" t="s">
        <v>32</v>
      </c>
      <c r="D15">
        <f>_xlfn.IFNA(INDEX(BYEs!E:E,MATCH(B15,BYEs!D:D,0)),"N/A")</f>
        <v>23</v>
      </c>
      <c r="E15">
        <f>INDEX(BYEs!$B$2:$B$34,MATCH(F15,BYEs!$A$2:$A$34,0))</f>
        <v>12</v>
      </c>
      <c r="F15" t="str">
        <f>WR_Raw!B15</f>
        <v>ATL</v>
      </c>
      <c r="G15" s="202">
        <v>0</v>
      </c>
      <c r="H15" s="203">
        <v>0</v>
      </c>
      <c r="I15" s="200">
        <f>WR_Raw!F15</f>
        <v>0</v>
      </c>
      <c r="J15" s="200">
        <f>WR_Raw!G15</f>
        <v>2.2000000000000002</v>
      </c>
      <c r="K15" s="200">
        <f>WR_Raw!H15</f>
        <v>0</v>
      </c>
      <c r="L15" s="202">
        <f>WR_Raw!C15</f>
        <v>87.8</v>
      </c>
      <c r="M15" s="200">
        <f>WR_Raw!D15</f>
        <v>1144.5</v>
      </c>
      <c r="N15" s="203">
        <f>WR_Raw!E15</f>
        <v>7</v>
      </c>
      <c r="O15" s="200">
        <f>WR_Raw!I15</f>
        <v>0.9</v>
      </c>
      <c r="P15" s="204">
        <f t="shared" si="1"/>
        <v>198.76999999999998</v>
      </c>
      <c r="Q15" t="str">
        <f t="shared" ca="1" si="2"/>
        <v>Starter</v>
      </c>
      <c r="R15">
        <f t="shared" ca="1" si="3"/>
        <v>32.809999999999974</v>
      </c>
      <c r="S15">
        <f t="shared" ca="1" si="4"/>
        <v>86.009999999999977</v>
      </c>
      <c r="T15" s="84">
        <f t="shared" ca="1" si="5"/>
        <v>19.151163146666512</v>
      </c>
      <c r="U15" s="84">
        <f ca="1">T15*Auction!$A$2</f>
        <v>19.151163146666512</v>
      </c>
      <c r="V15" s="5" t="str">
        <f>IF(OR(INDEX(Auction!$H$13:$H$650,MATCH(B15,Auction!$A$13:$A$650,0))&gt;0,IFERROR(INDEX(CheatSheet!$V$5:$V$64,MATCH(B15,CheatSheet!$S$5:$S$64,0)),"")&lt;&gt;""),"Yes","No")</f>
        <v>No</v>
      </c>
      <c r="W15" s="175"/>
      <c r="Y15" s="113">
        <f t="shared" ca="1" si="6"/>
        <v>1</v>
      </c>
      <c r="Z15" s="174">
        <f t="shared" ca="1" si="8"/>
        <v>59.409999999999975</v>
      </c>
      <c r="AA15" t="str">
        <f t="shared" ca="1" si="9"/>
        <v>WR4</v>
      </c>
      <c r="AB15" s="174">
        <f ca="1">Z15*LeagueInfo!$H$5</f>
        <v>19.186470018643025</v>
      </c>
      <c r="AC15" s="174">
        <f ca="1">(Z15-AVERAGE(Z:$Z))/_xlfn.STDEV.P(Z:Z)</f>
        <v>1.8047355188209497</v>
      </c>
    </row>
    <row r="16" spans="1:29" x14ac:dyDescent="0.35">
      <c r="A16">
        <f t="shared" si="0"/>
        <v>14</v>
      </c>
      <c r="B16" t="str">
        <f>WR_Raw!A12</f>
        <v>Nico Collins</v>
      </c>
      <c r="C16" t="s">
        <v>32</v>
      </c>
      <c r="D16">
        <f>_xlfn.IFNA(INDEX(BYEs!E:E,MATCH(B16,BYEs!D:D,0)),"N/A")</f>
        <v>25</v>
      </c>
      <c r="E16">
        <f>INDEX(BYEs!$B$2:$B$34,MATCH(F16,BYEs!$A$2:$A$34,0))</f>
        <v>14</v>
      </c>
      <c r="F16" t="str">
        <f>WR_Raw!B12</f>
        <v>HOU</v>
      </c>
      <c r="G16" s="202">
        <v>0</v>
      </c>
      <c r="H16" s="203">
        <v>0</v>
      </c>
      <c r="I16" s="200">
        <f>WR_Raw!F12</f>
        <v>1.4</v>
      </c>
      <c r="J16" s="200">
        <f>WR_Raw!G12</f>
        <v>8.6</v>
      </c>
      <c r="K16" s="200">
        <f>WR_Raw!H12</f>
        <v>0</v>
      </c>
      <c r="L16" s="202">
        <f>WR_Raw!C12</f>
        <v>78.5</v>
      </c>
      <c r="M16" s="200">
        <f>WR_Raw!D12</f>
        <v>1152</v>
      </c>
      <c r="N16" s="203">
        <f>WR_Raw!E12</f>
        <v>7.4</v>
      </c>
      <c r="O16" s="200">
        <f>WR_Raw!I12</f>
        <v>0.5</v>
      </c>
      <c r="P16" s="204">
        <f t="shared" si="1"/>
        <v>198.71</v>
      </c>
      <c r="Q16" t="str">
        <f t="shared" ca="1" si="2"/>
        <v>Starter</v>
      </c>
      <c r="R16">
        <f t="shared" ca="1" si="3"/>
        <v>32.75</v>
      </c>
      <c r="S16">
        <f t="shared" ca="1" si="4"/>
        <v>85.95</v>
      </c>
      <c r="T16" s="84">
        <f t="shared" ca="1" si="5"/>
        <v>19.132191642459894</v>
      </c>
      <c r="U16" s="84">
        <f ca="1">T16*Auction!$A$2</f>
        <v>19.132191642459894</v>
      </c>
      <c r="V16" s="5" t="str">
        <f>IF(OR(INDEX(Auction!$H$13:$H$650,MATCH(B16,Auction!$A$13:$A$650,0))&gt;0,IFERROR(INDEX(CheatSheet!$V$5:$V$64,MATCH(B16,CheatSheet!$S$5:$S$64,0)),"")&lt;&gt;""),"Yes","No")</f>
        <v>No</v>
      </c>
      <c r="W16" s="175"/>
      <c r="Y16" s="113">
        <f t="shared" ca="1" si="6"/>
        <v>1</v>
      </c>
      <c r="Z16" s="174">
        <f t="shared" ca="1" si="8"/>
        <v>59.35</v>
      </c>
      <c r="AA16" t="str">
        <f t="shared" ca="1" si="9"/>
        <v>WR4</v>
      </c>
      <c r="AB16" s="174">
        <f ca="1">Z16*LeagueInfo!$H$5</f>
        <v>19.167093008019929</v>
      </c>
      <c r="AC16" s="174">
        <f ca="1">(Z16-AVERAGE(Z:$Z))/_xlfn.STDEV.P(Z:Z)</f>
        <v>1.8032385210018969</v>
      </c>
    </row>
    <row r="17" spans="1:29" x14ac:dyDescent="0.35">
      <c r="A17">
        <f t="shared" si="0"/>
        <v>15</v>
      </c>
      <c r="B17" t="str">
        <f>WR_Raw!A18</f>
        <v>Davante Adams</v>
      </c>
      <c r="C17" t="s">
        <v>32</v>
      </c>
      <c r="D17">
        <f>_xlfn.IFNA(INDEX(BYEs!E:E,MATCH(B17,BYEs!D:D,0)),"N/A")</f>
        <v>31</v>
      </c>
      <c r="E17">
        <f>INDEX(BYEs!$B$2:$B$34,MATCH(F17,BYEs!$A$2:$A$34,0))</f>
        <v>10</v>
      </c>
      <c r="F17" t="str">
        <f>WR_Raw!B18</f>
        <v>LV</v>
      </c>
      <c r="G17" s="202">
        <v>0</v>
      </c>
      <c r="H17" s="203">
        <v>0</v>
      </c>
      <c r="I17" s="200">
        <f>WR_Raw!F18</f>
        <v>0</v>
      </c>
      <c r="J17" s="200">
        <f>WR_Raw!G18</f>
        <v>1</v>
      </c>
      <c r="K17" s="200">
        <f>WR_Raw!H18</f>
        <v>0</v>
      </c>
      <c r="L17" s="202">
        <f>WR_Raw!C18</f>
        <v>93.1</v>
      </c>
      <c r="M17" s="200">
        <f>WR_Raw!D18</f>
        <v>1129.7</v>
      </c>
      <c r="N17" s="203">
        <f>WR_Raw!E18</f>
        <v>6.5</v>
      </c>
      <c r="O17" s="200">
        <f>WR_Raw!I18</f>
        <v>0.5</v>
      </c>
      <c r="P17" s="204">
        <f t="shared" si="1"/>
        <v>197.62</v>
      </c>
      <c r="Q17" t="str">
        <f t="shared" ca="1" si="2"/>
        <v>Starter</v>
      </c>
      <c r="R17">
        <f t="shared" ca="1" si="3"/>
        <v>31.659999999999997</v>
      </c>
      <c r="S17">
        <f t="shared" ca="1" si="4"/>
        <v>84.86</v>
      </c>
      <c r="T17" s="84">
        <f t="shared" ca="1" si="5"/>
        <v>18.78754264937286</v>
      </c>
      <c r="U17" s="84">
        <f ca="1">T17*Auction!$A$2</f>
        <v>18.78754264937286</v>
      </c>
      <c r="V17" s="5" t="str">
        <f>IF(OR(INDEX(Auction!$H$13:$H$650,MATCH(B17,Auction!$A$13:$A$650,0))&gt;0,IFERROR(INDEX(CheatSheet!$V$5:$V$64,MATCH(B17,CheatSheet!$S$5:$S$64,0)),"")&lt;&gt;""),"Yes","No")</f>
        <v>No</v>
      </c>
      <c r="W17" s="175"/>
      <c r="Y17" s="113">
        <f t="shared" ca="1" si="6"/>
        <v>1</v>
      </c>
      <c r="Z17" s="174">
        <f t="shared" ca="1" si="8"/>
        <v>58.26</v>
      </c>
      <c r="AA17" t="str">
        <f t="shared" ca="1" si="9"/>
        <v>WR4</v>
      </c>
      <c r="AB17" s="174">
        <f ca="1">Z17*LeagueInfo!$H$5</f>
        <v>18.815077315033548</v>
      </c>
      <c r="AC17" s="174">
        <f ca="1">(Z17-AVERAGE(Z:$Z))/_xlfn.STDEV.P(Z:Z)</f>
        <v>1.7760430606224225</v>
      </c>
    </row>
    <row r="18" spans="1:29" x14ac:dyDescent="0.35">
      <c r="A18">
        <f t="shared" si="0"/>
        <v>16</v>
      </c>
      <c r="B18" t="str">
        <f>WR_Raw!A19</f>
        <v>Cooper Kupp</v>
      </c>
      <c r="C18" t="s">
        <v>32</v>
      </c>
      <c r="D18">
        <f>_xlfn.IFNA(INDEX(BYEs!E:E,MATCH(B18,BYEs!D:D,0)),"N/A")</f>
        <v>31</v>
      </c>
      <c r="E18">
        <f>INDEX(BYEs!$B$2:$B$34,MATCH(F18,BYEs!$A$2:$A$34,0))</f>
        <v>6</v>
      </c>
      <c r="F18" t="str">
        <f>WR_Raw!B19</f>
        <v>LAR</v>
      </c>
      <c r="G18" s="202">
        <v>0</v>
      </c>
      <c r="H18" s="203">
        <v>0</v>
      </c>
      <c r="I18" s="200">
        <f>WR_Raw!F19</f>
        <v>2.9</v>
      </c>
      <c r="J18" s="200">
        <f>WR_Raw!G19</f>
        <v>17.399999999999999</v>
      </c>
      <c r="K18" s="200">
        <f>WR_Raw!H19</f>
        <v>0.1</v>
      </c>
      <c r="L18" s="202">
        <f>WR_Raw!C19</f>
        <v>85.9</v>
      </c>
      <c r="M18" s="200">
        <f>WR_Raw!D19</f>
        <v>1061.2</v>
      </c>
      <c r="N18" s="203">
        <f>WR_Raw!E19</f>
        <v>7.3</v>
      </c>
      <c r="O18" s="200">
        <f>WR_Raw!I19</f>
        <v>0.5</v>
      </c>
      <c r="P18" s="204">
        <f t="shared" si="1"/>
        <v>194.21000000000004</v>
      </c>
      <c r="Q18" t="str">
        <f t="shared" ca="1" si="2"/>
        <v>Starter</v>
      </c>
      <c r="R18">
        <f t="shared" ca="1" si="3"/>
        <v>28.250000000000028</v>
      </c>
      <c r="S18">
        <f t="shared" ca="1" si="4"/>
        <v>81.450000000000031</v>
      </c>
      <c r="T18" s="84">
        <f t="shared" ca="1" si="5"/>
        <v>17.709328826962988</v>
      </c>
      <c r="U18" s="84">
        <f ca="1">T18*Auction!$A$2</f>
        <v>17.709328826962988</v>
      </c>
      <c r="V18" s="5" t="str">
        <f>IF(OR(INDEX(Auction!$H$13:$H$650,MATCH(B18,Auction!$A$13:$A$650,0))&gt;0,IFERROR(INDEX(CheatSheet!$V$5:$V$64,MATCH(B18,CheatSheet!$S$5:$S$64,0)),"")&lt;&gt;""),"Yes","No")</f>
        <v>No</v>
      </c>
      <c r="W18" s="175"/>
      <c r="Y18" s="113">
        <f t="shared" ca="1" si="6"/>
        <v>1</v>
      </c>
      <c r="Z18" s="174">
        <f t="shared" ca="1" si="8"/>
        <v>54.85000000000003</v>
      </c>
      <c r="AA18" t="str">
        <f t="shared" ca="1" si="9"/>
        <v>WR4</v>
      </c>
      <c r="AB18" s="174">
        <f ca="1">Z18*LeagueInfo!$H$5</f>
        <v>17.713817211287171</v>
      </c>
      <c r="AC18" s="174">
        <f ca="1">(Z18-AVERAGE(Z:$Z))/_xlfn.STDEV.P(Z:Z)</f>
        <v>1.6909636845728757</v>
      </c>
    </row>
    <row r="19" spans="1:29" x14ac:dyDescent="0.35">
      <c r="A19">
        <f t="shared" si="0"/>
        <v>17</v>
      </c>
      <c r="B19" t="str">
        <f>WR_Raw!A20</f>
        <v>DeVonta Smith</v>
      </c>
      <c r="C19" t="s">
        <v>32</v>
      </c>
      <c r="D19">
        <f>_xlfn.IFNA(INDEX(BYEs!E:E,MATCH(B19,BYEs!D:D,0)),"N/A")</f>
        <v>25</v>
      </c>
      <c r="E19">
        <f>INDEX(BYEs!$B$2:$B$34,MATCH(F19,BYEs!$A$2:$A$34,0))</f>
        <v>5</v>
      </c>
      <c r="F19" t="str">
        <f>WR_Raw!B20</f>
        <v>PHI</v>
      </c>
      <c r="G19" s="202">
        <v>0</v>
      </c>
      <c r="H19" s="203">
        <v>0</v>
      </c>
      <c r="I19" s="200">
        <f>WR_Raw!F20</f>
        <v>0</v>
      </c>
      <c r="J19" s="200">
        <f>WR_Raw!G20</f>
        <v>1.2</v>
      </c>
      <c r="K19" s="200">
        <f>WR_Raw!H20</f>
        <v>0</v>
      </c>
      <c r="L19" s="202">
        <f>WR_Raw!C20</f>
        <v>84.8</v>
      </c>
      <c r="M19" s="200">
        <f>WR_Raw!D20</f>
        <v>1082.3</v>
      </c>
      <c r="N19" s="203">
        <f>WR_Raw!E20</f>
        <v>7.1</v>
      </c>
      <c r="O19" s="200">
        <f>WR_Raw!I20</f>
        <v>0.9</v>
      </c>
      <c r="P19" s="204">
        <f t="shared" si="1"/>
        <v>191.54999999999998</v>
      </c>
      <c r="Q19" t="str">
        <f t="shared" ca="1" si="2"/>
        <v>Starter</v>
      </c>
      <c r="R19">
        <f t="shared" ca="1" si="3"/>
        <v>25.589999999999975</v>
      </c>
      <c r="S19">
        <f t="shared" ca="1" si="4"/>
        <v>78.789999999999978</v>
      </c>
      <c r="T19" s="84">
        <f t="shared" ca="1" si="5"/>
        <v>16.868258807135909</v>
      </c>
      <c r="U19" s="84">
        <f ca="1">T19*Auction!$A$2</f>
        <v>16.868258807135909</v>
      </c>
      <c r="V19" s="5" t="str">
        <f>IF(OR(INDEX(Auction!$H$13:$H$650,MATCH(B19,Auction!$A$13:$A$650,0))&gt;0,IFERROR(INDEX(CheatSheet!$V$5:$V$64,MATCH(B19,CheatSheet!$S$5:$S$64,0)),"")&lt;&gt;""),"Yes","No")</f>
        <v>No</v>
      </c>
      <c r="W19" s="175"/>
      <c r="Y19" s="113">
        <f t="shared" ca="1" si="6"/>
        <v>1</v>
      </c>
      <c r="Z19" s="174">
        <f t="shared" ca="1" si="8"/>
        <v>52.189999999999976</v>
      </c>
      <c r="AA19" t="str">
        <f t="shared" ca="1" si="9"/>
        <v>WR4</v>
      </c>
      <c r="AB19" s="174">
        <f ca="1">Z19*LeagueInfo!$H$5</f>
        <v>16.854769740329566</v>
      </c>
      <c r="AC19" s="174">
        <f ca="1">(Z19-AVERAGE(Z:$Z))/_xlfn.STDEV.P(Z:Z)</f>
        <v>1.624596781261497</v>
      </c>
    </row>
    <row r="20" spans="1:29" x14ac:dyDescent="0.35">
      <c r="A20">
        <f t="shared" si="0"/>
        <v>18</v>
      </c>
      <c r="B20" t="str">
        <f>WR_Raw!A16</f>
        <v>DK Metcalf</v>
      </c>
      <c r="C20" t="s">
        <v>32</v>
      </c>
      <c r="D20">
        <f>_xlfn.IFNA(INDEX(BYEs!E:E,MATCH(B20,BYEs!D:D,0)),"N/A")</f>
        <v>26</v>
      </c>
      <c r="E20">
        <f>INDEX(BYEs!$B$2:$B$34,MATCH(F20,BYEs!$A$2:$A$34,0))</f>
        <v>10</v>
      </c>
      <c r="F20" t="str">
        <f>WR_Raw!B16</f>
        <v>SEA</v>
      </c>
      <c r="G20" s="202">
        <v>0</v>
      </c>
      <c r="H20" s="203">
        <v>0</v>
      </c>
      <c r="I20" s="200">
        <f>WR_Raw!F16</f>
        <v>0</v>
      </c>
      <c r="J20" s="200">
        <f>WR_Raw!G16</f>
        <v>1.2</v>
      </c>
      <c r="K20" s="200">
        <f>WR_Raw!H16</f>
        <v>0</v>
      </c>
      <c r="L20" s="202">
        <f>WR_Raw!C16</f>
        <v>73.7</v>
      </c>
      <c r="M20" s="200">
        <f>WR_Raw!D16</f>
        <v>1068.5999999999999</v>
      </c>
      <c r="N20" s="203">
        <f>WR_Raw!E16</f>
        <v>8.1</v>
      </c>
      <c r="O20" s="200">
        <f>WR_Raw!I16</f>
        <v>0.5</v>
      </c>
      <c r="P20" s="204">
        <f t="shared" si="1"/>
        <v>191.42999999999998</v>
      </c>
      <c r="Q20" t="str">
        <f t="shared" ca="1" si="2"/>
        <v>Starter</v>
      </c>
      <c r="R20">
        <f t="shared" ca="1" si="3"/>
        <v>25.46999999999997</v>
      </c>
      <c r="S20">
        <f t="shared" ca="1" si="4"/>
        <v>78.669999999999973</v>
      </c>
      <c r="T20" s="84">
        <f t="shared" ca="1" si="5"/>
        <v>16.830315798722658</v>
      </c>
      <c r="U20" s="84">
        <f ca="1">T20*Auction!$A$2</f>
        <v>16.830315798722658</v>
      </c>
      <c r="V20" s="5" t="str">
        <f>IF(OR(INDEX(Auction!$H$13:$H$650,MATCH(B20,Auction!$A$13:$A$650,0))&gt;0,IFERROR(INDEX(CheatSheet!$V$5:$V$64,MATCH(B20,CheatSheet!$S$5:$S$64,0)),"")&lt;&gt;""),"Yes","No")</f>
        <v>No</v>
      </c>
      <c r="W20" s="175"/>
      <c r="Y20" s="113">
        <f t="shared" ca="1" si="6"/>
        <v>1</v>
      </c>
      <c r="Z20" s="174">
        <f t="shared" ca="1" si="8"/>
        <v>52.069999999999972</v>
      </c>
      <c r="AA20" t="str">
        <f t="shared" ca="1" si="9"/>
        <v>WR4</v>
      </c>
      <c r="AB20" s="174">
        <f ca="1">Z20*LeagueInfo!$H$5</f>
        <v>16.816015719083357</v>
      </c>
      <c r="AC20" s="174">
        <f ca="1">(Z20-AVERAGE(Z:$Z))/_xlfn.STDEV.P(Z:Z)</f>
        <v>1.6216027856233897</v>
      </c>
    </row>
    <row r="21" spans="1:29" x14ac:dyDescent="0.35">
      <c r="A21">
        <f t="shared" si="0"/>
        <v>19</v>
      </c>
      <c r="B21" t="str">
        <f>WR_Raw!A17</f>
        <v>Brandon Aiyuk</v>
      </c>
      <c r="C21" t="s">
        <v>32</v>
      </c>
      <c r="D21">
        <f>_xlfn.IFNA(INDEX(BYEs!E:E,MATCH(B21,BYEs!D:D,0)),"N/A")</f>
        <v>26</v>
      </c>
      <c r="E21">
        <f>INDEX(BYEs!$B$2:$B$34,MATCH(F21,BYEs!$A$2:$A$34,0))</f>
        <v>9</v>
      </c>
      <c r="F21" t="str">
        <f>WR_Raw!B17</f>
        <v>SF</v>
      </c>
      <c r="G21" s="202">
        <v>0</v>
      </c>
      <c r="H21" s="203">
        <v>0</v>
      </c>
      <c r="I21" s="200">
        <f>WR_Raw!F17</f>
        <v>0.8</v>
      </c>
      <c r="J21" s="200">
        <f>WR_Raw!G17</f>
        <v>4</v>
      </c>
      <c r="K21" s="200">
        <f>WR_Raw!H17</f>
        <v>0</v>
      </c>
      <c r="L21" s="202">
        <f>WR_Raw!C17</f>
        <v>74.2</v>
      </c>
      <c r="M21" s="200">
        <f>WR_Raw!D17</f>
        <v>1118</v>
      </c>
      <c r="N21" s="203">
        <f>WR_Raw!E17</f>
        <v>7.1</v>
      </c>
      <c r="O21" s="200">
        <f>WR_Raw!I17</f>
        <v>0.9</v>
      </c>
      <c r="P21" s="204">
        <f t="shared" si="1"/>
        <v>190.1</v>
      </c>
      <c r="Q21" t="str">
        <f t="shared" ca="1" si="2"/>
        <v>Starter</v>
      </c>
      <c r="R21">
        <f t="shared" ca="1" si="3"/>
        <v>24.139999999999986</v>
      </c>
      <c r="S21">
        <f t="shared" ca="1" si="4"/>
        <v>77.339999999999989</v>
      </c>
      <c r="T21" s="84">
        <f t="shared" ca="1" si="5"/>
        <v>16.40978078880913</v>
      </c>
      <c r="U21" s="84">
        <f ca="1">T21*Auction!$A$2</f>
        <v>16.40978078880913</v>
      </c>
      <c r="V21" s="5" t="str">
        <f>IF(OR(INDEX(Auction!$H$13:$H$650,MATCH(B21,Auction!$A$13:$A$650,0))&gt;0,IFERROR(INDEX(CheatSheet!$V$5:$V$64,MATCH(B21,CheatSheet!$S$5:$S$64,0)),"")&lt;&gt;""),"Yes","No")</f>
        <v>No</v>
      </c>
      <c r="W21" s="175"/>
      <c r="Y21" s="113">
        <f t="shared" ca="1" si="6"/>
        <v>1</v>
      </c>
      <c r="Z21" s="174">
        <f t="shared" ca="1" si="8"/>
        <v>50.739999999999988</v>
      </c>
      <c r="AA21" t="str">
        <f t="shared" ca="1" si="9"/>
        <v>WR4</v>
      </c>
      <c r="AB21" s="174">
        <f ca="1">Z21*LeagueInfo!$H$5</f>
        <v>16.386491983604564</v>
      </c>
      <c r="AC21" s="174">
        <f ca="1">(Z21-AVERAGE(Z:$Z))/_xlfn.STDEV.P(Z:Z)</f>
        <v>1.5884193339677013</v>
      </c>
    </row>
    <row r="22" spans="1:29" x14ac:dyDescent="0.35">
      <c r="A22">
        <f t="shared" si="0"/>
        <v>20</v>
      </c>
      <c r="B22" t="str">
        <f>WR_Raw!A21</f>
        <v>Jaylen Waddle</v>
      </c>
      <c r="C22" t="s">
        <v>32</v>
      </c>
      <c r="D22">
        <f>_xlfn.IFNA(INDEX(BYEs!E:E,MATCH(B22,BYEs!D:D,0)),"N/A")</f>
        <v>25</v>
      </c>
      <c r="E22">
        <f>INDEX(BYEs!$B$2:$B$34,MATCH(F22,BYEs!$A$2:$A$34,0))</f>
        <v>6</v>
      </c>
      <c r="F22" t="str">
        <f>WR_Raw!B21</f>
        <v>MIA</v>
      </c>
      <c r="G22" s="202">
        <v>0</v>
      </c>
      <c r="H22" s="203">
        <v>0</v>
      </c>
      <c r="I22" s="200">
        <f>WR_Raw!F21</f>
        <v>3.6</v>
      </c>
      <c r="J22" s="200">
        <f>WR_Raw!G21</f>
        <v>21.1</v>
      </c>
      <c r="K22" s="200">
        <f>WR_Raw!H21</f>
        <v>0.1</v>
      </c>
      <c r="L22" s="202">
        <f>WR_Raw!C21</f>
        <v>81.8</v>
      </c>
      <c r="M22" s="200">
        <f>WR_Raw!D21</f>
        <v>1123.8</v>
      </c>
      <c r="N22" s="203">
        <f>WR_Raw!E21</f>
        <v>5.7</v>
      </c>
      <c r="O22" s="200">
        <f>WR_Raw!I21</f>
        <v>0.5</v>
      </c>
      <c r="P22" s="204">
        <f t="shared" si="1"/>
        <v>189.19</v>
      </c>
      <c r="Q22" t="str">
        <f t="shared" ca="1" si="2"/>
        <v>Starter</v>
      </c>
      <c r="R22">
        <f t="shared" ca="1" si="3"/>
        <v>23.22999999999999</v>
      </c>
      <c r="S22">
        <f t="shared" ca="1" si="4"/>
        <v>76.429999999999993</v>
      </c>
      <c r="T22" s="84">
        <f t="shared" ca="1" si="5"/>
        <v>16.122046308341979</v>
      </c>
      <c r="U22" s="84">
        <f ca="1">T22*Auction!$A$2</f>
        <v>16.122046308341979</v>
      </c>
      <c r="V22" s="5" t="str">
        <f>IF(OR(INDEX(Auction!$H$13:$H$650,MATCH(B22,Auction!$A$13:$A$650,0))&gt;0,IFERROR(INDEX(CheatSheet!$V$5:$V$64,MATCH(B22,CheatSheet!$S$5:$S$64,0)),"")&lt;&gt;""),"Yes","No")</f>
        <v>No</v>
      </c>
      <c r="W22" s="175"/>
      <c r="Y22" s="113">
        <f t="shared" ca="1" si="6"/>
        <v>1</v>
      </c>
      <c r="Z22" s="174">
        <f t="shared" ca="1" si="8"/>
        <v>49.829999999999991</v>
      </c>
      <c r="AA22" t="str">
        <f t="shared" ca="1" si="9"/>
        <v>WR4</v>
      </c>
      <c r="AB22" s="174">
        <f ca="1">Z22*LeagueInfo!$H$5</f>
        <v>16.092607322487495</v>
      </c>
      <c r="AC22" s="174">
        <f ca="1">(Z22-AVERAGE(Z:$Z))/_xlfn.STDEV.P(Z:Z)</f>
        <v>1.5657148670453882</v>
      </c>
    </row>
    <row r="23" spans="1:29" x14ac:dyDescent="0.35">
      <c r="A23">
        <f t="shared" si="0"/>
        <v>21</v>
      </c>
      <c r="B23" t="str">
        <f>WR_Raw!A27</f>
        <v>Stefon Diggs</v>
      </c>
      <c r="C23" t="s">
        <v>32</v>
      </c>
      <c r="D23">
        <f>_xlfn.IFNA(INDEX(BYEs!E:E,MATCH(B23,BYEs!D:D,0)),"N/A")</f>
        <v>30</v>
      </c>
      <c r="E23">
        <f>INDEX(BYEs!$B$2:$B$34,MATCH(F23,BYEs!$A$2:$A$34,0))</f>
        <v>14</v>
      </c>
      <c r="F23" t="str">
        <f>WR_Raw!B27</f>
        <v>HOU</v>
      </c>
      <c r="G23" s="202">
        <v>0</v>
      </c>
      <c r="H23" s="203">
        <v>0</v>
      </c>
      <c r="I23" s="200">
        <f>WR_Raw!F27</f>
        <v>1.9</v>
      </c>
      <c r="J23" s="200">
        <f>WR_Raw!G27</f>
        <v>9.1</v>
      </c>
      <c r="K23" s="200">
        <f>WR_Raw!H27</f>
        <v>0.1</v>
      </c>
      <c r="L23" s="202">
        <f>WR_Raw!C27</f>
        <v>85.1</v>
      </c>
      <c r="M23" s="200">
        <f>WR_Raw!D27</f>
        <v>1031.8</v>
      </c>
      <c r="N23" s="203">
        <f>WR_Raw!E27</f>
        <v>6.6</v>
      </c>
      <c r="O23" s="200">
        <f>WR_Raw!I27</f>
        <v>1</v>
      </c>
      <c r="P23" s="204">
        <f t="shared" si="1"/>
        <v>184.84</v>
      </c>
      <c r="Q23" t="str">
        <f t="shared" ca="1" si="2"/>
        <v>Starter</v>
      </c>
      <c r="R23">
        <f t="shared" ca="1" si="3"/>
        <v>18.879999999999995</v>
      </c>
      <c r="S23">
        <f t="shared" ca="1" si="4"/>
        <v>72.08</v>
      </c>
      <c r="T23" s="84">
        <f t="shared" ca="1" si="5"/>
        <v>14.746612253361629</v>
      </c>
      <c r="U23" s="84">
        <f ca="1">T23*Auction!$A$2</f>
        <v>14.746612253361629</v>
      </c>
      <c r="V23" s="5" t="str">
        <f>IF(OR(INDEX(Auction!$H$13:$H$650,MATCH(B23,Auction!$A$13:$A$650,0))&gt;0,IFERROR(INDEX(CheatSheet!$V$5:$V$64,MATCH(B23,CheatSheet!$S$5:$S$64,0)),"")&lt;&gt;""),"Yes","No")</f>
        <v>No</v>
      </c>
      <c r="W23" s="175"/>
      <c r="Y23" s="113">
        <f t="shared" ca="1" si="6"/>
        <v>1</v>
      </c>
      <c r="Z23" s="174">
        <f t="shared" ca="1" si="8"/>
        <v>45.48</v>
      </c>
      <c r="AA23" t="str">
        <f t="shared" ca="1" si="9"/>
        <v>WR5</v>
      </c>
      <c r="AB23" s="174">
        <f ca="1">Z23*LeagueInfo!$H$5</f>
        <v>14.687774052312491</v>
      </c>
      <c r="AC23" s="174">
        <f ca="1">(Z23-AVERAGE(Z:$Z))/_xlfn.STDEV.P(Z:Z)</f>
        <v>1.4571825251640005</v>
      </c>
    </row>
    <row r="24" spans="1:29" x14ac:dyDescent="0.35">
      <c r="A24">
        <f t="shared" si="0"/>
        <v>22</v>
      </c>
      <c r="B24" t="str">
        <f>WR_Raw!A23</f>
        <v>DJ Moore</v>
      </c>
      <c r="C24" t="s">
        <v>32</v>
      </c>
      <c r="D24">
        <f>_xlfn.IFNA(INDEX(BYEs!E:E,MATCH(B24,BYEs!D:D,0)),"N/A")</f>
        <v>27</v>
      </c>
      <c r="E24">
        <f>INDEX(BYEs!$B$2:$B$34,MATCH(F24,BYEs!$A$2:$A$34,0))</f>
        <v>7</v>
      </c>
      <c r="F24" t="str">
        <f>WR_Raw!B23</f>
        <v>CHI</v>
      </c>
      <c r="G24" s="202">
        <v>0</v>
      </c>
      <c r="H24" s="203">
        <v>0</v>
      </c>
      <c r="I24" s="200">
        <f>WR_Raw!F23</f>
        <v>2.2999999999999998</v>
      </c>
      <c r="J24" s="200">
        <f>WR_Raw!G23</f>
        <v>15.1</v>
      </c>
      <c r="K24" s="200">
        <f>WR_Raw!H23</f>
        <v>0.2</v>
      </c>
      <c r="L24" s="202">
        <f>WR_Raw!C23</f>
        <v>75.5</v>
      </c>
      <c r="M24" s="200">
        <f>WR_Raw!D23</f>
        <v>1038</v>
      </c>
      <c r="N24" s="203">
        <f>WR_Raw!E23</f>
        <v>7</v>
      </c>
      <c r="O24" s="200">
        <f>WR_Raw!I23</f>
        <v>0.9</v>
      </c>
      <c r="P24" s="204">
        <f t="shared" si="1"/>
        <v>184.46</v>
      </c>
      <c r="Q24" t="str">
        <f t="shared" ca="1" si="2"/>
        <v>Starter</v>
      </c>
      <c r="R24">
        <f t="shared" ca="1" si="3"/>
        <v>18.5</v>
      </c>
      <c r="S24">
        <f t="shared" ca="1" si="4"/>
        <v>71.7</v>
      </c>
      <c r="T24" s="84">
        <f t="shared" ca="1" si="5"/>
        <v>14.626459393386337</v>
      </c>
      <c r="U24" s="84">
        <f ca="1">T24*Auction!$A$2</f>
        <v>14.626459393386337</v>
      </c>
      <c r="V24" s="5" t="str">
        <f>IF(OR(INDEX(Auction!$H$13:$H$650,MATCH(B24,Auction!$A$13:$A$650,0))&gt;0,IFERROR(INDEX(CheatSheet!$V$5:$V$64,MATCH(B24,CheatSheet!$S$5:$S$64,0)),"")&lt;&gt;""),"Yes","No")</f>
        <v>No</v>
      </c>
      <c r="W24" s="175"/>
      <c r="Y24" s="113">
        <f t="shared" ca="1" si="6"/>
        <v>1</v>
      </c>
      <c r="Z24" s="174">
        <f t="shared" ca="1" si="8"/>
        <v>45.1</v>
      </c>
      <c r="AA24" t="str">
        <f t="shared" ca="1" si="9"/>
        <v>WR5</v>
      </c>
      <c r="AB24" s="174">
        <f ca="1">Z24*LeagueInfo!$H$5</f>
        <v>14.565052985032837</v>
      </c>
      <c r="AC24" s="174">
        <f ca="1">(Z24-AVERAGE(Z:$Z))/_xlfn.STDEV.P(Z:Z)</f>
        <v>1.447701538976661</v>
      </c>
    </row>
    <row r="25" spans="1:29" x14ac:dyDescent="0.35">
      <c r="A25">
        <f t="shared" si="0"/>
        <v>23</v>
      </c>
      <c r="B25" t="str">
        <f>WR_Raw!A22</f>
        <v>Amari Cooper</v>
      </c>
      <c r="C25" t="s">
        <v>32</v>
      </c>
      <c r="D25">
        <f>_xlfn.IFNA(INDEX(BYEs!E:E,MATCH(B25,BYEs!D:D,0)),"N/A")</f>
        <v>30</v>
      </c>
      <c r="E25">
        <f>INDEX(BYEs!$B$2:$B$34,MATCH(F25,BYEs!$A$2:$A$34,0))</f>
        <v>10</v>
      </c>
      <c r="F25" t="str">
        <f>WR_Raw!B22</f>
        <v>CLE</v>
      </c>
      <c r="G25" s="202">
        <v>0</v>
      </c>
      <c r="H25" s="203">
        <v>0</v>
      </c>
      <c r="I25" s="200">
        <f>WR_Raw!F22</f>
        <v>0</v>
      </c>
      <c r="J25" s="200">
        <f>WR_Raw!G22</f>
        <v>1</v>
      </c>
      <c r="K25" s="200">
        <f>WR_Raw!H22</f>
        <v>0</v>
      </c>
      <c r="L25" s="202">
        <f>WR_Raw!C22</f>
        <v>73.2</v>
      </c>
      <c r="M25" s="200">
        <f>WR_Raw!D22</f>
        <v>1107.0999999999999</v>
      </c>
      <c r="N25" s="203">
        <f>WR_Raw!E22</f>
        <v>6.3</v>
      </c>
      <c r="O25" s="200">
        <f>WR_Raw!I22</f>
        <v>0.9</v>
      </c>
      <c r="P25" s="204">
        <f t="shared" si="1"/>
        <v>183.40999999999997</v>
      </c>
      <c r="Q25" t="str">
        <f t="shared" ca="1" si="2"/>
        <v>Starter</v>
      </c>
      <c r="R25">
        <f t="shared" ca="1" si="3"/>
        <v>17.44999999999996</v>
      </c>
      <c r="S25">
        <f t="shared" ca="1" si="4"/>
        <v>70.649999999999963</v>
      </c>
      <c r="T25" s="84">
        <f t="shared" ca="1" si="5"/>
        <v>14.294458069770378</v>
      </c>
      <c r="U25" s="84">
        <f ca="1">T25*Auction!$A$2</f>
        <v>14.294458069770378</v>
      </c>
      <c r="V25" s="5" t="str">
        <f>IF(OR(INDEX(Auction!$H$13:$H$650,MATCH(B25,Auction!$A$13:$A$650,0))&gt;0,IFERROR(INDEX(CheatSheet!$V$5:$V$64,MATCH(B25,CheatSheet!$S$5:$S$64,0)),"")&lt;&gt;""),"Yes","No")</f>
        <v>No</v>
      </c>
      <c r="W25" s="175"/>
      <c r="Y25" s="113">
        <f t="shared" ca="1" si="6"/>
        <v>1</v>
      </c>
      <c r="Z25" s="174">
        <f t="shared" ca="1" si="8"/>
        <v>44.049999999999962</v>
      </c>
      <c r="AA25" t="str">
        <f t="shared" ca="1" si="9"/>
        <v>WR5</v>
      </c>
      <c r="AB25" s="174">
        <f ca="1">Z25*LeagueInfo!$H$5</f>
        <v>14.225955299128511</v>
      </c>
      <c r="AC25" s="174">
        <f ca="1">(Z25-AVERAGE(Z:$Z))/_xlfn.STDEV.P(Z:Z)</f>
        <v>1.4215040771432215</v>
      </c>
    </row>
    <row r="26" spans="1:29" x14ac:dyDescent="0.35">
      <c r="A26">
        <f t="shared" si="0"/>
        <v>24</v>
      </c>
      <c r="B26" t="str">
        <f>WR_Raw!A31</f>
        <v>Michael Pittman Jr.</v>
      </c>
      <c r="C26" t="s">
        <v>32</v>
      </c>
      <c r="D26">
        <f>_xlfn.IFNA(INDEX(BYEs!E:E,MATCH(B26,BYEs!D:D,0)),"N/A")</f>
        <v>26</v>
      </c>
      <c r="E26">
        <f>INDEX(BYEs!$B$2:$B$34,MATCH(F26,BYEs!$A$2:$A$34,0))</f>
        <v>14</v>
      </c>
      <c r="F26" t="str">
        <f>WR_Raw!B31</f>
        <v>IND</v>
      </c>
      <c r="G26" s="202">
        <v>0</v>
      </c>
      <c r="H26" s="203">
        <v>0</v>
      </c>
      <c r="I26" s="200">
        <f>WR_Raw!F31</f>
        <v>0.3</v>
      </c>
      <c r="J26" s="200">
        <f>WR_Raw!G31</f>
        <v>3</v>
      </c>
      <c r="K26" s="200">
        <f>WR_Raw!H31</f>
        <v>0</v>
      </c>
      <c r="L26" s="202">
        <f>WR_Raw!C31</f>
        <v>96.6</v>
      </c>
      <c r="M26" s="200">
        <f>WR_Raw!D31</f>
        <v>1061.2</v>
      </c>
      <c r="N26" s="203">
        <f>WR_Raw!E31</f>
        <v>5</v>
      </c>
      <c r="O26" s="200">
        <f>WR_Raw!I31</f>
        <v>1</v>
      </c>
      <c r="P26" s="204">
        <f t="shared" si="1"/>
        <v>182.72</v>
      </c>
      <c r="Q26" t="str">
        <f t="shared" ca="1" si="2"/>
        <v>Starter</v>
      </c>
      <c r="R26">
        <f t="shared" ca="1" si="3"/>
        <v>16.759999999999991</v>
      </c>
      <c r="S26">
        <f t="shared" ca="1" si="4"/>
        <v>69.959999999999994</v>
      </c>
      <c r="T26" s="84">
        <f t="shared" ca="1" si="5"/>
        <v>14.076285771394193</v>
      </c>
      <c r="U26" s="84">
        <f ca="1">T26*Auction!$A$2</f>
        <v>14.076285771394193</v>
      </c>
      <c r="V26" s="5" t="str">
        <f>IF(OR(INDEX(Auction!$H$13:$H$650,MATCH(B26,Auction!$A$13:$A$650,0))&gt;0,IFERROR(INDEX(CheatSheet!$V$5:$V$64,MATCH(B26,CheatSheet!$S$5:$S$64,0)),"")&lt;&gt;""),"Yes","No")</f>
        <v>No</v>
      </c>
      <c r="W26" s="175"/>
      <c r="Y26" s="113">
        <f t="shared" ca="1" si="6"/>
        <v>1</v>
      </c>
      <c r="Z26" s="174">
        <f t="shared" ca="1" si="8"/>
        <v>43.359999999999992</v>
      </c>
      <c r="AA26" t="str">
        <f t="shared" ca="1" si="9"/>
        <v>WR5</v>
      </c>
      <c r="AB26" s="174">
        <f ca="1">Z26*LeagueInfo!$H$5</f>
        <v>14.003119676962831</v>
      </c>
      <c r="AC26" s="174">
        <f ca="1">(Z26-AVERAGE(Z:$Z))/_xlfn.STDEV.P(Z:Z)</f>
        <v>1.4042886022241057</v>
      </c>
    </row>
    <row r="27" spans="1:29" x14ac:dyDescent="0.35">
      <c r="A27">
        <f t="shared" si="0"/>
        <v>25</v>
      </c>
      <c r="B27" t="str">
        <f>WR_Raw!A24</f>
        <v>Tee Higgins</v>
      </c>
      <c r="C27" t="s">
        <v>32</v>
      </c>
      <c r="D27">
        <f>_xlfn.IFNA(INDEX(BYEs!E:E,MATCH(B27,BYEs!D:D,0)),"N/A")</f>
        <v>25</v>
      </c>
      <c r="E27">
        <f>INDEX(BYEs!$B$2:$B$34,MATCH(F27,BYEs!$A$2:$A$34,0))</f>
        <v>12</v>
      </c>
      <c r="F27" t="str">
        <f>WR_Raw!B24</f>
        <v>CIN</v>
      </c>
      <c r="G27" s="202">
        <v>0</v>
      </c>
      <c r="H27" s="203">
        <v>0</v>
      </c>
      <c r="I27" s="200">
        <f>WR_Raw!F24</f>
        <v>0</v>
      </c>
      <c r="J27" s="200">
        <f>WR_Raw!G24</f>
        <v>1</v>
      </c>
      <c r="K27" s="200">
        <f>WR_Raw!H24</f>
        <v>0</v>
      </c>
      <c r="L27" s="202">
        <f>WR_Raw!C24</f>
        <v>71.599999999999994</v>
      </c>
      <c r="M27" s="200">
        <f>WR_Raw!D24</f>
        <v>1026.3</v>
      </c>
      <c r="N27" s="203">
        <f>WR_Raw!E24</f>
        <v>7.5</v>
      </c>
      <c r="O27" s="200">
        <f>WR_Raw!I24</f>
        <v>0.5</v>
      </c>
      <c r="P27" s="204">
        <f t="shared" si="1"/>
        <v>182.53</v>
      </c>
      <c r="Q27" t="str">
        <f t="shared" ca="1" si="2"/>
        <v>Starter</v>
      </c>
      <c r="R27">
        <f t="shared" ca="1" si="3"/>
        <v>16.569999999999993</v>
      </c>
      <c r="S27">
        <f t="shared" ca="1" si="4"/>
        <v>69.77</v>
      </c>
      <c r="T27" s="84">
        <f t="shared" ca="1" si="5"/>
        <v>14.016209341406547</v>
      </c>
      <c r="U27" s="84">
        <f ca="1">T27*Auction!$A$2</f>
        <v>14.016209341406547</v>
      </c>
      <c r="V27" s="5" t="str">
        <f>IF(OR(INDEX(Auction!$H$13:$H$650,MATCH(B27,Auction!$A$13:$A$650,0))&gt;0,IFERROR(INDEX(CheatSheet!$V$5:$V$64,MATCH(B27,CheatSheet!$S$5:$S$64,0)),"")&lt;&gt;""),"Yes","No")</f>
        <v>No</v>
      </c>
      <c r="W27" s="175"/>
      <c r="Y27" s="113">
        <f t="shared" ca="1" si="6"/>
        <v>1</v>
      </c>
      <c r="Z27" s="174">
        <f t="shared" ca="1" si="8"/>
        <v>43.169999999999995</v>
      </c>
      <c r="AA27" t="str">
        <f t="shared" ca="1" si="9"/>
        <v>WR5</v>
      </c>
      <c r="AB27" s="174">
        <f ca="1">Z27*LeagueInfo!$H$5</f>
        <v>13.941759143323003</v>
      </c>
      <c r="AC27" s="174">
        <f ca="1">(Z27-AVERAGE(Z:$Z))/_xlfn.STDEV.P(Z:Z)</f>
        <v>1.3995481091304358</v>
      </c>
    </row>
    <row r="28" spans="1:29" x14ac:dyDescent="0.35">
      <c r="A28">
        <f t="shared" si="0"/>
        <v>26</v>
      </c>
      <c r="B28" t="str">
        <f>WR_Raw!A28</f>
        <v>Malik Nabers</v>
      </c>
      <c r="C28" t="s">
        <v>32</v>
      </c>
      <c r="D28">
        <f>_xlfn.IFNA(INDEX(BYEs!E:E,MATCH(B28,BYEs!D:D,0)),"N/A")</f>
        <v>21</v>
      </c>
      <c r="E28">
        <f>INDEX(BYEs!$B$2:$B$34,MATCH(F28,BYEs!$A$2:$A$34,0))</f>
        <v>11</v>
      </c>
      <c r="F28" t="str">
        <f>WR_Raw!B28</f>
        <v>NYG</v>
      </c>
      <c r="G28" s="202">
        <v>0</v>
      </c>
      <c r="H28" s="203">
        <v>0</v>
      </c>
      <c r="I28" s="200">
        <f>WR_Raw!F28</f>
        <v>0.5</v>
      </c>
      <c r="J28" s="200">
        <f>WR_Raw!G28</f>
        <v>5</v>
      </c>
      <c r="K28" s="200">
        <f>WR_Raw!H28</f>
        <v>0</v>
      </c>
      <c r="L28" s="202">
        <f>WR_Raw!C28</f>
        <v>81.2</v>
      </c>
      <c r="M28" s="200">
        <f>WR_Raw!D28</f>
        <v>1076.5999999999999</v>
      </c>
      <c r="N28" s="203">
        <f>WR_Raw!E28</f>
        <v>5.9</v>
      </c>
      <c r="O28" s="200">
        <f>WR_Raw!I28</f>
        <v>1.2</v>
      </c>
      <c r="P28" s="204">
        <f t="shared" si="1"/>
        <v>181.76</v>
      </c>
      <c r="Q28" t="str">
        <f t="shared" ca="1" si="2"/>
        <v>Starter</v>
      </c>
      <c r="R28">
        <f t="shared" ca="1" si="3"/>
        <v>15.799999999999983</v>
      </c>
      <c r="S28">
        <f t="shared" ca="1" si="4"/>
        <v>68.999999999999986</v>
      </c>
      <c r="T28" s="84">
        <f t="shared" ca="1" si="5"/>
        <v>13.772741704088183</v>
      </c>
      <c r="U28" s="84">
        <f ca="1">T28*Auction!$A$2</f>
        <v>13.772741704088183</v>
      </c>
      <c r="V28" s="5" t="str">
        <f>IF(OR(INDEX(Auction!$H$13:$H$650,MATCH(B28,Auction!$A$13:$A$650,0))&gt;0,IFERROR(INDEX(CheatSheet!$V$5:$V$64,MATCH(B28,CheatSheet!$S$5:$S$64,0)),"")&lt;&gt;""),"Yes","No")</f>
        <v>No</v>
      </c>
      <c r="W28" s="175"/>
      <c r="Y28" s="113">
        <f t="shared" ca="1" si="6"/>
        <v>1</v>
      </c>
      <c r="Z28" s="174">
        <f t="shared" ca="1" si="8"/>
        <v>42.399999999999984</v>
      </c>
      <c r="AA28" t="str">
        <f t="shared" ca="1" si="9"/>
        <v>WR5</v>
      </c>
      <c r="AB28" s="174">
        <f ca="1">Z28*LeagueInfo!$H$5</f>
        <v>13.693087506993171</v>
      </c>
      <c r="AC28" s="174">
        <f ca="1">(Z28-AVERAGE(Z:$Z))/_xlfn.STDEV.P(Z:Z)</f>
        <v>1.3803366371192474</v>
      </c>
    </row>
    <row r="29" spans="1:29" x14ac:dyDescent="0.35">
      <c r="A29">
        <f t="shared" si="0"/>
        <v>27</v>
      </c>
      <c r="B29" t="str">
        <f>WR_Raw!A25</f>
        <v>George Pickens</v>
      </c>
      <c r="C29" t="s">
        <v>32</v>
      </c>
      <c r="D29">
        <f>_xlfn.IFNA(INDEX(BYEs!E:E,MATCH(B29,BYEs!D:D,0)),"N/A")</f>
        <v>23</v>
      </c>
      <c r="E29">
        <f>INDEX(BYEs!$B$2:$B$34,MATCH(F29,BYEs!$A$2:$A$34,0))</f>
        <v>9</v>
      </c>
      <c r="F29" t="str">
        <f>WR_Raw!B25</f>
        <v>PIT</v>
      </c>
      <c r="G29" s="202">
        <v>0</v>
      </c>
      <c r="H29" s="203">
        <v>0</v>
      </c>
      <c r="I29" s="200">
        <f>WR_Raw!F25</f>
        <v>2.6</v>
      </c>
      <c r="J29" s="200">
        <f>WR_Raw!G25</f>
        <v>16.899999999999999</v>
      </c>
      <c r="K29" s="200">
        <f>WR_Raw!H25</f>
        <v>0</v>
      </c>
      <c r="L29" s="202">
        <f>WR_Raw!C25</f>
        <v>70.7</v>
      </c>
      <c r="M29" s="200">
        <f>WR_Raw!D25</f>
        <v>1089.0999999999999</v>
      </c>
      <c r="N29" s="203">
        <f>WR_Raw!E25</f>
        <v>6</v>
      </c>
      <c r="O29" s="200">
        <f>WR_Raw!I25</f>
        <v>0.9</v>
      </c>
      <c r="P29" s="204">
        <f t="shared" si="1"/>
        <v>180.14999999999998</v>
      </c>
      <c r="Q29" t="str">
        <f t="shared" ca="1" si="2"/>
        <v>Starter</v>
      </c>
      <c r="R29">
        <f t="shared" ca="1" si="3"/>
        <v>14.189999999999969</v>
      </c>
      <c r="S29">
        <f t="shared" ca="1" si="4"/>
        <v>67.389999999999972</v>
      </c>
      <c r="T29" s="84">
        <f t="shared" ca="1" si="5"/>
        <v>13.263673007877061</v>
      </c>
      <c r="U29" s="84">
        <f ca="1">T29*Auction!$A$2</f>
        <v>13.263673007877061</v>
      </c>
      <c r="V29" s="5" t="str">
        <f>IF(OR(INDEX(Auction!$H$13:$H$650,MATCH(B29,Auction!$A$13:$A$650,0))&gt;0,IFERROR(INDEX(CheatSheet!$V$5:$V$64,MATCH(B29,CheatSheet!$S$5:$S$64,0)),"")&lt;&gt;""),"Yes","No")</f>
        <v>No</v>
      </c>
      <c r="W29" s="175"/>
      <c r="Y29" s="113">
        <f t="shared" ca="1" si="6"/>
        <v>1</v>
      </c>
      <c r="Z29" s="174">
        <f t="shared" ca="1" si="8"/>
        <v>40.789999999999971</v>
      </c>
      <c r="AA29" t="str">
        <f t="shared" ca="1" si="9"/>
        <v>WR5</v>
      </c>
      <c r="AB29" s="174">
        <f ca="1">Z29*LeagueInfo!$H$5</f>
        <v>13.173137721939888</v>
      </c>
      <c r="AC29" s="174">
        <f ca="1">(Z29-AVERAGE(Z:$Z))/_xlfn.STDEV.P(Z:Z)</f>
        <v>1.3401671956413082</v>
      </c>
    </row>
    <row r="30" spans="1:29" x14ac:dyDescent="0.35">
      <c r="A30">
        <f t="shared" si="0"/>
        <v>28</v>
      </c>
      <c r="B30" t="str">
        <f>WR_Raw!A30</f>
        <v>Zay Flowers</v>
      </c>
      <c r="C30" t="s">
        <v>32</v>
      </c>
      <c r="D30">
        <f>_xlfn.IFNA(INDEX(BYEs!E:E,MATCH(B30,BYEs!D:D,0)),"N/A")</f>
        <v>23</v>
      </c>
      <c r="E30">
        <f>INDEX(BYEs!$B$2:$B$34,MATCH(F30,BYEs!$A$2:$A$34,0))</f>
        <v>14</v>
      </c>
      <c r="F30" t="str">
        <f>WR_Raw!B30</f>
        <v>BAL</v>
      </c>
      <c r="G30" s="202">
        <v>0</v>
      </c>
      <c r="H30" s="203">
        <v>0</v>
      </c>
      <c r="I30" s="200">
        <f>WR_Raw!F30</f>
        <v>7.4</v>
      </c>
      <c r="J30" s="200">
        <f>WR_Raw!G30</f>
        <v>46.3</v>
      </c>
      <c r="K30" s="200">
        <f>WR_Raw!H30</f>
        <v>0.6</v>
      </c>
      <c r="L30" s="202">
        <f>WR_Raw!C30</f>
        <v>79.400000000000006</v>
      </c>
      <c r="M30" s="200">
        <f>WR_Raw!D30</f>
        <v>964.3</v>
      </c>
      <c r="N30" s="203">
        <f>WR_Raw!E30</f>
        <v>6.2</v>
      </c>
      <c r="O30" s="200">
        <f>WR_Raw!I30</f>
        <v>1</v>
      </c>
      <c r="P30" s="204">
        <f t="shared" si="1"/>
        <v>179.56</v>
      </c>
      <c r="Q30" t="str">
        <f t="shared" ca="1" si="2"/>
        <v>Starter</v>
      </c>
      <c r="R30">
        <f t="shared" ca="1" si="3"/>
        <v>13.599999999999994</v>
      </c>
      <c r="S30">
        <f t="shared" ca="1" si="4"/>
        <v>66.8</v>
      </c>
      <c r="T30" s="84">
        <f t="shared" ca="1" si="5"/>
        <v>13.077119883178586</v>
      </c>
      <c r="U30" s="84">
        <f ca="1">T30*Auction!$A$2</f>
        <v>13.077119883178586</v>
      </c>
      <c r="V30" s="5" t="str">
        <f>IF(OR(INDEX(Auction!$H$13:$H$650,MATCH(B30,Auction!$A$13:$A$650,0))&gt;0,IFERROR(INDEX(CheatSheet!$V$5:$V$64,MATCH(B30,CheatSheet!$S$5:$S$64,0)),"")&lt;&gt;""),"Yes","No")</f>
        <v>No</v>
      </c>
      <c r="W30" s="175"/>
      <c r="Y30" s="113">
        <f t="shared" ca="1" si="6"/>
        <v>1</v>
      </c>
      <c r="Z30" s="174">
        <f t="shared" ca="1" si="8"/>
        <v>40.199999999999996</v>
      </c>
      <c r="AA30" t="str">
        <f t="shared" ca="1" si="9"/>
        <v>WR5</v>
      </c>
      <c r="AB30" s="174">
        <f ca="1">Z30*LeagueInfo!$H$5</f>
        <v>12.982597117479378</v>
      </c>
      <c r="AC30" s="174">
        <f ca="1">(Z30-AVERAGE(Z:$Z))/_xlfn.STDEV.P(Z:Z)</f>
        <v>1.3254467170872815</v>
      </c>
    </row>
    <row r="31" spans="1:29" x14ac:dyDescent="0.35">
      <c r="A31">
        <f t="shared" si="0"/>
        <v>29</v>
      </c>
      <c r="B31" t="str">
        <f>WR_Raw!A26</f>
        <v>Tank Dell</v>
      </c>
      <c r="C31" t="s">
        <v>32</v>
      </c>
      <c r="D31">
        <f>_xlfn.IFNA(INDEX(BYEs!E:E,MATCH(B31,BYEs!D:D,0)),"N/A")</f>
        <v>24</v>
      </c>
      <c r="E31">
        <f>INDEX(BYEs!$B$2:$B$34,MATCH(F31,BYEs!$A$2:$A$34,0))</f>
        <v>14</v>
      </c>
      <c r="F31" t="str">
        <f>WR_Raw!B26</f>
        <v>HOU</v>
      </c>
      <c r="G31" s="202">
        <v>0</v>
      </c>
      <c r="H31" s="203">
        <v>0</v>
      </c>
      <c r="I31" s="200">
        <f>WR_Raw!F26</f>
        <v>11.1</v>
      </c>
      <c r="J31" s="200">
        <f>WR_Raw!G26</f>
        <v>61.6</v>
      </c>
      <c r="K31" s="200">
        <f>WR_Raw!H26</f>
        <v>0.2</v>
      </c>
      <c r="L31" s="202">
        <f>WR_Raw!C26</f>
        <v>70</v>
      </c>
      <c r="M31" s="200">
        <f>WR_Raw!D26</f>
        <v>954.4</v>
      </c>
      <c r="N31" s="203">
        <f>WR_Raw!E26</f>
        <v>7</v>
      </c>
      <c r="O31" s="200">
        <f>WR_Raw!I26</f>
        <v>0.6</v>
      </c>
      <c r="P31" s="204">
        <f t="shared" si="1"/>
        <v>178.60000000000002</v>
      </c>
      <c r="Q31" t="str">
        <f t="shared" ca="1" si="2"/>
        <v>Starter</v>
      </c>
      <c r="R31">
        <f t="shared" ca="1" si="3"/>
        <v>12.640000000000015</v>
      </c>
      <c r="S31">
        <f t="shared" ca="1" si="4"/>
        <v>65.840000000000018</v>
      </c>
      <c r="T31" s="84">
        <f t="shared" ca="1" si="5"/>
        <v>12.773575815872583</v>
      </c>
      <c r="U31" s="84">
        <f ca="1">T31*Auction!$A$2</f>
        <v>12.773575815872583</v>
      </c>
      <c r="V31" s="5" t="str">
        <f>IF(OR(INDEX(Auction!$H$13:$H$650,MATCH(B31,Auction!$A$13:$A$650,0))&gt;0,IFERROR(INDEX(CheatSheet!$V$5:$V$64,MATCH(B31,CheatSheet!$S$5:$S$64,0)),"")&lt;&gt;""),"Yes","No")</f>
        <v>No</v>
      </c>
      <c r="W31" s="175"/>
      <c r="Y31" s="113">
        <f t="shared" ca="1" si="6"/>
        <v>1</v>
      </c>
      <c r="Z31" s="174">
        <f t="shared" ca="1" si="8"/>
        <v>39.240000000000016</v>
      </c>
      <c r="AA31" t="str">
        <f t="shared" ca="1" si="9"/>
        <v>WR5</v>
      </c>
      <c r="AB31" s="174">
        <f ca="1">Z31*LeagueInfo!$H$5</f>
        <v>12.672564947509727</v>
      </c>
      <c r="AC31" s="174">
        <f ca="1">(Z31-AVERAGE(Z:$Z))/_xlfn.STDEV.P(Z:Z)</f>
        <v>1.301494751982424</v>
      </c>
    </row>
    <row r="32" spans="1:29" x14ac:dyDescent="0.35">
      <c r="A32">
        <f t="shared" si="0"/>
        <v>30</v>
      </c>
      <c r="B32" t="str">
        <f>WR_Raw!A33</f>
        <v>Chris Godwin</v>
      </c>
      <c r="C32" t="s">
        <v>32</v>
      </c>
      <c r="D32">
        <f>_xlfn.IFNA(INDEX(BYEs!E:E,MATCH(B32,BYEs!D:D,0)),"N/A")</f>
        <v>28</v>
      </c>
      <c r="E32">
        <f>INDEX(BYEs!$B$2:$B$34,MATCH(F32,BYEs!$A$2:$A$34,0))</f>
        <v>11</v>
      </c>
      <c r="F32" t="str">
        <f>WR_Raw!B33</f>
        <v>TB</v>
      </c>
      <c r="G32" s="202">
        <v>0</v>
      </c>
      <c r="H32" s="203">
        <v>0</v>
      </c>
      <c r="I32" s="200">
        <f>WR_Raw!F33</f>
        <v>2.7</v>
      </c>
      <c r="J32" s="200">
        <f>WR_Raw!G33</f>
        <v>20.9</v>
      </c>
      <c r="K32" s="200">
        <f>WR_Raw!H33</f>
        <v>0.3</v>
      </c>
      <c r="L32" s="202">
        <f>WR_Raw!C33</f>
        <v>83.1</v>
      </c>
      <c r="M32" s="200">
        <f>WR_Raw!D33</f>
        <v>988.6</v>
      </c>
      <c r="N32" s="203">
        <f>WR_Raw!E33</f>
        <v>5.3</v>
      </c>
      <c r="O32" s="200">
        <f>WR_Raw!I33</f>
        <v>0.5</v>
      </c>
      <c r="P32" s="204">
        <f t="shared" si="1"/>
        <v>175.10000000000002</v>
      </c>
      <c r="Q32" t="str">
        <f t="shared" ca="1" si="2"/>
        <v>Starter</v>
      </c>
      <c r="R32">
        <f t="shared" ca="1" si="3"/>
        <v>9.1400000000000148</v>
      </c>
      <c r="S32">
        <f t="shared" ca="1" si="4"/>
        <v>62.340000000000018</v>
      </c>
      <c r="T32" s="84">
        <f t="shared" ca="1" si="5"/>
        <v>11.666904737152763</v>
      </c>
      <c r="U32" s="84">
        <f ca="1">T32*Auction!$A$2</f>
        <v>11.666904737152763</v>
      </c>
      <c r="V32" s="5" t="str">
        <f>IF(OR(INDEX(Auction!$H$13:$H$650,MATCH(B32,Auction!$A$13:$A$650,0))&gt;0,IFERROR(INDEX(CheatSheet!$V$5:$V$64,MATCH(B32,CheatSheet!$S$5:$S$64,0)),"")&lt;&gt;""),"Yes","No")</f>
        <v>No</v>
      </c>
      <c r="W32" s="175"/>
      <c r="Y32" s="113">
        <f t="shared" ca="1" si="6"/>
        <v>1</v>
      </c>
      <c r="Z32" s="174">
        <f t="shared" ca="1" si="8"/>
        <v>35.740000000000016</v>
      </c>
      <c r="AA32" t="str">
        <f t="shared" ca="1" si="9"/>
        <v>WR5</v>
      </c>
      <c r="AB32" s="174">
        <f ca="1">Z32*LeagueInfo!$H$5</f>
        <v>11.542239327828687</v>
      </c>
      <c r="AC32" s="174">
        <f ca="1">(Z32-AVERAGE(Z:$Z))/_xlfn.STDEV.P(Z:Z)</f>
        <v>1.2141698792042959</v>
      </c>
    </row>
    <row r="33" spans="1:29" x14ac:dyDescent="0.35">
      <c r="A33">
        <f t="shared" si="0"/>
        <v>31</v>
      </c>
      <c r="B33" t="str">
        <f>WR_Raw!A29</f>
        <v>Calvin Ridley</v>
      </c>
      <c r="C33" t="s">
        <v>32</v>
      </c>
      <c r="D33">
        <f>_xlfn.IFNA(INDEX(BYEs!E:E,MATCH(B33,BYEs!D:D,0)),"N/A")</f>
        <v>29</v>
      </c>
      <c r="E33">
        <f>INDEX(BYEs!$B$2:$B$34,MATCH(F33,BYEs!$A$2:$A$34,0))</f>
        <v>5</v>
      </c>
      <c r="F33" t="str">
        <f>WR_Raw!B29</f>
        <v>TEN</v>
      </c>
      <c r="G33" s="202">
        <v>0</v>
      </c>
      <c r="H33" s="203">
        <v>0</v>
      </c>
      <c r="I33" s="200">
        <f>WR_Raw!F29</f>
        <v>2.9</v>
      </c>
      <c r="J33" s="200">
        <f>WR_Raw!G29</f>
        <v>14.8</v>
      </c>
      <c r="K33" s="200">
        <f>WR_Raw!H29</f>
        <v>0</v>
      </c>
      <c r="L33" s="202">
        <f>WR_Raw!C29</f>
        <v>71.400000000000006</v>
      </c>
      <c r="M33" s="200">
        <f>WR_Raw!D29</f>
        <v>974.8</v>
      </c>
      <c r="N33" s="203">
        <f>WR_Raw!E29</f>
        <v>6.9</v>
      </c>
      <c r="O33" s="200">
        <f>WR_Raw!I29</f>
        <v>0.5</v>
      </c>
      <c r="P33" s="204">
        <f t="shared" si="1"/>
        <v>175.06</v>
      </c>
      <c r="Q33" t="str">
        <f t="shared" ca="1" si="2"/>
        <v>Starter</v>
      </c>
      <c r="R33">
        <f t="shared" ca="1" si="3"/>
        <v>9.0999999999999943</v>
      </c>
      <c r="S33">
        <f t="shared" ca="1" si="4"/>
        <v>62.3</v>
      </c>
      <c r="T33" s="84">
        <f t="shared" ca="1" si="5"/>
        <v>11.654257067681673</v>
      </c>
      <c r="U33" s="84">
        <f ca="1">T33*Auction!$A$2</f>
        <v>11.654257067681673</v>
      </c>
      <c r="V33" s="5" t="str">
        <f>IF(OR(INDEX(Auction!$H$13:$H$650,MATCH(B33,Auction!$A$13:$A$650,0))&gt;0,IFERROR(INDEX(CheatSheet!$V$5:$V$64,MATCH(B33,CheatSheet!$S$5:$S$64,0)),"")&lt;&gt;""),"Yes","No")</f>
        <v>No</v>
      </c>
      <c r="W33" s="175"/>
      <c r="Y33" s="113">
        <f t="shared" ca="1" si="6"/>
        <v>1</v>
      </c>
      <c r="Z33" s="174">
        <f t="shared" ca="1" si="8"/>
        <v>35.699999999999996</v>
      </c>
      <c r="AA33" t="str">
        <f t="shared" ca="1" si="9"/>
        <v>WR5</v>
      </c>
      <c r="AB33" s="174">
        <f ca="1">Z33*LeagueInfo!$H$5</f>
        <v>11.529321320746611</v>
      </c>
      <c r="AC33" s="174">
        <f ca="1">(Z33-AVERAGE(Z:$Z))/_xlfn.STDEV.P(Z:Z)</f>
        <v>1.2131718806582596</v>
      </c>
    </row>
    <row r="34" spans="1:29" x14ac:dyDescent="0.35">
      <c r="A34">
        <f t="shared" si="0"/>
        <v>32</v>
      </c>
      <c r="B34" t="str">
        <f>WR_Raw!A32</f>
        <v>Rashee Rice</v>
      </c>
      <c r="C34" t="s">
        <v>32</v>
      </c>
      <c r="D34">
        <f>_xlfn.IFNA(INDEX(BYEs!E:E,MATCH(B34,BYEs!D:D,0)),"N/A")</f>
        <v>24</v>
      </c>
      <c r="E34">
        <f>INDEX(BYEs!$B$2:$B$34,MATCH(F34,BYEs!$A$2:$A$34,0))</f>
        <v>6</v>
      </c>
      <c r="F34" t="str">
        <f>WR_Raw!B32</f>
        <v>KC</v>
      </c>
      <c r="G34" s="202">
        <v>0</v>
      </c>
      <c r="H34" s="203">
        <v>0</v>
      </c>
      <c r="I34" s="200">
        <f>WR_Raw!F32</f>
        <v>1.5</v>
      </c>
      <c r="J34" s="200">
        <f>WR_Raw!G32</f>
        <v>7</v>
      </c>
      <c r="K34" s="200">
        <f>WR_Raw!H32</f>
        <v>0</v>
      </c>
      <c r="L34" s="202">
        <f>WR_Raw!C32</f>
        <v>77.900000000000006</v>
      </c>
      <c r="M34" s="200">
        <f>WR_Raw!D32</f>
        <v>923.9</v>
      </c>
      <c r="N34" s="203">
        <f>WR_Raw!E32</f>
        <v>7.1</v>
      </c>
      <c r="O34" s="200">
        <f>WR_Raw!I32</f>
        <v>1</v>
      </c>
      <c r="P34" s="204">
        <f t="shared" si="1"/>
        <v>172.64000000000001</v>
      </c>
      <c r="Q34" t="str">
        <f t="shared" ca="1" si="2"/>
        <v>Starter</v>
      </c>
      <c r="R34">
        <f t="shared" ca="1" si="3"/>
        <v>6.6800000000000068</v>
      </c>
      <c r="S34">
        <f t="shared" ca="1" si="4"/>
        <v>59.88000000000001</v>
      </c>
      <c r="T34" s="84">
        <f t="shared" ca="1" si="5"/>
        <v>10.889073064681114</v>
      </c>
      <c r="U34" s="84">
        <f ca="1">T34*Auction!$A$2</f>
        <v>10.889073064681114</v>
      </c>
      <c r="V34" s="5" t="str">
        <f>IF(OR(INDEX(Auction!$H$13:$H$650,MATCH(B34,Auction!$A$13:$A$650,0))&gt;0,IFERROR(INDEX(CheatSheet!$V$5:$V$64,MATCH(B34,CheatSheet!$S$5:$S$64,0)),"")&lt;&gt;""),"Yes","No")</f>
        <v>No</v>
      </c>
      <c r="W34" s="175"/>
      <c r="Y34" s="113">
        <f t="shared" ca="1" si="6"/>
        <v>1</v>
      </c>
      <c r="Z34" s="174">
        <f t="shared" ca="1" si="8"/>
        <v>33.280000000000008</v>
      </c>
      <c r="AA34" t="str">
        <f t="shared" ca="1" si="9"/>
        <v>WR5</v>
      </c>
      <c r="AB34" s="174">
        <f ca="1">Z34*LeagueInfo!$H$5</f>
        <v>10.74778189228144</v>
      </c>
      <c r="AC34" s="174">
        <f ca="1">(Z34-AVERAGE(Z:$Z))/_xlfn.STDEV.P(Z:Z)</f>
        <v>1.1527929686230971</v>
      </c>
    </row>
    <row r="35" spans="1:29" x14ac:dyDescent="0.35">
      <c r="A35">
        <f t="shared" si="0"/>
        <v>33</v>
      </c>
      <c r="B35" t="str">
        <f>WR_Raw!A34</f>
        <v>Christian Kirk</v>
      </c>
      <c r="C35" t="s">
        <v>32</v>
      </c>
      <c r="D35">
        <f>_xlfn.IFNA(INDEX(BYEs!E:E,MATCH(B35,BYEs!D:D,0)),"N/A")</f>
        <v>27</v>
      </c>
      <c r="E35">
        <f>INDEX(BYEs!$B$2:$B$34,MATCH(F35,BYEs!$A$2:$A$34,0))</f>
        <v>12</v>
      </c>
      <c r="F35" t="str">
        <f>WR_Raw!B34</f>
        <v>JAC</v>
      </c>
      <c r="G35" s="202">
        <v>0</v>
      </c>
      <c r="H35" s="203">
        <v>0</v>
      </c>
      <c r="I35" s="200">
        <f>WR_Raw!F34</f>
        <v>1</v>
      </c>
      <c r="J35" s="200">
        <f>WR_Raw!G34</f>
        <v>6.4</v>
      </c>
      <c r="K35" s="200">
        <f>WR_Raw!H34</f>
        <v>0</v>
      </c>
      <c r="L35" s="202">
        <f>WR_Raw!C34</f>
        <v>81</v>
      </c>
      <c r="M35" s="200">
        <f>WR_Raw!D34</f>
        <v>1007.9</v>
      </c>
      <c r="N35" s="203">
        <f>WR_Raw!E34</f>
        <v>5.4</v>
      </c>
      <c r="O35" s="200">
        <f>WR_Raw!I34</f>
        <v>1.3</v>
      </c>
      <c r="P35" s="204">
        <f t="shared" si="1"/>
        <v>171.73000000000002</v>
      </c>
      <c r="Q35" t="str">
        <f t="shared" ca="1" si="2"/>
        <v>Starter</v>
      </c>
      <c r="R35">
        <f t="shared" ca="1" si="3"/>
        <v>5.7700000000000102</v>
      </c>
      <c r="S35">
        <f t="shared" ca="1" si="4"/>
        <v>58.970000000000013</v>
      </c>
      <c r="T35" s="84">
        <f t="shared" ca="1" si="5"/>
        <v>10.601338584213963</v>
      </c>
      <c r="U35" s="84">
        <f ca="1">T35*Auction!$A$2</f>
        <v>10.601338584213963</v>
      </c>
      <c r="V35" s="5" t="str">
        <f>IF(OR(INDEX(Auction!$H$13:$H$650,MATCH(B35,Auction!$A$13:$A$650,0))&gt;0,IFERROR(INDEX(CheatSheet!$V$5:$V$64,MATCH(B35,CheatSheet!$S$5:$S$64,0)),"")&lt;&gt;""),"Yes","No")</f>
        <v>No</v>
      </c>
      <c r="W35" s="175"/>
      <c r="Y35" s="113">
        <f t="shared" ca="1" si="6"/>
        <v>1</v>
      </c>
      <c r="Z35" s="174">
        <f t="shared" ca="1" si="8"/>
        <v>32.370000000000012</v>
      </c>
      <c r="AA35" t="str">
        <f t="shared" ca="1" si="9"/>
        <v>WR5</v>
      </c>
      <c r="AB35" s="174">
        <f ca="1">Z35*LeagueInfo!$H$5</f>
        <v>10.453897231164369</v>
      </c>
      <c r="AC35" s="174">
        <f ca="1">(Z35-AVERAGE(Z:$Z))/_xlfn.STDEV.P(Z:Z)</f>
        <v>1.1300885017007838</v>
      </c>
    </row>
    <row r="36" spans="1:29" x14ac:dyDescent="0.35">
      <c r="A36">
        <f t="shared" si="0"/>
        <v>34</v>
      </c>
      <c r="B36" t="str">
        <f>WR_Raw!A36</f>
        <v>Terry McLaurin</v>
      </c>
      <c r="C36" t="s">
        <v>32</v>
      </c>
      <c r="D36">
        <f>_xlfn.IFNA(INDEX(BYEs!E:E,MATCH(B36,BYEs!D:D,0)),"N/A")</f>
        <v>28</v>
      </c>
      <c r="E36">
        <f>INDEX(BYEs!$B$2:$B$34,MATCH(F36,BYEs!$A$2:$A$34,0))</f>
        <v>14</v>
      </c>
      <c r="F36" t="str">
        <f>WR_Raw!B36</f>
        <v>WAS</v>
      </c>
      <c r="G36" s="202">
        <v>0</v>
      </c>
      <c r="H36" s="203">
        <v>0</v>
      </c>
      <c r="I36" s="200">
        <f>WR_Raw!F36</f>
        <v>0.3</v>
      </c>
      <c r="J36" s="200">
        <f>WR_Raw!G36</f>
        <v>2.2000000000000002</v>
      </c>
      <c r="K36" s="200">
        <f>WR_Raw!H36</f>
        <v>0</v>
      </c>
      <c r="L36" s="202">
        <f>WR_Raw!C36</f>
        <v>76.400000000000006</v>
      </c>
      <c r="M36" s="200">
        <f>WR_Raw!D36</f>
        <v>1009.4</v>
      </c>
      <c r="N36" s="203">
        <f>WR_Raw!E36</f>
        <v>4.5999999999999996</v>
      </c>
      <c r="O36" s="200">
        <f>WR_Raw!I36</f>
        <v>0.5</v>
      </c>
      <c r="P36" s="204">
        <f t="shared" si="1"/>
        <v>165.96</v>
      </c>
      <c r="Q36" t="str">
        <f t="shared" ca="1" si="2"/>
        <v>Starter</v>
      </c>
      <c r="R36">
        <f t="shared" ca="1" si="3"/>
        <v>0</v>
      </c>
      <c r="S36">
        <f t="shared" ca="1" si="4"/>
        <v>53.2</v>
      </c>
      <c r="T36" s="84">
        <f t="shared" ca="1" si="5"/>
        <v>8.7769122630101393</v>
      </c>
      <c r="U36" s="84">
        <f ca="1">T36*Auction!$A$2</f>
        <v>8.7769122630101393</v>
      </c>
      <c r="V36" s="5" t="str">
        <f>IF(OR(INDEX(Auction!$H$13:$H$650,MATCH(B36,Auction!$A$13:$A$650,0))&gt;0,IFERROR(INDEX(CheatSheet!$V$5:$V$64,MATCH(B36,CheatSheet!$S$5:$S$64,0)),"")&lt;&gt;""),"Yes","No")</f>
        <v>No</v>
      </c>
      <c r="W36" s="175"/>
      <c r="Y36" s="113">
        <f t="shared" ca="1" si="6"/>
        <v>1</v>
      </c>
      <c r="Z36" s="174">
        <f t="shared" ca="1" si="8"/>
        <v>26.6</v>
      </c>
      <c r="AA36" t="str">
        <f t="shared" ca="1" si="9"/>
        <v>WR6</v>
      </c>
      <c r="AB36" s="174">
        <f ca="1">Z36*LeagueInfo!$H$5</f>
        <v>8.5904747095759078</v>
      </c>
      <c r="AC36" s="174">
        <f ca="1">(Z36-AVERAGE(Z:$Z))/_xlfn.STDEV.P(Z:Z)</f>
        <v>0.98612721143512672</v>
      </c>
    </row>
    <row r="37" spans="1:29" x14ac:dyDescent="0.35">
      <c r="A37">
        <f t="shared" si="0"/>
        <v>35</v>
      </c>
      <c r="B37" t="str">
        <f>WR_Raw!A39</f>
        <v>Keenan Allen</v>
      </c>
      <c r="C37" t="s">
        <v>32</v>
      </c>
      <c r="D37">
        <f>_xlfn.IFNA(INDEX(BYEs!E:E,MATCH(B37,BYEs!D:D,0)),"N/A")</f>
        <v>32</v>
      </c>
      <c r="E37">
        <f>INDEX(BYEs!$B$2:$B$34,MATCH(F37,BYEs!$A$2:$A$34,0))</f>
        <v>7</v>
      </c>
      <c r="F37" t="str">
        <f>WR_Raw!B39</f>
        <v>CHI</v>
      </c>
      <c r="G37" s="202">
        <v>0</v>
      </c>
      <c r="H37" s="203">
        <v>0</v>
      </c>
      <c r="I37" s="200">
        <f>WR_Raw!F39</f>
        <v>1</v>
      </c>
      <c r="J37" s="200">
        <f>WR_Raw!G39</f>
        <v>6.3</v>
      </c>
      <c r="K37" s="200">
        <f>WR_Raw!H39</f>
        <v>0</v>
      </c>
      <c r="L37" s="202">
        <f>WR_Raw!C39</f>
        <v>79.7</v>
      </c>
      <c r="M37" s="200">
        <f>WR_Raw!D39</f>
        <v>895.2</v>
      </c>
      <c r="N37" s="203">
        <f>WR_Raw!E39</f>
        <v>5.6</v>
      </c>
      <c r="O37" s="200">
        <f>WR_Raw!I39</f>
        <v>1</v>
      </c>
      <c r="P37" s="204">
        <f t="shared" si="1"/>
        <v>161.6</v>
      </c>
      <c r="Q37" t="str">
        <f t="shared" ca="1" si="2"/>
        <v>Bench</v>
      </c>
      <c r="R37">
        <f t="shared" ca="1" si="3"/>
        <v>0</v>
      </c>
      <c r="S37">
        <f t="shared" ca="1" si="4"/>
        <v>48.839999999999989</v>
      </c>
      <c r="T37" s="84">
        <f t="shared" ca="1" si="5"/>
        <v>8.0576014083724647</v>
      </c>
      <c r="U37" s="84">
        <f ca="1">T37*Auction!$A$2</f>
        <v>8.0576014083724647</v>
      </c>
      <c r="V37" s="5" t="str">
        <f>IF(OR(INDEX(Auction!$H$13:$H$650,MATCH(B37,Auction!$A$13:$A$650,0))&gt;0,IFERROR(INDEX(CheatSheet!$V$5:$V$64,MATCH(B37,CheatSheet!$S$5:$S$64,0)),"")&lt;&gt;""),"Yes","No")</f>
        <v>No</v>
      </c>
      <c r="W37" s="175"/>
      <c r="Y37" s="113">
        <f t="shared" ca="1" si="6"/>
        <v>1</v>
      </c>
      <c r="Z37" s="174">
        <f t="shared" ca="1" si="8"/>
        <v>24.419999999999995</v>
      </c>
      <c r="AA37" t="str">
        <f t="shared" ca="1" si="9"/>
        <v>WR6</v>
      </c>
      <c r="AB37" s="174">
        <f ca="1">Z37*LeagueInfo!$H$5</f>
        <v>7.8864433236031433</v>
      </c>
      <c r="AC37" s="174">
        <f ca="1">(Z37-AVERAGE(Z:$Z))/_xlfn.STDEV.P(Z:Z)</f>
        <v>0.93173629067617814</v>
      </c>
    </row>
    <row r="38" spans="1:29" x14ac:dyDescent="0.35">
      <c r="A38">
        <f t="shared" si="0"/>
        <v>36</v>
      </c>
      <c r="B38" t="str">
        <f>WR_Raw!A37</f>
        <v>Diontae Johnson</v>
      </c>
      <c r="C38" t="s">
        <v>32</v>
      </c>
      <c r="D38">
        <f>_xlfn.IFNA(INDEX(BYEs!E:E,MATCH(B38,BYEs!D:D,0)),"N/A")</f>
        <v>28</v>
      </c>
      <c r="E38">
        <f>INDEX(BYEs!$B$2:$B$34,MATCH(F38,BYEs!$A$2:$A$34,0))</f>
        <v>11</v>
      </c>
      <c r="F38" t="str">
        <f>WR_Raw!B37</f>
        <v>CAR</v>
      </c>
      <c r="G38" s="202">
        <v>0</v>
      </c>
      <c r="H38" s="203">
        <v>0</v>
      </c>
      <c r="I38" s="200">
        <f>WR_Raw!F37</f>
        <v>1</v>
      </c>
      <c r="J38" s="200">
        <f>WR_Raw!G37</f>
        <v>7.2</v>
      </c>
      <c r="K38" s="200">
        <f>WR_Raw!H37</f>
        <v>0</v>
      </c>
      <c r="L38" s="202">
        <f>WR_Raw!C37</f>
        <v>72.8</v>
      </c>
      <c r="M38" s="200">
        <f>WR_Raw!D37</f>
        <v>905.9</v>
      </c>
      <c r="N38" s="203">
        <f>WR_Raw!E37</f>
        <v>5.7</v>
      </c>
      <c r="O38" s="200">
        <f>WR_Raw!I37</f>
        <v>0.6</v>
      </c>
      <c r="P38" s="204">
        <f t="shared" si="1"/>
        <v>160.71000000000004</v>
      </c>
      <c r="Q38" t="str">
        <f t="shared" ca="1" si="2"/>
        <v>Bench</v>
      </c>
      <c r="R38">
        <f t="shared" ca="1" si="3"/>
        <v>0</v>
      </c>
      <c r="S38">
        <f t="shared" ca="1" si="4"/>
        <v>47.950000000000031</v>
      </c>
      <c r="T38" s="84">
        <f t="shared" ca="1" si="5"/>
        <v>7.9107696054762489</v>
      </c>
      <c r="U38" s="84">
        <f ca="1">T38*Auction!$A$2</f>
        <v>7.9107696054762489</v>
      </c>
      <c r="V38" s="5" t="str">
        <f>IF(OR(INDEX(Auction!$H$13:$H$650,MATCH(B38,Auction!$A$13:$A$650,0))&gt;0,IFERROR(INDEX(CheatSheet!$V$5:$V$64,MATCH(B38,CheatSheet!$S$5:$S$64,0)),"")&lt;&gt;""),"Yes","No")</f>
        <v>No</v>
      </c>
      <c r="W38" s="175"/>
      <c r="Y38" s="113">
        <f t="shared" ca="1" si="6"/>
        <v>1</v>
      </c>
      <c r="Z38" s="174">
        <f t="shared" ca="1" si="8"/>
        <v>23.975000000000016</v>
      </c>
      <c r="AA38" t="str">
        <f t="shared" ca="1" si="9"/>
        <v>WR6</v>
      </c>
      <c r="AB38" s="174">
        <f ca="1">Z38*LeagueInfo!$H$5</f>
        <v>7.7427304948151328</v>
      </c>
      <c r="AC38" s="174">
        <f ca="1">(Z38-AVERAGE(Z:$Z))/_xlfn.STDEV.P(Z:Z)</f>
        <v>0.92063355685153092</v>
      </c>
    </row>
    <row r="39" spans="1:29" x14ac:dyDescent="0.35">
      <c r="A39">
        <f t="shared" si="0"/>
        <v>37</v>
      </c>
      <c r="B39" t="str">
        <f>WR_Raw!A35</f>
        <v>Jayden Reed</v>
      </c>
      <c r="C39" t="s">
        <v>32</v>
      </c>
      <c r="D39">
        <f>_xlfn.IFNA(INDEX(BYEs!E:E,MATCH(B39,BYEs!D:D,0)),"N/A")</f>
        <v>24</v>
      </c>
      <c r="E39">
        <f>INDEX(BYEs!$B$2:$B$34,MATCH(F39,BYEs!$A$2:$A$34,0))</f>
        <v>10</v>
      </c>
      <c r="F39" t="str">
        <f>WR_Raw!B35</f>
        <v>GB</v>
      </c>
      <c r="G39" s="202">
        <v>0</v>
      </c>
      <c r="H39" s="203">
        <v>0</v>
      </c>
      <c r="I39" s="200">
        <f>WR_Raw!F35</f>
        <v>9.1</v>
      </c>
      <c r="J39" s="200">
        <f>WR_Raw!G35</f>
        <v>74</v>
      </c>
      <c r="K39" s="200">
        <f>WR_Raw!H35</f>
        <v>1.2</v>
      </c>
      <c r="L39" s="202">
        <f>WR_Raw!C35</f>
        <v>64.099999999999994</v>
      </c>
      <c r="M39" s="200">
        <f>WR_Raw!D35</f>
        <v>796.5</v>
      </c>
      <c r="N39" s="203">
        <f>WR_Raw!E35</f>
        <v>5.9</v>
      </c>
      <c r="O39" s="200">
        <f>WR_Raw!I35</f>
        <v>0.6</v>
      </c>
      <c r="P39" s="204">
        <f t="shared" si="1"/>
        <v>160.50000000000003</v>
      </c>
      <c r="Q39" t="str">
        <f t="shared" ca="1" si="2"/>
        <v>Bench</v>
      </c>
      <c r="R39">
        <f t="shared" ca="1" si="3"/>
        <v>0</v>
      </c>
      <c r="S39">
        <f t="shared" ca="1" si="4"/>
        <v>47.740000000000023</v>
      </c>
      <c r="T39" s="84">
        <f t="shared" ca="1" si="5"/>
        <v>7.8761238991748916</v>
      </c>
      <c r="U39" s="84">
        <f ca="1">T39*Auction!$A$2</f>
        <v>7.8761238991748916</v>
      </c>
      <c r="V39" s="5" t="str">
        <f>IF(OR(INDEX(Auction!$H$13:$H$650,MATCH(B39,Auction!$A$13:$A$650,0))&gt;0,IFERROR(INDEX(CheatSheet!$V$5:$V$64,MATCH(B39,CheatSheet!$S$5:$S$64,0)),"")&lt;&gt;""),"Yes","No")</f>
        <v>No</v>
      </c>
      <c r="W39" s="175"/>
      <c r="Y39" s="113">
        <f t="shared" ca="1" si="6"/>
        <v>1</v>
      </c>
      <c r="Z39" s="174">
        <f t="shared" ca="1" si="8"/>
        <v>23.870000000000012</v>
      </c>
      <c r="AA39" t="str">
        <f t="shared" ca="1" si="9"/>
        <v>WR6</v>
      </c>
      <c r="AB39" s="174">
        <f ca="1">Z39*LeagueInfo!$H$5</f>
        <v>7.7088207262247002</v>
      </c>
      <c r="AC39" s="174">
        <f ca="1">(Z39-AVERAGE(Z:$Z))/_xlfn.STDEV.P(Z:Z)</f>
        <v>0.91801381066818699</v>
      </c>
    </row>
    <row r="40" spans="1:29" x14ac:dyDescent="0.35">
      <c r="A40">
        <f t="shared" si="0"/>
        <v>38</v>
      </c>
      <c r="B40" t="str">
        <f>WR_Raw!A41</f>
        <v>Courtland Sutton</v>
      </c>
      <c r="C40" t="s">
        <v>32</v>
      </c>
      <c r="D40">
        <f>_xlfn.IFNA(INDEX(BYEs!E:E,MATCH(B40,BYEs!D:D,0)),"N/A")</f>
        <v>28</v>
      </c>
      <c r="E40">
        <f>INDEX(BYEs!$B$2:$B$34,MATCH(F40,BYEs!$A$2:$A$34,0))</f>
        <v>14</v>
      </c>
      <c r="F40" t="str">
        <f>WR_Raw!B41</f>
        <v>DEN</v>
      </c>
      <c r="G40" s="202">
        <v>0</v>
      </c>
      <c r="H40" s="203">
        <v>0</v>
      </c>
      <c r="I40" s="200">
        <f>WR_Raw!F41</f>
        <v>0</v>
      </c>
      <c r="J40" s="200">
        <f>WR_Raw!G41</f>
        <v>1.2</v>
      </c>
      <c r="K40" s="200">
        <f>WR_Raw!H41</f>
        <v>0</v>
      </c>
      <c r="L40" s="202">
        <f>WR_Raw!C41</f>
        <v>65.8</v>
      </c>
      <c r="M40" s="200">
        <f>WR_Raw!D41</f>
        <v>850</v>
      </c>
      <c r="N40" s="203">
        <f>WR_Raw!E41</f>
        <v>6.1</v>
      </c>
      <c r="O40" s="200">
        <f>WR_Raw!I41</f>
        <v>1.3</v>
      </c>
      <c r="P40" s="204">
        <f t="shared" si="1"/>
        <v>152.02000000000001</v>
      </c>
      <c r="Q40" t="str">
        <f t="shared" ca="1" si="2"/>
        <v>Bench</v>
      </c>
      <c r="R40">
        <f t="shared" ca="1" si="3"/>
        <v>0</v>
      </c>
      <c r="S40">
        <f t="shared" ca="1" si="4"/>
        <v>39.260000000000005</v>
      </c>
      <c r="T40" s="84">
        <f t="shared" ca="1" si="5"/>
        <v>6.4770972828153779</v>
      </c>
      <c r="U40" s="84">
        <f ca="1">T40*Auction!$A$2</f>
        <v>6.4770972828153779</v>
      </c>
      <c r="V40" s="5" t="str">
        <f>IF(OR(INDEX(Auction!$H$13:$H$650,MATCH(B40,Auction!$A$13:$A$650,0))&gt;0,IFERROR(INDEX(CheatSheet!$V$5:$V$64,MATCH(B40,CheatSheet!$S$5:$S$64,0)),"")&lt;&gt;""),"Yes","No")</f>
        <v>No</v>
      </c>
      <c r="W40" s="175"/>
      <c r="Y40" s="113">
        <f t="shared" ca="1" si="6"/>
        <v>1</v>
      </c>
      <c r="Z40" s="174">
        <f t="shared" ca="1" si="8"/>
        <v>19.630000000000003</v>
      </c>
      <c r="AA40" t="str">
        <f t="shared" ca="1" si="9"/>
        <v>WR6</v>
      </c>
      <c r="AB40" s="174">
        <f ca="1">Z40*LeagueInfo!$H$5</f>
        <v>6.3395119755253795</v>
      </c>
      <c r="AC40" s="174">
        <f ca="1">(Z40-AVERAGE(Z:$Z))/_xlfn.STDEV.P(Z:Z)</f>
        <v>0.81222596478839737</v>
      </c>
    </row>
    <row r="41" spans="1:29" x14ac:dyDescent="0.35">
      <c r="A41">
        <f t="shared" si="0"/>
        <v>39</v>
      </c>
      <c r="B41" t="str">
        <f>WR_Raw!A46</f>
        <v>Jaxon Smith-Njigba</v>
      </c>
      <c r="C41" t="s">
        <v>32</v>
      </c>
      <c r="D41">
        <f>_xlfn.IFNA(INDEX(BYEs!E:E,MATCH(B41,BYEs!D:D,0)),"N/A")</f>
        <v>22</v>
      </c>
      <c r="E41">
        <f>INDEX(BYEs!$B$2:$B$34,MATCH(F41,BYEs!$A$2:$A$34,0))</f>
        <v>10</v>
      </c>
      <c r="F41" t="str">
        <f>WR_Raw!B46</f>
        <v>SEA</v>
      </c>
      <c r="G41" s="202">
        <v>0</v>
      </c>
      <c r="H41" s="203">
        <v>0</v>
      </c>
      <c r="I41" s="200">
        <f>WR_Raw!F46</f>
        <v>0</v>
      </c>
      <c r="J41" s="200">
        <f>WR_Raw!G46</f>
        <v>2</v>
      </c>
      <c r="K41" s="200">
        <f>WR_Raw!H46</f>
        <v>0</v>
      </c>
      <c r="L41" s="202">
        <f>WR_Raw!C46</f>
        <v>75.7</v>
      </c>
      <c r="M41" s="200">
        <f>WR_Raw!D46</f>
        <v>830.5</v>
      </c>
      <c r="N41" s="203">
        <f>WR_Raw!E46</f>
        <v>5.3</v>
      </c>
      <c r="O41" s="200">
        <f>WR_Raw!I46</f>
        <v>0.6</v>
      </c>
      <c r="P41" s="204">
        <f t="shared" si="1"/>
        <v>151.70000000000005</v>
      </c>
      <c r="Q41" t="str">
        <f t="shared" ca="1" si="2"/>
        <v>Bench</v>
      </c>
      <c r="R41">
        <f t="shared" ca="1" si="3"/>
        <v>0</v>
      </c>
      <c r="S41">
        <f t="shared" ca="1" si="4"/>
        <v>38.94000000000004</v>
      </c>
      <c r="T41" s="84">
        <f t="shared" ca="1" si="5"/>
        <v>6.4243038255942704</v>
      </c>
      <c r="U41" s="84">
        <f ca="1">T41*Auction!$A$2</f>
        <v>6.4243038255942704</v>
      </c>
      <c r="V41" s="5" t="str">
        <f>IF(OR(INDEX(Auction!$H$13:$H$650,MATCH(B41,Auction!$A$13:$A$650,0))&gt;0,IFERROR(INDEX(CheatSheet!$V$5:$V$64,MATCH(B41,CheatSheet!$S$5:$S$64,0)),"")&lt;&gt;""),"Yes","No")</f>
        <v>No</v>
      </c>
      <c r="W41" s="175"/>
      <c r="Y41" s="113">
        <f t="shared" ca="1" si="6"/>
        <v>1</v>
      </c>
      <c r="Z41" s="174">
        <f t="shared" ca="1" si="8"/>
        <v>19.47000000000002</v>
      </c>
      <c r="AA41" t="str">
        <f t="shared" ca="1" si="9"/>
        <v>WR6</v>
      </c>
      <c r="AB41" s="174">
        <f ca="1">Z41*LeagueInfo!$H$5</f>
        <v>6.2878399471971091</v>
      </c>
      <c r="AC41" s="174">
        <f ca="1">(Z41-AVERAGE(Z:$Z))/_xlfn.STDEV.P(Z:Z)</f>
        <v>0.80823397060425473</v>
      </c>
    </row>
    <row r="42" spans="1:29" x14ac:dyDescent="0.35">
      <c r="A42">
        <f t="shared" si="0"/>
        <v>40</v>
      </c>
      <c r="B42" t="str">
        <f>WR_Raw!A42</f>
        <v>DeAndre Hopkins</v>
      </c>
      <c r="C42" t="s">
        <v>32</v>
      </c>
      <c r="D42">
        <f>_xlfn.IFNA(INDEX(BYEs!E:E,MATCH(B42,BYEs!D:D,0)),"N/A")</f>
        <v>32</v>
      </c>
      <c r="E42">
        <f>INDEX(BYEs!$B$2:$B$34,MATCH(F42,BYEs!$A$2:$A$34,0))</f>
        <v>5</v>
      </c>
      <c r="F42" t="str">
        <f>WR_Raw!B42</f>
        <v>TEN</v>
      </c>
      <c r="G42" s="202">
        <v>0</v>
      </c>
      <c r="H42" s="203">
        <v>0</v>
      </c>
      <c r="I42" s="200">
        <f>WR_Raw!F42</f>
        <v>0.3</v>
      </c>
      <c r="J42" s="200">
        <f>WR_Raw!G42</f>
        <v>2.8</v>
      </c>
      <c r="K42" s="200">
        <f>WR_Raw!H42</f>
        <v>0</v>
      </c>
      <c r="L42" s="202">
        <f>WR_Raw!C42</f>
        <v>64.7</v>
      </c>
      <c r="M42" s="200">
        <f>WR_Raw!D42</f>
        <v>851.3</v>
      </c>
      <c r="N42" s="203">
        <f>WR_Raw!E42</f>
        <v>5.7</v>
      </c>
      <c r="O42" s="200">
        <f>WR_Raw!I42</f>
        <v>0.5</v>
      </c>
      <c r="P42" s="204">
        <f t="shared" si="1"/>
        <v>150.95999999999998</v>
      </c>
      <c r="Q42" t="str">
        <f t="shared" ca="1" si="2"/>
        <v>Bench</v>
      </c>
      <c r="R42">
        <f t="shared" ca="1" si="3"/>
        <v>0</v>
      </c>
      <c r="S42">
        <f t="shared" ca="1" si="4"/>
        <v>38.199999999999974</v>
      </c>
      <c r="T42" s="84">
        <f t="shared" ca="1" si="5"/>
        <v>6.3022189557704342</v>
      </c>
      <c r="U42" s="84">
        <f ca="1">T42*Auction!$A$2</f>
        <v>6.3022189557704342</v>
      </c>
      <c r="V42" s="5" t="str">
        <f>IF(OR(INDEX(Auction!$H$13:$H$650,MATCH(B42,Auction!$A$13:$A$650,0))&gt;0,IFERROR(INDEX(CheatSheet!$V$5:$V$64,MATCH(B42,CheatSheet!$S$5:$S$64,0)),"")&lt;&gt;""),"Yes","No")</f>
        <v>No</v>
      </c>
      <c r="W42" s="175"/>
      <c r="Y42" s="113">
        <f t="shared" ca="1" si="6"/>
        <v>1</v>
      </c>
      <c r="Z42" s="174">
        <f t="shared" ca="1" si="8"/>
        <v>19.099999999999987</v>
      </c>
      <c r="AA42" t="str">
        <f t="shared" ca="1" si="9"/>
        <v>WR6</v>
      </c>
      <c r="AB42" s="174">
        <f ca="1">Z42*LeagueInfo!$H$5</f>
        <v>6.1683483816879594</v>
      </c>
      <c r="AC42" s="174">
        <f ca="1">(Z42-AVERAGE(Z:$Z))/_xlfn.STDEV.P(Z:Z)</f>
        <v>0.79900248405342322</v>
      </c>
    </row>
    <row r="43" spans="1:29" x14ac:dyDescent="0.35">
      <c r="A43">
        <f t="shared" si="0"/>
        <v>41</v>
      </c>
      <c r="B43" t="str">
        <f>WR_Raw!A38</f>
        <v>Christian Watson</v>
      </c>
      <c r="C43" t="s">
        <v>32</v>
      </c>
      <c r="D43">
        <f>_xlfn.IFNA(INDEX(BYEs!E:E,MATCH(B43,BYEs!D:D,0)),"N/A")</f>
        <v>25</v>
      </c>
      <c r="E43">
        <f>INDEX(BYEs!$B$2:$B$34,MATCH(F43,BYEs!$A$2:$A$34,0))</f>
        <v>10</v>
      </c>
      <c r="F43" t="str">
        <f>WR_Raw!B38</f>
        <v>GB</v>
      </c>
      <c r="G43" s="202">
        <v>0</v>
      </c>
      <c r="H43" s="203">
        <v>0</v>
      </c>
      <c r="I43" s="200">
        <f>WR_Raw!F38</f>
        <v>4.2</v>
      </c>
      <c r="J43" s="200">
        <f>WR_Raw!G38</f>
        <v>24.9</v>
      </c>
      <c r="K43" s="200">
        <f>WR_Raw!H38</f>
        <v>0.3</v>
      </c>
      <c r="L43" s="202">
        <f>WR_Raw!C38</f>
        <v>53.7</v>
      </c>
      <c r="M43" s="200">
        <f>WR_Raw!D38</f>
        <v>780.1</v>
      </c>
      <c r="N43" s="203">
        <f>WR_Raw!E38</f>
        <v>7</v>
      </c>
      <c r="O43" s="200">
        <f>WR_Raw!I38</f>
        <v>0.5</v>
      </c>
      <c r="P43" s="204">
        <f t="shared" si="1"/>
        <v>150.15</v>
      </c>
      <c r="Q43" t="str">
        <f t="shared" ca="1" si="2"/>
        <v>Bench</v>
      </c>
      <c r="R43">
        <f t="shared" ca="1" si="3"/>
        <v>0</v>
      </c>
      <c r="S43">
        <f t="shared" ca="1" si="4"/>
        <v>37.39</v>
      </c>
      <c r="T43" s="84">
        <f t="shared" ca="1" si="5"/>
        <v>6.168585517179495</v>
      </c>
      <c r="U43" s="84">
        <f ca="1">T43*Auction!$A$2</f>
        <v>6.168585517179495</v>
      </c>
      <c r="V43" s="5" t="str">
        <f>IF(OR(INDEX(Auction!$H$13:$H$650,MATCH(B43,Auction!$A$13:$A$650,0))&gt;0,IFERROR(INDEX(CheatSheet!$V$5:$V$64,MATCH(B43,CheatSheet!$S$5:$S$64,0)),"")&lt;&gt;""),"Yes","No")</f>
        <v>No</v>
      </c>
      <c r="W43" s="175"/>
      <c r="Y43" s="113">
        <f t="shared" ca="1" si="6"/>
        <v>1</v>
      </c>
      <c r="Z43" s="174">
        <f t="shared" ca="1" si="8"/>
        <v>18.695</v>
      </c>
      <c r="AA43" t="str">
        <f t="shared" ca="1" si="9"/>
        <v>WR6</v>
      </c>
      <c r="AB43" s="174">
        <f ca="1">Z43*LeagueInfo!$H$5</f>
        <v>6.0375535599820145</v>
      </c>
      <c r="AC43" s="174">
        <f ca="1">(Z43-AVERAGE(Z:$Z))/_xlfn.STDEV.P(Z:Z)</f>
        <v>0.78889774877481167</v>
      </c>
    </row>
    <row r="44" spans="1:29" x14ac:dyDescent="0.35">
      <c r="A44">
        <f t="shared" si="0"/>
        <v>42</v>
      </c>
      <c r="B44" t="str">
        <f>WR_Raw!A43</f>
        <v>Jordan Addison</v>
      </c>
      <c r="C44" t="s">
        <v>32</v>
      </c>
      <c r="D44">
        <f>_xlfn.IFNA(INDEX(BYEs!E:E,MATCH(B44,BYEs!D:D,0)),"N/A")</f>
        <v>22</v>
      </c>
      <c r="E44">
        <f>INDEX(BYEs!$B$2:$B$34,MATCH(F44,BYEs!$A$2:$A$34,0))</f>
        <v>6</v>
      </c>
      <c r="F44" t="str">
        <f>WR_Raw!B43</f>
        <v>MIN</v>
      </c>
      <c r="G44" s="202">
        <v>0</v>
      </c>
      <c r="H44" s="203">
        <v>0</v>
      </c>
      <c r="I44" s="200">
        <f>WR_Raw!F43</f>
        <v>0.3</v>
      </c>
      <c r="J44" s="200">
        <f>WR_Raw!G43</f>
        <v>4</v>
      </c>
      <c r="K44" s="200">
        <f>WR_Raw!H43</f>
        <v>0</v>
      </c>
      <c r="L44" s="202">
        <f>WR_Raw!C43</f>
        <v>64.5</v>
      </c>
      <c r="M44" s="200">
        <f>WR_Raw!D43</f>
        <v>829.2</v>
      </c>
      <c r="N44" s="203">
        <f>WR_Raw!E43</f>
        <v>5.9</v>
      </c>
      <c r="O44" s="200">
        <f>WR_Raw!I43</f>
        <v>0.5</v>
      </c>
      <c r="P44" s="204">
        <f t="shared" si="1"/>
        <v>149.97000000000003</v>
      </c>
      <c r="Q44" t="str">
        <f t="shared" ca="1" si="2"/>
        <v>Bench</v>
      </c>
      <c r="R44">
        <f t="shared" ca="1" si="3"/>
        <v>0</v>
      </c>
      <c r="S44">
        <f t="shared" ca="1" si="4"/>
        <v>37.210000000000022</v>
      </c>
      <c r="T44" s="84">
        <f t="shared" ca="1" si="5"/>
        <v>6.1388891974926221</v>
      </c>
      <c r="U44" s="84">
        <f ca="1">T44*Auction!$A$2</f>
        <v>6.1388891974926221</v>
      </c>
      <c r="V44" s="5" t="str">
        <f>IF(OR(INDEX(Auction!$H$13:$H$650,MATCH(B44,Auction!$A$13:$A$650,0))&gt;0,IFERROR(INDEX(CheatSheet!$V$5:$V$64,MATCH(B44,CheatSheet!$S$5:$S$64,0)),"")&lt;&gt;""),"Yes","No")</f>
        <v>No</v>
      </c>
      <c r="W44" s="175"/>
      <c r="Y44" s="113">
        <f t="shared" ca="1" si="6"/>
        <v>1</v>
      </c>
      <c r="Z44" s="174">
        <f t="shared" ca="1" si="8"/>
        <v>18.605000000000011</v>
      </c>
      <c r="AA44" t="str">
        <f t="shared" ca="1" si="9"/>
        <v>WR6</v>
      </c>
      <c r="AB44" s="174">
        <f ca="1">Z44*LeagueInfo!$H$5</f>
        <v>6.0084880440473629</v>
      </c>
      <c r="AC44" s="174">
        <f ca="1">(Z44-AVERAGE(Z:$Z))/_xlfn.STDEV.P(Z:Z)</f>
        <v>0.78665225204623146</v>
      </c>
    </row>
    <row r="45" spans="1:29" x14ac:dyDescent="0.35">
      <c r="A45">
        <f t="shared" si="0"/>
        <v>43</v>
      </c>
      <c r="B45" t="str">
        <f>WR_Raw!A40</f>
        <v>Xavier Worthy</v>
      </c>
      <c r="C45" t="s">
        <v>32</v>
      </c>
      <c r="D45">
        <f>_xlfn.IFNA(INDEX(BYEs!E:E,MATCH(B45,BYEs!D:D,0)),"N/A")</f>
        <v>21</v>
      </c>
      <c r="E45">
        <f>INDEX(BYEs!$B$2:$B$34,MATCH(F45,BYEs!$A$2:$A$34,0))</f>
        <v>6</v>
      </c>
      <c r="F45" t="str">
        <f>WR_Raw!B40</f>
        <v>KC</v>
      </c>
      <c r="G45" s="202">
        <v>0</v>
      </c>
      <c r="H45" s="203">
        <v>0</v>
      </c>
      <c r="I45" s="200">
        <f>WR_Raw!F40</f>
        <v>3.8</v>
      </c>
      <c r="J45" s="200">
        <f>WR_Raw!G40</f>
        <v>23.2</v>
      </c>
      <c r="K45" s="200">
        <f>WR_Raw!H40</f>
        <v>0.1</v>
      </c>
      <c r="L45" s="202">
        <f>WR_Raw!C40</f>
        <v>57.1</v>
      </c>
      <c r="M45" s="200">
        <f>WR_Raw!D40</f>
        <v>830.4</v>
      </c>
      <c r="N45" s="203">
        <f>WR_Raw!E40</f>
        <v>6</v>
      </c>
      <c r="O45" s="200">
        <f>WR_Raw!I40</f>
        <v>0.8</v>
      </c>
      <c r="P45" s="204">
        <f t="shared" si="1"/>
        <v>148.91</v>
      </c>
      <c r="Q45" t="str">
        <f t="shared" ca="1" si="2"/>
        <v>Bench</v>
      </c>
      <c r="R45">
        <f t="shared" ca="1" si="3"/>
        <v>0</v>
      </c>
      <c r="S45">
        <f t="shared" ca="1" si="4"/>
        <v>36.149999999999991</v>
      </c>
      <c r="T45" s="84">
        <f t="shared" ca="1" si="5"/>
        <v>5.9640108704476775</v>
      </c>
      <c r="U45" s="84">
        <f ca="1">T45*Auction!$A$2</f>
        <v>5.9640108704476775</v>
      </c>
      <c r="V45" s="5" t="str">
        <f>IF(OR(INDEX(Auction!$H$13:$H$650,MATCH(B45,Auction!$A$13:$A$650,0))&gt;0,IFERROR(INDEX(CheatSheet!$V$5:$V$64,MATCH(B45,CheatSheet!$S$5:$S$64,0)),"")&lt;&gt;""),"Yes","No")</f>
        <v>No</v>
      </c>
      <c r="W45" s="175"/>
      <c r="Y45" s="113">
        <f t="shared" ca="1" si="6"/>
        <v>1</v>
      </c>
      <c r="Z45" s="174">
        <f t="shared" ca="1" si="8"/>
        <v>18.074999999999996</v>
      </c>
      <c r="AA45" t="str">
        <f t="shared" ca="1" si="9"/>
        <v>WR6</v>
      </c>
      <c r="AB45" s="174">
        <f ca="1">Z45*LeagueInfo!$H$5</f>
        <v>5.8373244502099437</v>
      </c>
      <c r="AC45" s="174">
        <f ca="1">(Z45-AVERAGE(Z:$Z))/_xlfn.STDEV.P(Z:Z)</f>
        <v>0.77342877131125742</v>
      </c>
    </row>
    <row r="46" spans="1:29" x14ac:dyDescent="0.35">
      <c r="A46">
        <f t="shared" si="0"/>
        <v>44</v>
      </c>
      <c r="B46" t="str">
        <f>WR_Raw!A44</f>
        <v>Rome Odunze</v>
      </c>
      <c r="C46" t="s">
        <v>32</v>
      </c>
      <c r="D46">
        <f>_xlfn.IFNA(INDEX(BYEs!E:E,MATCH(B46,BYEs!D:D,0)),"N/A")</f>
        <v>22</v>
      </c>
      <c r="E46">
        <f>INDEX(BYEs!$B$2:$B$34,MATCH(F46,BYEs!$A$2:$A$34,0))</f>
        <v>7</v>
      </c>
      <c r="F46" t="str">
        <f>WR_Raw!B44</f>
        <v>CHI</v>
      </c>
      <c r="G46" s="202">
        <v>0</v>
      </c>
      <c r="H46" s="203">
        <v>0</v>
      </c>
      <c r="I46" s="200">
        <f>WR_Raw!F44</f>
        <v>1</v>
      </c>
      <c r="J46" s="200">
        <f>WR_Raw!G44</f>
        <v>6.4</v>
      </c>
      <c r="K46" s="200">
        <f>WR_Raw!H44</f>
        <v>0</v>
      </c>
      <c r="L46" s="202">
        <f>WR_Raw!C44</f>
        <v>62.5</v>
      </c>
      <c r="M46" s="200">
        <f>WR_Raw!D44</f>
        <v>852.4</v>
      </c>
      <c r="N46" s="203">
        <f>WR_Raw!E44</f>
        <v>5.4</v>
      </c>
      <c r="O46" s="200">
        <f>WR_Raw!I44</f>
        <v>1.1000000000000001</v>
      </c>
      <c r="P46" s="204">
        <f t="shared" si="1"/>
        <v>147.33000000000004</v>
      </c>
      <c r="Q46" t="str">
        <f t="shared" ca="1" si="2"/>
        <v>Bench</v>
      </c>
      <c r="R46">
        <f t="shared" ca="1" si="3"/>
        <v>0</v>
      </c>
      <c r="S46">
        <f t="shared" ca="1" si="4"/>
        <v>34.570000000000036</v>
      </c>
      <c r="T46" s="84">
        <f t="shared" ca="1" si="5"/>
        <v>5.7033431754184365</v>
      </c>
      <c r="U46" s="84">
        <f ca="1">T46*Auction!$A$2</f>
        <v>5.7033431754184365</v>
      </c>
      <c r="V46" s="5" t="str">
        <f>IF(OR(INDEX(Auction!$H$13:$H$650,MATCH(B46,Auction!$A$13:$A$650,0))&gt;0,IFERROR(INDEX(CheatSheet!$V$5:$V$64,MATCH(B46,CheatSheet!$S$5:$S$64,0)),"")&lt;&gt;""),"Yes","No")</f>
        <v>No</v>
      </c>
      <c r="W46" s="175"/>
      <c r="Y46" s="113">
        <f t="shared" ca="1" si="6"/>
        <v>1</v>
      </c>
      <c r="Z46" s="174">
        <f t="shared" ca="1" si="8"/>
        <v>17.285000000000018</v>
      </c>
      <c r="AA46" t="str">
        <f t="shared" ca="1" si="9"/>
        <v>WR6</v>
      </c>
      <c r="AB46" s="174">
        <f ca="1">Z46*LeagueInfo!$H$5</f>
        <v>5.5821938103390867</v>
      </c>
      <c r="AC46" s="174">
        <f ca="1">(Z46-AVERAGE(Z:$Z))/_xlfn.STDEV.P(Z:Z)</f>
        <v>0.75371830002705187</v>
      </c>
    </row>
    <row r="47" spans="1:29" x14ac:dyDescent="0.35">
      <c r="A47">
        <f t="shared" si="0"/>
        <v>45</v>
      </c>
      <c r="B47" t="str">
        <f>WR_Raw!A47</f>
        <v>Brian Thomas Jr.</v>
      </c>
      <c r="C47" t="s">
        <v>32</v>
      </c>
      <c r="D47">
        <f>_xlfn.IFNA(INDEX(BYEs!E:E,MATCH(B47,BYEs!D:D,0)),"N/A")</f>
        <v>21</v>
      </c>
      <c r="E47">
        <f>INDEX(BYEs!$B$2:$B$34,MATCH(F47,BYEs!$A$2:$A$34,0))</f>
        <v>12</v>
      </c>
      <c r="F47" t="str">
        <f>WR_Raw!B47</f>
        <v>JAC</v>
      </c>
      <c r="G47" s="202">
        <v>0</v>
      </c>
      <c r="H47" s="203">
        <v>0</v>
      </c>
      <c r="I47" s="200">
        <f>WR_Raw!F47</f>
        <v>0.7</v>
      </c>
      <c r="J47" s="200">
        <f>WR_Raw!G47</f>
        <v>6</v>
      </c>
      <c r="K47" s="200">
        <f>WR_Raw!H47</f>
        <v>0</v>
      </c>
      <c r="L47" s="202">
        <f>WR_Raw!C47</f>
        <v>63.2</v>
      </c>
      <c r="M47" s="200">
        <f>WR_Raw!D47</f>
        <v>844.8</v>
      </c>
      <c r="N47" s="203">
        <f>WR_Raw!E47</f>
        <v>5</v>
      </c>
      <c r="O47" s="200">
        <f>WR_Raw!I47</f>
        <v>1.1000000000000001</v>
      </c>
      <c r="P47" s="204">
        <f t="shared" si="1"/>
        <v>144.48000000000002</v>
      </c>
      <c r="Q47" t="str">
        <f t="shared" ca="1" si="2"/>
        <v>Bench</v>
      </c>
      <c r="R47">
        <f t="shared" ca="1" si="3"/>
        <v>0</v>
      </c>
      <c r="S47">
        <f t="shared" ca="1" si="4"/>
        <v>31.720000000000013</v>
      </c>
      <c r="T47" s="84">
        <f t="shared" ca="1" si="5"/>
        <v>5.2331514470428901</v>
      </c>
      <c r="U47" s="84">
        <f ca="1">T47*Auction!$A$2</f>
        <v>5.2331514470428901</v>
      </c>
      <c r="V47" s="5" t="str">
        <f>IF(OR(INDEX(Auction!$H$13:$H$650,MATCH(B47,Auction!$A$13:$A$650,0))&gt;0,IFERROR(INDEX(CheatSheet!$V$5:$V$64,MATCH(B47,CheatSheet!$S$5:$S$64,0)),"")&lt;&gt;""),"Yes","No")</f>
        <v>No</v>
      </c>
      <c r="W47" s="175"/>
      <c r="Y47" s="113">
        <f t="shared" ca="1" si="6"/>
        <v>1</v>
      </c>
      <c r="Z47" s="174">
        <f t="shared" ca="1" si="8"/>
        <v>15.860000000000007</v>
      </c>
      <c r="AA47" t="str">
        <f t="shared" ca="1" si="9"/>
        <v>WR6</v>
      </c>
      <c r="AB47" s="174">
        <f ca="1">Z47*LeagueInfo!$H$5</f>
        <v>5.1219898080403743</v>
      </c>
      <c r="AC47" s="174">
        <f ca="1">(Z47-AVERAGE(Z:$Z))/_xlfn.STDEV.P(Z:Z)</f>
        <v>0.71816460182452801</v>
      </c>
    </row>
    <row r="48" spans="1:29" x14ac:dyDescent="0.35">
      <c r="A48">
        <f t="shared" si="0"/>
        <v>46</v>
      </c>
      <c r="B48" t="str">
        <f>WR_Raw!A48</f>
        <v>Ladd McConkey</v>
      </c>
      <c r="C48" t="s">
        <v>32</v>
      </c>
      <c r="D48">
        <f>_xlfn.IFNA(INDEX(BYEs!E:E,MATCH(B48,BYEs!D:D,0)),"N/A")</f>
        <v>22</v>
      </c>
      <c r="E48">
        <f>INDEX(BYEs!$B$2:$B$34,MATCH(F48,BYEs!$A$2:$A$34,0))</f>
        <v>5</v>
      </c>
      <c r="F48" t="str">
        <f>WR_Raw!B48</f>
        <v>LAC</v>
      </c>
      <c r="G48" s="202">
        <v>0</v>
      </c>
      <c r="H48" s="203">
        <v>0</v>
      </c>
      <c r="I48" s="200">
        <f>WR_Raw!F48</f>
        <v>1.1000000000000001</v>
      </c>
      <c r="J48" s="200">
        <f>WR_Raw!G48</f>
        <v>6.7</v>
      </c>
      <c r="K48" s="200">
        <f>WR_Raw!H48</f>
        <v>0</v>
      </c>
      <c r="L48" s="202">
        <f>WR_Raw!C48</f>
        <v>66</v>
      </c>
      <c r="M48" s="200">
        <f>WR_Raw!D48</f>
        <v>822.1</v>
      </c>
      <c r="N48" s="203">
        <f>WR_Raw!E48</f>
        <v>5.0999999999999996</v>
      </c>
      <c r="O48" s="200">
        <f>WR_Raw!I48</f>
        <v>1.1000000000000001</v>
      </c>
      <c r="P48" s="204">
        <f t="shared" si="1"/>
        <v>144.28000000000003</v>
      </c>
      <c r="Q48" t="str">
        <f t="shared" ca="1" si="2"/>
        <v>Bench</v>
      </c>
      <c r="R48">
        <f t="shared" ca="1" si="3"/>
        <v>0</v>
      </c>
      <c r="S48">
        <f t="shared" ca="1" si="4"/>
        <v>31.520000000000024</v>
      </c>
      <c r="T48" s="84">
        <f t="shared" ca="1" si="5"/>
        <v>5.2001555362796958</v>
      </c>
      <c r="U48" s="84">
        <f ca="1">T48*Auction!$A$2</f>
        <v>5.2001555362796958</v>
      </c>
      <c r="V48" s="5" t="str">
        <f>IF(OR(INDEX(Auction!$H$13:$H$650,MATCH(B48,Auction!$A$13:$A$650,0))&gt;0,IFERROR(INDEX(CheatSheet!$V$5:$V$64,MATCH(B48,CheatSheet!$S$5:$S$64,0)),"")&lt;&gt;""),"Yes","No")</f>
        <v>No</v>
      </c>
      <c r="W48" s="175"/>
      <c r="Y48" s="113">
        <f t="shared" ca="1" si="6"/>
        <v>1</v>
      </c>
      <c r="Z48" s="174">
        <f t="shared" ca="1" si="8"/>
        <v>15.760000000000012</v>
      </c>
      <c r="AA48" t="str">
        <f t="shared" ca="1" si="9"/>
        <v>WR6</v>
      </c>
      <c r="AB48" s="174">
        <f ca="1">Z48*LeagueInfo!$H$5</f>
        <v>5.0896947903352032</v>
      </c>
      <c r="AC48" s="174">
        <f ca="1">(Z48-AVERAGE(Z:$Z))/_xlfn.STDEV.P(Z:Z)</f>
        <v>0.71566960545943881</v>
      </c>
    </row>
    <row r="49" spans="1:29" x14ac:dyDescent="0.35">
      <c r="A49">
        <f t="shared" si="0"/>
        <v>47</v>
      </c>
      <c r="B49" t="str">
        <f>WR_Raw!A50</f>
        <v>Jerry Jeudy</v>
      </c>
      <c r="C49" t="s">
        <v>32</v>
      </c>
      <c r="D49">
        <f>_xlfn.IFNA(INDEX(BYEs!E:E,MATCH(B49,BYEs!D:D,0)),"N/A")</f>
        <v>25</v>
      </c>
      <c r="E49">
        <f>INDEX(BYEs!$B$2:$B$34,MATCH(F49,BYEs!$A$2:$A$34,0))</f>
        <v>10</v>
      </c>
      <c r="F49" t="str">
        <f>WR_Raw!B50</f>
        <v>CLE</v>
      </c>
      <c r="G49" s="202">
        <v>0</v>
      </c>
      <c r="H49" s="203">
        <v>0</v>
      </c>
      <c r="I49" s="200">
        <f>WR_Raw!F50</f>
        <v>0.3</v>
      </c>
      <c r="J49" s="200">
        <f>WR_Raw!G50</f>
        <v>5.3</v>
      </c>
      <c r="K49" s="200">
        <f>WR_Raw!H50</f>
        <v>0</v>
      </c>
      <c r="L49" s="202">
        <f>WR_Raw!C50</f>
        <v>61.9</v>
      </c>
      <c r="M49" s="200">
        <f>WR_Raw!D50</f>
        <v>851.1</v>
      </c>
      <c r="N49" s="203">
        <f>WR_Raw!E50</f>
        <v>4.3</v>
      </c>
      <c r="O49" s="200">
        <f>WR_Raw!I50</f>
        <v>0.6</v>
      </c>
      <c r="P49" s="204">
        <f t="shared" si="1"/>
        <v>141.19000000000003</v>
      </c>
      <c r="Q49" t="str">
        <f t="shared" ca="1" si="2"/>
        <v>Bench</v>
      </c>
      <c r="R49">
        <f t="shared" ca="1" si="3"/>
        <v>0</v>
      </c>
      <c r="S49">
        <f t="shared" ca="1" si="4"/>
        <v>28.430000000000021</v>
      </c>
      <c r="T49" s="84">
        <f t="shared" ca="1" si="5"/>
        <v>4.6903687149883169</v>
      </c>
      <c r="U49" s="84">
        <f ca="1">T49*Auction!$A$2</f>
        <v>4.6903687149883169</v>
      </c>
      <c r="V49" s="5" t="str">
        <f>IF(OR(INDEX(Auction!$H$13:$H$650,MATCH(B49,Auction!$A$13:$A$650,0))&gt;0,IFERROR(INDEX(CheatSheet!$V$5:$V$64,MATCH(B49,CheatSheet!$S$5:$S$64,0)),"")&lt;&gt;""),"Yes","No")</f>
        <v>No</v>
      </c>
      <c r="W49" s="175"/>
      <c r="Y49" s="113">
        <f t="shared" ca="1" si="6"/>
        <v>1</v>
      </c>
      <c r="Z49" s="174">
        <f t="shared" ca="1" si="8"/>
        <v>14.215000000000011</v>
      </c>
      <c r="AA49" t="str">
        <f t="shared" ca="1" si="9"/>
        <v>WR6</v>
      </c>
      <c r="AB49" s="174">
        <f ca="1">Z49*LeagueInfo!$H$5</f>
        <v>4.5907367667902861</v>
      </c>
      <c r="AC49" s="174">
        <f ca="1">(Z49-AVERAGE(Z:$Z))/_xlfn.STDEV.P(Z:Z)</f>
        <v>0.67712191161880786</v>
      </c>
    </row>
    <row r="50" spans="1:29" x14ac:dyDescent="0.35">
      <c r="A50">
        <f t="shared" si="0"/>
        <v>48</v>
      </c>
      <c r="B50" t="str">
        <f>WR_Raw!A45</f>
        <v>Jameson Williams</v>
      </c>
      <c r="C50" t="s">
        <v>32</v>
      </c>
      <c r="D50">
        <f>_xlfn.IFNA(INDEX(BYEs!E:E,MATCH(B50,BYEs!D:D,0)),"N/A")</f>
        <v>23</v>
      </c>
      <c r="E50">
        <f>INDEX(BYEs!$B$2:$B$34,MATCH(F50,BYEs!$A$2:$A$34,0))</f>
        <v>5</v>
      </c>
      <c r="F50" t="str">
        <f>WR_Raw!B45</f>
        <v>DET</v>
      </c>
      <c r="G50" s="202">
        <v>0</v>
      </c>
      <c r="H50" s="203">
        <v>0</v>
      </c>
      <c r="I50" s="200">
        <f>WR_Raw!F45</f>
        <v>4.5</v>
      </c>
      <c r="J50" s="200">
        <f>WR_Raw!G45</f>
        <v>42</v>
      </c>
      <c r="K50" s="200">
        <f>WR_Raw!H45</f>
        <v>0.7</v>
      </c>
      <c r="L50" s="202">
        <f>WR_Raw!C45</f>
        <v>55.2</v>
      </c>
      <c r="M50" s="200">
        <f>WR_Raw!D45</f>
        <v>775.3</v>
      </c>
      <c r="N50" s="203">
        <f>WR_Raw!E45</f>
        <v>4.8</v>
      </c>
      <c r="O50" s="200">
        <f>WR_Raw!I45</f>
        <v>0.6</v>
      </c>
      <c r="P50" s="204">
        <f t="shared" si="1"/>
        <v>141.13</v>
      </c>
      <c r="Q50" t="str">
        <f t="shared" ca="1" si="2"/>
        <v>Bench</v>
      </c>
      <c r="R50">
        <f t="shared" ca="1" si="3"/>
        <v>0</v>
      </c>
      <c r="S50">
        <f t="shared" ca="1" si="4"/>
        <v>28.36999999999999</v>
      </c>
      <c r="T50" s="84">
        <f t="shared" ca="1" si="5"/>
        <v>4.6804699417593527</v>
      </c>
      <c r="U50" s="84">
        <f ca="1">T50*Auction!$A$2</f>
        <v>4.6804699417593527</v>
      </c>
      <c r="V50" s="5" t="str">
        <f>IF(OR(INDEX(Auction!$H$13:$H$650,MATCH(B50,Auction!$A$13:$A$650,0))&gt;0,IFERROR(INDEX(CheatSheet!$V$5:$V$64,MATCH(B50,CheatSheet!$S$5:$S$64,0)),"")&lt;&gt;""),"Yes","No")</f>
        <v>No</v>
      </c>
      <c r="W50" s="175"/>
      <c r="Y50" s="113">
        <f t="shared" ca="1" si="6"/>
        <v>1</v>
      </c>
      <c r="Z50" s="174">
        <f t="shared" ca="1" si="8"/>
        <v>14.184999999999995</v>
      </c>
      <c r="AA50" t="str">
        <f t="shared" ca="1" si="9"/>
        <v>WR6</v>
      </c>
      <c r="AB50" s="174">
        <f ca="1">Z50*LeagueInfo!$H$5</f>
        <v>4.5810482614787293</v>
      </c>
      <c r="AC50" s="174">
        <f ca="1">(Z50-AVERAGE(Z:$Z))/_xlfn.STDEV.P(Z:Z)</f>
        <v>0.67637341270928075</v>
      </c>
    </row>
    <row r="51" spans="1:29" x14ac:dyDescent="0.35">
      <c r="A51">
        <f t="shared" si="0"/>
        <v>49</v>
      </c>
      <c r="B51" t="str">
        <f>WR_Raw!A51</f>
        <v>Tyler Lockett</v>
      </c>
      <c r="C51" t="s">
        <v>32</v>
      </c>
      <c r="D51">
        <f>_xlfn.IFNA(INDEX(BYEs!E:E,MATCH(B51,BYEs!D:D,0)),"N/A")</f>
        <v>31</v>
      </c>
      <c r="E51">
        <f>INDEX(BYEs!$B$2:$B$34,MATCH(F51,BYEs!$A$2:$A$34,0))</f>
        <v>10</v>
      </c>
      <c r="F51" t="str">
        <f>WR_Raw!B51</f>
        <v>SEA</v>
      </c>
      <c r="G51" s="202">
        <v>0</v>
      </c>
      <c r="H51" s="203">
        <v>0</v>
      </c>
      <c r="I51" s="200">
        <f>WR_Raw!F51</f>
        <v>0</v>
      </c>
      <c r="J51" s="200">
        <f>WR_Raw!G51</f>
        <v>1.5</v>
      </c>
      <c r="K51" s="200">
        <f>WR_Raw!H51</f>
        <v>0</v>
      </c>
      <c r="L51" s="202">
        <f>WR_Raw!C51</f>
        <v>66.400000000000006</v>
      </c>
      <c r="M51" s="200">
        <f>WR_Raw!D51</f>
        <v>762.4</v>
      </c>
      <c r="N51" s="203">
        <f>WR_Raw!E51</f>
        <v>5.2</v>
      </c>
      <c r="O51" s="200">
        <f>WR_Raw!I51</f>
        <v>0.5</v>
      </c>
      <c r="P51" s="204">
        <f t="shared" si="1"/>
        <v>139.79000000000002</v>
      </c>
      <c r="Q51" t="str">
        <f t="shared" ca="1" si="2"/>
        <v>Bench</v>
      </c>
      <c r="R51">
        <f t="shared" ca="1" si="3"/>
        <v>0</v>
      </c>
      <c r="S51">
        <f t="shared" ca="1" si="4"/>
        <v>27.030000000000015</v>
      </c>
      <c r="T51" s="84">
        <f t="shared" ca="1" si="5"/>
        <v>4.4593973396459434</v>
      </c>
      <c r="U51" s="84">
        <f ca="1">T51*Auction!$A$2</f>
        <v>4.4593973396459434</v>
      </c>
      <c r="V51" s="5" t="str">
        <f>IF(OR(INDEX(Auction!$H$13:$H$650,MATCH(B51,Auction!$A$13:$A$650,0))&gt;0,IFERROR(INDEX(CheatSheet!$V$5:$V$64,MATCH(B51,CheatSheet!$S$5:$S$64,0)),"")&lt;&gt;""),"Yes","No")</f>
        <v>No</v>
      </c>
      <c r="W51" s="175"/>
      <c r="Y51" s="113">
        <f t="shared" ca="1" si="6"/>
        <v>1</v>
      </c>
      <c r="Z51" s="174">
        <f t="shared" ca="1" si="8"/>
        <v>13.515000000000008</v>
      </c>
      <c r="AA51" t="str">
        <f t="shared" ca="1" si="9"/>
        <v>WR6</v>
      </c>
      <c r="AB51" s="174">
        <f ca="1">Z51*LeagueInfo!$H$5</f>
        <v>4.364671642854077</v>
      </c>
      <c r="AC51" s="174">
        <f ca="1">(Z51-AVERAGE(Z:$Z))/_xlfn.STDEV.P(Z:Z)</f>
        <v>0.65965693706318218</v>
      </c>
    </row>
    <row r="52" spans="1:29" x14ac:dyDescent="0.35">
      <c r="A52">
        <f t="shared" si="0"/>
        <v>50</v>
      </c>
      <c r="B52" t="str">
        <f>WR_Raw!A49</f>
        <v>Marquise Brown</v>
      </c>
      <c r="C52" t="s">
        <v>32</v>
      </c>
      <c r="D52" t="str">
        <f>_xlfn.IFNA(INDEX(BYEs!E:E,MATCH(B52,BYEs!D:D,0)),"N/A")</f>
        <v>N/A</v>
      </c>
      <c r="E52">
        <f>INDEX(BYEs!$B$2:$B$34,MATCH(F52,BYEs!$A$2:$A$34,0))</f>
        <v>6</v>
      </c>
      <c r="F52" t="str">
        <f>WR_Raw!B49</f>
        <v>KC</v>
      </c>
      <c r="G52" s="202">
        <v>0</v>
      </c>
      <c r="H52" s="203">
        <v>0</v>
      </c>
      <c r="I52" s="200">
        <f>WR_Raw!F49</f>
        <v>1.2</v>
      </c>
      <c r="J52" s="200">
        <f>WR_Raw!G49</f>
        <v>10.8</v>
      </c>
      <c r="K52" s="200">
        <f>WR_Raw!H49</f>
        <v>0</v>
      </c>
      <c r="L52" s="202">
        <f>WR_Raw!C49</f>
        <v>56.1</v>
      </c>
      <c r="M52" s="200">
        <f>WR_Raw!D49</f>
        <v>747.3</v>
      </c>
      <c r="N52" s="203">
        <f>WR_Raw!E49</f>
        <v>6</v>
      </c>
      <c r="O52" s="200">
        <f>WR_Raw!I49</f>
        <v>0.4</v>
      </c>
      <c r="P52" s="204">
        <f t="shared" si="1"/>
        <v>139.06</v>
      </c>
      <c r="Q52" t="str">
        <f t="shared" ca="1" si="2"/>
        <v>Bench</v>
      </c>
      <c r="R52">
        <f t="shared" ca="1" si="3"/>
        <v>0</v>
      </c>
      <c r="S52">
        <f t="shared" ca="1" si="4"/>
        <v>26.299999999999997</v>
      </c>
      <c r="T52" s="84">
        <f t="shared" ca="1" si="5"/>
        <v>4.3389622653602755</v>
      </c>
      <c r="U52" s="84">
        <f ca="1">T52*Auction!$A$2</f>
        <v>4.3389622653602755</v>
      </c>
      <c r="V52" s="5" t="str">
        <f>IF(OR(INDEX(Auction!$H$13:$H$650,MATCH(B52,Auction!$A$13:$A$650,0))&gt;0,IFERROR(INDEX(CheatSheet!$V$5:$V$64,MATCH(B52,CheatSheet!$S$5:$S$64,0)),"")&lt;&gt;""),"Yes","No")</f>
        <v>No</v>
      </c>
      <c r="W52" s="175"/>
      <c r="Y52" s="113">
        <f t="shared" ca="1" si="6"/>
        <v>1</v>
      </c>
      <c r="Z52" s="174">
        <f t="shared" ca="1" si="8"/>
        <v>13.149999999999999</v>
      </c>
      <c r="AA52" t="str">
        <f t="shared" ca="1" si="9"/>
        <v>WR6</v>
      </c>
      <c r="AB52" s="174">
        <f ca="1">Z52*LeagueInfo!$H$5</f>
        <v>4.2467948282301942</v>
      </c>
      <c r="AC52" s="174">
        <f ca="1">(Z52-AVERAGE(Z:$Z))/_xlfn.STDEV.P(Z:Z)</f>
        <v>0.65055020033060573</v>
      </c>
    </row>
    <row r="53" spans="1:29" x14ac:dyDescent="0.35">
      <c r="A53">
        <f t="shared" si="0"/>
        <v>51</v>
      </c>
      <c r="B53" t="str">
        <f>WR_Raw!A52</f>
        <v>Joshua Palmer</v>
      </c>
      <c r="C53" t="s">
        <v>32</v>
      </c>
      <c r="D53">
        <f>_xlfn.IFNA(INDEX(BYEs!E:E,MATCH(B53,BYEs!D:D,0)),"N/A")</f>
        <v>24</v>
      </c>
      <c r="E53">
        <f>INDEX(BYEs!$B$2:$B$34,MATCH(F53,BYEs!$A$2:$A$34,0))</f>
        <v>5</v>
      </c>
      <c r="F53" t="str">
        <f>WR_Raw!B52</f>
        <v>LAC</v>
      </c>
      <c r="G53" s="202">
        <v>0</v>
      </c>
      <c r="H53" s="203">
        <v>0</v>
      </c>
      <c r="I53" s="200">
        <f>WR_Raw!F52</f>
        <v>0.3</v>
      </c>
      <c r="J53" s="200">
        <f>WR_Raw!G52</f>
        <v>2.8</v>
      </c>
      <c r="K53" s="200">
        <f>WR_Raw!H52</f>
        <v>0</v>
      </c>
      <c r="L53" s="202">
        <f>WR_Raw!C52</f>
        <v>62.2</v>
      </c>
      <c r="M53" s="200">
        <f>WR_Raw!D52</f>
        <v>786.8</v>
      </c>
      <c r="N53" s="203">
        <f>WR_Raw!E52</f>
        <v>4.7</v>
      </c>
      <c r="O53" s="200">
        <f>WR_Raw!I52</f>
        <v>0.9</v>
      </c>
      <c r="P53" s="204">
        <f t="shared" si="1"/>
        <v>136.45999999999998</v>
      </c>
      <c r="Q53" t="str">
        <f t="shared" ca="1" si="2"/>
        <v>Bench</v>
      </c>
      <c r="R53">
        <f t="shared" ca="1" si="3"/>
        <v>0</v>
      </c>
      <c r="S53">
        <f t="shared" ca="1" si="4"/>
        <v>23.699999999999974</v>
      </c>
      <c r="T53" s="84">
        <f t="shared" ca="1" si="5"/>
        <v>3.9100154254387234</v>
      </c>
      <c r="U53" s="84">
        <f ca="1">T53*Auction!$A$2</f>
        <v>3.9100154254387234</v>
      </c>
      <c r="V53" s="5" t="str">
        <f>IF(OR(INDEX(Auction!$H$13:$H$650,MATCH(B53,Auction!$A$13:$A$650,0))&gt;0,IFERROR(INDEX(CheatSheet!$V$5:$V$64,MATCH(B53,CheatSheet!$S$5:$S$64,0)),"")&lt;&gt;""),"Yes","No")</f>
        <v>No</v>
      </c>
      <c r="W53" s="175"/>
      <c r="Y53" s="113">
        <f t="shared" ca="1" si="6"/>
        <v>1</v>
      </c>
      <c r="Z53" s="174">
        <f t="shared" ca="1" si="8"/>
        <v>11.849999999999987</v>
      </c>
      <c r="AA53" t="str">
        <f t="shared" ca="1" si="9"/>
        <v>WR6</v>
      </c>
      <c r="AB53" s="174">
        <f ca="1">Z53*LeagueInfo!$H$5</f>
        <v>3.8269595980629472</v>
      </c>
      <c r="AC53" s="174">
        <f ca="1">(Z53-AVERAGE(Z:$Z))/_xlfn.STDEV.P(Z:Z)</f>
        <v>0.61811524758444358</v>
      </c>
    </row>
    <row r="54" spans="1:29" x14ac:dyDescent="0.35">
      <c r="A54">
        <f t="shared" si="0"/>
        <v>52</v>
      </c>
      <c r="B54" t="str">
        <f>WR_Raw!A53</f>
        <v>Curtis Samuel</v>
      </c>
      <c r="C54" t="s">
        <v>32</v>
      </c>
      <c r="D54">
        <f>_xlfn.IFNA(INDEX(BYEs!E:E,MATCH(B54,BYEs!D:D,0)),"N/A")</f>
        <v>27</v>
      </c>
      <c r="E54">
        <f>INDEX(BYEs!$B$2:$B$34,MATCH(F54,BYEs!$A$2:$A$34,0))</f>
        <v>12</v>
      </c>
      <c r="F54" t="str">
        <f>WR_Raw!B53</f>
        <v>BUF</v>
      </c>
      <c r="G54" s="202">
        <v>0</v>
      </c>
      <c r="H54" s="203">
        <v>0</v>
      </c>
      <c r="I54" s="200">
        <f>WR_Raw!F53</f>
        <v>11.3</v>
      </c>
      <c r="J54" s="200">
        <f>WR_Raw!G53</f>
        <v>66.7</v>
      </c>
      <c r="K54" s="200">
        <f>WR_Raw!H53</f>
        <v>1</v>
      </c>
      <c r="L54" s="202">
        <f>WR_Raw!C53</f>
        <v>61</v>
      </c>
      <c r="M54" s="200">
        <f>WR_Raw!D53</f>
        <v>663</v>
      </c>
      <c r="N54" s="203">
        <f>WR_Raw!E53</f>
        <v>4.5999999999999996</v>
      </c>
      <c r="O54" s="200">
        <f>WR_Raw!I53</f>
        <v>0.5</v>
      </c>
      <c r="P54" s="204">
        <f t="shared" si="1"/>
        <v>136.07</v>
      </c>
      <c r="Q54" t="str">
        <f t="shared" ca="1" si="2"/>
        <v>Bench</v>
      </c>
      <c r="R54">
        <f t="shared" ca="1" si="3"/>
        <v>0</v>
      </c>
      <c r="S54">
        <f t="shared" ca="1" si="4"/>
        <v>23.309999999999988</v>
      </c>
      <c r="T54" s="84">
        <f t="shared" ca="1" si="5"/>
        <v>3.8456733994504932</v>
      </c>
      <c r="U54" s="84">
        <f ca="1">T54*Auction!$A$2</f>
        <v>3.8456733994504932</v>
      </c>
      <c r="V54" s="5" t="str">
        <f>IF(OR(INDEX(Auction!$H$13:$H$650,MATCH(B54,Auction!$A$13:$A$650,0))&gt;0,IFERROR(INDEX(CheatSheet!$V$5:$V$64,MATCH(B54,CheatSheet!$S$5:$S$64,0)),"")&lt;&gt;""),"Yes","No")</f>
        <v>No</v>
      </c>
      <c r="W54" s="175"/>
      <c r="Y54" s="113">
        <f t="shared" ca="1" si="6"/>
        <v>1</v>
      </c>
      <c r="Z54" s="174">
        <f t="shared" ca="1" si="8"/>
        <v>11.654999999999994</v>
      </c>
      <c r="AA54" t="str">
        <f t="shared" ca="1" si="9"/>
        <v>WR6</v>
      </c>
      <c r="AB54" s="174">
        <f ca="1">Z54*LeagueInfo!$H$5</f>
        <v>3.763984313537863</v>
      </c>
      <c r="AC54" s="174">
        <f ca="1">(Z54-AVERAGE(Z:$Z))/_xlfn.STDEV.P(Z:Z)</f>
        <v>0.61325000467251956</v>
      </c>
    </row>
    <row r="55" spans="1:29" x14ac:dyDescent="0.35">
      <c r="A55">
        <f t="shared" si="0"/>
        <v>53</v>
      </c>
      <c r="B55" t="str">
        <f>WR_Raw!A58</f>
        <v>Jakobi Meyers</v>
      </c>
      <c r="C55" t="s">
        <v>32</v>
      </c>
      <c r="D55">
        <f>_xlfn.IFNA(INDEX(BYEs!E:E,MATCH(B55,BYEs!D:D,0)),"N/A")</f>
        <v>27</v>
      </c>
      <c r="E55">
        <f>INDEX(BYEs!$B$2:$B$34,MATCH(F55,BYEs!$A$2:$A$34,0))</f>
        <v>10</v>
      </c>
      <c r="F55" t="str">
        <f>WR_Raw!B58</f>
        <v>LV</v>
      </c>
      <c r="G55" s="202">
        <v>0</v>
      </c>
      <c r="H55" s="203">
        <v>0</v>
      </c>
      <c r="I55" s="200">
        <f>WR_Raw!F58</f>
        <v>2.4</v>
      </c>
      <c r="J55" s="200">
        <f>WR_Raw!G58</f>
        <v>15.6</v>
      </c>
      <c r="K55" s="200">
        <f>WR_Raw!H58</f>
        <v>0.3</v>
      </c>
      <c r="L55" s="202">
        <f>WR_Raw!C58</f>
        <v>64.7</v>
      </c>
      <c r="M55" s="200">
        <f>WR_Raw!D58</f>
        <v>728.7</v>
      </c>
      <c r="N55" s="203">
        <f>WR_Raw!E58</f>
        <v>4.5999999999999996</v>
      </c>
      <c r="O55" s="200">
        <f>WR_Raw!I58</f>
        <v>0.5</v>
      </c>
      <c r="P55" s="204">
        <f t="shared" si="1"/>
        <v>135.18</v>
      </c>
      <c r="Q55" t="str">
        <f t="shared" ca="1" si="2"/>
        <v>Bench</v>
      </c>
      <c r="R55">
        <f t="shared" ca="1" si="3"/>
        <v>0</v>
      </c>
      <c r="S55">
        <f t="shared" ca="1" si="4"/>
        <v>22.42</v>
      </c>
      <c r="T55" s="84">
        <f t="shared" ca="1" si="5"/>
        <v>3.6988415965542734</v>
      </c>
      <c r="U55" s="84">
        <f ca="1">T55*Auction!$A$2</f>
        <v>3.6988415965542734</v>
      </c>
      <c r="V55" s="5" t="str">
        <f>IF(OR(INDEX(Auction!$H$13:$H$650,MATCH(B55,Auction!$A$13:$A$650,0))&gt;0,IFERROR(INDEX(CheatSheet!$V$5:$V$64,MATCH(B55,CheatSheet!$S$5:$S$64,0)),"")&lt;&gt;""),"Yes","No")</f>
        <v>No</v>
      </c>
      <c r="W55" s="175"/>
      <c r="Y55" s="113">
        <f t="shared" ca="1" si="6"/>
        <v>1</v>
      </c>
      <c r="Z55" s="174">
        <f t="shared" ca="1" si="8"/>
        <v>11.21</v>
      </c>
      <c r="AA55" t="str">
        <f t="shared" ca="1" si="9"/>
        <v>WR6</v>
      </c>
      <c r="AB55" s="174">
        <f ca="1">Z55*LeagueInfo!$H$5</f>
        <v>3.6202714847498472</v>
      </c>
      <c r="AC55" s="174">
        <f ca="1">(Z55-AVERAGE(Z:$Z))/_xlfn.STDEV.P(Z:Z)</f>
        <v>0.60214727084787201</v>
      </c>
    </row>
    <row r="56" spans="1:29" x14ac:dyDescent="0.35">
      <c r="A56">
        <f t="shared" si="0"/>
        <v>54</v>
      </c>
      <c r="B56" t="str">
        <f>WR_Raw!A57</f>
        <v>Khalil Shakir</v>
      </c>
      <c r="C56" t="s">
        <v>32</v>
      </c>
      <c r="D56">
        <f>_xlfn.IFNA(INDEX(BYEs!E:E,MATCH(B56,BYEs!D:D,0)),"N/A")</f>
        <v>24</v>
      </c>
      <c r="E56">
        <f>INDEX(BYEs!$B$2:$B$34,MATCH(F56,BYEs!$A$2:$A$34,0))</f>
        <v>12</v>
      </c>
      <c r="F56" t="str">
        <f>WR_Raw!B57</f>
        <v>BUF</v>
      </c>
      <c r="G56" s="202">
        <v>0</v>
      </c>
      <c r="H56" s="203">
        <v>0</v>
      </c>
      <c r="I56" s="200">
        <f>WR_Raw!F57</f>
        <v>0.3</v>
      </c>
      <c r="J56" s="200">
        <f>WR_Raw!G57</f>
        <v>3.2</v>
      </c>
      <c r="K56" s="200">
        <f>WR_Raw!H57</f>
        <v>0</v>
      </c>
      <c r="L56" s="202">
        <f>WR_Raw!C57</f>
        <v>59.2</v>
      </c>
      <c r="M56" s="200">
        <f>WR_Raw!D57</f>
        <v>775.8</v>
      </c>
      <c r="N56" s="203">
        <f>WR_Raw!E57</f>
        <v>4.5</v>
      </c>
      <c r="O56" s="200">
        <f>WR_Raw!I57</f>
        <v>0.2</v>
      </c>
      <c r="P56" s="204">
        <f t="shared" si="1"/>
        <v>134.1</v>
      </c>
      <c r="Q56" t="str">
        <f t="shared" ca="1" si="2"/>
        <v>Bench</v>
      </c>
      <c r="R56">
        <f t="shared" ca="1" si="3"/>
        <v>0</v>
      </c>
      <c r="S56">
        <f t="shared" ca="1" si="4"/>
        <v>21.339999999999989</v>
      </c>
      <c r="T56" s="84">
        <f t="shared" ca="1" si="5"/>
        <v>3.5206636784330128</v>
      </c>
      <c r="U56" s="84">
        <f ca="1">T56*Auction!$A$2</f>
        <v>3.5206636784330128</v>
      </c>
      <c r="V56" s="5" t="str">
        <f>IF(OR(INDEX(Auction!$H$13:$H$650,MATCH(B56,Auction!$A$13:$A$650,0))&gt;0,IFERROR(INDEX(CheatSheet!$V$5:$V$64,MATCH(B56,CheatSheet!$S$5:$S$64,0)),"")&lt;&gt;""),"Yes","No")</f>
        <v>No</v>
      </c>
      <c r="W56" s="175"/>
      <c r="Y56" s="113">
        <f t="shared" ca="1" si="6"/>
        <v>1</v>
      </c>
      <c r="Z56" s="174">
        <f t="shared" ca="1" si="8"/>
        <v>10.669999999999995</v>
      </c>
      <c r="AA56" t="str">
        <f t="shared" ca="1" si="9"/>
        <v>WR6</v>
      </c>
      <c r="AB56" s="174">
        <f ca="1">Z56*LeagueInfo!$H$5</f>
        <v>3.4458783891419129</v>
      </c>
      <c r="AC56" s="174">
        <f ca="1">(Z56-AVERAGE(Z:$Z))/_xlfn.STDEV.P(Z:Z)</f>
        <v>0.58867429047638919</v>
      </c>
    </row>
    <row r="57" spans="1:29" x14ac:dyDescent="0.35">
      <c r="A57">
        <f t="shared" si="0"/>
        <v>55</v>
      </c>
      <c r="B57" t="str">
        <f>WR_Raw!A56</f>
        <v>Brandin Cooks</v>
      </c>
      <c r="C57" t="s">
        <v>32</v>
      </c>
      <c r="D57">
        <f>_xlfn.IFNA(INDEX(BYEs!E:E,MATCH(B57,BYEs!D:D,0)),"N/A")</f>
        <v>30</v>
      </c>
      <c r="E57">
        <f>INDEX(BYEs!$B$2:$B$34,MATCH(F57,BYEs!$A$2:$A$34,0))</f>
        <v>7</v>
      </c>
      <c r="F57" t="str">
        <f>WR_Raw!B56</f>
        <v>DAL</v>
      </c>
      <c r="G57" s="202">
        <v>0</v>
      </c>
      <c r="H57" s="203">
        <v>0</v>
      </c>
      <c r="I57" s="200">
        <f>WR_Raw!F56</f>
        <v>3.4</v>
      </c>
      <c r="J57" s="200">
        <f>WR_Raw!G56</f>
        <v>20.7</v>
      </c>
      <c r="K57" s="200">
        <f>WR_Raw!H56</f>
        <v>0.1</v>
      </c>
      <c r="L57" s="202">
        <f>WR_Raw!C56</f>
        <v>56.5</v>
      </c>
      <c r="M57" s="200">
        <f>WR_Raw!D56</f>
        <v>692.7</v>
      </c>
      <c r="N57" s="203">
        <f>WR_Raw!E56</f>
        <v>5.6</v>
      </c>
      <c r="O57" s="200">
        <f>WR_Raw!I56</f>
        <v>0.5</v>
      </c>
      <c r="P57" s="204">
        <f t="shared" si="1"/>
        <v>132.79000000000002</v>
      </c>
      <c r="Q57" t="str">
        <f t="shared" ca="1" si="2"/>
        <v>Bench</v>
      </c>
      <c r="R57">
        <f t="shared" ca="1" si="3"/>
        <v>0</v>
      </c>
      <c r="S57">
        <f t="shared" ca="1" si="4"/>
        <v>20.030000000000015</v>
      </c>
      <c r="T57" s="84">
        <f t="shared" ca="1" si="5"/>
        <v>3.3045404629340833</v>
      </c>
      <c r="U57" s="84">
        <f ca="1">T57*Auction!$A$2</f>
        <v>3.3045404629340833</v>
      </c>
      <c r="V57" s="5" t="str">
        <f>IF(OR(INDEX(Auction!$H$13:$H$650,MATCH(B57,Auction!$A$13:$A$650,0))&gt;0,IFERROR(INDEX(CheatSheet!$V$5:$V$64,MATCH(B57,CheatSheet!$S$5:$S$64,0)),"")&lt;&gt;""),"Yes","No")</f>
        <v>No</v>
      </c>
      <c r="W57" s="175"/>
      <c r="Y57" s="113">
        <f t="shared" ca="1" si="6"/>
        <v>1</v>
      </c>
      <c r="Z57" s="174">
        <f t="shared" ca="1" si="8"/>
        <v>10.015000000000008</v>
      </c>
      <c r="AA57" t="str">
        <f t="shared" ca="1" si="9"/>
        <v>WR6</v>
      </c>
      <c r="AB57" s="174">
        <f ca="1">Z57*LeagueInfo!$H$5</f>
        <v>3.2343460231730368</v>
      </c>
      <c r="AC57" s="174">
        <f ca="1">(Z57-AVERAGE(Z:$Z))/_xlfn.STDEV.P(Z:Z)</f>
        <v>0.57233206428505412</v>
      </c>
    </row>
    <row r="58" spans="1:29" x14ac:dyDescent="0.35">
      <c r="A58">
        <f t="shared" si="0"/>
        <v>56</v>
      </c>
      <c r="B58" t="str">
        <f>WR_Raw!A55</f>
        <v>Mike Williams</v>
      </c>
      <c r="C58" t="s">
        <v>32</v>
      </c>
      <c r="D58">
        <f>_xlfn.IFNA(INDEX(BYEs!E:E,MATCH(B58,BYEs!D:D,0)),"N/A")</f>
        <v>29</v>
      </c>
      <c r="E58">
        <f>INDEX(BYEs!$B$2:$B$34,MATCH(F58,BYEs!$A$2:$A$34,0))</f>
        <v>12</v>
      </c>
      <c r="F58" t="str">
        <f>WR_Raw!B55</f>
        <v>NYJ</v>
      </c>
      <c r="G58" s="202">
        <v>0</v>
      </c>
      <c r="H58" s="203">
        <v>0</v>
      </c>
      <c r="I58" s="200">
        <f>WR_Raw!F55</f>
        <v>2.2999999999999998</v>
      </c>
      <c r="J58" s="200">
        <f>WR_Raw!G55</f>
        <v>9.1999999999999993</v>
      </c>
      <c r="K58" s="200">
        <f>WR_Raw!H55</f>
        <v>0</v>
      </c>
      <c r="L58" s="202">
        <f>WR_Raw!C55</f>
        <v>56.1</v>
      </c>
      <c r="M58" s="200">
        <f>WR_Raw!D55</f>
        <v>752.5</v>
      </c>
      <c r="N58" s="203">
        <f>WR_Raw!E55</f>
        <v>4.9000000000000004</v>
      </c>
      <c r="O58" s="200">
        <f>WR_Raw!I55</f>
        <v>0.5</v>
      </c>
      <c r="P58" s="204">
        <f t="shared" si="1"/>
        <v>132.62</v>
      </c>
      <c r="Q58" t="str">
        <f t="shared" ca="1" si="2"/>
        <v>Bench</v>
      </c>
      <c r="R58">
        <f t="shared" ca="1" si="3"/>
        <v>0</v>
      </c>
      <c r="S58">
        <f t="shared" ca="1" si="4"/>
        <v>19.86</v>
      </c>
      <c r="T58" s="84">
        <f t="shared" ca="1" si="5"/>
        <v>3.276493938785364</v>
      </c>
      <c r="U58" s="84">
        <f ca="1">T58*Auction!$A$2</f>
        <v>3.276493938785364</v>
      </c>
      <c r="V58" s="5" t="str">
        <f>IF(OR(INDEX(Auction!$H$13:$H$650,MATCH(B58,Auction!$A$13:$A$650,0))&gt;0,IFERROR(INDEX(CheatSheet!$V$5:$V$64,MATCH(B58,CheatSheet!$S$5:$S$64,0)),"")&lt;&gt;""),"Yes","No")</f>
        <v>No</v>
      </c>
      <c r="W58" s="175"/>
      <c r="Y58" s="113">
        <f t="shared" ca="1" si="6"/>
        <v>1</v>
      </c>
      <c r="Z58" s="174">
        <f t="shared" ca="1" si="8"/>
        <v>9.93</v>
      </c>
      <c r="AA58" t="str">
        <f t="shared" ca="1" si="9"/>
        <v>WR6</v>
      </c>
      <c r="AB58" s="174">
        <f ca="1">Z58*LeagueInfo!$H$5</f>
        <v>3.2068952581236374</v>
      </c>
      <c r="AC58" s="174">
        <f ca="1">(Z58-AVERAGE(Z:$Z))/_xlfn.STDEV.P(Z:Z)</f>
        <v>0.57021131737472797</v>
      </c>
    </row>
    <row r="59" spans="1:29" x14ac:dyDescent="0.35">
      <c r="A59">
        <f t="shared" si="0"/>
        <v>57</v>
      </c>
      <c r="B59" t="str">
        <f>WR_Raw!A59</f>
        <v>Keon Coleman</v>
      </c>
      <c r="C59" t="s">
        <v>32</v>
      </c>
      <c r="D59">
        <f>_xlfn.IFNA(INDEX(BYEs!E:E,MATCH(B59,BYEs!D:D,0)),"N/A")</f>
        <v>21</v>
      </c>
      <c r="E59">
        <f>INDEX(BYEs!$B$2:$B$34,MATCH(F59,BYEs!$A$2:$A$34,0))</f>
        <v>12</v>
      </c>
      <c r="F59" t="str">
        <f>WR_Raw!B59</f>
        <v>BUF</v>
      </c>
      <c r="G59" s="202">
        <v>0</v>
      </c>
      <c r="H59" s="203">
        <v>0</v>
      </c>
      <c r="I59" s="200">
        <f>WR_Raw!F59</f>
        <v>1</v>
      </c>
      <c r="J59" s="200">
        <f>WR_Raw!G59</f>
        <v>4.8</v>
      </c>
      <c r="K59" s="200">
        <f>WR_Raw!H59</f>
        <v>0</v>
      </c>
      <c r="L59" s="202">
        <f>WR_Raw!C59</f>
        <v>55.8</v>
      </c>
      <c r="M59" s="200">
        <f>WR_Raw!D59</f>
        <v>745.3</v>
      </c>
      <c r="N59" s="203">
        <f>WR_Raw!E59</f>
        <v>5</v>
      </c>
      <c r="O59" s="200">
        <f>WR_Raw!I59</f>
        <v>1.1000000000000001</v>
      </c>
      <c r="P59" s="204">
        <f t="shared" si="1"/>
        <v>130.71</v>
      </c>
      <c r="Q59" t="str">
        <f t="shared" ca="1" si="2"/>
        <v>Bench</v>
      </c>
      <c r="R59">
        <f t="shared" ca="1" si="3"/>
        <v>0</v>
      </c>
      <c r="S59">
        <f t="shared" ca="1" si="4"/>
        <v>17.950000000000003</v>
      </c>
      <c r="T59" s="84">
        <f t="shared" ca="1" si="5"/>
        <v>2.9613829909968428</v>
      </c>
      <c r="U59" s="84">
        <f ca="1">T59*Auction!$A$2</f>
        <v>2.9613829909968428</v>
      </c>
      <c r="V59" s="5" t="str">
        <f>IF(OR(INDEX(Auction!$H$13:$H$650,MATCH(B59,Auction!$A$13:$A$650,0))&gt;0,IFERROR(INDEX(CheatSheet!$V$5:$V$64,MATCH(B59,CheatSheet!$S$5:$S$64,0)),"")&lt;&gt;""),"Yes","No")</f>
        <v>No</v>
      </c>
      <c r="W59" s="175"/>
      <c r="Y59" s="113">
        <f t="shared" ca="1" si="6"/>
        <v>1</v>
      </c>
      <c r="Z59" s="174">
        <f t="shared" ca="1" si="8"/>
        <v>8.9750000000000014</v>
      </c>
      <c r="AA59" t="str">
        <f t="shared" ca="1" si="9"/>
        <v>WR6</v>
      </c>
      <c r="AB59" s="174">
        <f ca="1">Z59*LeagueInfo!$H$5</f>
        <v>2.8984778390392401</v>
      </c>
      <c r="AC59" s="174">
        <f ca="1">(Z59-AVERAGE(Z:$Z))/_xlfn.STDEV.P(Z:Z)</f>
        <v>0.54638410208812449</v>
      </c>
    </row>
    <row r="60" spans="1:29" x14ac:dyDescent="0.35">
      <c r="A60">
        <f t="shared" si="0"/>
        <v>58</v>
      </c>
      <c r="B60" t="str">
        <f>WR_Raw!A64</f>
        <v>Adam Thielen</v>
      </c>
      <c r="C60" t="s">
        <v>32</v>
      </c>
      <c r="D60">
        <f>_xlfn.IFNA(INDEX(BYEs!E:E,MATCH(B60,BYEs!D:D,0)),"N/A")</f>
        <v>33</v>
      </c>
      <c r="E60">
        <f>INDEX(BYEs!$B$2:$B$34,MATCH(F60,BYEs!$A$2:$A$34,0))</f>
        <v>11</v>
      </c>
      <c r="F60" t="str">
        <f>WR_Raw!B64</f>
        <v>CAR</v>
      </c>
      <c r="G60" s="202">
        <v>0</v>
      </c>
      <c r="H60" s="203">
        <v>0</v>
      </c>
      <c r="I60" s="200">
        <f>WR_Raw!F64</f>
        <v>0.3</v>
      </c>
      <c r="J60" s="200">
        <f>WR_Raw!G64</f>
        <v>3</v>
      </c>
      <c r="K60" s="200">
        <f>WR_Raw!H64</f>
        <v>0</v>
      </c>
      <c r="L60" s="202">
        <f>WR_Raw!C64</f>
        <v>69.2</v>
      </c>
      <c r="M60" s="200">
        <f>WR_Raw!D64</f>
        <v>695.7</v>
      </c>
      <c r="N60" s="203">
        <f>WR_Raw!E64</f>
        <v>4.5</v>
      </c>
      <c r="O60" s="200">
        <f>WR_Raw!I64</f>
        <v>0.6</v>
      </c>
      <c r="P60" s="204">
        <f t="shared" si="1"/>
        <v>130.27000000000001</v>
      </c>
      <c r="Q60" t="str">
        <f t="shared" ca="1" si="2"/>
        <v>Bench</v>
      </c>
      <c r="R60">
        <f t="shared" ca="1" si="3"/>
        <v>0</v>
      </c>
      <c r="S60">
        <f t="shared" ca="1" si="4"/>
        <v>17.510000000000005</v>
      </c>
      <c r="T60" s="84">
        <f t="shared" ca="1" si="5"/>
        <v>2.8887919873178118</v>
      </c>
      <c r="U60" s="84">
        <f ca="1">T60*Auction!$A$2</f>
        <v>2.8887919873178118</v>
      </c>
      <c r="V60" s="5" t="str">
        <f>IF(OR(INDEX(Auction!$H$13:$H$650,MATCH(B60,Auction!$A$13:$A$650,0))&gt;0,IFERROR(INDEX(CheatSheet!$V$5:$V$64,MATCH(B60,CheatSheet!$S$5:$S$64,0)),"")&lt;&gt;""),"Yes","No")</f>
        <v>No</v>
      </c>
      <c r="W60" s="175"/>
      <c r="Y60" s="113">
        <f t="shared" ca="1" si="6"/>
        <v>1</v>
      </c>
      <c r="Z60" s="174">
        <f t="shared" ca="1" si="8"/>
        <v>8.7550000000000026</v>
      </c>
      <c r="AA60" t="str">
        <f t="shared" ca="1" si="9"/>
        <v>WR6</v>
      </c>
      <c r="AB60" s="174">
        <f ca="1">Z60*LeagueInfo!$H$5</f>
        <v>2.8274288000878607</v>
      </c>
      <c r="AC60" s="174">
        <f ca="1">(Z60-AVERAGE(Z:$Z))/_xlfn.STDEV.P(Z:Z)</f>
        <v>0.54089511008492785</v>
      </c>
    </row>
    <row r="61" spans="1:29" x14ac:dyDescent="0.35">
      <c r="A61">
        <f t="shared" si="0"/>
        <v>59</v>
      </c>
      <c r="B61" t="str">
        <f>WR_Raw!A54</f>
        <v>Gabe Davis</v>
      </c>
      <c r="C61" t="s">
        <v>32</v>
      </c>
      <c r="D61">
        <f>_xlfn.IFNA(INDEX(BYEs!E:E,MATCH(B61,BYEs!D:D,0)),"N/A")</f>
        <v>25</v>
      </c>
      <c r="E61">
        <f>INDEX(BYEs!$B$2:$B$34,MATCH(F61,BYEs!$A$2:$A$34,0))</f>
        <v>12</v>
      </c>
      <c r="F61" t="str">
        <f>WR_Raw!B54</f>
        <v>JAC</v>
      </c>
      <c r="G61" s="202">
        <v>0</v>
      </c>
      <c r="H61" s="203">
        <v>0</v>
      </c>
      <c r="I61" s="200">
        <f>WR_Raw!F54</f>
        <v>0.3</v>
      </c>
      <c r="J61" s="200">
        <f>WR_Raw!G54</f>
        <v>1.3</v>
      </c>
      <c r="K61" s="200">
        <f>WR_Raw!H54</f>
        <v>0</v>
      </c>
      <c r="L61" s="202">
        <f>WR_Raw!C54</f>
        <v>50</v>
      </c>
      <c r="M61" s="200">
        <f>WR_Raw!D54</f>
        <v>739</v>
      </c>
      <c r="N61" s="203">
        <f>WR_Raw!E54</f>
        <v>5.5</v>
      </c>
      <c r="O61" s="200">
        <f>WR_Raw!I54</f>
        <v>0.9</v>
      </c>
      <c r="P61" s="204">
        <f t="shared" si="1"/>
        <v>130.22999999999999</v>
      </c>
      <c r="Q61" t="str">
        <f t="shared" ca="1" si="2"/>
        <v>Bench</v>
      </c>
      <c r="R61">
        <f t="shared" ca="1" si="3"/>
        <v>0</v>
      </c>
      <c r="S61">
        <f t="shared" ca="1" si="4"/>
        <v>17.469999999999985</v>
      </c>
      <c r="T61" s="84">
        <f t="shared" ca="1" si="5"/>
        <v>2.8821928051651691</v>
      </c>
      <c r="U61" s="84">
        <f ca="1">T61*Auction!$A$2</f>
        <v>2.8821928051651691</v>
      </c>
      <c r="V61" s="5" t="str">
        <f>IF(OR(INDEX(Auction!$H$13:$H$650,MATCH(B61,Auction!$A$13:$A$650,0))&gt;0,IFERROR(INDEX(CheatSheet!$V$5:$V$64,MATCH(B61,CheatSheet!$S$5:$S$64,0)),"")&lt;&gt;""),"Yes","No")</f>
        <v>No</v>
      </c>
      <c r="W61" s="175"/>
      <c r="Y61" s="113">
        <f t="shared" ca="1" si="6"/>
        <v>1</v>
      </c>
      <c r="Z61" s="174">
        <f t="shared" ca="1" si="8"/>
        <v>8.7349999999999923</v>
      </c>
      <c r="AA61" t="str">
        <f t="shared" ca="1" si="9"/>
        <v>WR6</v>
      </c>
      <c r="AB61" s="174">
        <f ca="1">Z61*LeagueInfo!$H$5</f>
        <v>2.820969796546823</v>
      </c>
      <c r="AC61" s="174">
        <f ca="1">(Z61-AVERAGE(Z:$Z))/_xlfn.STDEV.P(Z:Z)</f>
        <v>0.54039611081190975</v>
      </c>
    </row>
    <row r="62" spans="1:29" x14ac:dyDescent="0.35">
      <c r="A62">
        <f t="shared" si="0"/>
        <v>60</v>
      </c>
      <c r="B62" t="str">
        <f>WR_Raw!A60</f>
        <v>Romeo Doubs</v>
      </c>
      <c r="C62" t="s">
        <v>32</v>
      </c>
      <c r="D62">
        <f>_xlfn.IFNA(INDEX(BYEs!E:E,MATCH(B62,BYEs!D:D,0)),"N/A")</f>
        <v>24</v>
      </c>
      <c r="E62">
        <f>INDEX(BYEs!$B$2:$B$34,MATCH(F62,BYEs!$A$2:$A$34,0))</f>
        <v>10</v>
      </c>
      <c r="F62" t="str">
        <f>WR_Raw!B60</f>
        <v>GB</v>
      </c>
      <c r="G62" s="202">
        <v>0</v>
      </c>
      <c r="H62" s="203">
        <v>0</v>
      </c>
      <c r="I62" s="200">
        <f>WR_Raw!F60</f>
        <v>0</v>
      </c>
      <c r="J62" s="200">
        <f>WR_Raw!G60</f>
        <v>1.5</v>
      </c>
      <c r="K62" s="200">
        <f>WR_Raw!H60</f>
        <v>0</v>
      </c>
      <c r="L62" s="202">
        <f>WR_Raw!C60</f>
        <v>55.8</v>
      </c>
      <c r="M62" s="200">
        <f>WR_Raw!D60</f>
        <v>686.5</v>
      </c>
      <c r="N62" s="203">
        <f>WR_Raw!E60</f>
        <v>5.6</v>
      </c>
      <c r="O62" s="200">
        <f>WR_Raw!I60</f>
        <v>0.5</v>
      </c>
      <c r="P62" s="204">
        <f t="shared" si="1"/>
        <v>129.30000000000001</v>
      </c>
      <c r="Q62" t="str">
        <f t="shared" ca="1" si="2"/>
        <v>Bench</v>
      </c>
      <c r="R62">
        <f t="shared" ca="1" si="3"/>
        <v>0</v>
      </c>
      <c r="S62">
        <f t="shared" ca="1" si="4"/>
        <v>16.540000000000006</v>
      </c>
      <c r="T62" s="84">
        <f t="shared" ca="1" si="5"/>
        <v>2.7287618201163113</v>
      </c>
      <c r="U62" s="84">
        <f ca="1">T62*Auction!$A$2</f>
        <v>2.7287618201163113</v>
      </c>
      <c r="V62" s="5" t="str">
        <f>IF(OR(INDEX(Auction!$H$13:$H$650,MATCH(B62,Auction!$A$13:$A$650,0))&gt;0,IFERROR(INDEX(CheatSheet!$V$5:$V$64,MATCH(B62,CheatSheet!$S$5:$S$64,0)),"")&lt;&gt;""),"Yes","No")</f>
        <v>No</v>
      </c>
      <c r="W62" s="175"/>
      <c r="Y62" s="113">
        <f t="shared" ca="1" si="6"/>
        <v>1</v>
      </c>
      <c r="Z62" s="174">
        <f t="shared" ca="1" si="8"/>
        <v>8.2700000000000031</v>
      </c>
      <c r="AA62" t="str">
        <f t="shared" ca="1" si="9"/>
        <v>WR6</v>
      </c>
      <c r="AB62" s="174">
        <f ca="1">Z62*LeagueInfo!$H$5</f>
        <v>2.6707979642177739</v>
      </c>
      <c r="AC62" s="174">
        <f ca="1">(Z62-AVERAGE(Z:$Z))/_xlfn.STDEV.P(Z:Z)</f>
        <v>0.52879437771424442</v>
      </c>
    </row>
    <row r="63" spans="1:29" x14ac:dyDescent="0.35">
      <c r="A63">
        <f t="shared" si="0"/>
        <v>61</v>
      </c>
      <c r="B63" t="str">
        <f>WR_Raw!A62</f>
        <v>DeMario Douglas</v>
      </c>
      <c r="C63" t="s">
        <v>32</v>
      </c>
      <c r="D63">
        <f>_xlfn.IFNA(INDEX(BYEs!E:E,MATCH(B63,BYEs!D:D,0)),"N/A")</f>
        <v>23</v>
      </c>
      <c r="E63">
        <f>INDEX(BYEs!$B$2:$B$34,MATCH(F63,BYEs!$A$2:$A$34,0))</f>
        <v>14</v>
      </c>
      <c r="F63" t="str">
        <f>WR_Raw!B62</f>
        <v>NE</v>
      </c>
      <c r="G63" s="202">
        <v>0</v>
      </c>
      <c r="H63" s="203">
        <v>0</v>
      </c>
      <c r="I63" s="200">
        <f>WR_Raw!F62</f>
        <v>8.4</v>
      </c>
      <c r="J63" s="200">
        <f>WR_Raw!G62</f>
        <v>44.1</v>
      </c>
      <c r="K63" s="200">
        <f>WR_Raw!H62</f>
        <v>0.1</v>
      </c>
      <c r="L63" s="202">
        <f>WR_Raw!C62</f>
        <v>61.4</v>
      </c>
      <c r="M63" s="200">
        <f>WR_Raw!D62</f>
        <v>745.1</v>
      </c>
      <c r="N63" s="203">
        <f>WR_Raw!E62</f>
        <v>3.2</v>
      </c>
      <c r="O63" s="200">
        <f>WR_Raw!I62</f>
        <v>0.9</v>
      </c>
      <c r="P63" s="204">
        <f t="shared" si="1"/>
        <v>127.62000000000002</v>
      </c>
      <c r="Q63" t="str">
        <f t="shared" ca="1" si="2"/>
        <v>Bench</v>
      </c>
      <c r="R63">
        <f t="shared" ca="1" si="3"/>
        <v>0</v>
      </c>
      <c r="S63">
        <f t="shared" ca="1" si="4"/>
        <v>14.860000000000014</v>
      </c>
      <c r="T63" s="84">
        <f t="shared" ca="1" si="5"/>
        <v>2.451596169705466</v>
      </c>
      <c r="U63" s="84">
        <f ca="1">T63*Auction!$A$2</f>
        <v>2.451596169705466</v>
      </c>
      <c r="V63" s="5" t="str">
        <f>IF(OR(INDEX(Auction!$H$13:$H$650,MATCH(B63,Auction!$A$13:$A$650,0))&gt;0,IFERROR(INDEX(CheatSheet!$V$5:$V$64,MATCH(B63,CheatSheet!$S$5:$S$64,0)),"")&lt;&gt;""),"Yes","No")</f>
        <v>No</v>
      </c>
      <c r="W63" s="175"/>
      <c r="Y63" s="113">
        <f t="shared" ca="1" si="6"/>
        <v>1</v>
      </c>
      <c r="Z63" s="174">
        <f t="shared" ca="1" si="8"/>
        <v>7.4300000000000068</v>
      </c>
      <c r="AA63" t="str">
        <f t="shared" ca="1" si="9"/>
        <v>WR6</v>
      </c>
      <c r="AB63" s="174">
        <f ca="1">Z63*LeagueInfo!$H$5</f>
        <v>2.3995198154943251</v>
      </c>
      <c r="AC63" s="174">
        <f ca="1">(Z63-AVERAGE(Z:$Z))/_xlfn.STDEV.P(Z:Z)</f>
        <v>0.50783640824749376</v>
      </c>
    </row>
    <row r="64" spans="1:29" x14ac:dyDescent="0.35">
      <c r="A64">
        <f t="shared" si="0"/>
        <v>62</v>
      </c>
      <c r="B64" t="str">
        <f>WR_Raw!A61</f>
        <v>Rashid Shaheed</v>
      </c>
      <c r="C64" t="s">
        <v>32</v>
      </c>
      <c r="D64">
        <f>_xlfn.IFNA(INDEX(BYEs!E:E,MATCH(B64,BYEs!D:D,0)),"N/A")</f>
        <v>25</v>
      </c>
      <c r="E64">
        <f>INDEX(BYEs!$B$2:$B$34,MATCH(F64,BYEs!$A$2:$A$34,0))</f>
        <v>12</v>
      </c>
      <c r="F64" t="str">
        <f>WR_Raw!B61</f>
        <v>NO</v>
      </c>
      <c r="G64" s="202">
        <v>0</v>
      </c>
      <c r="H64" s="203">
        <v>0</v>
      </c>
      <c r="I64" s="200">
        <f>WR_Raw!F61</f>
        <v>4.3</v>
      </c>
      <c r="J64" s="200">
        <f>WR_Raw!G61</f>
        <v>33.200000000000003</v>
      </c>
      <c r="K64" s="200">
        <f>WR_Raw!H61</f>
        <v>0</v>
      </c>
      <c r="L64" s="202">
        <f>WR_Raw!C61</f>
        <v>50.3</v>
      </c>
      <c r="M64" s="200">
        <f>WR_Raw!D61</f>
        <v>728.8</v>
      </c>
      <c r="N64" s="203">
        <f>WR_Raw!E61</f>
        <v>4.2</v>
      </c>
      <c r="O64" s="200">
        <f>WR_Raw!I61</f>
        <v>0.9</v>
      </c>
      <c r="P64" s="204">
        <f t="shared" si="1"/>
        <v>124.75</v>
      </c>
      <c r="Q64" t="str">
        <f t="shared" ca="1" si="2"/>
        <v>Bench</v>
      </c>
      <c r="R64">
        <f t="shared" ca="1" si="3"/>
        <v>0</v>
      </c>
      <c r="S64">
        <f t="shared" ca="1" si="4"/>
        <v>11.989999999999995</v>
      </c>
      <c r="T64" s="84">
        <f t="shared" ca="1" si="5"/>
        <v>1.9781048502536001</v>
      </c>
      <c r="U64" s="84">
        <f ca="1">T64*Auction!$A$2</f>
        <v>1.9781048502536001</v>
      </c>
      <c r="V64" s="5" t="str">
        <f>IF(OR(INDEX(Auction!$H$13:$H$650,MATCH(B64,Auction!$A$13:$A$650,0))&gt;0,IFERROR(INDEX(CheatSheet!$V$5:$V$64,MATCH(B64,CheatSheet!$S$5:$S$64,0)),"")&lt;&gt;""),"Yes","No")</f>
        <v>No</v>
      </c>
      <c r="W64" s="175"/>
      <c r="Y64" s="113">
        <f t="shared" ca="1" si="6"/>
        <v>1</v>
      </c>
      <c r="Z64" s="174">
        <f t="shared" ca="1" si="8"/>
        <v>5.9949999999999974</v>
      </c>
      <c r="AA64" t="str">
        <f t="shared" ca="1" si="9"/>
        <v>WR7</v>
      </c>
      <c r="AB64" s="174">
        <f ca="1">Z64*LeagueInfo!$H$5</f>
        <v>1.9360863114250957</v>
      </c>
      <c r="AC64" s="174">
        <f ca="1">(Z64-AVERAGE(Z:$Z))/_xlfn.STDEV.P(Z:Z)</f>
        <v>0.47203321040846102</v>
      </c>
    </row>
    <row r="65" spans="1:29" x14ac:dyDescent="0.35">
      <c r="A65">
        <f t="shared" si="0"/>
        <v>63</v>
      </c>
      <c r="B65" t="str">
        <f>WR_Raw!A63</f>
        <v>Darnell Mooney</v>
      </c>
      <c r="C65" t="s">
        <v>32</v>
      </c>
      <c r="D65">
        <f>_xlfn.IFNA(INDEX(BYEs!E:E,MATCH(B65,BYEs!D:D,0)),"N/A")</f>
        <v>26</v>
      </c>
      <c r="E65">
        <f>INDEX(BYEs!$B$2:$B$34,MATCH(F65,BYEs!$A$2:$A$34,0))</f>
        <v>12</v>
      </c>
      <c r="F65" t="str">
        <f>WR_Raw!B63</f>
        <v>ATL</v>
      </c>
      <c r="G65" s="202">
        <v>0</v>
      </c>
      <c r="H65" s="203">
        <v>0</v>
      </c>
      <c r="I65" s="200">
        <f>WR_Raw!F63</f>
        <v>2.1</v>
      </c>
      <c r="J65" s="200">
        <f>WR_Raw!G63</f>
        <v>12.1</v>
      </c>
      <c r="K65" s="200">
        <f>WR_Raw!H63</f>
        <v>0.1</v>
      </c>
      <c r="L65" s="202">
        <f>WR_Raw!C63</f>
        <v>50.9</v>
      </c>
      <c r="M65" s="200">
        <f>WR_Raw!D63</f>
        <v>706.1</v>
      </c>
      <c r="N65" s="203">
        <f>WR_Raw!E63</f>
        <v>4.0999999999999996</v>
      </c>
      <c r="O65" s="200">
        <f>WR_Raw!I63</f>
        <v>0.2</v>
      </c>
      <c r="P65" s="204">
        <f t="shared" si="1"/>
        <v>122.07</v>
      </c>
      <c r="Q65" t="str">
        <f t="shared" ca="1" si="2"/>
        <v>Bench</v>
      </c>
      <c r="R65">
        <f t="shared" ca="1" si="3"/>
        <v>0</v>
      </c>
      <c r="S65">
        <f t="shared" ca="1" si="4"/>
        <v>9.3099999999999881</v>
      </c>
      <c r="T65" s="84">
        <f t="shared" ca="1" si="5"/>
        <v>1.5359596460267724</v>
      </c>
      <c r="U65" s="84">
        <f ca="1">T65*Auction!$A$2</f>
        <v>1.5359596460267724</v>
      </c>
      <c r="V65" s="5" t="str">
        <f>IF(OR(INDEX(Auction!$H$13:$H$650,MATCH(B65,Auction!$A$13:$A$650,0))&gt;0,IFERROR(INDEX(CheatSheet!$V$5:$V$64,MATCH(B65,CheatSheet!$S$5:$S$64,0)),"")&lt;&gt;""),"Yes","No")</f>
        <v>No</v>
      </c>
      <c r="W65" s="175"/>
      <c r="Y65" s="113">
        <f t="shared" ca="1" si="6"/>
        <v>1</v>
      </c>
      <c r="Z65" s="174">
        <f t="shared" ca="1" si="8"/>
        <v>4.654999999999994</v>
      </c>
      <c r="AA65" t="str">
        <f t="shared" ca="1" si="9"/>
        <v>WR7</v>
      </c>
      <c r="AB65" s="174">
        <f ca="1">Z65*LeagueInfo!$H$5</f>
        <v>1.503333074175782</v>
      </c>
      <c r="AC65" s="174">
        <f ca="1">(Z65-AVERAGE(Z:$Z))/_xlfn.STDEV.P(Z:Z)</f>
        <v>0.43860025911626332</v>
      </c>
    </row>
    <row r="66" spans="1:29" x14ac:dyDescent="0.35">
      <c r="A66">
        <f t="shared" si="0"/>
        <v>64</v>
      </c>
      <c r="B66" t="str">
        <f>WR_Raw!A66</f>
        <v>Ja'Lynn Polk</v>
      </c>
      <c r="C66" t="s">
        <v>32</v>
      </c>
      <c r="D66">
        <f>_xlfn.IFNA(INDEX(BYEs!E:E,MATCH(B66,BYEs!D:D,0)),"N/A")</f>
        <v>22</v>
      </c>
      <c r="E66">
        <f>INDEX(BYEs!$B$2:$B$34,MATCH(F66,BYEs!$A$2:$A$34,0))</f>
        <v>14</v>
      </c>
      <c r="F66" t="str">
        <f>WR_Raw!B66</f>
        <v>NE</v>
      </c>
      <c r="G66" s="202">
        <v>0</v>
      </c>
      <c r="H66" s="203">
        <v>0</v>
      </c>
      <c r="I66" s="200">
        <f>WR_Raw!F66</f>
        <v>0.7</v>
      </c>
      <c r="J66" s="200">
        <f>WR_Raw!G66</f>
        <v>5.8</v>
      </c>
      <c r="K66" s="200">
        <f>WR_Raw!H66</f>
        <v>0</v>
      </c>
      <c r="L66" s="202">
        <f>WR_Raw!C66</f>
        <v>58.7</v>
      </c>
      <c r="M66" s="200">
        <f>WR_Raw!D66</f>
        <v>720</v>
      </c>
      <c r="N66" s="203">
        <f>WR_Raw!E66</f>
        <v>3.2</v>
      </c>
      <c r="O66" s="200">
        <f>WR_Raw!I66</f>
        <v>0.8</v>
      </c>
      <c r="P66" s="204">
        <f t="shared" si="1"/>
        <v>119.53000000000002</v>
      </c>
      <c r="Q66" t="str">
        <f t="shared" ca="1" si="2"/>
        <v>Bench</v>
      </c>
      <c r="R66">
        <f t="shared" ca="1" si="3"/>
        <v>0</v>
      </c>
      <c r="S66">
        <f t="shared" ca="1" si="4"/>
        <v>6.7700000000000102</v>
      </c>
      <c r="T66" s="84">
        <f t="shared" ca="1" si="5"/>
        <v>1.1169115793341866</v>
      </c>
      <c r="U66" s="84">
        <f ca="1">T66*Auction!$A$2</f>
        <v>1.1169115793341866</v>
      </c>
      <c r="V66" s="5" t="str">
        <f>IF(OR(INDEX(Auction!$H$13:$H$650,MATCH(B66,Auction!$A$13:$A$650,0))&gt;0,IFERROR(INDEX(CheatSheet!$V$5:$V$64,MATCH(B66,CheatSheet!$S$5:$S$64,0)),"")&lt;&gt;""),"Yes","No")</f>
        <v>No</v>
      </c>
      <c r="W66" s="175"/>
      <c r="Y66" s="113">
        <f t="shared" ca="1" si="6"/>
        <v>1</v>
      </c>
      <c r="Z66" s="174">
        <f t="shared" ca="1" si="8"/>
        <v>3.3850000000000051</v>
      </c>
      <c r="AA66" t="str">
        <f t="shared" ca="1" si="9"/>
        <v>WR7</v>
      </c>
      <c r="AB66" s="174">
        <f ca="1">Z66*LeagueInfo!$H$5</f>
        <v>1.0931863493200937</v>
      </c>
      <c r="AC66" s="174">
        <f ca="1">(Z66-AVERAGE(Z:$Z))/_xlfn.STDEV.P(Z:Z)</f>
        <v>0.40691380527962856</v>
      </c>
    </row>
    <row r="67" spans="1:29" x14ac:dyDescent="0.35">
      <c r="A67">
        <f t="shared" ref="A67:A130" si="10">RANK(P67,P:P)</f>
        <v>65</v>
      </c>
      <c r="B67" t="str">
        <f>WR_Raw!A65</f>
        <v>John Stephens Jr.</v>
      </c>
      <c r="C67" t="s">
        <v>32</v>
      </c>
      <c r="D67" t="str">
        <f>_xlfn.IFNA(INDEX(BYEs!E:E,MATCH(B67,BYEs!D:D,0)),"N/A")</f>
        <v>N/A</v>
      </c>
      <c r="E67">
        <f>INDEX(BYEs!$B$2:$B$34,MATCH(F67,BYEs!$A$2:$A$34,0))</f>
        <v>7</v>
      </c>
      <c r="F67" t="str">
        <f>WR_Raw!B65</f>
        <v>DAL</v>
      </c>
      <c r="G67" s="202">
        <v>0</v>
      </c>
      <c r="H67" s="203">
        <v>0</v>
      </c>
      <c r="I67" s="200">
        <f>WR_Raw!F65</f>
        <v>2</v>
      </c>
      <c r="J67" s="200">
        <f>WR_Raw!G65</f>
        <v>10</v>
      </c>
      <c r="K67" s="200">
        <f>WR_Raw!H65</f>
        <v>0</v>
      </c>
      <c r="L67" s="202">
        <f>WR_Raw!C65</f>
        <v>53</v>
      </c>
      <c r="M67" s="200">
        <f>WR_Raw!D65</f>
        <v>711</v>
      </c>
      <c r="N67" s="203">
        <f>WR_Raw!E65</f>
        <v>4</v>
      </c>
      <c r="O67" s="200">
        <f>WR_Raw!I65</f>
        <v>2</v>
      </c>
      <c r="P67" s="204">
        <f t="shared" ref="P67:P130" si="11">(J67*WRRushingYd)+(K67*WRRushingTD)+(L67*WRRec)+(M67*WRRecYd)+(N67*WRRecTD)+(O67*WRFuml)+(I67*WRRushAtt)</f>
        <v>118.60000000000001</v>
      </c>
      <c r="Q67" t="str">
        <f t="shared" ref="Q67:Q130" ca="1" si="12">IF(A67&lt;=WRStarters,"Starter",IF(A67&gt;WRStarters+WRBench,"Undrafted","Bench"))</f>
        <v>Bench</v>
      </c>
      <c r="R67">
        <f t="shared" ref="R67:R130" ca="1" si="13">IFERROR(MAX(P67-LARGE(WRSheetCount,WRStarters),0),0)</f>
        <v>0</v>
      </c>
      <c r="S67">
        <f t="shared" ref="S67:S130" ca="1" si="14">IFERROR(IF(AllowNegative="Yes",P67-LARGE(WRSheetCount,WRCount),MAX(P67-LARGE(WRSheetCount,WRCount),0)),0)</f>
        <v>5.8400000000000034</v>
      </c>
      <c r="T67" s="84">
        <f t="shared" ref="T67:T130" ca="1" si="15">(S67-R67)*BenchPF+R67*StarterPF</f>
        <v>0.96348059428532418</v>
      </c>
      <c r="U67" s="84">
        <f ca="1">T67*Auction!$A$2</f>
        <v>0.96348059428532418</v>
      </c>
      <c r="V67" s="5" t="str">
        <f>IF(OR(INDEX(Auction!$H$13:$H$650,MATCH(B67,Auction!$A$13:$A$650,0))&gt;0,IFERROR(INDEX(CheatSheet!$V$5:$V$64,MATCH(B67,CheatSheet!$S$5:$S$64,0)),"")&lt;&gt;""),"Yes","No")</f>
        <v>No</v>
      </c>
      <c r="W67" s="175"/>
      <c r="Y67" s="113">
        <f t="shared" ref="Y67:Y130" ca="1" si="16">IFERROR(SUMIFS(Z:Z,Z:Z,"&gt;0",V:V,"No")/SUMIF(Z:Z,"&gt;0"),0)</f>
        <v>1</v>
      </c>
      <c r="Z67" s="174">
        <f t="shared" ca="1" si="8"/>
        <v>2.9200000000000017</v>
      </c>
      <c r="AA67" t="str">
        <f t="shared" ca="1" si="9"/>
        <v>WR7</v>
      </c>
      <c r="AB67" s="174">
        <f ca="1">Z67*LeagueInfo!$H$5</f>
        <v>0.94301451699104</v>
      </c>
      <c r="AC67" s="174">
        <f ca="1">(Z67-AVERAGE(Z:$Z))/_xlfn.STDEV.P(Z:Z)</f>
        <v>0.3953120721819629</v>
      </c>
    </row>
    <row r="68" spans="1:29" x14ac:dyDescent="0.35">
      <c r="A68">
        <f t="shared" si="10"/>
        <v>66</v>
      </c>
      <c r="B68" t="str">
        <f>WR_Raw!A67</f>
        <v>Dontayvion Wicks</v>
      </c>
      <c r="C68" t="s">
        <v>32</v>
      </c>
      <c r="D68">
        <f>_xlfn.IFNA(INDEX(BYEs!E:E,MATCH(B68,BYEs!D:D,0)),"N/A")</f>
        <v>23</v>
      </c>
      <c r="E68">
        <f>INDEX(BYEs!$B$2:$B$34,MATCH(F68,BYEs!$A$2:$A$34,0))</f>
        <v>10</v>
      </c>
      <c r="F68" t="str">
        <f>WR_Raw!B67</f>
        <v>GB</v>
      </c>
      <c r="G68" s="202">
        <v>0</v>
      </c>
      <c r="H68" s="203">
        <v>0</v>
      </c>
      <c r="I68" s="200">
        <f>WR_Raw!F67</f>
        <v>0.3</v>
      </c>
      <c r="J68" s="200">
        <f>WR_Raw!G67</f>
        <v>3.8</v>
      </c>
      <c r="K68" s="200">
        <f>WR_Raw!H67</f>
        <v>0</v>
      </c>
      <c r="L68" s="202">
        <f>WR_Raw!C67</f>
        <v>46.1</v>
      </c>
      <c r="M68" s="200">
        <f>WR_Raw!D67</f>
        <v>615.29999999999995</v>
      </c>
      <c r="N68" s="203">
        <f>WR_Raw!E67</f>
        <v>4.8</v>
      </c>
      <c r="O68" s="200">
        <f>WR_Raw!I67</f>
        <v>0.5</v>
      </c>
      <c r="P68" s="204">
        <f t="shared" si="11"/>
        <v>112.76</v>
      </c>
      <c r="Q68" t="str">
        <f t="shared" ca="1" si="12"/>
        <v>Undrafted</v>
      </c>
      <c r="R68">
        <f t="shared" ca="1" si="13"/>
        <v>0</v>
      </c>
      <c r="S68">
        <f t="shared" ca="1" si="14"/>
        <v>0</v>
      </c>
      <c r="T68" s="84">
        <f t="shared" ca="1" si="15"/>
        <v>0</v>
      </c>
      <c r="U68" s="84">
        <f ca="1">T68*Auction!$A$2</f>
        <v>0</v>
      </c>
      <c r="V68" s="5" t="str">
        <f>IF(OR(INDEX(Auction!$H$13:$H$650,MATCH(B68,Auction!$A$13:$A$650,0))&gt;0,IFERROR(INDEX(CheatSheet!$V$5:$V$64,MATCH(B68,CheatSheet!$S$5:$S$64,0)),"")&lt;&gt;""),"Yes","No")</f>
        <v>No</v>
      </c>
      <c r="W68" s="175"/>
      <c r="Y68" s="113">
        <f t="shared" ca="1" si="16"/>
        <v>1</v>
      </c>
      <c r="Z68" s="174">
        <f t="shared" ref="Z68:Z131" ca="1" si="17">AVERAGE(R68:S68)</f>
        <v>0</v>
      </c>
      <c r="AA68" t="str">
        <f t="shared" ca="1" si="9"/>
        <v>WR7</v>
      </c>
      <c r="AB68" s="174">
        <f ca="1">Z68*LeagueInfo!$H$5</f>
        <v>0</v>
      </c>
      <c r="AC68" s="174">
        <f ca="1">(Z68-AVERAGE(Z:$Z))/_xlfn.STDEV.P(Z:Z)</f>
        <v>0.32245817832135315</v>
      </c>
    </row>
    <row r="69" spans="1:29" x14ac:dyDescent="0.35">
      <c r="A69">
        <f t="shared" si="10"/>
        <v>67</v>
      </c>
      <c r="B69" t="str">
        <f>WR_Raw!A69</f>
        <v>Michael Wilson</v>
      </c>
      <c r="C69" t="s">
        <v>32</v>
      </c>
      <c r="D69">
        <f>_xlfn.IFNA(INDEX(BYEs!E:E,MATCH(B69,BYEs!D:D,0)),"N/A")</f>
        <v>24</v>
      </c>
      <c r="E69">
        <f>INDEX(BYEs!$B$2:$B$34,MATCH(F69,BYEs!$A$2:$A$34,0))</f>
        <v>11</v>
      </c>
      <c r="F69" t="str">
        <f>WR_Raw!B69</f>
        <v>ARI</v>
      </c>
      <c r="G69" s="202">
        <v>0</v>
      </c>
      <c r="H69" s="203">
        <v>0</v>
      </c>
      <c r="I69" s="200">
        <f>WR_Raw!F69</f>
        <v>0</v>
      </c>
      <c r="J69" s="200">
        <f>WR_Raw!G69</f>
        <v>1.3</v>
      </c>
      <c r="K69" s="200">
        <f>WR_Raw!H69</f>
        <v>0</v>
      </c>
      <c r="L69" s="202">
        <f>WR_Raw!C69</f>
        <v>49.8</v>
      </c>
      <c r="M69" s="200">
        <f>WR_Raw!D69</f>
        <v>651.6</v>
      </c>
      <c r="N69" s="203">
        <f>WR_Raw!E69</f>
        <v>3.7</v>
      </c>
      <c r="O69" s="200">
        <f>WR_Raw!I69</f>
        <v>0.2</v>
      </c>
      <c r="P69" s="204">
        <f t="shared" si="11"/>
        <v>111.99000000000001</v>
      </c>
      <c r="Q69" t="str">
        <f t="shared" ca="1" si="12"/>
        <v>Undrafted</v>
      </c>
      <c r="R69">
        <f t="shared" ca="1" si="13"/>
        <v>0</v>
      </c>
      <c r="S69">
        <f t="shared" ca="1" si="14"/>
        <v>-0.76999999999999602</v>
      </c>
      <c r="T69" s="84">
        <f t="shared" ca="1" si="15"/>
        <v>-0.12703425643830399</v>
      </c>
      <c r="U69" s="84">
        <f ca="1">T69*Auction!$A$2</f>
        <v>-0.12703425643830399</v>
      </c>
      <c r="V69" s="5" t="str">
        <f>IF(OR(INDEX(Auction!$H$13:$H$650,MATCH(B69,Auction!$A$13:$A$650,0))&gt;0,IFERROR(INDEX(CheatSheet!$V$5:$V$64,MATCH(B69,CheatSheet!$S$5:$S$64,0)),"")&lt;&gt;""),"Yes","No")</f>
        <v>No</v>
      </c>
      <c r="W69" s="175"/>
      <c r="Y69" s="113">
        <f t="shared" ca="1" si="16"/>
        <v>1</v>
      </c>
      <c r="Z69" s="174">
        <f t="shared" ca="1" si="17"/>
        <v>-0.38499999999999801</v>
      </c>
      <c r="AA69" t="str">
        <f t="shared" ref="AA69:AA132" ca="1" si="18">IF(AC69&gt;3,"WR1",IF(AC69&gt;2.5,"WR2",IF(AC69&gt;2,"WR3",IF(AC69&gt;1.5,"WR4",IF(AC69&gt;1,"WR5",IF(AC69&gt;0.5,"WR6",IF(AC69&gt;0,"WR7","WR8")))))))</f>
        <v>WR7</v>
      </c>
      <c r="AB69" s="174">
        <f ca="1">Z69*LeagueInfo!$H$5</f>
        <v>-0.12433581816491381</v>
      </c>
      <c r="AC69" s="174">
        <f ca="1">(Z69-AVERAGE(Z:$Z))/_xlfn.STDEV.P(Z:Z)</f>
        <v>0.31285244231575909</v>
      </c>
    </row>
    <row r="70" spans="1:29" x14ac:dyDescent="0.35">
      <c r="A70">
        <f t="shared" si="10"/>
        <v>68</v>
      </c>
      <c r="B70" t="str">
        <f>WR_Raw!A74</f>
        <v>Wan'Dale Robinson</v>
      </c>
      <c r="C70" t="s">
        <v>32</v>
      </c>
      <c r="D70">
        <f>_xlfn.IFNA(INDEX(BYEs!E:E,MATCH(B70,BYEs!D:D,0)),"N/A")</f>
        <v>23</v>
      </c>
      <c r="E70">
        <f>INDEX(BYEs!$B$2:$B$34,MATCH(F70,BYEs!$A$2:$A$34,0))</f>
        <v>11</v>
      </c>
      <c r="F70" t="str">
        <f>WR_Raw!B74</f>
        <v>NYG</v>
      </c>
      <c r="G70" s="202">
        <v>0</v>
      </c>
      <c r="H70" s="203">
        <v>0</v>
      </c>
      <c r="I70" s="200">
        <f>WR_Raw!F74</f>
        <v>8.1</v>
      </c>
      <c r="J70" s="200">
        <f>WR_Raw!G74</f>
        <v>58.1</v>
      </c>
      <c r="K70" s="200">
        <f>WR_Raw!H74</f>
        <v>0.5</v>
      </c>
      <c r="L70" s="202">
        <f>WR_Raw!C74</f>
        <v>61.1</v>
      </c>
      <c r="M70" s="200">
        <f>WR_Raw!D74</f>
        <v>567.6</v>
      </c>
      <c r="N70" s="203">
        <f>WR_Raw!E74</f>
        <v>2.8</v>
      </c>
      <c r="O70" s="200">
        <f>WR_Raw!I74</f>
        <v>0.5</v>
      </c>
      <c r="P70" s="204">
        <f t="shared" si="11"/>
        <v>111.92</v>
      </c>
      <c r="Q70" t="str">
        <f t="shared" ca="1" si="12"/>
        <v>Undrafted</v>
      </c>
      <c r="R70">
        <f t="shared" ca="1" si="13"/>
        <v>0</v>
      </c>
      <c r="S70">
        <f t="shared" ca="1" si="14"/>
        <v>-0.84000000000000341</v>
      </c>
      <c r="T70" s="84">
        <f t="shared" ca="1" si="15"/>
        <v>-0.13858282520542381</v>
      </c>
      <c r="U70" s="84">
        <f ca="1">T70*Auction!$A$2</f>
        <v>-0.13858282520542381</v>
      </c>
      <c r="V70" s="5" t="str">
        <f>IF(OR(INDEX(Auction!$H$13:$H$650,MATCH(B70,Auction!$A$13:$A$650,0))&gt;0,IFERROR(INDEX(CheatSheet!$V$5:$V$64,MATCH(B70,CheatSheet!$S$5:$S$64,0)),"")&lt;&gt;""),"Yes","No")</f>
        <v>No</v>
      </c>
      <c r="W70" s="175"/>
      <c r="Y70" s="113">
        <f t="shared" ca="1" si="16"/>
        <v>1</v>
      </c>
      <c r="Z70" s="174">
        <f t="shared" ca="1" si="17"/>
        <v>-0.42000000000000171</v>
      </c>
      <c r="AA70" t="str">
        <f t="shared" ca="1" si="18"/>
        <v>WR7</v>
      </c>
      <c r="AB70" s="174">
        <f ca="1">Z70*LeagueInfo!$H$5</f>
        <v>-0.1356390743617254</v>
      </c>
      <c r="AC70" s="174">
        <f ca="1">(Z70-AVERAGE(Z:$Z))/_xlfn.STDEV.P(Z:Z)</f>
        <v>0.31197919358797771</v>
      </c>
    </row>
    <row r="71" spans="1:29" x14ac:dyDescent="0.35">
      <c r="A71">
        <f t="shared" si="10"/>
        <v>69</v>
      </c>
      <c r="B71" t="str">
        <f>WR_Raw!A68</f>
        <v>Adonai Mitchell</v>
      </c>
      <c r="C71" t="s">
        <v>32</v>
      </c>
      <c r="D71">
        <f>_xlfn.IFNA(INDEX(BYEs!E:E,MATCH(B71,BYEs!D:D,0)),"N/A")</f>
        <v>21</v>
      </c>
      <c r="E71">
        <f>INDEX(BYEs!$B$2:$B$34,MATCH(F71,BYEs!$A$2:$A$34,0))</f>
        <v>14</v>
      </c>
      <c r="F71" t="str">
        <f>WR_Raw!B68</f>
        <v>IND</v>
      </c>
      <c r="G71" s="202">
        <v>0</v>
      </c>
      <c r="H71" s="203">
        <v>0</v>
      </c>
      <c r="I71" s="200">
        <f>WR_Raw!F68</f>
        <v>0.7</v>
      </c>
      <c r="J71" s="200">
        <f>WR_Raw!G68</f>
        <v>4.8</v>
      </c>
      <c r="K71" s="200">
        <f>WR_Raw!H68</f>
        <v>0</v>
      </c>
      <c r="L71" s="202">
        <f>WR_Raw!C68</f>
        <v>48.6</v>
      </c>
      <c r="M71" s="200">
        <f>WR_Raw!D68</f>
        <v>656.4</v>
      </c>
      <c r="N71" s="203">
        <f>WR_Raw!E68</f>
        <v>3.8</v>
      </c>
      <c r="O71" s="200">
        <f>WR_Raw!I68</f>
        <v>0.8</v>
      </c>
      <c r="P71" s="204">
        <f t="shared" si="11"/>
        <v>111.62</v>
      </c>
      <c r="Q71" t="str">
        <f t="shared" ca="1" si="12"/>
        <v>Undrafted</v>
      </c>
      <c r="R71">
        <f t="shared" ca="1" si="13"/>
        <v>0</v>
      </c>
      <c r="S71">
        <f t="shared" ca="1" si="14"/>
        <v>-1.1400000000000006</v>
      </c>
      <c r="T71" s="84">
        <f t="shared" ca="1" si="15"/>
        <v>-0.18807669135021737</v>
      </c>
      <c r="U71" s="84">
        <f ca="1">T71*Auction!$A$2</f>
        <v>-0.18807669135021737</v>
      </c>
      <c r="V71" s="5" t="str">
        <f>IF(OR(INDEX(Auction!$H$13:$H$650,MATCH(B71,Auction!$A$13:$A$650,0))&gt;0,IFERROR(INDEX(CheatSheet!$V$5:$V$64,MATCH(B71,CheatSheet!$S$5:$S$64,0)),"")&lt;&gt;""),"Yes","No")</f>
        <v>No</v>
      </c>
      <c r="W71" s="175"/>
      <c r="Y71" s="113">
        <f t="shared" ca="1" si="16"/>
        <v>1</v>
      </c>
      <c r="Z71" s="174">
        <f t="shared" ca="1" si="17"/>
        <v>-0.57000000000000028</v>
      </c>
      <c r="AA71" t="str">
        <f t="shared" ca="1" si="18"/>
        <v>WR7</v>
      </c>
      <c r="AB71" s="174">
        <f ca="1">Z71*LeagueInfo!$H$5</f>
        <v>-0.18408160091948383</v>
      </c>
      <c r="AC71" s="174">
        <f ca="1">(Z71-AVERAGE(Z:$Z))/_xlfn.STDEV.P(Z:Z)</f>
        <v>0.30823669904034368</v>
      </c>
    </row>
    <row r="72" spans="1:29" x14ac:dyDescent="0.35">
      <c r="A72">
        <f t="shared" si="10"/>
        <v>70</v>
      </c>
      <c r="B72" t="str">
        <f>WR_Raw!A72</f>
        <v>Josh Downs</v>
      </c>
      <c r="C72" t="s">
        <v>32</v>
      </c>
      <c r="D72">
        <f>_xlfn.IFNA(INDEX(BYEs!E:E,MATCH(B72,BYEs!D:D,0)),"N/A")</f>
        <v>22</v>
      </c>
      <c r="E72">
        <f>INDEX(BYEs!$B$2:$B$34,MATCH(F72,BYEs!$A$2:$A$34,0))</f>
        <v>14</v>
      </c>
      <c r="F72" t="str">
        <f>WR_Raw!B72</f>
        <v>IND</v>
      </c>
      <c r="G72" s="202">
        <v>0</v>
      </c>
      <c r="H72" s="203">
        <v>0</v>
      </c>
      <c r="I72" s="200">
        <f>WR_Raw!F72</f>
        <v>0</v>
      </c>
      <c r="J72" s="200">
        <f>WR_Raw!G72</f>
        <v>5.3</v>
      </c>
      <c r="K72" s="200">
        <f>WR_Raw!H72</f>
        <v>0</v>
      </c>
      <c r="L72" s="202">
        <f>WR_Raw!C72</f>
        <v>54.9</v>
      </c>
      <c r="M72" s="200">
        <f>WR_Raw!D72</f>
        <v>625.79999999999995</v>
      </c>
      <c r="N72" s="203">
        <f>WR_Raw!E72</f>
        <v>3.3</v>
      </c>
      <c r="O72" s="200">
        <f>WR_Raw!I72</f>
        <v>0.5</v>
      </c>
      <c r="P72" s="204">
        <f t="shared" si="11"/>
        <v>109.36</v>
      </c>
      <c r="Q72" t="str">
        <f t="shared" ca="1" si="12"/>
        <v>Undrafted</v>
      </c>
      <c r="R72">
        <f t="shared" ca="1" si="13"/>
        <v>0</v>
      </c>
      <c r="S72">
        <f t="shared" ca="1" si="14"/>
        <v>-3.4000000000000057</v>
      </c>
      <c r="T72" s="84">
        <f t="shared" ca="1" si="15"/>
        <v>-0.56093048297433312</v>
      </c>
      <c r="U72" s="84">
        <f ca="1">T72*Auction!$A$2</f>
        <v>-0.56093048297433312</v>
      </c>
      <c r="V72" s="5" t="str">
        <f>IF(OR(INDEX(Auction!$H$13:$H$650,MATCH(B72,Auction!$A$13:$A$650,0))&gt;0,IFERROR(INDEX(CheatSheet!$V$5:$V$64,MATCH(B72,CheatSheet!$S$5:$S$64,0)),"")&lt;&gt;""),"Yes","No")</f>
        <v>No</v>
      </c>
      <c r="W72" s="175"/>
      <c r="Y72" s="113">
        <f t="shared" ca="1" si="16"/>
        <v>1</v>
      </c>
      <c r="Z72" s="174">
        <f t="shared" ca="1" si="17"/>
        <v>-1.7000000000000028</v>
      </c>
      <c r="AA72" t="str">
        <f t="shared" ca="1" si="18"/>
        <v>WR7</v>
      </c>
      <c r="AB72" s="174">
        <f ca="1">Z72*LeagueInfo!$H$5</f>
        <v>-0.54901530098793483</v>
      </c>
      <c r="AC72" s="174">
        <f ca="1">(Z72-AVERAGE(Z:$Z))/_xlfn.STDEV.P(Z:Z)</f>
        <v>0.28004324011483367</v>
      </c>
    </row>
    <row r="73" spans="1:29" x14ac:dyDescent="0.35">
      <c r="A73">
        <f t="shared" si="10"/>
        <v>71</v>
      </c>
      <c r="B73" t="str">
        <f>WR_Raw!A70</f>
        <v>Demarcus Robinson</v>
      </c>
      <c r="C73" t="s">
        <v>32</v>
      </c>
      <c r="D73">
        <f>_xlfn.IFNA(INDEX(BYEs!E:E,MATCH(B73,BYEs!D:D,0)),"N/A")</f>
        <v>29</v>
      </c>
      <c r="E73">
        <f>INDEX(BYEs!$B$2:$B$34,MATCH(F73,BYEs!$A$2:$A$34,0))</f>
        <v>6</v>
      </c>
      <c r="F73" t="str">
        <f>WR_Raw!B70</f>
        <v>LAR</v>
      </c>
      <c r="G73" s="202">
        <v>0</v>
      </c>
      <c r="H73" s="203">
        <v>0</v>
      </c>
      <c r="I73" s="200">
        <f>WR_Raw!F70</f>
        <v>0.3</v>
      </c>
      <c r="J73" s="200">
        <f>WR_Raw!G70</f>
        <v>7.8</v>
      </c>
      <c r="K73" s="200">
        <f>WR_Raw!H70</f>
        <v>0</v>
      </c>
      <c r="L73" s="202">
        <f>WR_Raw!C70</f>
        <v>45.8</v>
      </c>
      <c r="M73" s="200">
        <f>WR_Raw!D70</f>
        <v>587.4</v>
      </c>
      <c r="N73" s="203">
        <f>WR_Raw!E70</f>
        <v>4.4000000000000004</v>
      </c>
      <c r="O73" s="200">
        <f>WR_Raw!I70</f>
        <v>0.6</v>
      </c>
      <c r="P73" s="204">
        <f t="shared" si="11"/>
        <v>107.62</v>
      </c>
      <c r="Q73" t="str">
        <f t="shared" ca="1" si="12"/>
        <v>Undrafted</v>
      </c>
      <c r="R73">
        <f t="shared" ca="1" si="13"/>
        <v>0</v>
      </c>
      <c r="S73">
        <f t="shared" ca="1" si="14"/>
        <v>-5.1400000000000006</v>
      </c>
      <c r="T73" s="84">
        <f t="shared" ca="1" si="15"/>
        <v>-0.84799490661413757</v>
      </c>
      <c r="U73" s="84">
        <f ca="1">T73*Auction!$A$2</f>
        <v>-0.84799490661413757</v>
      </c>
      <c r="V73" s="5" t="str">
        <f>IF(OR(INDEX(Auction!$H$13:$H$650,MATCH(B73,Auction!$A$13:$A$650,0))&gt;0,IFERROR(INDEX(CheatSheet!$V$5:$V$64,MATCH(B73,CheatSheet!$S$5:$S$64,0)),"")&lt;&gt;""),"Yes","No")</f>
        <v>No</v>
      </c>
      <c r="W73" s="175"/>
      <c r="Y73" s="113">
        <f t="shared" ca="1" si="16"/>
        <v>1</v>
      </c>
      <c r="Z73" s="174">
        <f t="shared" ca="1" si="17"/>
        <v>-2.5700000000000003</v>
      </c>
      <c r="AA73" t="str">
        <f t="shared" ca="1" si="18"/>
        <v>WR7</v>
      </c>
      <c r="AB73" s="174">
        <f ca="1">Z73*LeagueInfo!$H$5</f>
        <v>-0.82998195502293548</v>
      </c>
      <c r="AC73" s="174">
        <f ca="1">(Z73-AVERAGE(Z:$Z))/_xlfn.STDEV.P(Z:Z)</f>
        <v>0.25833677173855618</v>
      </c>
    </row>
    <row r="74" spans="1:29" x14ac:dyDescent="0.35">
      <c r="A74">
        <f t="shared" si="10"/>
        <v>72</v>
      </c>
      <c r="B74" t="str">
        <f>WR_Raw!A73</f>
        <v>Rashod Bateman</v>
      </c>
      <c r="C74" t="s">
        <v>32</v>
      </c>
      <c r="D74">
        <f>_xlfn.IFNA(INDEX(BYEs!E:E,MATCH(B74,BYEs!D:D,0)),"N/A")</f>
        <v>24</v>
      </c>
      <c r="E74">
        <f>INDEX(BYEs!$B$2:$B$34,MATCH(F74,BYEs!$A$2:$A$34,0))</f>
        <v>14</v>
      </c>
      <c r="F74" t="str">
        <f>WR_Raw!B73</f>
        <v>BAL</v>
      </c>
      <c r="G74" s="202">
        <v>0</v>
      </c>
      <c r="H74" s="203">
        <v>0</v>
      </c>
      <c r="I74" s="200">
        <f>WR_Raw!F73</f>
        <v>0.3</v>
      </c>
      <c r="J74" s="200">
        <f>WR_Raw!G73</f>
        <v>4.5</v>
      </c>
      <c r="K74" s="200">
        <f>WR_Raw!H73</f>
        <v>0</v>
      </c>
      <c r="L74" s="202">
        <f>WR_Raw!C73</f>
        <v>46.2</v>
      </c>
      <c r="M74" s="200">
        <f>WR_Raw!D73</f>
        <v>604.70000000000005</v>
      </c>
      <c r="N74" s="203">
        <f>WR_Raw!E73</f>
        <v>3.5</v>
      </c>
      <c r="O74" s="200">
        <f>WR_Raw!I73</f>
        <v>0.2</v>
      </c>
      <c r="P74" s="204">
        <f t="shared" si="11"/>
        <v>104.62</v>
      </c>
      <c r="Q74" t="str">
        <f t="shared" ca="1" si="12"/>
        <v>Undrafted</v>
      </c>
      <c r="R74">
        <f t="shared" ca="1" si="13"/>
        <v>0</v>
      </c>
      <c r="S74">
        <f t="shared" ca="1" si="14"/>
        <v>-8.14</v>
      </c>
      <c r="T74" s="84">
        <f t="shared" ca="1" si="15"/>
        <v>-1.3429335680620778</v>
      </c>
      <c r="U74" s="84">
        <f ca="1">T74*Auction!$A$2</f>
        <v>-1.3429335680620778</v>
      </c>
      <c r="V74" s="5" t="str">
        <f>IF(OR(INDEX(Auction!$H$13:$H$650,MATCH(B74,Auction!$A$13:$A$650,0))&gt;0,IFERROR(INDEX(CheatSheet!$V$5:$V$64,MATCH(B74,CheatSheet!$S$5:$S$64,0)),"")&lt;&gt;""),"Yes","No")</f>
        <v>No</v>
      </c>
      <c r="W74" s="175"/>
      <c r="Y74" s="113">
        <f t="shared" ca="1" si="16"/>
        <v>1</v>
      </c>
      <c r="Z74" s="174">
        <f t="shared" ca="1" si="17"/>
        <v>-4.07</v>
      </c>
      <c r="AA74" t="str">
        <f t="shared" ca="1" si="18"/>
        <v>WR7</v>
      </c>
      <c r="AB74" s="174">
        <f ca="1">Z74*LeagueInfo!$H$5</f>
        <v>-1.3144072206005244</v>
      </c>
      <c r="AC74" s="174">
        <f ca="1">(Z74-AVERAGE(Z:$Z))/_xlfn.STDEV.P(Z:Z)</f>
        <v>0.22091182626221559</v>
      </c>
    </row>
    <row r="75" spans="1:29" x14ac:dyDescent="0.35">
      <c r="A75">
        <f t="shared" si="10"/>
        <v>73</v>
      </c>
      <c r="B75" t="str">
        <f>WR_Raw!A71</f>
        <v>DJ Chark Jr.</v>
      </c>
      <c r="C75" t="s">
        <v>32</v>
      </c>
      <c r="D75">
        <f>_xlfn.IFNA(INDEX(BYEs!E:E,MATCH(B75,BYEs!D:D,0)),"N/A")</f>
        <v>27</v>
      </c>
      <c r="E75">
        <f>INDEX(BYEs!$B$2:$B$34,MATCH(F75,BYEs!$A$2:$A$34,0))</f>
        <v>5</v>
      </c>
      <c r="F75" t="str">
        <f>WR_Raw!B71</f>
        <v>LAC</v>
      </c>
      <c r="G75" s="202">
        <v>0</v>
      </c>
      <c r="H75" s="203">
        <v>0</v>
      </c>
      <c r="I75" s="200">
        <f>WR_Raw!F71</f>
        <v>0</v>
      </c>
      <c r="J75" s="200">
        <f>WR_Raw!G71</f>
        <v>1.8</v>
      </c>
      <c r="K75" s="200">
        <f>WR_Raw!H71</f>
        <v>0</v>
      </c>
      <c r="L75" s="202">
        <f>WR_Raw!C71</f>
        <v>39.1</v>
      </c>
      <c r="M75" s="200">
        <f>WR_Raw!D71</f>
        <v>560.5</v>
      </c>
      <c r="N75" s="203">
        <f>WR_Raw!E71</f>
        <v>4.7</v>
      </c>
      <c r="O75" s="200">
        <f>WR_Raw!I71</f>
        <v>0.5</v>
      </c>
      <c r="P75" s="204">
        <f t="shared" si="11"/>
        <v>102.98</v>
      </c>
      <c r="Q75" t="str">
        <f t="shared" ca="1" si="12"/>
        <v>Undrafted</v>
      </c>
      <c r="R75">
        <f t="shared" ca="1" si="13"/>
        <v>0</v>
      </c>
      <c r="S75">
        <f t="shared" ca="1" si="14"/>
        <v>-9.7800000000000011</v>
      </c>
      <c r="T75" s="84">
        <f t="shared" ca="1" si="15"/>
        <v>-1.6135000363202852</v>
      </c>
      <c r="U75" s="84">
        <f ca="1">T75*Auction!$A$2</f>
        <v>-1.6135000363202852</v>
      </c>
      <c r="V75" s="5" t="str">
        <f>IF(OR(INDEX(Auction!$H$13:$H$650,MATCH(B75,Auction!$A$13:$A$650,0))&gt;0,IFERROR(INDEX(CheatSheet!$V$5:$V$64,MATCH(B75,CheatSheet!$S$5:$S$64,0)),"")&lt;&gt;""),"Yes","No")</f>
        <v>No</v>
      </c>
      <c r="W75" s="175"/>
      <c r="Y75" s="113">
        <f t="shared" ca="1" si="16"/>
        <v>1</v>
      </c>
      <c r="Z75" s="174">
        <f t="shared" ca="1" si="17"/>
        <v>-4.8900000000000006</v>
      </c>
      <c r="AA75" t="str">
        <f t="shared" ca="1" si="18"/>
        <v>WR7</v>
      </c>
      <c r="AB75" s="174">
        <f ca="1">Z75*LeagueInfo!$H$5</f>
        <v>-1.5792263657829395</v>
      </c>
      <c r="AC75" s="174">
        <f ca="1">(Z75-AVERAGE(Z:$Z))/_xlfn.STDEV.P(Z:Z)</f>
        <v>0.2004528560684827</v>
      </c>
    </row>
    <row r="76" spans="1:29" x14ac:dyDescent="0.35">
      <c r="A76">
        <f t="shared" si="10"/>
        <v>74</v>
      </c>
      <c r="B76" t="str">
        <f>WR_Raw!A75</f>
        <v>Darius Slayton</v>
      </c>
      <c r="C76" t="s">
        <v>32</v>
      </c>
      <c r="D76">
        <f>_xlfn.IFNA(INDEX(BYEs!E:E,MATCH(B76,BYEs!D:D,0)),"N/A")</f>
        <v>27</v>
      </c>
      <c r="E76">
        <f>INDEX(BYEs!$B$2:$B$34,MATCH(F76,BYEs!$A$2:$A$34,0))</f>
        <v>11</v>
      </c>
      <c r="F76" t="str">
        <f>WR_Raw!B75</f>
        <v>NYG</v>
      </c>
      <c r="G76" s="202">
        <v>0</v>
      </c>
      <c r="H76" s="203">
        <v>0</v>
      </c>
      <c r="I76" s="200">
        <f>WR_Raw!F75</f>
        <v>0</v>
      </c>
      <c r="J76" s="200">
        <f>WR_Raw!G75</f>
        <v>1.3</v>
      </c>
      <c r="K76" s="200">
        <f>WR_Raw!H75</f>
        <v>0</v>
      </c>
      <c r="L76" s="202">
        <f>WR_Raw!C75</f>
        <v>43.4</v>
      </c>
      <c r="M76" s="200">
        <f>WR_Raw!D75</f>
        <v>612.5</v>
      </c>
      <c r="N76" s="203">
        <f>WR_Raw!E75</f>
        <v>3.2</v>
      </c>
      <c r="O76" s="200">
        <f>WR_Raw!I75</f>
        <v>0.1</v>
      </c>
      <c r="P76" s="204">
        <f t="shared" si="11"/>
        <v>102.08</v>
      </c>
      <c r="Q76" t="str">
        <f t="shared" ca="1" si="12"/>
        <v>Undrafted</v>
      </c>
      <c r="R76">
        <f t="shared" ca="1" si="13"/>
        <v>0</v>
      </c>
      <c r="S76">
        <f t="shared" ca="1" si="14"/>
        <v>-10.680000000000007</v>
      </c>
      <c r="T76" s="84">
        <f t="shared" ca="1" si="15"/>
        <v>-1.7619816347546682</v>
      </c>
      <c r="U76" s="84">
        <f ca="1">T76*Auction!$A$2</f>
        <v>-1.7619816347546682</v>
      </c>
      <c r="V76" s="5" t="str">
        <f>IF(OR(INDEX(Auction!$H$13:$H$650,MATCH(B76,Auction!$A$13:$A$650,0))&gt;0,IFERROR(INDEX(CheatSheet!$V$5:$V$64,MATCH(B76,CheatSheet!$S$5:$S$64,0)),"")&lt;&gt;""),"Yes","No")</f>
        <v>No</v>
      </c>
      <c r="W76" s="175"/>
      <c r="Y76" s="113">
        <f t="shared" ca="1" si="16"/>
        <v>1</v>
      </c>
      <c r="Z76" s="174">
        <f t="shared" ca="1" si="17"/>
        <v>-5.3400000000000034</v>
      </c>
      <c r="AA76" t="str">
        <f t="shared" ca="1" si="18"/>
        <v>WR7</v>
      </c>
      <c r="AB76" s="174">
        <f ca="1">Z76*LeagueInfo!$H$5</f>
        <v>-1.7245539454562171</v>
      </c>
      <c r="AC76" s="174">
        <f ca="1">(Z76-AVERAGE(Z:$Z))/_xlfn.STDEV.P(Z:Z)</f>
        <v>0.18922537242558046</v>
      </c>
    </row>
    <row r="77" spans="1:29" x14ac:dyDescent="0.35">
      <c r="A77">
        <f t="shared" si="10"/>
        <v>75</v>
      </c>
      <c r="B77" t="str">
        <f>WR_Raw!A76</f>
        <v>Xavier Legette</v>
      </c>
      <c r="C77" t="s">
        <v>32</v>
      </c>
      <c r="D77">
        <f>_xlfn.IFNA(INDEX(BYEs!E:E,MATCH(B77,BYEs!D:D,0)),"N/A")</f>
        <v>23</v>
      </c>
      <c r="E77">
        <f>INDEX(BYEs!$B$2:$B$34,MATCH(F77,BYEs!$A$2:$A$34,0))</f>
        <v>11</v>
      </c>
      <c r="F77" t="str">
        <f>WR_Raw!B76</f>
        <v>CAR</v>
      </c>
      <c r="G77" s="202">
        <v>0</v>
      </c>
      <c r="H77" s="203">
        <v>0</v>
      </c>
      <c r="I77" s="200">
        <f>WR_Raw!F76</f>
        <v>2.8</v>
      </c>
      <c r="J77" s="200">
        <f>WR_Raw!G76</f>
        <v>17.2</v>
      </c>
      <c r="K77" s="200">
        <f>WR_Raw!H76</f>
        <v>0.1</v>
      </c>
      <c r="L77" s="202">
        <f>WR_Raw!C76</f>
        <v>45.6</v>
      </c>
      <c r="M77" s="200">
        <f>WR_Raw!D76</f>
        <v>593.5</v>
      </c>
      <c r="N77" s="203">
        <f>WR_Raw!E76</f>
        <v>3</v>
      </c>
      <c r="O77" s="200">
        <f>WR_Raw!I76</f>
        <v>0.4</v>
      </c>
      <c r="P77" s="204">
        <f t="shared" si="11"/>
        <v>101.67</v>
      </c>
      <c r="Q77" t="str">
        <f t="shared" ca="1" si="12"/>
        <v>Undrafted</v>
      </c>
      <c r="R77">
        <f t="shared" ca="1" si="13"/>
        <v>0</v>
      </c>
      <c r="S77">
        <f t="shared" ca="1" si="14"/>
        <v>-11.090000000000003</v>
      </c>
      <c r="T77" s="84">
        <f t="shared" ca="1" si="15"/>
        <v>-1.8296232518192195</v>
      </c>
      <c r="U77" s="84">
        <f ca="1">T77*Auction!$A$2</f>
        <v>-1.8296232518192195</v>
      </c>
      <c r="V77" s="5" t="str">
        <f>IF(OR(INDEX(Auction!$H$13:$H$650,MATCH(B77,Auction!$A$13:$A$650,0))&gt;0,IFERROR(INDEX(CheatSheet!$V$5:$V$64,MATCH(B77,CheatSheet!$S$5:$S$64,0)),"")&lt;&gt;""),"Yes","No")</f>
        <v>No</v>
      </c>
      <c r="W77" s="175"/>
      <c r="Y77" s="113">
        <f t="shared" ca="1" si="16"/>
        <v>1</v>
      </c>
      <c r="Z77" s="174">
        <f t="shared" ca="1" si="17"/>
        <v>-5.5450000000000017</v>
      </c>
      <c r="AA77" t="str">
        <f t="shared" ca="1" si="18"/>
        <v>WR7</v>
      </c>
      <c r="AB77" s="174">
        <f ca="1">Z77*LeagueInfo!$H$5</f>
        <v>-1.7907587317518203</v>
      </c>
      <c r="AC77" s="174">
        <f ca="1">(Z77-AVERAGE(Z:$Z))/_xlfn.STDEV.P(Z:Z)</f>
        <v>0.18411062987714727</v>
      </c>
    </row>
    <row r="78" spans="1:29" x14ac:dyDescent="0.35">
      <c r="A78">
        <f t="shared" si="10"/>
        <v>76</v>
      </c>
      <c r="B78" t="str">
        <f>WR_Raw!A77</f>
        <v>Josh Reynolds</v>
      </c>
      <c r="C78" t="s">
        <v>32</v>
      </c>
      <c r="D78">
        <f>_xlfn.IFNA(INDEX(BYEs!E:E,MATCH(B78,BYEs!D:D,0)),"N/A")</f>
        <v>29</v>
      </c>
      <c r="E78">
        <f>INDEX(BYEs!$B$2:$B$34,MATCH(F78,BYEs!$A$2:$A$34,0))</f>
        <v>14</v>
      </c>
      <c r="F78" t="str">
        <f>WR_Raw!B77</f>
        <v>DEN</v>
      </c>
      <c r="G78" s="202">
        <v>0</v>
      </c>
      <c r="H78" s="203">
        <v>0</v>
      </c>
      <c r="I78" s="200">
        <f>WR_Raw!F77</f>
        <v>0</v>
      </c>
      <c r="J78" s="200">
        <f>WR_Raw!G77</f>
        <v>1.5</v>
      </c>
      <c r="K78" s="200">
        <f>WR_Raw!H77</f>
        <v>0</v>
      </c>
      <c r="L78" s="202">
        <f>WR_Raw!C77</f>
        <v>41</v>
      </c>
      <c r="M78" s="200">
        <f>WR_Raw!D77</f>
        <v>532.5</v>
      </c>
      <c r="N78" s="203">
        <f>WR_Raw!E77</f>
        <v>3.6</v>
      </c>
      <c r="O78" s="200">
        <f>WR_Raw!I77</f>
        <v>0.5</v>
      </c>
      <c r="P78" s="204">
        <f t="shared" si="11"/>
        <v>94.5</v>
      </c>
      <c r="Q78" t="str">
        <f t="shared" ca="1" si="12"/>
        <v>Undrafted</v>
      </c>
      <c r="R78">
        <f t="shared" ca="1" si="13"/>
        <v>0</v>
      </c>
      <c r="S78">
        <f t="shared" ca="1" si="14"/>
        <v>-18.260000000000005</v>
      </c>
      <c r="T78" s="84">
        <f t="shared" ca="1" si="15"/>
        <v>-3.0125266526797967</v>
      </c>
      <c r="U78" s="84">
        <f ca="1">T78*Auction!$A$2</f>
        <v>-3.0125266526797967</v>
      </c>
      <c r="V78" s="5" t="str">
        <f>IF(OR(INDEX(Auction!$H$13:$H$650,MATCH(B78,Auction!$A$13:$A$650,0))&gt;0,IFERROR(INDEX(CheatSheet!$V$5:$V$64,MATCH(B78,CheatSheet!$S$5:$S$64,0)),"")&lt;&gt;""),"Yes","No")</f>
        <v>No</v>
      </c>
      <c r="W78" s="175"/>
      <c r="Y78" s="113">
        <f t="shared" ca="1" si="16"/>
        <v>1</v>
      </c>
      <c r="Z78" s="174">
        <f t="shared" ca="1" si="17"/>
        <v>-9.1300000000000026</v>
      </c>
      <c r="AA78" t="str">
        <f t="shared" ca="1" si="18"/>
        <v>WR7</v>
      </c>
      <c r="AB78" s="174">
        <f ca="1">Z78*LeagueInfo!$H$5</f>
        <v>-2.9485351164822577</v>
      </c>
      <c r="AC78" s="174">
        <f ca="1">(Z78-AVERAGE(Z:$Z))/_xlfn.STDEV.P(Z:Z)</f>
        <v>9.4665010188693194E-2</v>
      </c>
    </row>
    <row r="79" spans="1:29" x14ac:dyDescent="0.35">
      <c r="A79">
        <f t="shared" si="10"/>
        <v>77</v>
      </c>
      <c r="B79" t="str">
        <f>WR_Raw!A79</f>
        <v>Jalen McMillan</v>
      </c>
      <c r="C79" t="s">
        <v>32</v>
      </c>
      <c r="D79">
        <f>_xlfn.IFNA(INDEX(BYEs!E:E,MATCH(B79,BYEs!D:D,0)),"N/A")</f>
        <v>22</v>
      </c>
      <c r="E79">
        <f>INDEX(BYEs!$B$2:$B$34,MATCH(F79,BYEs!$A$2:$A$34,0))</f>
        <v>11</v>
      </c>
      <c r="F79" t="str">
        <f>WR_Raw!B79</f>
        <v>TB</v>
      </c>
      <c r="G79" s="202">
        <v>0</v>
      </c>
      <c r="H79" s="203">
        <v>0</v>
      </c>
      <c r="I79" s="200">
        <f>WR_Raw!F79</f>
        <v>0.7</v>
      </c>
      <c r="J79" s="200">
        <f>WR_Raw!G79</f>
        <v>7.5</v>
      </c>
      <c r="K79" s="200">
        <f>WR_Raw!H79</f>
        <v>0</v>
      </c>
      <c r="L79" s="202">
        <f>WR_Raw!C79</f>
        <v>43.8</v>
      </c>
      <c r="M79" s="200">
        <f>WR_Raw!D79</f>
        <v>523.70000000000005</v>
      </c>
      <c r="N79" s="203">
        <f>WR_Raw!E79</f>
        <v>3.3</v>
      </c>
      <c r="O79" s="200">
        <f>WR_Raw!I79</f>
        <v>0.8</v>
      </c>
      <c r="P79" s="204">
        <f t="shared" si="11"/>
        <v>93.220000000000013</v>
      </c>
      <c r="Q79" t="str">
        <f t="shared" ca="1" si="12"/>
        <v>Undrafted</v>
      </c>
      <c r="R79">
        <f t="shared" ca="1" si="13"/>
        <v>0</v>
      </c>
      <c r="S79">
        <f t="shared" ca="1" si="14"/>
        <v>-19.539999999999992</v>
      </c>
      <c r="T79" s="84">
        <f t="shared" ca="1" si="15"/>
        <v>-3.2237004815642489</v>
      </c>
      <c r="U79" s="84">
        <f ca="1">T79*Auction!$A$2</f>
        <v>-3.2237004815642489</v>
      </c>
      <c r="V79" s="5" t="str">
        <f>IF(OR(INDEX(Auction!$H$13:$H$650,MATCH(B79,Auction!$A$13:$A$650,0))&gt;0,IFERROR(INDEX(CheatSheet!$V$5:$V$64,MATCH(B79,CheatSheet!$S$5:$S$64,0)),"")&lt;&gt;""),"Yes","No")</f>
        <v>No</v>
      </c>
      <c r="W79" s="175"/>
      <c r="Y79" s="113">
        <f t="shared" ca="1" si="16"/>
        <v>1</v>
      </c>
      <c r="Z79" s="174">
        <f t="shared" ca="1" si="17"/>
        <v>-9.769999999999996</v>
      </c>
      <c r="AA79" t="str">
        <f t="shared" ca="1" si="18"/>
        <v>WR7</v>
      </c>
      <c r="AB79" s="174">
        <f ca="1">Z79*LeagueInfo!$H$5</f>
        <v>-3.1552232297953604</v>
      </c>
      <c r="AC79" s="174">
        <f ca="1">(Z79-AVERAGE(Z:$Z))/_xlfn.STDEV.P(Z:Z)</f>
        <v>7.8697033452121354E-2</v>
      </c>
    </row>
    <row r="80" spans="1:29" x14ac:dyDescent="0.35">
      <c r="A80">
        <f t="shared" si="10"/>
        <v>78</v>
      </c>
      <c r="B80" t="str">
        <f>WR_Raw!A78</f>
        <v>Marvin Mims Jr.</v>
      </c>
      <c r="C80" t="s">
        <v>32</v>
      </c>
      <c r="D80">
        <f>_xlfn.IFNA(INDEX(BYEs!E:E,MATCH(B80,BYEs!D:D,0)),"N/A")</f>
        <v>22</v>
      </c>
      <c r="E80">
        <f>INDEX(BYEs!$B$2:$B$34,MATCH(F80,BYEs!$A$2:$A$34,0))</f>
        <v>14</v>
      </c>
      <c r="F80" t="str">
        <f>WR_Raw!B78</f>
        <v>DEN</v>
      </c>
      <c r="G80" s="202">
        <v>0</v>
      </c>
      <c r="H80" s="203">
        <v>0</v>
      </c>
      <c r="I80" s="200">
        <f>WR_Raw!F78</f>
        <v>3.9</v>
      </c>
      <c r="J80" s="200">
        <f>WR_Raw!G78</f>
        <v>23.5</v>
      </c>
      <c r="K80" s="200">
        <f>WR_Raw!H78</f>
        <v>0.1</v>
      </c>
      <c r="L80" s="202">
        <f>WR_Raw!C78</f>
        <v>41.2</v>
      </c>
      <c r="M80" s="200">
        <f>WR_Raw!D78</f>
        <v>541.20000000000005</v>
      </c>
      <c r="N80" s="203">
        <f>WR_Raw!E78</f>
        <v>2.6</v>
      </c>
      <c r="O80" s="200">
        <f>WR_Raw!I78</f>
        <v>0.3</v>
      </c>
      <c r="P80" s="204">
        <f t="shared" si="11"/>
        <v>92.670000000000016</v>
      </c>
      <c r="Q80" t="str">
        <f t="shared" ca="1" si="12"/>
        <v>Undrafted</v>
      </c>
      <c r="R80">
        <f t="shared" ca="1" si="13"/>
        <v>0</v>
      </c>
      <c r="S80">
        <f t="shared" ca="1" si="14"/>
        <v>-20.089999999999989</v>
      </c>
      <c r="T80" s="84">
        <f t="shared" ca="1" si="15"/>
        <v>-3.3144392361630377</v>
      </c>
      <c r="U80" s="84">
        <f ca="1">T80*Auction!$A$2</f>
        <v>-3.3144392361630377</v>
      </c>
      <c r="V80" s="5" t="str">
        <f>IF(OR(INDEX(Auction!$H$13:$H$650,MATCH(B80,Auction!$A$13:$A$650,0))&gt;0,IFERROR(INDEX(CheatSheet!$V$5:$V$64,MATCH(B80,CheatSheet!$S$5:$S$64,0)),"")&lt;&gt;""),"Yes","No")</f>
        <v>No</v>
      </c>
      <c r="W80" s="175"/>
      <c r="Y80" s="113">
        <f t="shared" ca="1" si="16"/>
        <v>1</v>
      </c>
      <c r="Z80" s="174">
        <f t="shared" ca="1" si="17"/>
        <v>-10.044999999999995</v>
      </c>
      <c r="AA80" t="str">
        <f t="shared" ca="1" si="18"/>
        <v>WR7</v>
      </c>
      <c r="AB80" s="174">
        <f ca="1">Z80*LeagueInfo!$H$5</f>
        <v>-3.2440345284845846</v>
      </c>
      <c r="AC80" s="174">
        <f ca="1">(Z80-AVERAGE(Z:$Z))/_xlfn.STDEV.P(Z:Z)</f>
        <v>7.1835793448125615E-2</v>
      </c>
    </row>
    <row r="81" spans="1:29" x14ac:dyDescent="0.35">
      <c r="A81">
        <f t="shared" si="10"/>
        <v>79</v>
      </c>
      <c r="B81" t="str">
        <f>WR_Raw!A80</f>
        <v>Quentin Johnston</v>
      </c>
      <c r="C81" t="s">
        <v>32</v>
      </c>
      <c r="D81">
        <f>_xlfn.IFNA(INDEX(BYEs!E:E,MATCH(B81,BYEs!D:D,0)),"N/A")</f>
        <v>22</v>
      </c>
      <c r="E81">
        <f>INDEX(BYEs!$B$2:$B$34,MATCH(F81,BYEs!$A$2:$A$34,0))</f>
        <v>5</v>
      </c>
      <c r="F81" t="str">
        <f>WR_Raw!B80</f>
        <v>LAC</v>
      </c>
      <c r="G81" s="202">
        <v>0</v>
      </c>
      <c r="H81" s="203">
        <v>0</v>
      </c>
      <c r="I81" s="200">
        <f>WR_Raw!F80</f>
        <v>1.7</v>
      </c>
      <c r="J81" s="200">
        <f>WR_Raw!G80</f>
        <v>6.8</v>
      </c>
      <c r="K81" s="200">
        <f>WR_Raw!H80</f>
        <v>0</v>
      </c>
      <c r="L81" s="202">
        <f>WR_Raw!C80</f>
        <v>40.6</v>
      </c>
      <c r="M81" s="200">
        <f>WR_Raw!D80</f>
        <v>504.5</v>
      </c>
      <c r="N81" s="203">
        <f>WR_Raw!E80</f>
        <v>3.2</v>
      </c>
      <c r="O81" s="200">
        <f>WR_Raw!I80</f>
        <v>0.1</v>
      </c>
      <c r="P81" s="204">
        <f t="shared" si="11"/>
        <v>90.43</v>
      </c>
      <c r="Q81" t="str">
        <f t="shared" ca="1" si="12"/>
        <v>Undrafted</v>
      </c>
      <c r="R81">
        <f t="shared" ca="1" si="13"/>
        <v>0</v>
      </c>
      <c r="S81">
        <f t="shared" ca="1" si="14"/>
        <v>-22.33</v>
      </c>
      <c r="T81" s="84">
        <f t="shared" ca="1" si="15"/>
        <v>-3.6839934367108347</v>
      </c>
      <c r="U81" s="84">
        <f ca="1">T81*Auction!$A$2</f>
        <v>-3.6839934367108347</v>
      </c>
      <c r="V81" s="5" t="str">
        <f>IF(OR(INDEX(Auction!$H$13:$H$650,MATCH(B81,Auction!$A$13:$A$650,0))&gt;0,IFERROR(INDEX(CheatSheet!$V$5:$V$64,MATCH(B81,CheatSheet!$S$5:$S$64,0)),"")&lt;&gt;""),"Yes","No")</f>
        <v>No</v>
      </c>
      <c r="W81" s="175"/>
      <c r="Y81" s="113">
        <f t="shared" ca="1" si="16"/>
        <v>1</v>
      </c>
      <c r="Z81" s="174">
        <f t="shared" ca="1" si="17"/>
        <v>-11.164999999999999</v>
      </c>
      <c r="AA81" t="str">
        <f t="shared" ca="1" si="18"/>
        <v>WR7</v>
      </c>
      <c r="AB81" s="174">
        <f ca="1">Z81*LeagueInfo!$H$5</f>
        <v>-3.6057387267825187</v>
      </c>
      <c r="AC81" s="174">
        <f ca="1">(Z81-AVERAGE(Z:$Z))/_xlfn.STDEV.P(Z:Z)</f>
        <v>4.389183415912451E-2</v>
      </c>
    </row>
    <row r="82" spans="1:29" x14ac:dyDescent="0.35">
      <c r="A82">
        <f t="shared" si="10"/>
        <v>80</v>
      </c>
      <c r="B82" t="str">
        <f>WR_Raw!A82</f>
        <v>Jalin Hyatt</v>
      </c>
      <c r="C82" t="s">
        <v>32</v>
      </c>
      <c r="D82">
        <f>_xlfn.IFNA(INDEX(BYEs!E:E,MATCH(B82,BYEs!D:D,0)),"N/A")</f>
        <v>22</v>
      </c>
      <c r="E82">
        <f>INDEX(BYEs!$B$2:$B$34,MATCH(F82,BYEs!$A$2:$A$34,0))</f>
        <v>11</v>
      </c>
      <c r="F82" t="str">
        <f>WR_Raw!B82</f>
        <v>NYG</v>
      </c>
      <c r="G82" s="202">
        <v>0</v>
      </c>
      <c r="H82" s="203">
        <v>0</v>
      </c>
      <c r="I82" s="200">
        <f>WR_Raw!F82</f>
        <v>0</v>
      </c>
      <c r="J82" s="200">
        <f>WR_Raw!G82</f>
        <v>1</v>
      </c>
      <c r="K82" s="200">
        <f>WR_Raw!H82</f>
        <v>0</v>
      </c>
      <c r="L82" s="202">
        <f>WR_Raw!C82</f>
        <v>43.2</v>
      </c>
      <c r="M82" s="200">
        <f>WR_Raw!D82</f>
        <v>539.70000000000005</v>
      </c>
      <c r="N82" s="203">
        <f>WR_Raw!E82</f>
        <v>2.5</v>
      </c>
      <c r="O82" s="200">
        <f>WR_Raw!I82</f>
        <v>0.3</v>
      </c>
      <c r="P82" s="204">
        <f t="shared" si="11"/>
        <v>90.070000000000022</v>
      </c>
      <c r="Q82" t="str">
        <f t="shared" ca="1" si="12"/>
        <v>Undrafted</v>
      </c>
      <c r="R82">
        <f t="shared" ca="1" si="13"/>
        <v>0</v>
      </c>
      <c r="S82">
        <f t="shared" ca="1" si="14"/>
        <v>-22.689999999999984</v>
      </c>
      <c r="T82" s="84">
        <f t="shared" ca="1" si="15"/>
        <v>-3.743386076084585</v>
      </c>
      <c r="U82" s="84">
        <f ca="1">T82*Auction!$A$2</f>
        <v>-3.743386076084585</v>
      </c>
      <c r="V82" s="5" t="str">
        <f>IF(OR(INDEX(Auction!$H$13:$H$650,MATCH(B82,Auction!$A$13:$A$650,0))&gt;0,IFERROR(INDEX(CheatSheet!$V$5:$V$64,MATCH(B82,CheatSheet!$S$5:$S$64,0)),"")&lt;&gt;""),"Yes","No")</f>
        <v>No</v>
      </c>
      <c r="W82" s="175"/>
      <c r="Y82" s="113">
        <f t="shared" ca="1" si="16"/>
        <v>1</v>
      </c>
      <c r="Z82" s="174">
        <f t="shared" ca="1" si="17"/>
        <v>-11.344999999999992</v>
      </c>
      <c r="AA82" t="str">
        <f t="shared" ca="1" si="18"/>
        <v>WR7</v>
      </c>
      <c r="AB82" s="174">
        <f ca="1">Z82*LeagueInfo!$H$5</f>
        <v>-3.6638697586518272</v>
      </c>
      <c r="AC82" s="174">
        <f ca="1">(Z82-AVERAGE(Z:$Z))/_xlfn.STDEV.P(Z:Z)</f>
        <v>3.940084070196382E-2</v>
      </c>
    </row>
    <row r="83" spans="1:29" x14ac:dyDescent="0.35">
      <c r="A83">
        <f t="shared" si="10"/>
        <v>81</v>
      </c>
      <c r="B83" t="str">
        <f>WR_Raw!A84</f>
        <v>Tyler Boyd</v>
      </c>
      <c r="C83" t="s">
        <v>32</v>
      </c>
      <c r="D83">
        <f>_xlfn.IFNA(INDEX(BYEs!E:E,MATCH(B83,BYEs!D:D,0)),"N/A")</f>
        <v>29</v>
      </c>
      <c r="E83">
        <f>INDEX(BYEs!$B$2:$B$34,MATCH(F83,BYEs!$A$2:$A$34,0))</f>
        <v>5</v>
      </c>
      <c r="F83" t="str">
        <f>WR_Raw!B84</f>
        <v>TEN</v>
      </c>
      <c r="G83" s="202">
        <v>0</v>
      </c>
      <c r="H83" s="203">
        <v>0</v>
      </c>
      <c r="I83" s="200">
        <f>WR_Raw!F84</f>
        <v>1.3</v>
      </c>
      <c r="J83" s="200">
        <f>WR_Raw!G84</f>
        <v>7.6</v>
      </c>
      <c r="K83" s="200">
        <f>WR_Raw!H84</f>
        <v>0</v>
      </c>
      <c r="L83" s="202">
        <f>WR_Raw!C84</f>
        <v>47.4</v>
      </c>
      <c r="M83" s="200">
        <f>WR_Raw!D84</f>
        <v>512.20000000000005</v>
      </c>
      <c r="N83" s="203">
        <f>WR_Raw!E84</f>
        <v>2.5</v>
      </c>
      <c r="O83" s="200">
        <f>WR_Raw!I84</f>
        <v>0.5</v>
      </c>
      <c r="P83" s="204">
        <f t="shared" si="11"/>
        <v>89.68</v>
      </c>
      <c r="Q83" t="str">
        <f t="shared" ca="1" si="12"/>
        <v>Undrafted</v>
      </c>
      <c r="R83">
        <f t="shared" ca="1" si="13"/>
        <v>0</v>
      </c>
      <c r="S83">
        <f t="shared" ca="1" si="14"/>
        <v>-23.08</v>
      </c>
      <c r="T83" s="84">
        <f t="shared" ca="1" si="15"/>
        <v>-3.8077281020728195</v>
      </c>
      <c r="U83" s="84">
        <f ca="1">T83*Auction!$A$2</f>
        <v>-3.8077281020728195</v>
      </c>
      <c r="V83" s="5" t="str">
        <f>IF(OR(INDEX(Auction!$H$13:$H$650,MATCH(B83,Auction!$A$13:$A$650,0))&gt;0,IFERROR(INDEX(CheatSheet!$V$5:$V$64,MATCH(B83,CheatSheet!$S$5:$S$64,0)),"")&lt;&gt;""),"Yes","No")</f>
        <v>No</v>
      </c>
      <c r="W83" s="175"/>
      <c r="Y83" s="113">
        <f t="shared" ca="1" si="16"/>
        <v>1</v>
      </c>
      <c r="Z83" s="174">
        <f t="shared" ca="1" si="17"/>
        <v>-11.54</v>
      </c>
      <c r="AA83" t="str">
        <f t="shared" ca="1" si="18"/>
        <v>WR7</v>
      </c>
      <c r="AB83" s="174">
        <f ca="1">Z83*LeagueInfo!$H$5</f>
        <v>-3.7268450431769162</v>
      </c>
      <c r="AC83" s="174">
        <f ca="1">(Z83-AVERAGE(Z:$Z))/_xlfn.STDEV.P(Z:Z)</f>
        <v>3.4535597790039355E-2</v>
      </c>
    </row>
    <row r="84" spans="1:29" x14ac:dyDescent="0.35">
      <c r="A84">
        <f t="shared" si="10"/>
        <v>82</v>
      </c>
      <c r="B84" t="str">
        <f>WR_Raw!A81</f>
        <v>Ricky Pearsall</v>
      </c>
      <c r="C84" t="s">
        <v>32</v>
      </c>
      <c r="D84">
        <f>_xlfn.IFNA(INDEX(BYEs!E:E,MATCH(B84,BYEs!D:D,0)),"N/A")</f>
        <v>23</v>
      </c>
      <c r="E84">
        <f>INDEX(BYEs!$B$2:$B$34,MATCH(F84,BYEs!$A$2:$A$34,0))</f>
        <v>9</v>
      </c>
      <c r="F84" t="str">
        <f>WR_Raw!B81</f>
        <v>SF</v>
      </c>
      <c r="G84" s="202">
        <v>0</v>
      </c>
      <c r="H84" s="203">
        <v>0</v>
      </c>
      <c r="I84" s="200">
        <f>WR_Raw!F81</f>
        <v>2.2000000000000002</v>
      </c>
      <c r="J84" s="200">
        <f>WR_Raw!G81</f>
        <v>14.5</v>
      </c>
      <c r="K84" s="200">
        <f>WR_Raw!H81</f>
        <v>0.1</v>
      </c>
      <c r="L84" s="202">
        <f>WR_Raw!C81</f>
        <v>37</v>
      </c>
      <c r="M84" s="200">
        <f>WR_Raw!D81</f>
        <v>477.8</v>
      </c>
      <c r="N84" s="203">
        <f>WR_Raw!E81</f>
        <v>3.5</v>
      </c>
      <c r="O84" s="200">
        <f>WR_Raw!I81</f>
        <v>0.7</v>
      </c>
      <c r="P84" s="204">
        <f t="shared" si="11"/>
        <v>87.929999999999993</v>
      </c>
      <c r="Q84" t="str">
        <f t="shared" ca="1" si="12"/>
        <v>Undrafted</v>
      </c>
      <c r="R84">
        <f t="shared" ca="1" si="13"/>
        <v>0</v>
      </c>
      <c r="S84">
        <f t="shared" ca="1" si="14"/>
        <v>-24.830000000000013</v>
      </c>
      <c r="T84" s="84">
        <f t="shared" ca="1" si="15"/>
        <v>-4.0964423212507874</v>
      </c>
      <c r="U84" s="84">
        <f ca="1">T84*Auction!$A$2</f>
        <v>-4.0964423212507874</v>
      </c>
      <c r="V84" s="5" t="str">
        <f>IF(OR(INDEX(Auction!$H$13:$H$650,MATCH(B84,Auction!$A$13:$A$650,0))&gt;0,IFERROR(INDEX(CheatSheet!$V$5:$V$64,MATCH(B84,CheatSheet!$S$5:$S$64,0)),"")&lt;&gt;""),"Yes","No")</f>
        <v>No</v>
      </c>
      <c r="W84" s="175"/>
      <c r="Y84" s="113">
        <f t="shared" ca="1" si="16"/>
        <v>1</v>
      </c>
      <c r="Z84" s="174">
        <f t="shared" ca="1" si="17"/>
        <v>-12.415000000000006</v>
      </c>
      <c r="AA84" t="str">
        <f t="shared" ca="1" si="18"/>
        <v>WR7</v>
      </c>
      <c r="AB84" s="174">
        <f ca="1">Z84*LeagueInfo!$H$5</f>
        <v>-4.0094264480971784</v>
      </c>
      <c r="AC84" s="174">
        <f ca="1">(Z84-AVERAGE(Z:$Z))/_xlfn.STDEV.P(Z:Z)</f>
        <v>1.2704379595507152E-2</v>
      </c>
    </row>
    <row r="85" spans="1:29" x14ac:dyDescent="0.35">
      <c r="A85">
        <f t="shared" si="10"/>
        <v>83</v>
      </c>
      <c r="B85" t="str">
        <f>WR_Raw!A83</f>
        <v>Kendrick Bourne</v>
      </c>
      <c r="C85" t="s">
        <v>32</v>
      </c>
      <c r="D85">
        <f>_xlfn.IFNA(INDEX(BYEs!E:E,MATCH(B85,BYEs!D:D,0)),"N/A")</f>
        <v>29</v>
      </c>
      <c r="E85">
        <f>INDEX(BYEs!$B$2:$B$34,MATCH(F85,BYEs!$A$2:$A$34,0))</f>
        <v>14</v>
      </c>
      <c r="F85" t="str">
        <f>WR_Raw!B83</f>
        <v>NE</v>
      </c>
      <c r="G85" s="202">
        <v>0</v>
      </c>
      <c r="H85" s="203">
        <v>0</v>
      </c>
      <c r="I85" s="200">
        <f>WR_Raw!F83</f>
        <v>2.8</v>
      </c>
      <c r="J85" s="200">
        <f>WR_Raw!G83</f>
        <v>17.100000000000001</v>
      </c>
      <c r="K85" s="200">
        <f>WR_Raw!H83</f>
        <v>0</v>
      </c>
      <c r="L85" s="202">
        <f>WR_Raw!C83</f>
        <v>39.1</v>
      </c>
      <c r="M85" s="200">
        <f>WR_Raw!D83</f>
        <v>471.3</v>
      </c>
      <c r="N85" s="203">
        <f>WR_Raw!E83</f>
        <v>3.1</v>
      </c>
      <c r="O85" s="200">
        <f>WR_Raw!I83</f>
        <v>0.5</v>
      </c>
      <c r="P85" s="204">
        <f t="shared" si="11"/>
        <v>85.990000000000009</v>
      </c>
      <c r="Q85" t="str">
        <f t="shared" ca="1" si="12"/>
        <v>Undrafted</v>
      </c>
      <c r="R85">
        <f t="shared" ca="1" si="13"/>
        <v>0</v>
      </c>
      <c r="S85">
        <f t="shared" ca="1" si="14"/>
        <v>-26.769999999999996</v>
      </c>
      <c r="T85" s="84">
        <f t="shared" ca="1" si="15"/>
        <v>-4.4165026556537859</v>
      </c>
      <c r="U85" s="84">
        <f ca="1">T85*Auction!$A$2</f>
        <v>-4.4165026556537859</v>
      </c>
      <c r="V85" s="5" t="str">
        <f>IF(OR(INDEX(Auction!$H$13:$H$650,MATCH(B85,Auction!$A$13:$A$650,0))&gt;0,IFERROR(INDEX(CheatSheet!$V$5:$V$64,MATCH(B85,CheatSheet!$S$5:$S$64,0)),"")&lt;&gt;""),"Yes","No")</f>
        <v>No</v>
      </c>
      <c r="W85" s="175"/>
      <c r="Y85" s="113">
        <f t="shared" ca="1" si="16"/>
        <v>1</v>
      </c>
      <c r="Z85" s="174">
        <f t="shared" ca="1" si="17"/>
        <v>-13.384999999999998</v>
      </c>
      <c r="AA85" t="str">
        <f t="shared" ca="1" si="18"/>
        <v>WR8</v>
      </c>
      <c r="AB85" s="174">
        <f ca="1">Z85*LeagueInfo!$H$5</f>
        <v>-4.3226881198373501</v>
      </c>
      <c r="AC85" s="174">
        <f ca="1">(Z85-AVERAGE(Z:$Z))/_xlfn.STDEV.P(Z:Z)</f>
        <v>-1.1497085145859573E-2</v>
      </c>
    </row>
    <row r="86" spans="1:29" x14ac:dyDescent="0.35">
      <c r="A86">
        <f t="shared" si="10"/>
        <v>84</v>
      </c>
      <c r="B86" t="str">
        <f>WR_Raw!A85</f>
        <v>Tim Patrick</v>
      </c>
      <c r="C86" t="s">
        <v>32</v>
      </c>
      <c r="D86">
        <f>_xlfn.IFNA(INDEX(BYEs!E:E,MATCH(B86,BYEs!D:D,0)),"N/A")</f>
        <v>30</v>
      </c>
      <c r="E86">
        <f>INDEX(BYEs!$B$2:$B$34,MATCH(F86,BYEs!$A$2:$A$34,0))</f>
        <v>5</v>
      </c>
      <c r="F86" t="str">
        <f>WR_Raw!B85</f>
        <v>DET</v>
      </c>
      <c r="G86" s="202">
        <v>0</v>
      </c>
      <c r="H86" s="203">
        <v>0</v>
      </c>
      <c r="I86" s="200">
        <f>WR_Raw!F85</f>
        <v>0</v>
      </c>
      <c r="J86" s="200">
        <f>WR_Raw!G85</f>
        <v>9</v>
      </c>
      <c r="K86" s="200">
        <f>WR_Raw!H85</f>
        <v>0</v>
      </c>
      <c r="L86" s="202">
        <f>WR_Raw!C85</f>
        <v>38</v>
      </c>
      <c r="M86" s="200">
        <f>WR_Raw!D85</f>
        <v>467</v>
      </c>
      <c r="N86" s="203">
        <f>WR_Raw!E85</f>
        <v>3</v>
      </c>
      <c r="O86" s="200">
        <f>WR_Raw!I85</f>
        <v>0</v>
      </c>
      <c r="P86" s="204">
        <f t="shared" si="11"/>
        <v>84.6</v>
      </c>
      <c r="Q86" t="str">
        <f t="shared" ca="1" si="12"/>
        <v>Undrafted</v>
      </c>
      <c r="R86">
        <f t="shared" ca="1" si="13"/>
        <v>0</v>
      </c>
      <c r="S86">
        <f t="shared" ca="1" si="14"/>
        <v>-28.160000000000011</v>
      </c>
      <c r="T86" s="84">
        <f t="shared" ca="1" si="15"/>
        <v>-4.6458242354579999</v>
      </c>
      <c r="U86" s="84">
        <f ca="1">T86*Auction!$A$2</f>
        <v>-4.6458242354579999</v>
      </c>
      <c r="V86" s="5" t="str">
        <f>IF(OR(INDEX(Auction!$H$13:$H$650,MATCH(B86,Auction!$A$13:$A$650,0))&gt;0,IFERROR(INDEX(CheatSheet!$V$5:$V$64,MATCH(B86,CheatSheet!$S$5:$S$64,0)),"")&lt;&gt;""),"Yes","No")</f>
        <v>No</v>
      </c>
      <c r="W86" s="175"/>
      <c r="Y86" s="113">
        <f t="shared" ca="1" si="16"/>
        <v>1</v>
      </c>
      <c r="Z86" s="174">
        <f t="shared" ca="1" si="17"/>
        <v>-14.080000000000005</v>
      </c>
      <c r="AA86" t="str">
        <f t="shared" ca="1" si="18"/>
        <v>WR8</v>
      </c>
      <c r="AB86" s="174">
        <f ca="1">Z86*LeagueInfo!$H$5</f>
        <v>-4.5471384928883021</v>
      </c>
      <c r="AC86" s="174">
        <f ca="1">(Z86-AVERAGE(Z:$Z))/_xlfn.STDEV.P(Z:Z)</f>
        <v>-2.883730988323091E-2</v>
      </c>
    </row>
    <row r="87" spans="1:29" x14ac:dyDescent="0.35">
      <c r="A87">
        <f t="shared" si="10"/>
        <v>85</v>
      </c>
      <c r="B87" t="str">
        <f>WR_Raw!A86</f>
        <v>Roman Wilson</v>
      </c>
      <c r="C87" t="s">
        <v>32</v>
      </c>
      <c r="D87">
        <f>_xlfn.IFNA(INDEX(BYEs!E:E,MATCH(B87,BYEs!D:D,0)),"N/A")</f>
        <v>23</v>
      </c>
      <c r="E87">
        <f>INDEX(BYEs!$B$2:$B$34,MATCH(F87,BYEs!$A$2:$A$34,0))</f>
        <v>9</v>
      </c>
      <c r="F87" t="str">
        <f>WR_Raw!B86</f>
        <v>PIT</v>
      </c>
      <c r="G87" s="202">
        <v>0</v>
      </c>
      <c r="H87" s="203">
        <v>0</v>
      </c>
      <c r="I87" s="200">
        <f>WR_Raw!F86</f>
        <v>0.7</v>
      </c>
      <c r="J87" s="200">
        <f>WR_Raw!G86</f>
        <v>10</v>
      </c>
      <c r="K87" s="200">
        <f>WR_Raw!H86</f>
        <v>0</v>
      </c>
      <c r="L87" s="202">
        <f>WR_Raw!C86</f>
        <v>37</v>
      </c>
      <c r="M87" s="200">
        <f>WR_Raw!D86</f>
        <v>479.9</v>
      </c>
      <c r="N87" s="203">
        <f>WR_Raw!E86</f>
        <v>2.8</v>
      </c>
      <c r="O87" s="200">
        <f>WR_Raw!I86</f>
        <v>0.4</v>
      </c>
      <c r="P87" s="204">
        <f t="shared" si="11"/>
        <v>83.490000000000009</v>
      </c>
      <c r="Q87" t="str">
        <f t="shared" ca="1" si="12"/>
        <v>Undrafted</v>
      </c>
      <c r="R87">
        <f t="shared" ca="1" si="13"/>
        <v>0</v>
      </c>
      <c r="S87">
        <f t="shared" ca="1" si="14"/>
        <v>-29.269999999999996</v>
      </c>
      <c r="T87" s="84">
        <f t="shared" ca="1" si="15"/>
        <v>-4.828951540193736</v>
      </c>
      <c r="U87" s="84">
        <f ca="1">T87*Auction!$A$2</f>
        <v>-4.828951540193736</v>
      </c>
      <c r="V87" s="5" t="str">
        <f>IF(OR(INDEX(Auction!$H$13:$H$650,MATCH(B87,Auction!$A$13:$A$650,0))&gt;0,IFERROR(INDEX(CheatSheet!$V$5:$V$64,MATCH(B87,CheatSheet!$S$5:$S$64,0)),"")&lt;&gt;""),"Yes","No")</f>
        <v>No</v>
      </c>
      <c r="W87" s="175"/>
      <c r="Y87" s="113">
        <f t="shared" ca="1" si="16"/>
        <v>1</v>
      </c>
      <c r="Z87" s="174">
        <f t="shared" ca="1" si="17"/>
        <v>-14.634999999999998</v>
      </c>
      <c r="AA87" t="str">
        <f t="shared" ca="1" si="18"/>
        <v>WR8</v>
      </c>
      <c r="AB87" s="174">
        <f ca="1">Z87*LeagueInfo!$H$5</f>
        <v>-4.7263758411520076</v>
      </c>
      <c r="AC87" s="174">
        <f ca="1">(Z87-AVERAGE(Z:$Z))/_xlfn.STDEV.P(Z:Z)</f>
        <v>-4.2684539709476749E-2</v>
      </c>
    </row>
    <row r="88" spans="1:29" x14ac:dyDescent="0.35">
      <c r="A88">
        <f t="shared" si="10"/>
        <v>86</v>
      </c>
      <c r="B88" t="str">
        <f>WR_Raw!A87</f>
        <v>Jalen Tolbert</v>
      </c>
      <c r="C88" t="s">
        <v>32</v>
      </c>
      <c r="D88">
        <f>_xlfn.IFNA(INDEX(BYEs!E:E,MATCH(B88,BYEs!D:D,0)),"N/A")</f>
        <v>25</v>
      </c>
      <c r="E88">
        <f>INDEX(BYEs!$B$2:$B$34,MATCH(F88,BYEs!$A$2:$A$34,0))</f>
        <v>7</v>
      </c>
      <c r="F88" t="str">
        <f>WR_Raw!B87</f>
        <v>DAL</v>
      </c>
      <c r="G88" s="202">
        <v>0</v>
      </c>
      <c r="H88" s="203">
        <v>0</v>
      </c>
      <c r="I88" s="200">
        <f>WR_Raw!F87</f>
        <v>0</v>
      </c>
      <c r="J88" s="200">
        <f>WR_Raw!G87</f>
        <v>2.2999999999999998</v>
      </c>
      <c r="K88" s="200">
        <f>WR_Raw!H87</f>
        <v>0</v>
      </c>
      <c r="L88" s="202">
        <f>WR_Raw!C87</f>
        <v>37.5</v>
      </c>
      <c r="M88" s="200">
        <f>WR_Raw!D87</f>
        <v>464.4</v>
      </c>
      <c r="N88" s="203">
        <f>WR_Raw!E87</f>
        <v>3</v>
      </c>
      <c r="O88" s="200">
        <f>WR_Raw!I87</f>
        <v>0.2</v>
      </c>
      <c r="P88" s="204">
        <f t="shared" si="11"/>
        <v>83.02</v>
      </c>
      <c r="Q88" t="str">
        <f t="shared" ca="1" si="12"/>
        <v>Undrafted</v>
      </c>
      <c r="R88">
        <f t="shared" ca="1" si="13"/>
        <v>0</v>
      </c>
      <c r="S88">
        <f t="shared" ca="1" si="14"/>
        <v>-29.740000000000009</v>
      </c>
      <c r="T88" s="84">
        <f t="shared" ca="1" si="15"/>
        <v>-4.906491930487249</v>
      </c>
      <c r="U88" s="84">
        <f ca="1">T88*Auction!$A$2</f>
        <v>-4.906491930487249</v>
      </c>
      <c r="V88" s="5" t="str">
        <f>IF(OR(INDEX(Auction!$H$13:$H$650,MATCH(B88,Auction!$A$13:$A$650,0))&gt;0,IFERROR(INDEX(CheatSheet!$V$5:$V$64,MATCH(B88,CheatSheet!$S$5:$S$64,0)),"")&lt;&gt;""),"Yes","No")</f>
        <v>No</v>
      </c>
      <c r="W88" s="175"/>
      <c r="Y88" s="113">
        <f t="shared" ca="1" si="16"/>
        <v>1</v>
      </c>
      <c r="Z88" s="174">
        <f t="shared" ca="1" si="17"/>
        <v>-14.870000000000005</v>
      </c>
      <c r="AA88" t="str">
        <f t="shared" ca="1" si="18"/>
        <v>WR8</v>
      </c>
      <c r="AB88" s="174">
        <f ca="1">Z88*LeagueInfo!$H$5</f>
        <v>-4.8022691327591644</v>
      </c>
      <c r="AC88" s="174">
        <f ca="1">(Z88-AVERAGE(Z:$Z))/_xlfn.STDEV.P(Z:Z)</f>
        <v>-4.8547781167436944E-2</v>
      </c>
    </row>
    <row r="89" spans="1:29" x14ac:dyDescent="0.35">
      <c r="A89">
        <f t="shared" si="10"/>
        <v>87</v>
      </c>
      <c r="B89" t="str">
        <f>WR_Raw!A88</f>
        <v>Jahan Dotson</v>
      </c>
      <c r="C89" t="s">
        <v>32</v>
      </c>
      <c r="D89">
        <f>_xlfn.IFNA(INDEX(BYEs!E:E,MATCH(B89,BYEs!D:D,0)),"N/A")</f>
        <v>24</v>
      </c>
      <c r="E89">
        <f>INDEX(BYEs!$B$2:$B$34,MATCH(F89,BYEs!$A$2:$A$34,0))</f>
        <v>5</v>
      </c>
      <c r="F89" t="str">
        <f>WR_Raw!B88</f>
        <v>PHI</v>
      </c>
      <c r="G89" s="202">
        <v>0</v>
      </c>
      <c r="H89" s="203">
        <v>0</v>
      </c>
      <c r="I89" s="200">
        <f>WR_Raw!F88</f>
        <v>0</v>
      </c>
      <c r="J89" s="200">
        <f>WR_Raw!G88</f>
        <v>2</v>
      </c>
      <c r="K89" s="200">
        <f>WR_Raw!H88</f>
        <v>0</v>
      </c>
      <c r="L89" s="202">
        <f>WR_Raw!C88</f>
        <v>35.5</v>
      </c>
      <c r="M89" s="200">
        <f>WR_Raw!D88</f>
        <v>436.3</v>
      </c>
      <c r="N89" s="203">
        <f>WR_Raw!E88</f>
        <v>3.5</v>
      </c>
      <c r="O89" s="200">
        <f>WR_Raw!I88</f>
        <v>0.4</v>
      </c>
      <c r="P89" s="204">
        <f t="shared" si="11"/>
        <v>81.78</v>
      </c>
      <c r="Q89" t="str">
        <f t="shared" ca="1" si="12"/>
        <v>Undrafted</v>
      </c>
      <c r="R89">
        <f t="shared" ca="1" si="13"/>
        <v>0</v>
      </c>
      <c r="S89">
        <f t="shared" ca="1" si="14"/>
        <v>-30.980000000000004</v>
      </c>
      <c r="T89" s="84">
        <f t="shared" ca="1" si="15"/>
        <v>-5.1110665772190629</v>
      </c>
      <c r="U89" s="84">
        <f ca="1">T89*Auction!$A$2</f>
        <v>-5.1110665772190629</v>
      </c>
      <c r="V89" s="5" t="str">
        <f>IF(OR(INDEX(Auction!$H$13:$H$650,MATCH(B89,Auction!$A$13:$A$650,0))&gt;0,IFERROR(INDEX(CheatSheet!$V$5:$V$64,MATCH(B89,CheatSheet!$S$5:$S$64,0)),"")&lt;&gt;""),"Yes","No")</f>
        <v>No</v>
      </c>
      <c r="W89" s="175"/>
      <c r="Y89" s="113">
        <f t="shared" ca="1" si="16"/>
        <v>1</v>
      </c>
      <c r="Z89" s="174">
        <f t="shared" ca="1" si="17"/>
        <v>-15.490000000000002</v>
      </c>
      <c r="AA89" t="str">
        <f t="shared" ca="1" si="18"/>
        <v>WR8</v>
      </c>
      <c r="AB89" s="174">
        <f ca="1">Z89*LeagueInfo!$H$5</f>
        <v>-5.0024982425312343</v>
      </c>
      <c r="AC89" s="174">
        <f ca="1">(Z89-AVERAGE(Z:$Z))/_xlfn.STDEV.P(Z:Z)</f>
        <v>-6.4016758630991002E-2</v>
      </c>
    </row>
    <row r="90" spans="1:29" x14ac:dyDescent="0.35">
      <c r="A90">
        <f t="shared" si="10"/>
        <v>88</v>
      </c>
      <c r="B90" t="str">
        <f>WR_Raw!A94</f>
        <v>Greg Dortch</v>
      </c>
      <c r="C90" t="s">
        <v>32</v>
      </c>
      <c r="D90">
        <f>_xlfn.IFNA(INDEX(BYEs!E:E,MATCH(B90,BYEs!D:D,0)),"N/A")</f>
        <v>26</v>
      </c>
      <c r="E90">
        <f>INDEX(BYEs!$B$2:$B$34,MATCH(F90,BYEs!$A$2:$A$34,0))</f>
        <v>11</v>
      </c>
      <c r="F90" t="str">
        <f>WR_Raw!B94</f>
        <v>ARI</v>
      </c>
      <c r="G90" s="202">
        <v>0</v>
      </c>
      <c r="H90" s="203">
        <v>0</v>
      </c>
      <c r="I90" s="200">
        <f>WR_Raw!F94</f>
        <v>3.2</v>
      </c>
      <c r="J90" s="200">
        <f>WR_Raw!G94</f>
        <v>21.2</v>
      </c>
      <c r="K90" s="200">
        <f>WR_Raw!H94</f>
        <v>0.1</v>
      </c>
      <c r="L90" s="202">
        <f>WR_Raw!C94</f>
        <v>40.9</v>
      </c>
      <c r="M90" s="200">
        <f>WR_Raw!D94</f>
        <v>420.9</v>
      </c>
      <c r="N90" s="203">
        <f>WR_Raw!E94</f>
        <v>2.5</v>
      </c>
      <c r="O90" s="200">
        <f>WR_Raw!I94</f>
        <v>0.1</v>
      </c>
      <c r="P90" s="204">
        <f t="shared" si="11"/>
        <v>80.06</v>
      </c>
      <c r="Q90" t="str">
        <f t="shared" ca="1" si="12"/>
        <v>Undrafted</v>
      </c>
      <c r="R90">
        <f t="shared" ca="1" si="13"/>
        <v>0</v>
      </c>
      <c r="S90">
        <f t="shared" ca="1" si="14"/>
        <v>-32.700000000000003</v>
      </c>
      <c r="T90" s="84">
        <f t="shared" ca="1" si="15"/>
        <v>-5.3948314097825483</v>
      </c>
      <c r="U90" s="84">
        <f ca="1">T90*Auction!$A$2</f>
        <v>-5.3948314097825483</v>
      </c>
      <c r="V90" s="5" t="str">
        <f>IF(OR(INDEX(Auction!$H$13:$H$650,MATCH(B90,Auction!$A$13:$A$650,0))&gt;0,IFERROR(INDEX(CheatSheet!$V$5:$V$64,MATCH(B90,CheatSheet!$S$5:$S$64,0)),"")&lt;&gt;""),"Yes","No")</f>
        <v>No</v>
      </c>
      <c r="W90" s="175"/>
      <c r="Y90" s="113">
        <f t="shared" ca="1" si="16"/>
        <v>1</v>
      </c>
      <c r="Z90" s="174">
        <f t="shared" ca="1" si="17"/>
        <v>-16.350000000000001</v>
      </c>
      <c r="AA90" t="str">
        <f t="shared" ca="1" si="18"/>
        <v>WR8</v>
      </c>
      <c r="AB90" s="174">
        <f ca="1">Z90*LeagueInfo!$H$5</f>
        <v>-5.2802353947957181</v>
      </c>
      <c r="AC90" s="174">
        <f ca="1">(Z90-AVERAGE(Z:$Z))/_xlfn.STDEV.P(Z:Z)</f>
        <v>-8.5473727370759603E-2</v>
      </c>
    </row>
    <row r="91" spans="1:29" x14ac:dyDescent="0.35">
      <c r="A91">
        <f t="shared" si="10"/>
        <v>89</v>
      </c>
      <c r="B91" t="str">
        <f>WR_Raw!A89</f>
        <v>Andrei Iosivas</v>
      </c>
      <c r="C91" t="s">
        <v>32</v>
      </c>
      <c r="D91">
        <f>_xlfn.IFNA(INDEX(BYEs!E:E,MATCH(B91,BYEs!D:D,0)),"N/A")</f>
        <v>24</v>
      </c>
      <c r="E91">
        <f>INDEX(BYEs!$B$2:$B$34,MATCH(F91,BYEs!$A$2:$A$34,0))</f>
        <v>12</v>
      </c>
      <c r="F91" t="str">
        <f>WR_Raw!B89</f>
        <v>CIN</v>
      </c>
      <c r="G91" s="202">
        <v>0</v>
      </c>
      <c r="H91" s="203">
        <v>0</v>
      </c>
      <c r="I91" s="200">
        <f>WR_Raw!F89</f>
        <v>0</v>
      </c>
      <c r="J91" s="200">
        <f>WR_Raw!G89</f>
        <v>3.3</v>
      </c>
      <c r="K91" s="200">
        <f>WR_Raw!H89</f>
        <v>0</v>
      </c>
      <c r="L91" s="202">
        <f>WR_Raw!C89</f>
        <v>36.299999999999997</v>
      </c>
      <c r="M91" s="200">
        <f>WR_Raw!D89</f>
        <v>425.2</v>
      </c>
      <c r="N91" s="203">
        <f>WR_Raw!E89</f>
        <v>3.2</v>
      </c>
      <c r="O91" s="200">
        <f>WR_Raw!I89</f>
        <v>0.2</v>
      </c>
      <c r="P91" s="204">
        <f t="shared" si="11"/>
        <v>79.8</v>
      </c>
      <c r="Q91" t="str">
        <f t="shared" ca="1" si="12"/>
        <v>Undrafted</v>
      </c>
      <c r="R91">
        <f t="shared" ca="1" si="13"/>
        <v>0</v>
      </c>
      <c r="S91">
        <f t="shared" ca="1" si="14"/>
        <v>-32.960000000000008</v>
      </c>
      <c r="T91" s="84">
        <f t="shared" ca="1" si="15"/>
        <v>-5.4377260937747041</v>
      </c>
      <c r="U91" s="84">
        <f ca="1">T91*Auction!$A$2</f>
        <v>-5.4377260937747041</v>
      </c>
      <c r="V91" s="5" t="str">
        <f>IF(OR(INDEX(Auction!$H$13:$H$650,MATCH(B91,Auction!$A$13:$A$650,0))&gt;0,IFERROR(INDEX(CheatSheet!$V$5:$V$64,MATCH(B91,CheatSheet!$S$5:$S$64,0)),"")&lt;&gt;""),"Yes","No")</f>
        <v>No</v>
      </c>
      <c r="W91" s="175"/>
      <c r="Y91" s="113">
        <f t="shared" ca="1" si="16"/>
        <v>1</v>
      </c>
      <c r="Z91" s="174">
        <f t="shared" ca="1" si="17"/>
        <v>-16.480000000000004</v>
      </c>
      <c r="AA91" t="str">
        <f t="shared" ca="1" si="18"/>
        <v>WR8</v>
      </c>
      <c r="AB91" s="174">
        <f ca="1">Z91*LeagueInfo!$H$5</f>
        <v>-5.3222189178124433</v>
      </c>
      <c r="AC91" s="174">
        <f ca="1">(Z91-AVERAGE(Z:$Z))/_xlfn.STDEV.P(Z:Z)</f>
        <v>-8.8717222645375862E-2</v>
      </c>
    </row>
    <row r="92" spans="1:29" x14ac:dyDescent="0.35">
      <c r="A92">
        <f t="shared" si="10"/>
        <v>90</v>
      </c>
      <c r="B92" t="str">
        <f>WR_Raw!A90</f>
        <v>Tre Tucker</v>
      </c>
      <c r="C92" t="s">
        <v>32</v>
      </c>
      <c r="D92">
        <f>_xlfn.IFNA(INDEX(BYEs!E:E,MATCH(B92,BYEs!D:D,0)),"N/A")</f>
        <v>23</v>
      </c>
      <c r="E92">
        <f>INDEX(BYEs!$B$2:$B$34,MATCH(F92,BYEs!$A$2:$A$34,0))</f>
        <v>10</v>
      </c>
      <c r="F92" t="str">
        <f>WR_Raw!B90</f>
        <v>LV</v>
      </c>
      <c r="G92" s="202">
        <v>0</v>
      </c>
      <c r="H92" s="203">
        <v>0</v>
      </c>
      <c r="I92" s="200">
        <f>WR_Raw!F90</f>
        <v>6</v>
      </c>
      <c r="J92" s="200">
        <f>WR_Raw!G90</f>
        <v>39.799999999999997</v>
      </c>
      <c r="K92" s="200">
        <f>WR_Raw!H90</f>
        <v>0.2</v>
      </c>
      <c r="L92" s="202">
        <f>WR_Raw!C90</f>
        <v>35</v>
      </c>
      <c r="M92" s="200">
        <f>WR_Raw!D90</f>
        <v>425</v>
      </c>
      <c r="N92" s="203">
        <f>WR_Raw!E90</f>
        <v>2.4</v>
      </c>
      <c r="O92" s="200">
        <f>WR_Raw!I90</f>
        <v>0.3</v>
      </c>
      <c r="P92" s="204">
        <f t="shared" si="11"/>
        <v>78.980000000000018</v>
      </c>
      <c r="Q92" t="str">
        <f t="shared" ca="1" si="12"/>
        <v>Undrafted</v>
      </c>
      <c r="R92">
        <f t="shared" ca="1" si="13"/>
        <v>0</v>
      </c>
      <c r="S92">
        <f t="shared" ca="1" si="14"/>
        <v>-33.779999999999987</v>
      </c>
      <c r="T92" s="84">
        <f t="shared" ca="1" si="15"/>
        <v>-5.5730093279038044</v>
      </c>
      <c r="U92" s="84">
        <f ca="1">T92*Auction!$A$2</f>
        <v>-5.5730093279038044</v>
      </c>
      <c r="V92" s="5" t="str">
        <f>IF(OR(INDEX(Auction!$H$13:$H$650,MATCH(B92,Auction!$A$13:$A$650,0))&gt;0,IFERROR(INDEX(CheatSheet!$V$5:$V$64,MATCH(B92,CheatSheet!$S$5:$S$64,0)),"")&lt;&gt;""),"Yes","No")</f>
        <v>No</v>
      </c>
      <c r="W92" s="175"/>
      <c r="Y92" s="113">
        <f t="shared" ca="1" si="16"/>
        <v>1</v>
      </c>
      <c r="Z92" s="174">
        <f t="shared" ca="1" si="17"/>
        <v>-16.889999999999993</v>
      </c>
      <c r="AA92" t="str">
        <f t="shared" ca="1" si="18"/>
        <v>WR8</v>
      </c>
      <c r="AB92" s="174">
        <f ca="1">Z92*LeagueInfo!$H$5</f>
        <v>-5.4546284904036479</v>
      </c>
      <c r="AC92" s="174">
        <f ca="1">(Z92-AVERAGE(Z:$Z))/_xlfn.STDEV.P(Z:Z)</f>
        <v>-9.8946707742242027E-2</v>
      </c>
    </row>
    <row r="93" spans="1:29" x14ac:dyDescent="0.35">
      <c r="A93">
        <f t="shared" si="10"/>
        <v>91</v>
      </c>
      <c r="B93" t="str">
        <f>WR_Raw!A91</f>
        <v>Jermaine Burton</v>
      </c>
      <c r="C93" t="s">
        <v>32</v>
      </c>
      <c r="D93">
        <f>_xlfn.IFNA(INDEX(BYEs!E:E,MATCH(B93,BYEs!D:D,0)),"N/A")</f>
        <v>23</v>
      </c>
      <c r="E93">
        <f>INDEX(BYEs!$B$2:$B$34,MATCH(F93,BYEs!$A$2:$A$34,0))</f>
        <v>12</v>
      </c>
      <c r="F93" t="str">
        <f>WR_Raw!B91</f>
        <v>CIN</v>
      </c>
      <c r="G93" s="202">
        <v>0</v>
      </c>
      <c r="H93" s="203">
        <v>0</v>
      </c>
      <c r="I93" s="200">
        <f>WR_Raw!F91</f>
        <v>0.7</v>
      </c>
      <c r="J93" s="200">
        <f>WR_Raw!G91</f>
        <v>4.3</v>
      </c>
      <c r="K93" s="200">
        <f>WR_Raw!H91</f>
        <v>0</v>
      </c>
      <c r="L93" s="202">
        <f>WR_Raw!C91</f>
        <v>34.9</v>
      </c>
      <c r="M93" s="200">
        <f>WR_Raw!D91</f>
        <v>443.2</v>
      </c>
      <c r="N93" s="203">
        <f>WR_Raw!E91</f>
        <v>2.9</v>
      </c>
      <c r="O93" s="200">
        <f>WR_Raw!I91</f>
        <v>0.7</v>
      </c>
      <c r="P93" s="204">
        <f t="shared" si="11"/>
        <v>78.199999999999989</v>
      </c>
      <c r="Q93" t="str">
        <f t="shared" ca="1" si="12"/>
        <v>Undrafted</v>
      </c>
      <c r="R93">
        <f t="shared" ca="1" si="13"/>
        <v>0</v>
      </c>
      <c r="S93">
        <f t="shared" ca="1" si="14"/>
        <v>-34.560000000000016</v>
      </c>
      <c r="T93" s="84">
        <f t="shared" ca="1" si="15"/>
        <v>-5.7016933798802736</v>
      </c>
      <c r="U93" s="84">
        <f ca="1">T93*Auction!$A$2</f>
        <v>-5.7016933798802736</v>
      </c>
      <c r="V93" s="5" t="str">
        <f>IF(OR(INDEX(Auction!$H$13:$H$650,MATCH(B93,Auction!$A$13:$A$650,0))&gt;0,IFERROR(INDEX(CheatSheet!$V$5:$V$64,MATCH(B93,CheatSheet!$S$5:$S$64,0)),"")&lt;&gt;""),"Yes","No")</f>
        <v>No</v>
      </c>
      <c r="W93" s="175"/>
      <c r="Y93" s="113">
        <f t="shared" ca="1" si="16"/>
        <v>1</v>
      </c>
      <c r="Z93" s="174">
        <f t="shared" ca="1" si="17"/>
        <v>-17.280000000000008</v>
      </c>
      <c r="AA93" t="str">
        <f t="shared" ca="1" si="18"/>
        <v>WR8</v>
      </c>
      <c r="AB93" s="174">
        <f ca="1">Z93*LeagueInfo!$H$5</f>
        <v>-5.5805790594538252</v>
      </c>
      <c r="AC93" s="174">
        <f ca="1">(Z93-AVERAGE(Z:$Z))/_xlfn.STDEV.P(Z:Z)</f>
        <v>-0.10867719356609096</v>
      </c>
    </row>
    <row r="94" spans="1:29" x14ac:dyDescent="0.35">
      <c r="A94">
        <f t="shared" si="10"/>
        <v>92</v>
      </c>
      <c r="B94" t="str">
        <f>WR_Raw!A92</f>
        <v>Ray-Ray McCloud III</v>
      </c>
      <c r="C94" t="s">
        <v>32</v>
      </c>
      <c r="D94">
        <f>_xlfn.IFNA(INDEX(BYEs!E:E,MATCH(B94,BYEs!D:D,0)),"N/A")</f>
        <v>27</v>
      </c>
      <c r="E94">
        <f>INDEX(BYEs!$B$2:$B$34,MATCH(F94,BYEs!$A$2:$A$34,0))</f>
        <v>12</v>
      </c>
      <c r="F94" t="str">
        <f>WR_Raw!B92</f>
        <v>ATL</v>
      </c>
      <c r="G94" s="202">
        <v>0</v>
      </c>
      <c r="H94" s="203">
        <v>0</v>
      </c>
      <c r="I94" s="200">
        <f>WR_Raw!F92</f>
        <v>6.9</v>
      </c>
      <c r="J94" s="200">
        <f>WR_Raw!G92</f>
        <v>46.8</v>
      </c>
      <c r="K94" s="200">
        <f>WR_Raw!H92</f>
        <v>0.2</v>
      </c>
      <c r="L94" s="202">
        <f>WR_Raw!C92</f>
        <v>36.5</v>
      </c>
      <c r="M94" s="200">
        <f>WR_Raw!D92</f>
        <v>376.1</v>
      </c>
      <c r="N94" s="203">
        <f>WR_Raw!E92</f>
        <v>2.8</v>
      </c>
      <c r="O94" s="200">
        <f>WR_Raw!I92</f>
        <v>0.2</v>
      </c>
      <c r="P94" s="204">
        <f t="shared" si="11"/>
        <v>78.14</v>
      </c>
      <c r="Q94" t="str">
        <f t="shared" ca="1" si="12"/>
        <v>Undrafted</v>
      </c>
      <c r="R94">
        <f t="shared" ca="1" si="13"/>
        <v>0</v>
      </c>
      <c r="S94">
        <f t="shared" ca="1" si="14"/>
        <v>-34.620000000000005</v>
      </c>
      <c r="T94" s="84">
        <f t="shared" ca="1" si="15"/>
        <v>-5.7115921531092306</v>
      </c>
      <c r="U94" s="84">
        <f ca="1">T94*Auction!$A$2</f>
        <v>-5.7115921531092306</v>
      </c>
      <c r="V94" s="5" t="str">
        <f>IF(OR(INDEX(Auction!$H$13:$H$650,MATCH(B94,Auction!$A$13:$A$650,0))&gt;0,IFERROR(INDEX(CheatSheet!$V$5:$V$64,MATCH(B94,CheatSheet!$S$5:$S$64,0)),"")&lt;&gt;""),"Yes","No")</f>
        <v>No</v>
      </c>
      <c r="W94" s="175"/>
      <c r="Y94" s="113">
        <f t="shared" ca="1" si="16"/>
        <v>1</v>
      </c>
      <c r="Z94" s="174">
        <f t="shared" ca="1" si="17"/>
        <v>-17.310000000000002</v>
      </c>
      <c r="AA94" t="str">
        <f t="shared" ca="1" si="18"/>
        <v>WR8</v>
      </c>
      <c r="AB94" s="174">
        <f ca="1">Z94*LeagueInfo!$H$5</f>
        <v>-5.5902675647653748</v>
      </c>
      <c r="AC94" s="174">
        <f ca="1">(Z94-AVERAGE(Z:$Z))/_xlfn.STDEV.P(Z:Z)</f>
        <v>-0.10942569247561762</v>
      </c>
    </row>
    <row r="95" spans="1:29" x14ac:dyDescent="0.35">
      <c r="A95">
        <f t="shared" si="10"/>
        <v>93</v>
      </c>
      <c r="B95" t="str">
        <f>WR_Raw!A93</f>
        <v>Troy Franklin</v>
      </c>
      <c r="C95" t="s">
        <v>32</v>
      </c>
      <c r="D95">
        <f>_xlfn.IFNA(INDEX(BYEs!E:E,MATCH(B95,BYEs!D:D,0)),"N/A")</f>
        <v>21</v>
      </c>
      <c r="E95">
        <f>INDEX(BYEs!$B$2:$B$34,MATCH(F95,BYEs!$A$2:$A$34,0))</f>
        <v>14</v>
      </c>
      <c r="F95" t="str">
        <f>WR_Raw!B93</f>
        <v>DEN</v>
      </c>
      <c r="G95" s="202">
        <v>0</v>
      </c>
      <c r="H95" s="203">
        <v>0</v>
      </c>
      <c r="I95" s="200">
        <f>WR_Raw!F93</f>
        <v>0</v>
      </c>
      <c r="J95" s="200">
        <f>WR_Raw!G93</f>
        <v>2.5</v>
      </c>
      <c r="K95" s="200">
        <f>WR_Raw!H93</f>
        <v>0</v>
      </c>
      <c r="L95" s="202">
        <f>WR_Raw!C93</f>
        <v>35.6</v>
      </c>
      <c r="M95" s="200">
        <f>WR_Raw!D93</f>
        <v>443.3</v>
      </c>
      <c r="N95" s="203">
        <f>WR_Raw!E93</f>
        <v>2.5</v>
      </c>
      <c r="O95" s="200">
        <f>WR_Raw!I93</f>
        <v>0.1</v>
      </c>
      <c r="P95" s="204">
        <f t="shared" si="11"/>
        <v>77.180000000000007</v>
      </c>
      <c r="Q95" t="str">
        <f t="shared" ca="1" si="12"/>
        <v>Undrafted</v>
      </c>
      <c r="R95">
        <f t="shared" ca="1" si="13"/>
        <v>0</v>
      </c>
      <c r="S95">
        <f t="shared" ca="1" si="14"/>
        <v>-35.58</v>
      </c>
      <c r="T95" s="84">
        <f t="shared" ca="1" si="15"/>
        <v>-5.86997252477257</v>
      </c>
      <c r="U95" s="84">
        <f ca="1">T95*Auction!$A$2</f>
        <v>-5.86997252477257</v>
      </c>
      <c r="V95" s="5" t="str">
        <f>IF(OR(INDEX(Auction!$H$13:$H$650,MATCH(B95,Auction!$A$13:$A$650,0))&gt;0,IFERROR(INDEX(CheatSheet!$V$5:$V$64,MATCH(B95,CheatSheet!$S$5:$S$64,0)),"")&lt;&gt;""),"Yes","No")</f>
        <v>No</v>
      </c>
      <c r="W95" s="175"/>
      <c r="Y95" s="113">
        <f t="shared" ca="1" si="16"/>
        <v>1</v>
      </c>
      <c r="Z95" s="174">
        <f t="shared" ca="1" si="17"/>
        <v>-17.79</v>
      </c>
      <c r="AA95" t="str">
        <f t="shared" ca="1" si="18"/>
        <v>WR8</v>
      </c>
      <c r="AB95" s="174">
        <f ca="1">Z95*LeagueInfo!$H$5</f>
        <v>-5.7452836497502027</v>
      </c>
      <c r="AC95" s="174">
        <f ca="1">(Z95-AVERAGE(Z:$Z))/_xlfn.STDEV.P(Z:Z)</f>
        <v>-0.12140167502804654</v>
      </c>
    </row>
    <row r="96" spans="1:29" x14ac:dyDescent="0.35">
      <c r="A96">
        <f t="shared" si="10"/>
        <v>94</v>
      </c>
      <c r="B96" t="str">
        <f>WR_Raw!A96</f>
        <v>Elijah Moore</v>
      </c>
      <c r="C96" t="s">
        <v>32</v>
      </c>
      <c r="D96">
        <f>_xlfn.IFNA(INDEX(BYEs!E:E,MATCH(B96,BYEs!D:D,0)),"N/A")</f>
        <v>24</v>
      </c>
      <c r="E96">
        <f>INDEX(BYEs!$B$2:$B$34,MATCH(F96,BYEs!$A$2:$A$34,0))</f>
        <v>10</v>
      </c>
      <c r="F96" t="str">
        <f>WR_Raw!B96</f>
        <v>CLE</v>
      </c>
      <c r="G96" s="202">
        <v>0</v>
      </c>
      <c r="H96" s="203">
        <v>0</v>
      </c>
      <c r="I96" s="200">
        <f>WR_Raw!F96</f>
        <v>4.4000000000000004</v>
      </c>
      <c r="J96" s="200">
        <f>WR_Raw!G96</f>
        <v>14.7</v>
      </c>
      <c r="K96" s="200">
        <f>WR_Raw!H96</f>
        <v>0</v>
      </c>
      <c r="L96" s="202">
        <f>WR_Raw!C96</f>
        <v>37.200000000000003</v>
      </c>
      <c r="M96" s="200">
        <f>WR_Raw!D96</f>
        <v>428.7</v>
      </c>
      <c r="N96" s="203">
        <f>WR_Raw!E96</f>
        <v>2.5</v>
      </c>
      <c r="O96" s="200">
        <f>WR_Raw!I96</f>
        <v>0.4</v>
      </c>
      <c r="P96" s="204">
        <f t="shared" si="11"/>
        <v>77.14</v>
      </c>
      <c r="Q96" t="str">
        <f t="shared" ca="1" si="12"/>
        <v>Undrafted</v>
      </c>
      <c r="R96">
        <f t="shared" ca="1" si="13"/>
        <v>0</v>
      </c>
      <c r="S96">
        <f t="shared" ca="1" si="14"/>
        <v>-35.620000000000005</v>
      </c>
      <c r="T96" s="84">
        <f t="shared" ca="1" si="15"/>
        <v>-5.8765717069252101</v>
      </c>
      <c r="U96" s="84">
        <f ca="1">T96*Auction!$A$2</f>
        <v>-5.8765717069252101</v>
      </c>
      <c r="V96" s="5" t="str">
        <f>IF(OR(INDEX(Auction!$H$13:$H$650,MATCH(B96,Auction!$A$13:$A$650,0))&gt;0,IFERROR(INDEX(CheatSheet!$V$5:$V$64,MATCH(B96,CheatSheet!$S$5:$S$64,0)),"")&lt;&gt;""),"Yes","No")</f>
        <v>No</v>
      </c>
      <c r="W96" s="175"/>
      <c r="Y96" s="113">
        <f t="shared" ca="1" si="16"/>
        <v>1</v>
      </c>
      <c r="Z96" s="174">
        <f t="shared" ca="1" si="17"/>
        <v>-17.810000000000002</v>
      </c>
      <c r="AA96" t="str">
        <f t="shared" ca="1" si="18"/>
        <v>WR8</v>
      </c>
      <c r="AB96" s="174">
        <f ca="1">Z96*LeagueInfo!$H$5</f>
        <v>-5.7517426532912381</v>
      </c>
      <c r="AC96" s="174">
        <f ca="1">(Z96-AVERAGE(Z:$Z))/_xlfn.STDEV.P(Z:Z)</f>
        <v>-0.12190067430106449</v>
      </c>
    </row>
    <row r="97" spans="1:29" x14ac:dyDescent="0.35">
      <c r="A97">
        <f t="shared" si="10"/>
        <v>95</v>
      </c>
      <c r="B97" t="str">
        <f>WR_Raw!A95</f>
        <v>Noah Brown</v>
      </c>
      <c r="C97" t="s">
        <v>32</v>
      </c>
      <c r="D97">
        <f>_xlfn.IFNA(INDEX(BYEs!E:E,MATCH(B97,BYEs!D:D,0)),"N/A")</f>
        <v>28</v>
      </c>
      <c r="E97">
        <f>INDEX(BYEs!$B$2:$B$34,MATCH(F97,BYEs!$A$2:$A$34,0))</f>
        <v>14</v>
      </c>
      <c r="F97" t="str">
        <f>WR_Raw!B95</f>
        <v>WAS</v>
      </c>
      <c r="G97" s="202">
        <v>0</v>
      </c>
      <c r="H97" s="203">
        <v>0</v>
      </c>
      <c r="I97" s="200">
        <f>WR_Raw!F95</f>
        <v>0.3</v>
      </c>
      <c r="J97" s="200">
        <f>WR_Raw!G95</f>
        <v>0.8</v>
      </c>
      <c r="K97" s="200">
        <f>WR_Raw!H95</f>
        <v>0</v>
      </c>
      <c r="L97" s="202">
        <f>WR_Raw!C95</f>
        <v>33.9</v>
      </c>
      <c r="M97" s="200">
        <f>WR_Raw!D95</f>
        <v>465.8</v>
      </c>
      <c r="N97" s="203">
        <f>WR_Raw!E95</f>
        <v>2</v>
      </c>
      <c r="O97" s="200">
        <f>WR_Raw!I95</f>
        <v>0.1</v>
      </c>
      <c r="P97" s="204">
        <f t="shared" si="11"/>
        <v>75.41</v>
      </c>
      <c r="Q97" t="str">
        <f t="shared" ca="1" si="12"/>
        <v>Undrafted</v>
      </c>
      <c r="R97">
        <f t="shared" ca="1" si="13"/>
        <v>0</v>
      </c>
      <c r="S97">
        <f t="shared" ca="1" si="14"/>
        <v>-37.350000000000009</v>
      </c>
      <c r="T97" s="84">
        <f t="shared" ca="1" si="15"/>
        <v>-6.1619863350268567</v>
      </c>
      <c r="U97" s="84">
        <f ca="1">T97*Auction!$A$2</f>
        <v>-6.1619863350268567</v>
      </c>
      <c r="V97" s="5" t="str">
        <f>IF(OR(INDEX(Auction!$H$13:$H$650,MATCH(B97,Auction!$A$13:$A$650,0))&gt;0,IFERROR(INDEX(CheatSheet!$V$5:$V$64,MATCH(B97,CheatSheet!$S$5:$S$64,0)),"")&lt;&gt;""),"Yes","No")</f>
        <v>No</v>
      </c>
      <c r="W97" s="175"/>
      <c r="Y97" s="113">
        <f t="shared" ca="1" si="16"/>
        <v>1</v>
      </c>
      <c r="Z97" s="174">
        <f t="shared" ca="1" si="17"/>
        <v>-18.675000000000004</v>
      </c>
      <c r="AA97" t="str">
        <f t="shared" ca="1" si="18"/>
        <v>WR8</v>
      </c>
      <c r="AB97" s="174">
        <f ca="1">Z97*LeagueInfo!$H$5</f>
        <v>-6.0310945564409817</v>
      </c>
      <c r="AC97" s="174">
        <f ca="1">(Z97-AVERAGE(Z:$Z))/_xlfn.STDEV.P(Z:Z)</f>
        <v>-0.14348239285908762</v>
      </c>
    </row>
    <row r="98" spans="1:29" x14ac:dyDescent="0.35">
      <c r="A98">
        <f t="shared" si="10"/>
        <v>96</v>
      </c>
      <c r="B98" t="str">
        <f>WR_Raw!A97</f>
        <v>Malachi Corley</v>
      </c>
      <c r="C98" t="s">
        <v>32</v>
      </c>
      <c r="D98">
        <f>_xlfn.IFNA(INDEX(BYEs!E:E,MATCH(B98,BYEs!D:D,0)),"N/A")</f>
        <v>22</v>
      </c>
      <c r="E98">
        <f>INDEX(BYEs!$B$2:$B$34,MATCH(F98,BYEs!$A$2:$A$34,0))</f>
        <v>12</v>
      </c>
      <c r="F98" t="str">
        <f>WR_Raw!B97</f>
        <v>NYJ</v>
      </c>
      <c r="G98" s="202">
        <v>0</v>
      </c>
      <c r="H98" s="203">
        <v>0</v>
      </c>
      <c r="I98" s="200">
        <f>WR_Raw!F97</f>
        <v>3.6</v>
      </c>
      <c r="J98" s="200">
        <f>WR_Raw!G97</f>
        <v>24.7</v>
      </c>
      <c r="K98" s="200">
        <f>WR_Raw!H97</f>
        <v>0.1</v>
      </c>
      <c r="L98" s="202">
        <f>WR_Raw!C97</f>
        <v>35.200000000000003</v>
      </c>
      <c r="M98" s="200">
        <f>WR_Raw!D97</f>
        <v>404</v>
      </c>
      <c r="N98" s="203">
        <f>WR_Raw!E97</f>
        <v>2.5</v>
      </c>
      <c r="O98" s="200">
        <f>WR_Raw!I97</f>
        <v>0.7</v>
      </c>
      <c r="P98" s="204">
        <f t="shared" si="11"/>
        <v>74.67</v>
      </c>
      <c r="Q98" t="str">
        <f t="shared" ca="1" si="12"/>
        <v>Undrafted</v>
      </c>
      <c r="R98">
        <f t="shared" ca="1" si="13"/>
        <v>0</v>
      </c>
      <c r="S98">
        <f t="shared" ca="1" si="14"/>
        <v>-38.090000000000003</v>
      </c>
      <c r="T98" s="84">
        <f t="shared" ca="1" si="15"/>
        <v>-6.2840712048506813</v>
      </c>
      <c r="U98" s="84">
        <f ca="1">T98*Auction!$A$2</f>
        <v>-6.2840712048506813</v>
      </c>
      <c r="V98" s="5" t="str">
        <f>IF(OR(INDEX(Auction!$H$13:$H$650,MATCH(B98,Auction!$A$13:$A$650,0))&gt;0,IFERROR(INDEX(CheatSheet!$V$5:$V$64,MATCH(B98,CheatSheet!$S$5:$S$64,0)),"")&lt;&gt;""),"Yes","No")</f>
        <v>No</v>
      </c>
      <c r="W98" s="175"/>
      <c r="Y98" s="113">
        <f t="shared" ca="1" si="16"/>
        <v>1</v>
      </c>
      <c r="Z98" s="174">
        <f t="shared" ca="1" si="17"/>
        <v>-19.045000000000002</v>
      </c>
      <c r="AA98" t="str">
        <f t="shared" ca="1" si="18"/>
        <v>WR8</v>
      </c>
      <c r="AB98" s="174">
        <f ca="1">Z98*LeagueInfo!$H$5</f>
        <v>-6.150586121950119</v>
      </c>
      <c r="AC98" s="174">
        <f ca="1">(Z98-AVERAGE(Z:$Z))/_xlfn.STDEV.P(Z:Z)</f>
        <v>-0.15271387940991826</v>
      </c>
    </row>
    <row r="99" spans="1:29" x14ac:dyDescent="0.35">
      <c r="A99">
        <f t="shared" si="10"/>
        <v>97</v>
      </c>
      <c r="B99" t="str">
        <f>WR_Raw!A99</f>
        <v>Jonathan Mingo</v>
      </c>
      <c r="C99" t="s">
        <v>32</v>
      </c>
      <c r="D99">
        <f>_xlfn.IFNA(INDEX(BYEs!E:E,MATCH(B99,BYEs!D:D,0)),"N/A")</f>
        <v>23</v>
      </c>
      <c r="E99">
        <f>INDEX(BYEs!$B$2:$B$34,MATCH(F99,BYEs!$A$2:$A$34,0))</f>
        <v>11</v>
      </c>
      <c r="F99" t="str">
        <f>WR_Raw!B99</f>
        <v>CAR</v>
      </c>
      <c r="G99" s="202">
        <v>0</v>
      </c>
      <c r="H99" s="203">
        <v>0</v>
      </c>
      <c r="I99" s="200">
        <f>WR_Raw!F99</f>
        <v>0</v>
      </c>
      <c r="J99" s="200">
        <f>WR_Raw!G99</f>
        <v>3</v>
      </c>
      <c r="K99" s="200">
        <f>WR_Raw!H99</f>
        <v>0</v>
      </c>
      <c r="L99" s="202">
        <f>WR_Raw!C99</f>
        <v>36</v>
      </c>
      <c r="M99" s="200">
        <f>WR_Raw!D99</f>
        <v>422.8</v>
      </c>
      <c r="N99" s="203">
        <f>WR_Raw!E99</f>
        <v>2.1</v>
      </c>
      <c r="O99" s="200">
        <f>WR_Raw!I99</f>
        <v>0.1</v>
      </c>
      <c r="P99" s="204">
        <f t="shared" si="11"/>
        <v>72.98</v>
      </c>
      <c r="Q99" t="str">
        <f t="shared" ca="1" si="12"/>
        <v>Undrafted</v>
      </c>
      <c r="R99">
        <f t="shared" ca="1" si="13"/>
        <v>0</v>
      </c>
      <c r="S99">
        <f t="shared" ca="1" si="14"/>
        <v>-39.78</v>
      </c>
      <c r="T99" s="84">
        <f t="shared" ca="1" si="15"/>
        <v>-6.5628866507996868</v>
      </c>
      <c r="U99" s="84">
        <f ca="1">T99*Auction!$A$2</f>
        <v>-6.5628866507996868</v>
      </c>
      <c r="V99" s="5" t="str">
        <f>IF(OR(INDEX(Auction!$H$13:$H$650,MATCH(B99,Auction!$A$13:$A$650,0))&gt;0,IFERROR(INDEX(CheatSheet!$V$5:$V$64,MATCH(B99,CheatSheet!$S$5:$S$64,0)),"")&lt;&gt;""),"Yes","No")</f>
        <v>No</v>
      </c>
      <c r="W99" s="175"/>
      <c r="Y99" s="113">
        <f t="shared" ca="1" si="16"/>
        <v>1</v>
      </c>
      <c r="Z99" s="174">
        <f t="shared" ca="1" si="17"/>
        <v>-19.89</v>
      </c>
      <c r="AA99" t="str">
        <f t="shared" ca="1" si="18"/>
        <v>WR8</v>
      </c>
      <c r="AB99" s="174">
        <f ca="1">Z99*LeagueInfo!$H$5</f>
        <v>-6.4234790215588271</v>
      </c>
      <c r="AC99" s="174">
        <f ca="1">(Z99-AVERAGE(Z:$Z))/_xlfn.STDEV.P(Z:Z)</f>
        <v>-0.17379659869492345</v>
      </c>
    </row>
    <row r="100" spans="1:29" x14ac:dyDescent="0.35">
      <c r="A100">
        <f t="shared" si="10"/>
        <v>98</v>
      </c>
      <c r="B100" t="str">
        <f>WR_Raw!A98</f>
        <v>Luke McCaffrey</v>
      </c>
      <c r="C100" t="s">
        <v>32</v>
      </c>
      <c r="D100">
        <f>_xlfn.IFNA(INDEX(BYEs!E:E,MATCH(B100,BYEs!D:D,0)),"N/A")</f>
        <v>23</v>
      </c>
      <c r="E100">
        <f>INDEX(BYEs!$B$2:$B$34,MATCH(F100,BYEs!$A$2:$A$34,0))</f>
        <v>14</v>
      </c>
      <c r="F100" t="str">
        <f>WR_Raw!B98</f>
        <v>WAS</v>
      </c>
      <c r="G100" s="202">
        <v>0</v>
      </c>
      <c r="H100" s="203">
        <v>0</v>
      </c>
      <c r="I100" s="200">
        <f>WR_Raw!F98</f>
        <v>0.7</v>
      </c>
      <c r="J100" s="200">
        <f>WR_Raw!G98</f>
        <v>9.3000000000000007</v>
      </c>
      <c r="K100" s="200">
        <f>WR_Raw!H98</f>
        <v>0</v>
      </c>
      <c r="L100" s="202">
        <f>WR_Raw!C98</f>
        <v>35.6</v>
      </c>
      <c r="M100" s="200">
        <f>WR_Raw!D98</f>
        <v>420</v>
      </c>
      <c r="N100" s="203">
        <f>WR_Raw!E98</f>
        <v>2.1</v>
      </c>
      <c r="O100" s="200">
        <f>WR_Raw!I98</f>
        <v>0.4</v>
      </c>
      <c r="P100" s="204">
        <f t="shared" si="11"/>
        <v>72.530000000000015</v>
      </c>
      <c r="Q100" t="str">
        <f t="shared" ca="1" si="12"/>
        <v>Undrafted</v>
      </c>
      <c r="R100">
        <f t="shared" ca="1" si="13"/>
        <v>0</v>
      </c>
      <c r="S100">
        <f t="shared" ca="1" si="14"/>
        <v>-40.22999999999999</v>
      </c>
      <c r="T100" s="84">
        <f t="shared" ca="1" si="15"/>
        <v>-6.6371274500168767</v>
      </c>
      <c r="U100" s="84">
        <f ca="1">T100*Auction!$A$2</f>
        <v>-6.6371274500168767</v>
      </c>
      <c r="V100" s="5" t="str">
        <f>IF(OR(INDEX(Auction!$H$13:$H$650,MATCH(B100,Auction!$A$13:$A$650,0))&gt;0,IFERROR(INDEX(CheatSheet!$V$5:$V$64,MATCH(B100,CheatSheet!$S$5:$S$64,0)),"")&lt;&gt;""),"Yes","No")</f>
        <v>No</v>
      </c>
      <c r="W100" s="175"/>
      <c r="Y100" s="113">
        <f t="shared" ca="1" si="16"/>
        <v>1</v>
      </c>
      <c r="Z100" s="174">
        <f t="shared" ca="1" si="17"/>
        <v>-20.114999999999995</v>
      </c>
      <c r="AA100" t="str">
        <f t="shared" ca="1" si="18"/>
        <v>WR8</v>
      </c>
      <c r="AB100" s="174">
        <f ca="1">Z100*LeagueInfo!$H$5</f>
        <v>-6.4961428113954636</v>
      </c>
      <c r="AC100" s="174">
        <f ca="1">(Z100-AVERAGE(Z:$Z))/_xlfn.STDEV.P(Z:Z)</f>
        <v>-0.17941034051637439</v>
      </c>
    </row>
    <row r="101" spans="1:29" x14ac:dyDescent="0.35">
      <c r="A101">
        <f t="shared" si="10"/>
        <v>99</v>
      </c>
      <c r="B101" t="str">
        <f>WR_Raw!A100</f>
        <v>Dyami Brown</v>
      </c>
      <c r="C101" t="s">
        <v>32</v>
      </c>
      <c r="D101" t="str">
        <f>_xlfn.IFNA(INDEX(BYEs!E:E,MATCH(B101,BYEs!D:D,0)),"N/A")</f>
        <v>N/A</v>
      </c>
      <c r="E101">
        <f>INDEX(BYEs!$B$2:$B$34,MATCH(F101,BYEs!$A$2:$A$34,0))</f>
        <v>14</v>
      </c>
      <c r="F101" t="str">
        <f>WR_Raw!B100</f>
        <v>WAS</v>
      </c>
      <c r="G101" s="202">
        <v>0</v>
      </c>
      <c r="H101" s="203">
        <v>0</v>
      </c>
      <c r="I101" s="200">
        <f>WR_Raw!F100</f>
        <v>0</v>
      </c>
      <c r="J101" s="200">
        <f>WR_Raw!G100</f>
        <v>2.8</v>
      </c>
      <c r="K101" s="200">
        <f>WR_Raw!H100</f>
        <v>0</v>
      </c>
      <c r="L101" s="202">
        <f>WR_Raw!C100</f>
        <v>29.6</v>
      </c>
      <c r="M101" s="200">
        <f>WR_Raw!D100</f>
        <v>401.6</v>
      </c>
      <c r="N101" s="203">
        <f>WR_Raw!E100</f>
        <v>2.4</v>
      </c>
      <c r="O101" s="200">
        <f>WR_Raw!I100</f>
        <v>0.1</v>
      </c>
      <c r="P101" s="204">
        <f t="shared" si="11"/>
        <v>69.44</v>
      </c>
      <c r="Q101" t="str">
        <f t="shared" ca="1" si="12"/>
        <v>Undrafted</v>
      </c>
      <c r="R101">
        <f t="shared" ca="1" si="13"/>
        <v>0</v>
      </c>
      <c r="S101">
        <f t="shared" ca="1" si="14"/>
        <v>-43.320000000000007</v>
      </c>
      <c r="T101" s="84">
        <f t="shared" ca="1" si="15"/>
        <v>-7.1469142713082574</v>
      </c>
      <c r="U101" s="84">
        <f ca="1">T101*Auction!$A$2</f>
        <v>-7.1469142713082574</v>
      </c>
      <c r="V101" s="5" t="str">
        <f>IF(OR(INDEX(Auction!$H$13:$H$650,MATCH(B101,Auction!$A$13:$A$650,0))&gt;0,IFERROR(INDEX(CheatSheet!$V$5:$V$64,MATCH(B101,CheatSheet!$S$5:$S$64,0)),"")&lt;&gt;""),"Yes","No")</f>
        <v>No</v>
      </c>
      <c r="W101" s="175"/>
      <c r="Y101" s="113">
        <f t="shared" ca="1" si="16"/>
        <v>1</v>
      </c>
      <c r="Z101" s="174">
        <f t="shared" ca="1" si="17"/>
        <v>-21.660000000000004</v>
      </c>
      <c r="AA101" t="str">
        <f t="shared" ca="1" si="18"/>
        <v>WR8</v>
      </c>
      <c r="AB101" s="174">
        <f ca="1">Z101*LeagueInfo!$H$5</f>
        <v>-6.9951008349403834</v>
      </c>
      <c r="AC101" s="174">
        <f ca="1">(Z101-AVERAGE(Z:$Z))/_xlfn.STDEV.P(Z:Z)</f>
        <v>-0.21795803435700545</v>
      </c>
    </row>
    <row r="102" spans="1:29" x14ac:dyDescent="0.35">
      <c r="A102">
        <f t="shared" si="10"/>
        <v>100</v>
      </c>
      <c r="B102" t="str">
        <f>WR_Raw!A101</f>
        <v>Odell Beckham Jr.</v>
      </c>
      <c r="C102" t="s">
        <v>32</v>
      </c>
      <c r="D102">
        <f>_xlfn.IFNA(INDEX(BYEs!E:E,MATCH(B102,BYEs!D:D,0)),"N/A")</f>
        <v>31</v>
      </c>
      <c r="E102">
        <f>INDEX(BYEs!$B$2:$B$34,MATCH(F102,BYEs!$A$2:$A$34,0))</f>
        <v>6</v>
      </c>
      <c r="F102" t="str">
        <f>WR_Raw!B101</f>
        <v>MIA</v>
      </c>
      <c r="G102" s="202">
        <v>0</v>
      </c>
      <c r="H102" s="203">
        <v>0</v>
      </c>
      <c r="I102" s="200">
        <f>WR_Raw!F101</f>
        <v>0</v>
      </c>
      <c r="J102" s="200">
        <f>WR_Raw!G101</f>
        <v>2</v>
      </c>
      <c r="K102" s="200">
        <f>WR_Raw!H101</f>
        <v>0</v>
      </c>
      <c r="L102" s="202">
        <f>WR_Raw!C101</f>
        <v>27.9</v>
      </c>
      <c r="M102" s="200">
        <f>WR_Raw!D101</f>
        <v>379.5</v>
      </c>
      <c r="N102" s="203">
        <f>WR_Raw!E101</f>
        <v>2.6</v>
      </c>
      <c r="O102" s="200">
        <f>WR_Raw!I101</f>
        <v>0.4</v>
      </c>
      <c r="P102" s="204">
        <f t="shared" si="11"/>
        <v>66.900000000000006</v>
      </c>
      <c r="Q102" t="str">
        <f t="shared" ca="1" si="12"/>
        <v>Undrafted</v>
      </c>
      <c r="R102">
        <f t="shared" ca="1" si="13"/>
        <v>0</v>
      </c>
      <c r="S102">
        <f t="shared" ca="1" si="14"/>
        <v>-45.86</v>
      </c>
      <c r="T102" s="84">
        <f t="shared" ca="1" si="15"/>
        <v>-7.5659623380008458</v>
      </c>
      <c r="U102" s="84">
        <f ca="1">T102*Auction!$A$2</f>
        <v>-7.5659623380008458</v>
      </c>
      <c r="V102" s="5" t="str">
        <f>IF(OR(INDEX(Auction!$H$13:$H$650,MATCH(B102,Auction!$A$13:$A$650,0))&gt;0,IFERROR(INDEX(CheatSheet!$V$5:$V$64,MATCH(B102,CheatSheet!$S$5:$S$64,0)),"")&lt;&gt;""),"Yes","No")</f>
        <v>No</v>
      </c>
      <c r="W102" s="175"/>
      <c r="Y102" s="113">
        <f t="shared" ca="1" si="16"/>
        <v>1</v>
      </c>
      <c r="Z102" s="174">
        <f t="shared" ca="1" si="17"/>
        <v>-22.93</v>
      </c>
      <c r="AA102" t="str">
        <f t="shared" ca="1" si="18"/>
        <v>WR8</v>
      </c>
      <c r="AB102" s="174">
        <f ca="1">Z102*LeagueInfo!$H$5</f>
        <v>-7.4052475597960736</v>
      </c>
      <c r="AC102" s="174">
        <f ca="1">(Z102-AVERAGE(Z:$Z))/_xlfn.STDEV.P(Z:Z)</f>
        <v>-0.24964448819364041</v>
      </c>
    </row>
    <row r="103" spans="1:29" x14ac:dyDescent="0.35">
      <c r="A103">
        <f t="shared" si="10"/>
        <v>101</v>
      </c>
      <c r="B103" t="str">
        <f>WR_Raw!A102</f>
        <v>Kalif Raymond</v>
      </c>
      <c r="C103" t="s">
        <v>32</v>
      </c>
      <c r="D103">
        <f>_xlfn.IFNA(INDEX(BYEs!E:E,MATCH(B103,BYEs!D:D,0)),"N/A")</f>
        <v>29</v>
      </c>
      <c r="E103">
        <f>INDEX(BYEs!$B$2:$B$34,MATCH(F103,BYEs!$A$2:$A$34,0))</f>
        <v>5</v>
      </c>
      <c r="F103" t="str">
        <f>WR_Raw!B102</f>
        <v>DET</v>
      </c>
      <c r="G103" s="202">
        <v>0</v>
      </c>
      <c r="H103" s="203">
        <v>0</v>
      </c>
      <c r="I103" s="200">
        <f>WR_Raw!F102</f>
        <v>2.2000000000000002</v>
      </c>
      <c r="J103" s="200">
        <f>WR_Raw!G102</f>
        <v>24.6</v>
      </c>
      <c r="K103" s="200">
        <f>WR_Raw!H102</f>
        <v>0.1</v>
      </c>
      <c r="L103" s="202">
        <f>WR_Raw!C102</f>
        <v>28.9</v>
      </c>
      <c r="M103" s="200">
        <f>WR_Raw!D102</f>
        <v>357</v>
      </c>
      <c r="N103" s="203">
        <f>WR_Raw!E102</f>
        <v>1.9</v>
      </c>
      <c r="O103" s="200">
        <f>WR_Raw!I102</f>
        <v>0.2</v>
      </c>
      <c r="P103" s="204">
        <f t="shared" si="11"/>
        <v>64.209999999999994</v>
      </c>
      <c r="Q103" t="str">
        <f t="shared" ca="1" si="12"/>
        <v>Undrafted</v>
      </c>
      <c r="R103">
        <f t="shared" ca="1" si="13"/>
        <v>0</v>
      </c>
      <c r="S103">
        <f t="shared" ca="1" si="14"/>
        <v>-48.550000000000011</v>
      </c>
      <c r="T103" s="84">
        <f t="shared" ca="1" si="15"/>
        <v>-8.0097573377658335</v>
      </c>
      <c r="U103" s="84">
        <f ca="1">T103*Auction!$A$2</f>
        <v>-8.0097573377658335</v>
      </c>
      <c r="V103" s="5" t="str">
        <f>IF(OR(INDEX(Auction!$H$13:$H$650,MATCH(B103,Auction!$A$13:$A$650,0))&gt;0,IFERROR(INDEX(CheatSheet!$V$5:$V$64,MATCH(B103,CheatSheet!$S$5:$S$64,0)),"")&lt;&gt;""),"Yes","No")</f>
        <v>No</v>
      </c>
      <c r="W103" s="175"/>
      <c r="Y103" s="113">
        <f t="shared" ca="1" si="16"/>
        <v>1</v>
      </c>
      <c r="Z103" s="174">
        <f t="shared" ca="1" si="17"/>
        <v>-24.275000000000006</v>
      </c>
      <c r="AA103" t="str">
        <f t="shared" ca="1" si="18"/>
        <v>WR8</v>
      </c>
      <c r="AB103" s="174">
        <f ca="1">Z103*LeagueInfo!$H$5</f>
        <v>-7.8396155479306469</v>
      </c>
      <c r="AC103" s="174">
        <f ca="1">(Z103-AVERAGE(Z:$Z))/_xlfn.STDEV.P(Z:Z)</f>
        <v>-0.28320218930409263</v>
      </c>
    </row>
    <row r="104" spans="1:29" x14ac:dyDescent="0.35">
      <c r="A104">
        <f t="shared" si="10"/>
        <v>102</v>
      </c>
      <c r="B104" t="str">
        <f>WR_Raw!A103</f>
        <v>Cedrick Wilson Jr.</v>
      </c>
      <c r="C104" t="s">
        <v>32</v>
      </c>
      <c r="D104">
        <f>_xlfn.IFNA(INDEX(BYEs!E:E,MATCH(B104,BYEs!D:D,0)),"N/A")</f>
        <v>28</v>
      </c>
      <c r="E104">
        <f>INDEX(BYEs!$B$2:$B$34,MATCH(F104,BYEs!$A$2:$A$34,0))</f>
        <v>12</v>
      </c>
      <c r="F104" t="str">
        <f>WR_Raw!B103</f>
        <v>NO</v>
      </c>
      <c r="G104" s="202">
        <v>0</v>
      </c>
      <c r="H104" s="203">
        <v>0</v>
      </c>
      <c r="I104" s="200">
        <f>WR_Raw!F103</f>
        <v>0.3</v>
      </c>
      <c r="J104" s="200">
        <f>WR_Raw!G103</f>
        <v>2.2999999999999998</v>
      </c>
      <c r="K104" s="200">
        <f>WR_Raw!H103</f>
        <v>0</v>
      </c>
      <c r="L104" s="202">
        <f>WR_Raw!C103</f>
        <v>26</v>
      </c>
      <c r="M104" s="200">
        <f>WR_Raw!D103</f>
        <v>325.5</v>
      </c>
      <c r="N104" s="203">
        <f>WR_Raw!E103</f>
        <v>2.7</v>
      </c>
      <c r="O104" s="200">
        <f>WR_Raw!I103</f>
        <v>0.1</v>
      </c>
      <c r="P104" s="204">
        <f t="shared" si="11"/>
        <v>61.78</v>
      </c>
      <c r="Q104" t="str">
        <f t="shared" ca="1" si="12"/>
        <v>Undrafted</v>
      </c>
      <c r="R104">
        <f t="shared" ca="1" si="13"/>
        <v>0</v>
      </c>
      <c r="S104">
        <f t="shared" ca="1" si="14"/>
        <v>-50.980000000000004</v>
      </c>
      <c r="T104" s="84">
        <f t="shared" ca="1" si="15"/>
        <v>-8.4106576535386637</v>
      </c>
      <c r="U104" s="84">
        <f ca="1">T104*Auction!$A$2</f>
        <v>-8.4106576535386637</v>
      </c>
      <c r="V104" s="5" t="str">
        <f>IF(OR(INDEX(Auction!$H$13:$H$650,MATCH(B104,Auction!$A$13:$A$650,0))&gt;0,IFERROR(INDEX(CheatSheet!$V$5:$V$64,MATCH(B104,CheatSheet!$S$5:$S$64,0)),"")&lt;&gt;""),"Yes","No")</f>
        <v>No</v>
      </c>
      <c r="W104" s="175"/>
      <c r="Y104" s="113">
        <f t="shared" ca="1" si="16"/>
        <v>1</v>
      </c>
      <c r="Z104" s="174">
        <f t="shared" ca="1" si="17"/>
        <v>-25.490000000000002</v>
      </c>
      <c r="AA104" t="str">
        <f t="shared" ca="1" si="18"/>
        <v>WR8</v>
      </c>
      <c r="AB104" s="174">
        <f ca="1">Z104*LeagueInfo!$H$5</f>
        <v>-8.2320000130484932</v>
      </c>
      <c r="AC104" s="174">
        <f ca="1">(Z104-AVERAGE(Z:$Z))/_xlfn.STDEV.P(Z:Z)</f>
        <v>-0.31351639513992846</v>
      </c>
    </row>
    <row r="105" spans="1:29" x14ac:dyDescent="0.35">
      <c r="A105">
        <f t="shared" si="10"/>
        <v>103</v>
      </c>
      <c r="B105" t="str">
        <f>WR_Raw!A105</f>
        <v>Treylon Burks</v>
      </c>
      <c r="C105" t="s">
        <v>32</v>
      </c>
      <c r="D105">
        <f>_xlfn.IFNA(INDEX(BYEs!E:E,MATCH(B105,BYEs!D:D,0)),"N/A")</f>
        <v>24</v>
      </c>
      <c r="E105">
        <f>INDEX(BYEs!$B$2:$B$34,MATCH(F105,BYEs!$A$2:$A$34,0))</f>
        <v>5</v>
      </c>
      <c r="F105" t="str">
        <f>WR_Raw!B105</f>
        <v>TEN</v>
      </c>
      <c r="G105" s="202">
        <v>0</v>
      </c>
      <c r="H105" s="203">
        <v>0</v>
      </c>
      <c r="I105" s="200">
        <f>WR_Raw!F105</f>
        <v>1.8</v>
      </c>
      <c r="J105" s="200">
        <f>WR_Raw!G105</f>
        <v>18.7</v>
      </c>
      <c r="K105" s="200">
        <f>WR_Raw!H105</f>
        <v>0.1</v>
      </c>
      <c r="L105" s="202">
        <f>WR_Raw!C105</f>
        <v>27</v>
      </c>
      <c r="M105" s="200">
        <f>WR_Raw!D105</f>
        <v>357.7</v>
      </c>
      <c r="N105" s="203">
        <f>WR_Raw!E105</f>
        <v>1.8</v>
      </c>
      <c r="O105" s="200">
        <f>WR_Raw!I105</f>
        <v>0.6</v>
      </c>
      <c r="P105" s="204">
        <f t="shared" si="11"/>
        <v>61.34</v>
      </c>
      <c r="Q105" t="str">
        <f t="shared" ca="1" si="12"/>
        <v>Undrafted</v>
      </c>
      <c r="R105">
        <f t="shared" ca="1" si="13"/>
        <v>0</v>
      </c>
      <c r="S105">
        <f t="shared" ca="1" si="14"/>
        <v>-51.42</v>
      </c>
      <c r="T105" s="84">
        <f t="shared" ca="1" si="15"/>
        <v>-8.4832486572176951</v>
      </c>
      <c r="U105" s="84">
        <f ca="1">T105*Auction!$A$2</f>
        <v>-8.4832486572176951</v>
      </c>
      <c r="V105" s="5" t="str">
        <f>IF(OR(INDEX(Auction!$H$13:$H$650,MATCH(B105,Auction!$A$13:$A$650,0))&gt;0,IFERROR(INDEX(CheatSheet!$V$5:$V$64,MATCH(B105,CheatSheet!$S$5:$S$64,0)),"")&lt;&gt;""),"Yes","No")</f>
        <v>No</v>
      </c>
      <c r="W105" s="175"/>
      <c r="Y105" s="113">
        <f t="shared" ca="1" si="16"/>
        <v>1</v>
      </c>
      <c r="Z105" s="174">
        <f t="shared" ca="1" si="17"/>
        <v>-25.71</v>
      </c>
      <c r="AA105" t="str">
        <f t="shared" ca="1" si="18"/>
        <v>WR8</v>
      </c>
      <c r="AB105" s="174">
        <f ca="1">Z105*LeagueInfo!$H$5</f>
        <v>-8.3030490519998725</v>
      </c>
      <c r="AC105" s="174">
        <f ca="1">(Z105-AVERAGE(Z:$Z))/_xlfn.STDEV.P(Z:Z)</f>
        <v>-0.31900538714312504</v>
      </c>
    </row>
    <row r="106" spans="1:29" x14ac:dyDescent="0.35">
      <c r="A106">
        <f t="shared" si="10"/>
        <v>104</v>
      </c>
      <c r="B106" t="str">
        <f>WR_Raw!A106</f>
        <v>Trey Palmer</v>
      </c>
      <c r="C106" t="s">
        <v>32</v>
      </c>
      <c r="D106">
        <f>_xlfn.IFNA(INDEX(BYEs!E:E,MATCH(B106,BYEs!D:D,0)),"N/A")</f>
        <v>23</v>
      </c>
      <c r="E106">
        <f>INDEX(BYEs!$B$2:$B$34,MATCH(F106,BYEs!$A$2:$A$34,0))</f>
        <v>11</v>
      </c>
      <c r="F106" t="str">
        <f>WR_Raw!B106</f>
        <v>TB</v>
      </c>
      <c r="G106" s="202">
        <v>0</v>
      </c>
      <c r="H106" s="203">
        <v>0</v>
      </c>
      <c r="I106" s="200">
        <f>WR_Raw!F106</f>
        <v>4.2</v>
      </c>
      <c r="J106" s="200">
        <f>WR_Raw!G106</f>
        <v>20.2</v>
      </c>
      <c r="K106" s="200">
        <f>WR_Raw!H106</f>
        <v>0.1</v>
      </c>
      <c r="L106" s="202">
        <f>WR_Raw!C106</f>
        <v>27.5</v>
      </c>
      <c r="M106" s="200">
        <f>WR_Raw!D106</f>
        <v>328.4</v>
      </c>
      <c r="N106" s="203">
        <f>WR_Raw!E106</f>
        <v>2</v>
      </c>
      <c r="O106" s="200">
        <f>WR_Raw!I106</f>
        <v>0.2</v>
      </c>
      <c r="P106" s="204">
        <f t="shared" si="11"/>
        <v>60.809999999999995</v>
      </c>
      <c r="Q106" t="str">
        <f t="shared" ca="1" si="12"/>
        <v>Undrafted</v>
      </c>
      <c r="R106">
        <f t="shared" ca="1" si="13"/>
        <v>0</v>
      </c>
      <c r="S106">
        <f t="shared" ca="1" si="14"/>
        <v>-51.95000000000001</v>
      </c>
      <c r="T106" s="84">
        <f t="shared" ca="1" si="15"/>
        <v>-8.5706878207401651</v>
      </c>
      <c r="U106" s="84">
        <f ca="1">T106*Auction!$A$2</f>
        <v>-8.5706878207401651</v>
      </c>
      <c r="V106" s="5" t="str">
        <f>IF(OR(INDEX(Auction!$H$13:$H$650,MATCH(B106,Auction!$A$13:$A$650,0))&gt;0,IFERROR(INDEX(CheatSheet!$V$5:$V$64,MATCH(B106,CheatSheet!$S$5:$S$64,0)),"")&lt;&gt;""),"Yes","No")</f>
        <v>No</v>
      </c>
      <c r="W106" s="175"/>
      <c r="Y106" s="113">
        <f t="shared" ca="1" si="16"/>
        <v>1</v>
      </c>
      <c r="Z106" s="174">
        <f t="shared" ca="1" si="17"/>
        <v>-25.975000000000005</v>
      </c>
      <c r="AA106" t="str">
        <f t="shared" ca="1" si="18"/>
        <v>WR8</v>
      </c>
      <c r="AB106" s="174">
        <f ca="1">Z106*LeagueInfo!$H$5</f>
        <v>-8.3886308489185808</v>
      </c>
      <c r="AC106" s="174">
        <f ca="1">(Z106-AVERAGE(Z:$Z))/_xlfn.STDEV.P(Z:Z)</f>
        <v>-0.32561712751061195</v>
      </c>
    </row>
    <row r="107" spans="1:29" x14ac:dyDescent="0.35">
      <c r="A107">
        <f t="shared" si="10"/>
        <v>105</v>
      </c>
      <c r="B107" t="str">
        <f>WR_Raw!A104</f>
        <v>Alec Pierce</v>
      </c>
      <c r="C107" t="s">
        <v>32</v>
      </c>
      <c r="D107">
        <f>_xlfn.IFNA(INDEX(BYEs!E:E,MATCH(B107,BYEs!D:D,0)),"N/A")</f>
        <v>24</v>
      </c>
      <c r="E107">
        <f>INDEX(BYEs!$B$2:$B$34,MATCH(F107,BYEs!$A$2:$A$34,0))</f>
        <v>14</v>
      </c>
      <c r="F107" t="str">
        <f>WR_Raw!B104</f>
        <v>IND</v>
      </c>
      <c r="G107" s="202">
        <v>0</v>
      </c>
      <c r="H107" s="203">
        <v>0</v>
      </c>
      <c r="I107" s="200">
        <f>WR_Raw!F104</f>
        <v>0</v>
      </c>
      <c r="J107" s="200">
        <f>WR_Raw!G104</f>
        <v>1.3</v>
      </c>
      <c r="K107" s="200">
        <f>WR_Raw!H104</f>
        <v>0</v>
      </c>
      <c r="L107" s="202">
        <f>WR_Raw!C104</f>
        <v>24.1</v>
      </c>
      <c r="M107" s="200">
        <f>WR_Raw!D104</f>
        <v>362.5</v>
      </c>
      <c r="N107" s="203">
        <f>WR_Raw!E104</f>
        <v>2</v>
      </c>
      <c r="O107" s="200">
        <f>WR_Raw!I104</f>
        <v>0.1</v>
      </c>
      <c r="P107" s="204">
        <f t="shared" si="11"/>
        <v>60.23</v>
      </c>
      <c r="Q107" t="str">
        <f t="shared" ca="1" si="12"/>
        <v>Undrafted</v>
      </c>
      <c r="R107">
        <f t="shared" ca="1" si="13"/>
        <v>0</v>
      </c>
      <c r="S107">
        <f t="shared" ca="1" si="14"/>
        <v>-52.530000000000008</v>
      </c>
      <c r="T107" s="84">
        <f t="shared" ca="1" si="15"/>
        <v>-8.6663759619534346</v>
      </c>
      <c r="U107" s="84">
        <f ca="1">T107*Auction!$A$2</f>
        <v>-8.6663759619534346</v>
      </c>
      <c r="V107" s="5" t="str">
        <f>IF(OR(INDEX(Auction!$H$13:$H$650,MATCH(B107,Auction!$A$13:$A$650,0))&gt;0,IFERROR(INDEX(CheatSheet!$V$5:$V$64,MATCH(B107,CheatSheet!$S$5:$S$64,0)),"")&lt;&gt;""),"Yes","No")</f>
        <v>No</v>
      </c>
      <c r="W107" s="175"/>
      <c r="Y107" s="113">
        <f t="shared" ca="1" si="16"/>
        <v>1</v>
      </c>
      <c r="Z107" s="174">
        <f t="shared" ca="1" si="17"/>
        <v>-26.265000000000004</v>
      </c>
      <c r="AA107" t="str">
        <f t="shared" ca="1" si="18"/>
        <v>WR8</v>
      </c>
      <c r="AB107" s="174">
        <f ca="1">Z107*LeagueInfo!$H$5</f>
        <v>-8.4822864002635807</v>
      </c>
      <c r="AC107" s="174">
        <f ca="1">(Z107-AVERAGE(Z:$Z))/_xlfn.STDEV.P(Z:Z)</f>
        <v>-0.33285261696937113</v>
      </c>
    </row>
    <row r="108" spans="1:29" x14ac:dyDescent="0.35">
      <c r="A108">
        <f t="shared" si="10"/>
        <v>106</v>
      </c>
      <c r="B108" t="str">
        <f>WR_Raw!A108</f>
        <v>Jalen Nailor</v>
      </c>
      <c r="C108" t="s">
        <v>32</v>
      </c>
      <c r="D108" t="str">
        <f>_xlfn.IFNA(INDEX(BYEs!E:E,MATCH(B108,BYEs!D:D,0)),"N/A")</f>
        <v>N/A</v>
      </c>
      <c r="E108">
        <f>INDEX(BYEs!$B$2:$B$34,MATCH(F108,BYEs!$A$2:$A$34,0))</f>
        <v>6</v>
      </c>
      <c r="F108" t="str">
        <f>WR_Raw!B108</f>
        <v>MIN</v>
      </c>
      <c r="G108" s="202">
        <v>0</v>
      </c>
      <c r="H108" s="203">
        <v>0</v>
      </c>
      <c r="I108" s="200">
        <f>WR_Raw!F108</f>
        <v>0</v>
      </c>
      <c r="J108" s="200">
        <f>WR_Raw!G108</f>
        <v>0.3</v>
      </c>
      <c r="K108" s="200">
        <f>WR_Raw!H108</f>
        <v>0</v>
      </c>
      <c r="L108" s="202">
        <f>WR_Raw!C108</f>
        <v>27.5</v>
      </c>
      <c r="M108" s="200">
        <f>WR_Raw!D108</f>
        <v>341.5</v>
      </c>
      <c r="N108" s="203">
        <f>WR_Raw!E108</f>
        <v>1.7</v>
      </c>
      <c r="O108" s="200">
        <f>WR_Raw!I108</f>
        <v>0.1</v>
      </c>
      <c r="P108" s="204">
        <f t="shared" si="11"/>
        <v>57.929999999999993</v>
      </c>
      <c r="Q108" t="str">
        <f t="shared" ca="1" si="12"/>
        <v>Undrafted</v>
      </c>
      <c r="R108">
        <f t="shared" ca="1" si="13"/>
        <v>0</v>
      </c>
      <c r="S108">
        <f t="shared" ca="1" si="14"/>
        <v>-54.830000000000013</v>
      </c>
      <c r="T108" s="84">
        <f t="shared" ca="1" si="15"/>
        <v>-9.0458289357301886</v>
      </c>
      <c r="U108" s="84">
        <f ca="1">T108*Auction!$A$2</f>
        <v>-9.0458289357301886</v>
      </c>
      <c r="V108" s="5" t="str">
        <f>IF(OR(INDEX(Auction!$H$13:$H$650,MATCH(B108,Auction!$A$13:$A$650,0))&gt;0,IFERROR(INDEX(CheatSheet!$V$5:$V$64,MATCH(B108,CheatSheet!$S$5:$S$64,0)),"")&lt;&gt;""),"Yes","No")</f>
        <v>No</v>
      </c>
      <c r="W108" s="175"/>
      <c r="Y108" s="113">
        <f t="shared" ca="1" si="16"/>
        <v>1</v>
      </c>
      <c r="Z108" s="174">
        <f t="shared" ca="1" si="17"/>
        <v>-27.415000000000006</v>
      </c>
      <c r="AA108" t="str">
        <f t="shared" ca="1" si="18"/>
        <v>WR8</v>
      </c>
      <c r="AB108" s="174">
        <f ca="1">Z108*LeagueInfo!$H$5</f>
        <v>-8.8536791038730662</v>
      </c>
      <c r="AC108" s="174">
        <f ca="1">(Z108-AVERAGE(Z:$Z))/_xlfn.STDEV.P(Z:Z)</f>
        <v>-0.36154507516789902</v>
      </c>
    </row>
    <row r="109" spans="1:29" x14ac:dyDescent="0.35">
      <c r="A109">
        <f t="shared" si="10"/>
        <v>107</v>
      </c>
      <c r="B109" t="str">
        <f>WR_Raw!A109</f>
        <v>Van Jefferson</v>
      </c>
      <c r="C109" t="s">
        <v>32</v>
      </c>
      <c r="D109">
        <f>_xlfn.IFNA(INDEX(BYEs!E:E,MATCH(B109,BYEs!D:D,0)),"N/A")</f>
        <v>28</v>
      </c>
      <c r="E109">
        <f>INDEX(BYEs!$B$2:$B$34,MATCH(F109,BYEs!$A$2:$A$34,0))</f>
        <v>9</v>
      </c>
      <c r="F109" t="str">
        <f>WR_Raw!B109</f>
        <v>PIT</v>
      </c>
      <c r="G109" s="202">
        <v>0</v>
      </c>
      <c r="H109" s="203">
        <v>0</v>
      </c>
      <c r="I109" s="200">
        <f>WR_Raw!F109</f>
        <v>0</v>
      </c>
      <c r="J109" s="200">
        <f>WR_Raw!G109</f>
        <v>4</v>
      </c>
      <c r="K109" s="200">
        <f>WR_Raw!H109</f>
        <v>0</v>
      </c>
      <c r="L109" s="202">
        <f>WR_Raw!C109</f>
        <v>24.1</v>
      </c>
      <c r="M109" s="200">
        <f>WR_Raw!D109</f>
        <v>327.10000000000002</v>
      </c>
      <c r="N109" s="203">
        <f>WR_Raw!E109</f>
        <v>1.9</v>
      </c>
      <c r="O109" s="200">
        <f>WR_Raw!I109</f>
        <v>0.1</v>
      </c>
      <c r="P109" s="204">
        <f t="shared" si="11"/>
        <v>56.36</v>
      </c>
      <c r="Q109" t="str">
        <f t="shared" ca="1" si="12"/>
        <v>Undrafted</v>
      </c>
      <c r="R109">
        <f t="shared" ca="1" si="13"/>
        <v>0</v>
      </c>
      <c r="S109">
        <f t="shared" ca="1" si="14"/>
        <v>-56.400000000000006</v>
      </c>
      <c r="T109" s="84">
        <f t="shared" ca="1" si="15"/>
        <v>-9.3048468352212765</v>
      </c>
      <c r="U109" s="84">
        <f ca="1">T109*Auction!$A$2</f>
        <v>-9.3048468352212765</v>
      </c>
      <c r="V109" s="5" t="str">
        <f>IF(OR(INDEX(Auction!$H$13:$H$650,MATCH(B109,Auction!$A$13:$A$650,0))&gt;0,IFERROR(INDEX(CheatSheet!$V$5:$V$64,MATCH(B109,CheatSheet!$S$5:$S$64,0)),"")&lt;&gt;""),"Yes","No")</f>
        <v>No</v>
      </c>
      <c r="W109" s="175"/>
      <c r="Y109" s="113">
        <f t="shared" ca="1" si="16"/>
        <v>1</v>
      </c>
      <c r="Z109" s="174">
        <f t="shared" ca="1" si="17"/>
        <v>-28.200000000000003</v>
      </c>
      <c r="AA109" t="str">
        <f t="shared" ca="1" si="18"/>
        <v>WR8</v>
      </c>
      <c r="AB109" s="174">
        <f ca="1">Z109*LeagueInfo!$H$5</f>
        <v>-9.1071949928586697</v>
      </c>
      <c r="AC109" s="174">
        <f ca="1">(Z109-AVERAGE(Z:$Z))/_xlfn.STDEV.P(Z:Z)</f>
        <v>-0.38113079663385052</v>
      </c>
    </row>
    <row r="110" spans="1:29" x14ac:dyDescent="0.35">
      <c r="A110">
        <f t="shared" si="10"/>
        <v>108</v>
      </c>
      <c r="B110" t="str">
        <f>WR_Raw!A107</f>
        <v>KaVontae Turpin</v>
      </c>
      <c r="C110" t="s">
        <v>32</v>
      </c>
      <c r="D110" t="str">
        <f>_xlfn.IFNA(INDEX(BYEs!E:E,MATCH(B110,BYEs!D:D,0)),"N/A")</f>
        <v>N/A</v>
      </c>
      <c r="E110">
        <f>INDEX(BYEs!$B$2:$B$34,MATCH(F110,BYEs!$A$2:$A$34,0))</f>
        <v>7</v>
      </c>
      <c r="F110" t="str">
        <f>WR_Raw!B107</f>
        <v>DAL</v>
      </c>
      <c r="G110" s="202">
        <v>0</v>
      </c>
      <c r="H110" s="203">
        <v>0</v>
      </c>
      <c r="I110" s="200">
        <f>WR_Raw!F107</f>
        <v>8.6999999999999993</v>
      </c>
      <c r="J110" s="200">
        <f>WR_Raw!G107</f>
        <v>66.900000000000006</v>
      </c>
      <c r="K110" s="200">
        <f>WR_Raw!H107</f>
        <v>0.4</v>
      </c>
      <c r="L110" s="202">
        <f>WR_Raw!C107</f>
        <v>18.7</v>
      </c>
      <c r="M110" s="200">
        <f>WR_Raw!D107</f>
        <v>220.3</v>
      </c>
      <c r="N110" s="203">
        <f>WR_Raw!E107</f>
        <v>2.7</v>
      </c>
      <c r="O110" s="200">
        <f>WR_Raw!I107</f>
        <v>0.4</v>
      </c>
      <c r="P110" s="204">
        <f t="shared" si="11"/>
        <v>55.870000000000005</v>
      </c>
      <c r="Q110" t="str">
        <f t="shared" ca="1" si="12"/>
        <v>Undrafted</v>
      </c>
      <c r="R110">
        <f t="shared" ca="1" si="13"/>
        <v>0</v>
      </c>
      <c r="S110">
        <f t="shared" ca="1" si="14"/>
        <v>-56.89</v>
      </c>
      <c r="T110" s="84">
        <f t="shared" ca="1" si="15"/>
        <v>-9.3856868165911056</v>
      </c>
      <c r="U110" s="84">
        <f ca="1">T110*Auction!$A$2</f>
        <v>-9.3856868165911056</v>
      </c>
      <c r="V110" s="5" t="str">
        <f>IF(OR(INDEX(Auction!$H$13:$H$650,MATCH(B110,Auction!$A$13:$A$650,0))&gt;0,IFERROR(INDEX(CheatSheet!$V$5:$V$64,MATCH(B110,CheatSheet!$S$5:$S$64,0)),"")&lt;&gt;""),"Yes","No")</f>
        <v>No</v>
      </c>
      <c r="W110" s="175"/>
      <c r="Y110" s="113">
        <f t="shared" ca="1" si="16"/>
        <v>1</v>
      </c>
      <c r="Z110" s="174">
        <f t="shared" ca="1" si="17"/>
        <v>-28.445</v>
      </c>
      <c r="AA110" t="str">
        <f t="shared" ca="1" si="18"/>
        <v>WR8</v>
      </c>
      <c r="AB110" s="174">
        <f ca="1">Z110*LeagueInfo!$H$5</f>
        <v>-9.1863177862363425</v>
      </c>
      <c r="AC110" s="174">
        <f ca="1">(Z110-AVERAGE(Z:$Z))/_xlfn.STDEV.P(Z:Z)</f>
        <v>-0.38724353772831943</v>
      </c>
    </row>
    <row r="111" spans="1:29" x14ac:dyDescent="0.35">
      <c r="A111">
        <f t="shared" si="10"/>
        <v>109</v>
      </c>
      <c r="B111" t="str">
        <f>WR_Raw!A111</f>
        <v>Calvin Austin III</v>
      </c>
      <c r="C111" t="s">
        <v>32</v>
      </c>
      <c r="D111">
        <f>_xlfn.IFNA(INDEX(BYEs!E:E,MATCH(B111,BYEs!D:D,0)),"N/A")</f>
        <v>25</v>
      </c>
      <c r="E111">
        <f>INDEX(BYEs!$B$2:$B$34,MATCH(F111,BYEs!$A$2:$A$34,0))</f>
        <v>9</v>
      </c>
      <c r="F111" t="str">
        <f>WR_Raw!B111</f>
        <v>PIT</v>
      </c>
      <c r="G111" s="202">
        <v>0</v>
      </c>
      <c r="H111" s="203">
        <v>0</v>
      </c>
      <c r="I111" s="200">
        <f>WR_Raw!F111</f>
        <v>4.5</v>
      </c>
      <c r="J111" s="200">
        <f>WR_Raw!G111</f>
        <v>36.299999999999997</v>
      </c>
      <c r="K111" s="200">
        <f>WR_Raw!H111</f>
        <v>0.1</v>
      </c>
      <c r="L111" s="202">
        <f>WR_Raw!C111</f>
        <v>25.4</v>
      </c>
      <c r="M111" s="200">
        <f>WR_Raw!D111</f>
        <v>294.7</v>
      </c>
      <c r="N111" s="203">
        <f>WR_Raw!E111</f>
        <v>1.6</v>
      </c>
      <c r="O111" s="200">
        <f>WR_Raw!I111</f>
        <v>0.2</v>
      </c>
      <c r="P111" s="204">
        <f t="shared" si="11"/>
        <v>55.6</v>
      </c>
      <c r="Q111" t="str">
        <f t="shared" ca="1" si="12"/>
        <v>Undrafted</v>
      </c>
      <c r="R111">
        <f t="shared" ca="1" si="13"/>
        <v>0</v>
      </c>
      <c r="S111">
        <f t="shared" ca="1" si="14"/>
        <v>-57.160000000000004</v>
      </c>
      <c r="T111" s="84">
        <f t="shared" ca="1" si="15"/>
        <v>-9.4302312961214216</v>
      </c>
      <c r="U111" s="84">
        <f ca="1">T111*Auction!$A$2</f>
        <v>-9.4302312961214216</v>
      </c>
      <c r="V111" s="5" t="str">
        <f>IF(OR(INDEX(Auction!$H$13:$H$650,MATCH(B111,Auction!$A$13:$A$650,0))&gt;0,IFERROR(INDEX(CheatSheet!$V$5:$V$64,MATCH(B111,CheatSheet!$S$5:$S$64,0)),"")&lt;&gt;""),"Yes","No")</f>
        <v>No</v>
      </c>
      <c r="W111" s="175"/>
      <c r="Y111" s="113">
        <f t="shared" ca="1" si="16"/>
        <v>1</v>
      </c>
      <c r="Z111" s="174">
        <f t="shared" ca="1" si="17"/>
        <v>-28.580000000000002</v>
      </c>
      <c r="AA111" t="str">
        <f t="shared" ca="1" si="18"/>
        <v>WR8</v>
      </c>
      <c r="AB111" s="174">
        <f ca="1">Z111*LeagueInfo!$H$5</f>
        <v>-9.2299160601383257</v>
      </c>
      <c r="AC111" s="174">
        <f ca="1">(Z111-AVERAGE(Z:$Z))/_xlfn.STDEV.P(Z:Z)</f>
        <v>-0.39061178282119008</v>
      </c>
    </row>
    <row r="112" spans="1:29" x14ac:dyDescent="0.35">
      <c r="A112">
        <f t="shared" si="10"/>
        <v>110</v>
      </c>
      <c r="B112" t="str">
        <f>WR_Raw!A112</f>
        <v>Cedric Tillman</v>
      </c>
      <c r="C112" t="s">
        <v>32</v>
      </c>
      <c r="D112">
        <f>_xlfn.IFNA(INDEX(BYEs!E:E,MATCH(B112,BYEs!D:D,0)),"N/A")</f>
        <v>24</v>
      </c>
      <c r="E112">
        <f>INDEX(BYEs!$B$2:$B$34,MATCH(F112,BYEs!$A$2:$A$34,0))</f>
        <v>10</v>
      </c>
      <c r="F112" t="str">
        <f>WR_Raw!B112</f>
        <v>CLE</v>
      </c>
      <c r="G112" s="202">
        <v>0</v>
      </c>
      <c r="H112" s="203">
        <v>0</v>
      </c>
      <c r="I112" s="200">
        <f>WR_Raw!F112</f>
        <v>0</v>
      </c>
      <c r="J112" s="200">
        <f>WR_Raw!G112</f>
        <v>1.7</v>
      </c>
      <c r="K112" s="200">
        <f>WR_Raw!H112</f>
        <v>0</v>
      </c>
      <c r="L112" s="202">
        <f>WR_Raw!C112</f>
        <v>24.2</v>
      </c>
      <c r="M112" s="200">
        <f>WR_Raw!D112</f>
        <v>307.89999999999998</v>
      </c>
      <c r="N112" s="203">
        <f>WR_Raw!E112</f>
        <v>2</v>
      </c>
      <c r="O112" s="200">
        <f>WR_Raw!I112</f>
        <v>0.2</v>
      </c>
      <c r="P112" s="204">
        <f t="shared" si="11"/>
        <v>54.660000000000004</v>
      </c>
      <c r="Q112" t="str">
        <f t="shared" ca="1" si="12"/>
        <v>Undrafted</v>
      </c>
      <c r="R112">
        <f t="shared" ca="1" si="13"/>
        <v>0</v>
      </c>
      <c r="S112">
        <f t="shared" ca="1" si="14"/>
        <v>-58.1</v>
      </c>
      <c r="T112" s="84">
        <f t="shared" ca="1" si="15"/>
        <v>-9.5853120767084423</v>
      </c>
      <c r="U112" s="84">
        <f ca="1">T112*Auction!$A$2</f>
        <v>-9.5853120767084423</v>
      </c>
      <c r="V112" s="5" t="str">
        <f>IF(OR(INDEX(Auction!$H$13:$H$650,MATCH(B112,Auction!$A$13:$A$650,0))&gt;0,IFERROR(INDEX(CheatSheet!$V$5:$V$64,MATCH(B112,CheatSheet!$S$5:$S$64,0)),"")&lt;&gt;""),"Yes","No")</f>
        <v>No</v>
      </c>
      <c r="W112" s="175"/>
      <c r="Y112" s="113">
        <f t="shared" ca="1" si="16"/>
        <v>1</v>
      </c>
      <c r="Z112" s="174">
        <f t="shared" ca="1" si="17"/>
        <v>-29.05</v>
      </c>
      <c r="AA112" t="str">
        <f t="shared" ca="1" si="18"/>
        <v>WR8</v>
      </c>
      <c r="AB112" s="174">
        <f ca="1">Z112*LeagueInfo!$H$5</f>
        <v>-9.3817026433526358</v>
      </c>
      <c r="AC112" s="174">
        <f ca="1">(Z112-AVERAGE(Z:$Z))/_xlfn.STDEV.P(Z:Z)</f>
        <v>-0.40233826573711007</v>
      </c>
    </row>
    <row r="113" spans="1:29" x14ac:dyDescent="0.35">
      <c r="A113">
        <f t="shared" si="10"/>
        <v>111</v>
      </c>
      <c r="B113" t="str">
        <f>WR_Raw!A110</f>
        <v>A.T. Perry</v>
      </c>
      <c r="C113" t="s">
        <v>32</v>
      </c>
      <c r="D113">
        <f>_xlfn.IFNA(INDEX(BYEs!E:E,MATCH(B113,BYEs!D:D,0)),"N/A")</f>
        <v>24</v>
      </c>
      <c r="E113">
        <f>INDEX(BYEs!$B$2:$B$34,MATCH(F113,BYEs!$A$2:$A$34,0))</f>
        <v>12</v>
      </c>
      <c r="F113" t="str">
        <f>WR_Raw!B110</f>
        <v>NO</v>
      </c>
      <c r="G113" s="202">
        <v>0</v>
      </c>
      <c r="H113" s="203">
        <v>0</v>
      </c>
      <c r="I113" s="200">
        <f>WR_Raw!F110</f>
        <v>0.3</v>
      </c>
      <c r="J113" s="200">
        <f>WR_Raw!G110</f>
        <v>1.8</v>
      </c>
      <c r="K113" s="200">
        <f>WR_Raw!H110</f>
        <v>0</v>
      </c>
      <c r="L113" s="202">
        <f>WR_Raw!C110</f>
        <v>20.2</v>
      </c>
      <c r="M113" s="200">
        <f>WR_Raw!D110</f>
        <v>299.39999999999998</v>
      </c>
      <c r="N113" s="203">
        <f>WR_Raw!E110</f>
        <v>2.2999999999999998</v>
      </c>
      <c r="O113" s="200">
        <f>WR_Raw!I110</f>
        <v>0</v>
      </c>
      <c r="P113" s="204">
        <f t="shared" si="11"/>
        <v>54.019999999999996</v>
      </c>
      <c r="Q113" t="str">
        <f t="shared" ca="1" si="12"/>
        <v>Undrafted</v>
      </c>
      <c r="R113">
        <f t="shared" ca="1" si="13"/>
        <v>0</v>
      </c>
      <c r="S113">
        <f t="shared" ca="1" si="14"/>
        <v>-58.740000000000009</v>
      </c>
      <c r="T113" s="84">
        <f t="shared" ca="1" si="15"/>
        <v>-9.6908989911506698</v>
      </c>
      <c r="U113" s="84">
        <f ca="1">T113*Auction!$A$2</f>
        <v>-9.6908989911506698</v>
      </c>
      <c r="V113" s="5" t="str">
        <f>IF(OR(INDEX(Auction!$H$13:$H$650,MATCH(B113,Auction!$A$13:$A$650,0))&gt;0,IFERROR(INDEX(CheatSheet!$V$5:$V$64,MATCH(B113,CheatSheet!$S$5:$S$64,0)),"")&lt;&gt;""),"Yes","No")</f>
        <v>No</v>
      </c>
      <c r="W113" s="175"/>
      <c r="Y113" s="113">
        <f t="shared" ca="1" si="16"/>
        <v>1</v>
      </c>
      <c r="Z113" s="174">
        <f t="shared" ca="1" si="17"/>
        <v>-29.370000000000005</v>
      </c>
      <c r="AA113" t="str">
        <f t="shared" ca="1" si="18"/>
        <v>WR8</v>
      </c>
      <c r="AB113" s="174">
        <f ca="1">Z113*LeagueInfo!$H$5</f>
        <v>-9.4850467000091889</v>
      </c>
      <c r="AC113" s="174">
        <f ca="1">(Z113-AVERAGE(Z:$Z))/_xlfn.STDEV.P(Z:Z)</f>
        <v>-0.41032225410539624</v>
      </c>
    </row>
    <row r="114" spans="1:29" x14ac:dyDescent="0.35">
      <c r="A114">
        <f t="shared" si="10"/>
        <v>112</v>
      </c>
      <c r="B114" t="str">
        <f>WR_Raw!A113</f>
        <v>Nelson Agholor</v>
      </c>
      <c r="C114" t="s">
        <v>32</v>
      </c>
      <c r="D114">
        <f>_xlfn.IFNA(INDEX(BYEs!E:E,MATCH(B114,BYEs!D:D,0)),"N/A")</f>
        <v>31</v>
      </c>
      <c r="E114">
        <f>INDEX(BYEs!$B$2:$B$34,MATCH(F114,BYEs!$A$2:$A$34,0))</f>
        <v>14</v>
      </c>
      <c r="F114" t="str">
        <f>WR_Raw!B113</f>
        <v>BAL</v>
      </c>
      <c r="G114" s="202">
        <v>0</v>
      </c>
      <c r="H114" s="203">
        <v>0</v>
      </c>
      <c r="I114" s="200">
        <f>WR_Raw!F113</f>
        <v>0</v>
      </c>
      <c r="J114" s="200">
        <f>WR_Raw!G113</f>
        <v>2</v>
      </c>
      <c r="K114" s="200">
        <f>WR_Raw!H113</f>
        <v>0</v>
      </c>
      <c r="L114" s="202">
        <f>WR_Raw!C113</f>
        <v>23.3</v>
      </c>
      <c r="M114" s="200">
        <f>WR_Raw!D113</f>
        <v>291.7</v>
      </c>
      <c r="N114" s="203">
        <f>WR_Raw!E113</f>
        <v>2.1</v>
      </c>
      <c r="O114" s="200">
        <f>WR_Raw!I113</f>
        <v>0.1</v>
      </c>
      <c r="P114" s="204">
        <f t="shared" si="11"/>
        <v>53.42</v>
      </c>
      <c r="Q114" t="str">
        <f t="shared" ca="1" si="12"/>
        <v>Undrafted</v>
      </c>
      <c r="R114">
        <f t="shared" ca="1" si="13"/>
        <v>0</v>
      </c>
      <c r="S114">
        <f t="shared" ca="1" si="14"/>
        <v>-59.34</v>
      </c>
      <c r="T114" s="84">
        <f t="shared" ca="1" si="15"/>
        <v>-9.789886723440258</v>
      </c>
      <c r="U114" s="84">
        <f ca="1">T114*Auction!$A$2</f>
        <v>-9.789886723440258</v>
      </c>
      <c r="V114" s="5" t="str">
        <f>IF(OR(INDEX(Auction!$H$13:$H$650,MATCH(B114,Auction!$A$13:$A$650,0))&gt;0,IFERROR(INDEX(CheatSheet!$V$5:$V$64,MATCH(B114,CheatSheet!$S$5:$S$64,0)),"")&lt;&gt;""),"Yes","No")</f>
        <v>No</v>
      </c>
      <c r="W114" s="175"/>
      <c r="Y114" s="113">
        <f t="shared" ca="1" si="16"/>
        <v>1</v>
      </c>
      <c r="Z114" s="174">
        <f t="shared" ca="1" si="17"/>
        <v>-29.67</v>
      </c>
      <c r="AA114" t="str">
        <f t="shared" ca="1" si="18"/>
        <v>WR8</v>
      </c>
      <c r="AB114" s="174">
        <f ca="1">Z114*LeagueInfo!$H$5</f>
        <v>-9.5819317531247066</v>
      </c>
      <c r="AC114" s="174">
        <f ca="1">(Z114-AVERAGE(Z:$Z))/_xlfn.STDEV.P(Z:Z)</f>
        <v>-0.41780724320066431</v>
      </c>
    </row>
    <row r="115" spans="1:29" x14ac:dyDescent="0.35">
      <c r="A115">
        <f t="shared" si="10"/>
        <v>113</v>
      </c>
      <c r="B115" t="str">
        <f>WR_Raw!A114</f>
        <v>K.J. Osborn</v>
      </c>
      <c r="C115" t="s">
        <v>32</v>
      </c>
      <c r="D115">
        <f>_xlfn.IFNA(INDEX(BYEs!E:E,MATCH(B115,BYEs!D:D,0)),"N/A")</f>
        <v>27</v>
      </c>
      <c r="E115">
        <f>INDEX(BYEs!$B$2:$B$34,MATCH(F115,BYEs!$A$2:$A$34,0))</f>
        <v>14</v>
      </c>
      <c r="F115" t="str">
        <f>WR_Raw!B114</f>
        <v>NE</v>
      </c>
      <c r="G115" s="202">
        <v>0</v>
      </c>
      <c r="H115" s="203">
        <v>0</v>
      </c>
      <c r="I115" s="200">
        <f>WR_Raw!F114</f>
        <v>0</v>
      </c>
      <c r="J115" s="200">
        <f>WR_Raw!G114</f>
        <v>2</v>
      </c>
      <c r="K115" s="200">
        <f>WR_Raw!H114</f>
        <v>0</v>
      </c>
      <c r="L115" s="202">
        <f>WR_Raw!C114</f>
        <v>24.7</v>
      </c>
      <c r="M115" s="200">
        <f>WR_Raw!D114</f>
        <v>299.60000000000002</v>
      </c>
      <c r="N115" s="203">
        <f>WR_Raw!E114</f>
        <v>1.7</v>
      </c>
      <c r="O115" s="200">
        <f>WR_Raw!I114</f>
        <v>0.1</v>
      </c>
      <c r="P115" s="204">
        <f t="shared" si="11"/>
        <v>52.510000000000005</v>
      </c>
      <c r="Q115" t="str">
        <f t="shared" ca="1" si="12"/>
        <v>Undrafted</v>
      </c>
      <c r="R115">
        <f t="shared" ca="1" si="13"/>
        <v>0</v>
      </c>
      <c r="S115">
        <f t="shared" ca="1" si="14"/>
        <v>-60.25</v>
      </c>
      <c r="T115" s="84">
        <f t="shared" ca="1" si="15"/>
        <v>-9.9400181174127979</v>
      </c>
      <c r="U115" s="84">
        <f ca="1">T115*Auction!$A$2</f>
        <v>-9.9400181174127979</v>
      </c>
      <c r="V115" s="5" t="str">
        <f>IF(OR(INDEX(Auction!$H$13:$H$650,MATCH(B115,Auction!$A$13:$A$650,0))&gt;0,IFERROR(INDEX(CheatSheet!$V$5:$V$64,MATCH(B115,CheatSheet!$S$5:$S$64,0)),"")&lt;&gt;""),"Yes","No")</f>
        <v>No</v>
      </c>
      <c r="W115" s="175"/>
      <c r="Y115" s="113">
        <f t="shared" ca="1" si="16"/>
        <v>1</v>
      </c>
      <c r="Z115" s="174">
        <f t="shared" ca="1" si="17"/>
        <v>-30.125</v>
      </c>
      <c r="AA115" t="str">
        <f t="shared" ca="1" si="18"/>
        <v>WR8</v>
      </c>
      <c r="AB115" s="174">
        <f ca="1">Z115*LeagueInfo!$H$5</f>
        <v>-9.728874083683241</v>
      </c>
      <c r="AC115" s="174">
        <f ca="1">(Z115-AVERAGE(Z:$Z))/_xlfn.STDEV.P(Z:Z)</f>
        <v>-0.42915947666182092</v>
      </c>
    </row>
    <row r="116" spans="1:29" x14ac:dyDescent="0.35">
      <c r="A116">
        <f t="shared" si="10"/>
        <v>114</v>
      </c>
      <c r="B116" t="str">
        <f>WR_Raw!A116</f>
        <v>Zay Jones</v>
      </c>
      <c r="C116" t="s">
        <v>32</v>
      </c>
      <c r="D116">
        <f>_xlfn.IFNA(INDEX(BYEs!E:E,MATCH(B116,BYEs!D:D,0)),"N/A")</f>
        <v>29</v>
      </c>
      <c r="E116">
        <f>INDEX(BYEs!$B$2:$B$34,MATCH(F116,BYEs!$A$2:$A$34,0))</f>
        <v>11</v>
      </c>
      <c r="F116" t="str">
        <f>WR_Raw!B116</f>
        <v>ARI</v>
      </c>
      <c r="G116" s="202">
        <v>0</v>
      </c>
      <c r="H116" s="203">
        <v>0</v>
      </c>
      <c r="I116" s="200">
        <f>WR_Raw!F116</f>
        <v>0</v>
      </c>
      <c r="J116" s="200">
        <f>WR_Raw!G116</f>
        <v>2</v>
      </c>
      <c r="K116" s="200">
        <f>WR_Raw!H116</f>
        <v>0</v>
      </c>
      <c r="L116" s="202">
        <f>WR_Raw!C116</f>
        <v>25.7</v>
      </c>
      <c r="M116" s="200">
        <f>WR_Raw!D116</f>
        <v>291.2</v>
      </c>
      <c r="N116" s="203">
        <f>WR_Raw!E116</f>
        <v>1.9</v>
      </c>
      <c r="O116" s="200">
        <f>WR_Raw!I116</f>
        <v>0.6</v>
      </c>
      <c r="P116" s="204">
        <f t="shared" si="11"/>
        <v>52.37</v>
      </c>
      <c r="Q116" t="str">
        <f t="shared" ca="1" si="12"/>
        <v>Undrafted</v>
      </c>
      <c r="R116">
        <f t="shared" ca="1" si="13"/>
        <v>0</v>
      </c>
      <c r="S116">
        <f t="shared" ca="1" si="14"/>
        <v>-60.390000000000008</v>
      </c>
      <c r="T116" s="84">
        <f t="shared" ca="1" si="15"/>
        <v>-9.9631152549470379</v>
      </c>
      <c r="U116" s="84">
        <f ca="1">T116*Auction!$A$2</f>
        <v>-9.9631152549470379</v>
      </c>
      <c r="V116" s="5" t="str">
        <f>IF(OR(INDEX(Auction!$H$13:$H$650,MATCH(B116,Auction!$A$13:$A$650,0))&gt;0,IFERROR(INDEX(CheatSheet!$V$5:$V$64,MATCH(B116,CheatSheet!$S$5:$S$64,0)),"")&lt;&gt;""),"Yes","No")</f>
        <v>No</v>
      </c>
      <c r="W116" s="175"/>
      <c r="Y116" s="113">
        <f t="shared" ca="1" si="16"/>
        <v>1</v>
      </c>
      <c r="Z116" s="174">
        <f t="shared" ca="1" si="17"/>
        <v>-30.195000000000004</v>
      </c>
      <c r="AA116" t="str">
        <f t="shared" ca="1" si="18"/>
        <v>WR8</v>
      </c>
      <c r="AB116" s="174">
        <f ca="1">Z116*LeagueInfo!$H$5</f>
        <v>-9.7514805960768633</v>
      </c>
      <c r="AC116" s="174">
        <f ca="1">(Z116-AVERAGE(Z:$Z))/_xlfn.STDEV.P(Z:Z)</f>
        <v>-0.43090597411738352</v>
      </c>
    </row>
    <row r="117" spans="1:29" x14ac:dyDescent="0.35">
      <c r="A117">
        <f t="shared" si="10"/>
        <v>115</v>
      </c>
      <c r="B117" t="str">
        <f>WR_Raw!A115</f>
        <v>Devontez Walker</v>
      </c>
      <c r="C117" t="s">
        <v>32</v>
      </c>
      <c r="D117">
        <f>_xlfn.IFNA(INDEX(BYEs!E:E,MATCH(B117,BYEs!D:D,0)),"N/A")</f>
        <v>23</v>
      </c>
      <c r="E117">
        <f>INDEX(BYEs!$B$2:$B$34,MATCH(F117,BYEs!$A$2:$A$34,0))</f>
        <v>14</v>
      </c>
      <c r="F117" t="str">
        <f>WR_Raw!B115</f>
        <v>BAL</v>
      </c>
      <c r="G117" s="202">
        <v>0</v>
      </c>
      <c r="H117" s="203">
        <v>0</v>
      </c>
      <c r="I117" s="200">
        <f>WR_Raw!F115</f>
        <v>0</v>
      </c>
      <c r="J117" s="200">
        <f>WR_Raw!G115</f>
        <v>3.5</v>
      </c>
      <c r="K117" s="200">
        <f>WR_Raw!H115</f>
        <v>0</v>
      </c>
      <c r="L117" s="202">
        <f>WR_Raw!C115</f>
        <v>22.3</v>
      </c>
      <c r="M117" s="200">
        <f>WR_Raw!D115</f>
        <v>273.10000000000002</v>
      </c>
      <c r="N117" s="203">
        <f>WR_Raw!E115</f>
        <v>2</v>
      </c>
      <c r="O117" s="200">
        <f>WR_Raw!I115</f>
        <v>0</v>
      </c>
      <c r="P117" s="204">
        <f t="shared" si="11"/>
        <v>50.81</v>
      </c>
      <c r="Q117" t="str">
        <f t="shared" ca="1" si="12"/>
        <v>Undrafted</v>
      </c>
      <c r="R117">
        <f t="shared" ca="1" si="13"/>
        <v>0</v>
      </c>
      <c r="S117">
        <f t="shared" ca="1" si="14"/>
        <v>-61.95</v>
      </c>
      <c r="T117" s="84">
        <f t="shared" ca="1" si="15"/>
        <v>-10.220483358899966</v>
      </c>
      <c r="U117" s="84">
        <f ca="1">T117*Auction!$A$2</f>
        <v>-10.220483358899966</v>
      </c>
      <c r="V117" s="5" t="str">
        <f>IF(OR(INDEX(Auction!$H$13:$H$650,MATCH(B117,Auction!$A$13:$A$650,0))&gt;0,IFERROR(INDEX(CheatSheet!$V$5:$V$64,MATCH(B117,CheatSheet!$S$5:$S$64,0)),"")&lt;&gt;""),"Yes","No")</f>
        <v>No</v>
      </c>
      <c r="W117" s="175"/>
      <c r="Y117" s="113">
        <f t="shared" ca="1" si="16"/>
        <v>1</v>
      </c>
      <c r="Z117" s="174">
        <f t="shared" ca="1" si="17"/>
        <v>-30.975000000000001</v>
      </c>
      <c r="AA117" t="str">
        <f t="shared" ca="1" si="18"/>
        <v>WR8</v>
      </c>
      <c r="AB117" s="174">
        <f ca="1">Z117*LeagueInfo!$H$5</f>
        <v>-10.003381734177209</v>
      </c>
      <c r="AC117" s="174">
        <f ca="1">(Z117-AVERAGE(Z:$Z))/_xlfn.STDEV.P(Z:Z)</f>
        <v>-0.45036694576508063</v>
      </c>
    </row>
    <row r="118" spans="1:29" x14ac:dyDescent="0.35">
      <c r="A118">
        <f t="shared" si="10"/>
        <v>116</v>
      </c>
      <c r="B118" t="str">
        <f>WR_Raw!A118</f>
        <v>Olamide Zaccheaus</v>
      </c>
      <c r="C118" t="s">
        <v>32</v>
      </c>
      <c r="D118" t="str">
        <f>_xlfn.IFNA(INDEX(BYEs!E:E,MATCH(B118,BYEs!D:D,0)),"N/A")</f>
        <v>N/A</v>
      </c>
      <c r="E118">
        <f>INDEX(BYEs!$B$2:$B$34,MATCH(F118,BYEs!$A$2:$A$34,0))</f>
        <v>14</v>
      </c>
      <c r="F118" t="str">
        <f>WR_Raw!B118</f>
        <v>WAS</v>
      </c>
      <c r="G118" s="202">
        <v>0</v>
      </c>
      <c r="H118" s="203">
        <v>0</v>
      </c>
      <c r="I118" s="200">
        <f>WR_Raw!F118</f>
        <v>0</v>
      </c>
      <c r="J118" s="200">
        <f>WR_Raw!G118</f>
        <v>5</v>
      </c>
      <c r="K118" s="200">
        <f>WR_Raw!H118</f>
        <v>0</v>
      </c>
      <c r="L118" s="202">
        <f>WR_Raw!C118</f>
        <v>22.1</v>
      </c>
      <c r="M118" s="200">
        <f>WR_Raw!D118</f>
        <v>270.3</v>
      </c>
      <c r="N118" s="203">
        <f>WR_Raw!E118</f>
        <v>1.6</v>
      </c>
      <c r="O118" s="200">
        <f>WR_Raw!I118</f>
        <v>0.1</v>
      </c>
      <c r="P118" s="204">
        <f t="shared" si="11"/>
        <v>47.98</v>
      </c>
      <c r="Q118" t="str">
        <f t="shared" ca="1" si="12"/>
        <v>Undrafted</v>
      </c>
      <c r="R118">
        <f t="shared" ca="1" si="13"/>
        <v>0</v>
      </c>
      <c r="S118">
        <f t="shared" ca="1" si="14"/>
        <v>-64.78</v>
      </c>
      <c r="T118" s="84">
        <f t="shared" ca="1" si="15"/>
        <v>-10.687375496199188</v>
      </c>
      <c r="U118" s="84">
        <f ca="1">T118*Auction!$A$2</f>
        <v>-10.687375496199188</v>
      </c>
      <c r="V118" s="5" t="str">
        <f>IF(OR(INDEX(Auction!$H$13:$H$650,MATCH(B118,Auction!$A$13:$A$650,0))&gt;0,IFERROR(INDEX(CheatSheet!$V$5:$V$64,MATCH(B118,CheatSheet!$S$5:$S$64,0)),"")&lt;&gt;""),"Yes","No")</f>
        <v>No</v>
      </c>
      <c r="W118" s="175"/>
      <c r="Y118" s="113">
        <f t="shared" ca="1" si="16"/>
        <v>1</v>
      </c>
      <c r="Z118" s="174">
        <f t="shared" ca="1" si="17"/>
        <v>-32.39</v>
      </c>
      <c r="AA118" t="str">
        <f t="shared" ca="1" si="18"/>
        <v>WR8</v>
      </c>
      <c r="AB118" s="174">
        <f ca="1">Z118*LeagueInfo!$H$5</f>
        <v>-10.460356234705401</v>
      </c>
      <c r="AC118" s="174">
        <f ca="1">(Z118-AVERAGE(Z:$Z))/_xlfn.STDEV.P(Z:Z)</f>
        <v>-0.48567114433109526</v>
      </c>
    </row>
    <row r="119" spans="1:29" x14ac:dyDescent="0.35">
      <c r="A119">
        <f t="shared" si="10"/>
        <v>117</v>
      </c>
      <c r="B119" t="str">
        <f>WR_Raw!A117</f>
        <v>KhaDarel Hodge</v>
      </c>
      <c r="C119" t="s">
        <v>32</v>
      </c>
      <c r="D119" t="str">
        <f>_xlfn.IFNA(INDEX(BYEs!E:E,MATCH(B119,BYEs!D:D,0)),"N/A")</f>
        <v>N/A</v>
      </c>
      <c r="E119">
        <f>INDEX(BYEs!$B$2:$B$34,MATCH(F119,BYEs!$A$2:$A$34,0))</f>
        <v>12</v>
      </c>
      <c r="F119" t="str">
        <f>WR_Raw!B117</f>
        <v>ATL</v>
      </c>
      <c r="G119" s="202">
        <v>0</v>
      </c>
      <c r="H119" s="203">
        <v>0</v>
      </c>
      <c r="I119" s="200">
        <f>WR_Raw!F117</f>
        <v>0</v>
      </c>
      <c r="J119" s="200">
        <f>WR_Raw!G117</f>
        <v>0</v>
      </c>
      <c r="K119" s="200">
        <f>WR_Raw!H117</f>
        <v>0</v>
      </c>
      <c r="L119" s="202">
        <f>WR_Raw!C117</f>
        <v>20.5</v>
      </c>
      <c r="M119" s="200">
        <f>WR_Raw!D117</f>
        <v>274</v>
      </c>
      <c r="N119" s="203">
        <f>WR_Raw!E117</f>
        <v>1.7</v>
      </c>
      <c r="O119" s="200">
        <f>WR_Raw!I117</f>
        <v>0.3</v>
      </c>
      <c r="P119" s="204">
        <f t="shared" si="11"/>
        <v>47.250000000000007</v>
      </c>
      <c r="Q119" t="str">
        <f t="shared" ca="1" si="12"/>
        <v>Undrafted</v>
      </c>
      <c r="R119">
        <f t="shared" ca="1" si="13"/>
        <v>0</v>
      </c>
      <c r="S119">
        <f t="shared" ca="1" si="14"/>
        <v>-65.509999999999991</v>
      </c>
      <c r="T119" s="84">
        <f t="shared" ca="1" si="15"/>
        <v>-10.807810570484852</v>
      </c>
      <c r="U119" s="84">
        <f ca="1">T119*Auction!$A$2</f>
        <v>-10.807810570484852</v>
      </c>
      <c r="V119" s="5" t="str">
        <f>IF(OR(INDEX(Auction!$H$13:$H$650,MATCH(B119,Auction!$A$13:$A$650,0))&gt;0,IFERROR(INDEX(CheatSheet!$V$5:$V$64,MATCH(B119,CheatSheet!$S$5:$S$64,0)),"")&lt;&gt;""),"Yes","No")</f>
        <v>No</v>
      </c>
      <c r="W119" s="175"/>
      <c r="Y119" s="113">
        <f t="shared" ca="1" si="16"/>
        <v>1</v>
      </c>
      <c r="Z119" s="174">
        <f t="shared" ca="1" si="17"/>
        <v>-32.754999999999995</v>
      </c>
      <c r="AA119" t="str">
        <f t="shared" ca="1" si="18"/>
        <v>WR8</v>
      </c>
      <c r="AB119" s="174">
        <f ca="1">Z119*LeagueInfo!$H$5</f>
        <v>-10.578233049329279</v>
      </c>
      <c r="AC119" s="174">
        <f ca="1">(Z119-AVERAGE(Z:$Z))/_xlfn.STDEV.P(Z:Z)</f>
        <v>-0.49477788106367138</v>
      </c>
    </row>
    <row r="120" spans="1:29" x14ac:dyDescent="0.35">
      <c r="A120">
        <f t="shared" si="10"/>
        <v>118</v>
      </c>
      <c r="B120" t="str">
        <f>WR_Raw!A119</f>
        <v>Javon Baker</v>
      </c>
      <c r="C120" t="s">
        <v>32</v>
      </c>
      <c r="D120">
        <f>_xlfn.IFNA(INDEX(BYEs!E:E,MATCH(B120,BYEs!D:D,0)),"N/A")</f>
        <v>22</v>
      </c>
      <c r="E120">
        <f>INDEX(BYEs!$B$2:$B$34,MATCH(F120,BYEs!$A$2:$A$34,0))</f>
        <v>14</v>
      </c>
      <c r="F120" t="str">
        <f>WR_Raw!B119</f>
        <v>NE</v>
      </c>
      <c r="G120" s="202">
        <v>0</v>
      </c>
      <c r="H120" s="203">
        <v>0</v>
      </c>
      <c r="I120" s="200">
        <f>WR_Raw!F119</f>
        <v>0</v>
      </c>
      <c r="J120" s="200">
        <f>WR_Raw!G119</f>
        <v>7.3</v>
      </c>
      <c r="K120" s="200">
        <f>WR_Raw!H119</f>
        <v>0</v>
      </c>
      <c r="L120" s="202">
        <f>WR_Raw!C119</f>
        <v>22.3</v>
      </c>
      <c r="M120" s="200">
        <f>WR_Raw!D119</f>
        <v>267.5</v>
      </c>
      <c r="N120" s="203">
        <f>WR_Raw!E119</f>
        <v>1.4</v>
      </c>
      <c r="O120" s="200">
        <f>WR_Raw!I119</f>
        <v>0</v>
      </c>
      <c r="P120" s="204">
        <f t="shared" si="11"/>
        <v>47.03</v>
      </c>
      <c r="Q120" t="str">
        <f t="shared" ca="1" si="12"/>
        <v>Undrafted</v>
      </c>
      <c r="R120">
        <f t="shared" ca="1" si="13"/>
        <v>0</v>
      </c>
      <c r="S120">
        <f t="shared" ca="1" si="14"/>
        <v>-65.73</v>
      </c>
      <c r="T120" s="84">
        <f t="shared" ca="1" si="15"/>
        <v>-10.844106072324371</v>
      </c>
      <c r="U120" s="84">
        <f ca="1">T120*Auction!$A$2</f>
        <v>-10.844106072324371</v>
      </c>
      <c r="V120" s="5" t="str">
        <f>IF(OR(INDEX(Auction!$H$13:$H$650,MATCH(B120,Auction!$A$13:$A$650,0))&gt;0,IFERROR(INDEX(CheatSheet!$V$5:$V$64,MATCH(B120,CheatSheet!$S$5:$S$64,0)),"")&lt;&gt;""),"Yes","No")</f>
        <v>No</v>
      </c>
      <c r="W120" s="175"/>
      <c r="Y120" s="113">
        <f t="shared" ca="1" si="16"/>
        <v>1</v>
      </c>
      <c r="Z120" s="174">
        <f t="shared" ca="1" si="17"/>
        <v>-32.865000000000002</v>
      </c>
      <c r="AA120" t="str">
        <f t="shared" ca="1" si="18"/>
        <v>WR8</v>
      </c>
      <c r="AB120" s="174">
        <f ca="1">Z120*LeagueInfo!$H$5</f>
        <v>-10.613757568804971</v>
      </c>
      <c r="AC120" s="174">
        <f ca="1">(Z120-AVERAGE(Z:$Z))/_xlfn.STDEV.P(Z:Z)</f>
        <v>-0.49752237706526986</v>
      </c>
    </row>
    <row r="121" spans="1:29" x14ac:dyDescent="0.35">
      <c r="A121">
        <f t="shared" si="10"/>
        <v>119</v>
      </c>
      <c r="B121" t="str">
        <f>WR_Raw!A120</f>
        <v>Jauan Jennings</v>
      </c>
      <c r="C121" t="s">
        <v>32</v>
      </c>
      <c r="D121">
        <f>_xlfn.IFNA(INDEX(BYEs!E:E,MATCH(B121,BYEs!D:D,0)),"N/A")</f>
        <v>27</v>
      </c>
      <c r="E121">
        <f>INDEX(BYEs!$B$2:$B$34,MATCH(F121,BYEs!$A$2:$A$34,0))</f>
        <v>9</v>
      </c>
      <c r="F121" t="str">
        <f>WR_Raw!B120</f>
        <v>SF</v>
      </c>
      <c r="G121" s="202">
        <v>0</v>
      </c>
      <c r="H121" s="203">
        <v>0</v>
      </c>
      <c r="I121" s="200">
        <f>WR_Raw!F120</f>
        <v>0</v>
      </c>
      <c r="J121" s="200">
        <f>WR_Raw!G120</f>
        <v>3.3</v>
      </c>
      <c r="K121" s="200">
        <f>WR_Raw!H120</f>
        <v>0</v>
      </c>
      <c r="L121" s="202">
        <f>WR_Raw!C120</f>
        <v>20.9</v>
      </c>
      <c r="M121" s="200">
        <f>WR_Raw!D120</f>
        <v>258.60000000000002</v>
      </c>
      <c r="N121" s="203">
        <f>WR_Raw!E120</f>
        <v>1.7</v>
      </c>
      <c r="O121" s="200">
        <f>WR_Raw!I120</f>
        <v>0.1</v>
      </c>
      <c r="P121" s="204">
        <f t="shared" si="11"/>
        <v>46.64</v>
      </c>
      <c r="Q121" t="str">
        <f t="shared" ca="1" si="12"/>
        <v>Undrafted</v>
      </c>
      <c r="R121">
        <f t="shared" ca="1" si="13"/>
        <v>0</v>
      </c>
      <c r="S121">
        <f t="shared" ca="1" si="14"/>
        <v>-66.12</v>
      </c>
      <c r="T121" s="84">
        <f t="shared" ca="1" si="15"/>
        <v>-10.908448098312602</v>
      </c>
      <c r="U121" s="84">
        <f ca="1">T121*Auction!$A$2</f>
        <v>-10.908448098312602</v>
      </c>
      <c r="V121" s="5" t="str">
        <f>IF(OR(INDEX(Auction!$H$13:$H$650,MATCH(B121,Auction!$A$13:$A$650,0))&gt;0,IFERROR(INDEX(CheatSheet!$V$5:$V$64,MATCH(B121,CheatSheet!$S$5:$S$64,0)),"")&lt;&gt;""),"Yes","No")</f>
        <v>No</v>
      </c>
      <c r="W121" s="175"/>
      <c r="Y121" s="113">
        <f t="shared" ca="1" si="16"/>
        <v>1</v>
      </c>
      <c r="Z121" s="174">
        <f t="shared" ca="1" si="17"/>
        <v>-33.06</v>
      </c>
      <c r="AA121" t="str">
        <f t="shared" ca="1" si="18"/>
        <v>WR8</v>
      </c>
      <c r="AB121" s="174">
        <f ca="1">Z121*LeagueInfo!$H$5</f>
        <v>-10.676732853330057</v>
      </c>
      <c r="AC121" s="174">
        <f ca="1">(Z121-AVERAGE(Z:$Z))/_xlfn.STDEV.P(Z:Z)</f>
        <v>-0.50238761997719417</v>
      </c>
    </row>
    <row r="122" spans="1:29" x14ac:dyDescent="0.35">
      <c r="A122">
        <f t="shared" si="10"/>
        <v>120</v>
      </c>
      <c r="B122" t="str">
        <f>WR_Raw!A122</f>
        <v>Xavier Gipson</v>
      </c>
      <c r="C122" t="s">
        <v>32</v>
      </c>
      <c r="D122">
        <f>_xlfn.IFNA(INDEX(BYEs!E:E,MATCH(B122,BYEs!D:D,0)),"N/A")</f>
        <v>23</v>
      </c>
      <c r="E122">
        <f>INDEX(BYEs!$B$2:$B$34,MATCH(F122,BYEs!$A$2:$A$34,0))</f>
        <v>12</v>
      </c>
      <c r="F122" t="str">
        <f>WR_Raw!B122</f>
        <v>NYJ</v>
      </c>
      <c r="G122" s="202">
        <v>0</v>
      </c>
      <c r="H122" s="203">
        <v>0</v>
      </c>
      <c r="I122" s="200">
        <f>WR_Raw!F122</f>
        <v>4.5999999999999996</v>
      </c>
      <c r="J122" s="200">
        <f>WR_Raw!G122</f>
        <v>32.6</v>
      </c>
      <c r="K122" s="200">
        <f>WR_Raw!H122</f>
        <v>0.2</v>
      </c>
      <c r="L122" s="202">
        <f>WR_Raw!C122</f>
        <v>19.399999999999999</v>
      </c>
      <c r="M122" s="200">
        <f>WR_Raw!D122</f>
        <v>221.4</v>
      </c>
      <c r="N122" s="203">
        <f>WR_Raw!E122</f>
        <v>1.6</v>
      </c>
      <c r="O122" s="200">
        <f>WR_Raw!I122</f>
        <v>0.1</v>
      </c>
      <c r="P122" s="204">
        <f t="shared" si="11"/>
        <v>45.699999999999996</v>
      </c>
      <c r="Q122" t="str">
        <f t="shared" ca="1" si="12"/>
        <v>Undrafted</v>
      </c>
      <c r="R122">
        <f t="shared" ca="1" si="13"/>
        <v>0</v>
      </c>
      <c r="S122">
        <f t="shared" ca="1" si="14"/>
        <v>-67.06</v>
      </c>
      <c r="T122" s="84">
        <f t="shared" ca="1" si="15"/>
        <v>-11.063528878899623</v>
      </c>
      <c r="U122" s="84">
        <f ca="1">T122*Auction!$A$2</f>
        <v>-11.063528878899623</v>
      </c>
      <c r="V122" s="5" t="str">
        <f>IF(OR(INDEX(Auction!$H$13:$H$650,MATCH(B122,Auction!$A$13:$A$650,0))&gt;0,IFERROR(INDEX(CheatSheet!$V$5:$V$64,MATCH(B122,CheatSheet!$S$5:$S$64,0)),"")&lt;&gt;""),"Yes","No")</f>
        <v>No</v>
      </c>
      <c r="W122" s="175"/>
      <c r="Y122" s="113">
        <f t="shared" ca="1" si="16"/>
        <v>1</v>
      </c>
      <c r="Z122" s="174">
        <f t="shared" ca="1" si="17"/>
        <v>-33.53</v>
      </c>
      <c r="AA122" t="str">
        <f t="shared" ca="1" si="18"/>
        <v>WR8</v>
      </c>
      <c r="AB122" s="174">
        <f ca="1">Z122*LeagueInfo!$H$5</f>
        <v>-10.828519436544369</v>
      </c>
      <c r="AC122" s="174">
        <f ca="1">(Z122-AVERAGE(Z:$Z))/_xlfn.STDEV.P(Z:Z)</f>
        <v>-0.5141141028931141</v>
      </c>
    </row>
    <row r="123" spans="1:29" x14ac:dyDescent="0.35">
      <c r="A123">
        <f t="shared" si="10"/>
        <v>121</v>
      </c>
      <c r="B123" t="str">
        <f>WR_Raw!A121</f>
        <v>Allen Lazard</v>
      </c>
      <c r="C123" t="s">
        <v>32</v>
      </c>
      <c r="D123">
        <f>_xlfn.IFNA(INDEX(BYEs!E:E,MATCH(B123,BYEs!D:D,0)),"N/A")</f>
        <v>28</v>
      </c>
      <c r="E123">
        <f>INDEX(BYEs!$B$2:$B$34,MATCH(F123,BYEs!$A$2:$A$34,0))</f>
        <v>12</v>
      </c>
      <c r="F123" t="str">
        <f>WR_Raw!B121</f>
        <v>NYJ</v>
      </c>
      <c r="G123" s="202">
        <v>0</v>
      </c>
      <c r="H123" s="203">
        <v>0</v>
      </c>
      <c r="I123" s="200">
        <f>WR_Raw!F121</f>
        <v>0</v>
      </c>
      <c r="J123" s="200">
        <f>WR_Raw!G121</f>
        <v>0.7</v>
      </c>
      <c r="K123" s="200">
        <f>WR_Raw!H121</f>
        <v>0</v>
      </c>
      <c r="L123" s="202">
        <f>WR_Raw!C121</f>
        <v>19.399999999999999</v>
      </c>
      <c r="M123" s="200">
        <f>WR_Raw!D121</f>
        <v>250</v>
      </c>
      <c r="N123" s="203">
        <f>WR_Raw!E121</f>
        <v>1.8</v>
      </c>
      <c r="O123" s="200">
        <f>WR_Raw!I121</f>
        <v>0.1</v>
      </c>
      <c r="P123" s="204">
        <f t="shared" si="11"/>
        <v>45.36999999999999</v>
      </c>
      <c r="Q123" t="str">
        <f t="shared" ca="1" si="12"/>
        <v>Undrafted</v>
      </c>
      <c r="R123">
        <f t="shared" ca="1" si="13"/>
        <v>0</v>
      </c>
      <c r="S123">
        <f t="shared" ca="1" si="14"/>
        <v>-67.390000000000015</v>
      </c>
      <c r="T123" s="84">
        <f t="shared" ca="1" si="15"/>
        <v>-11.117972131658899</v>
      </c>
      <c r="U123" s="84">
        <f ca="1">T123*Auction!$A$2</f>
        <v>-11.117972131658899</v>
      </c>
      <c r="V123" s="5" t="str">
        <f>IF(OR(INDEX(Auction!$H$13:$H$650,MATCH(B123,Auction!$A$13:$A$650,0))&gt;0,IFERROR(INDEX(CheatSheet!$V$5:$V$64,MATCH(B123,CheatSheet!$S$5:$S$64,0)),"")&lt;&gt;""),"Yes","No")</f>
        <v>No</v>
      </c>
      <c r="W123" s="175"/>
      <c r="Y123" s="113">
        <f t="shared" ca="1" si="16"/>
        <v>1</v>
      </c>
      <c r="Z123" s="174">
        <f t="shared" ca="1" si="17"/>
        <v>-33.695000000000007</v>
      </c>
      <c r="AA123" t="str">
        <f t="shared" ca="1" si="18"/>
        <v>WR8</v>
      </c>
      <c r="AB123" s="174">
        <f ca="1">Z123*LeagueInfo!$H$5</f>
        <v>-10.881806215757905</v>
      </c>
      <c r="AC123" s="174">
        <f ca="1">(Z123-AVERAGE(Z:$Z))/_xlfn.STDEV.P(Z:Z)</f>
        <v>-0.5182308468955118</v>
      </c>
    </row>
    <row r="124" spans="1:29" x14ac:dyDescent="0.35">
      <c r="A124">
        <f t="shared" si="10"/>
        <v>122</v>
      </c>
      <c r="B124" t="str">
        <f>WR_Raw!A126</f>
        <v>JuJu Smith-Schuster</v>
      </c>
      <c r="C124" t="s">
        <v>32</v>
      </c>
      <c r="D124">
        <f>_xlfn.IFNA(INDEX(BYEs!E:E,MATCH(B124,BYEs!D:D,0)),"N/A")</f>
        <v>27</v>
      </c>
      <c r="E124">
        <f>INDEX(BYEs!$B$2:$B$34,MATCH(F124,BYEs!$A$2:$A$34,0))</f>
        <v>6</v>
      </c>
      <c r="F124" t="str">
        <f>WR_Raw!B126</f>
        <v>KC</v>
      </c>
      <c r="G124" s="202">
        <v>0</v>
      </c>
      <c r="H124" s="203">
        <v>0</v>
      </c>
      <c r="I124" s="200">
        <f>WR_Raw!F126</f>
        <v>0.3</v>
      </c>
      <c r="J124" s="200">
        <f>WR_Raw!G126</f>
        <v>1</v>
      </c>
      <c r="K124" s="200">
        <f>WR_Raw!H126</f>
        <v>0</v>
      </c>
      <c r="L124" s="202">
        <f>WR_Raw!C126</f>
        <v>21.4</v>
      </c>
      <c r="M124" s="200">
        <f>WR_Raw!D126</f>
        <v>226.1</v>
      </c>
      <c r="N124" s="203">
        <f>WR_Raw!E126</f>
        <v>1.6</v>
      </c>
      <c r="O124" s="200">
        <f>WR_Raw!I126</f>
        <v>0</v>
      </c>
      <c r="P124" s="204">
        <f t="shared" si="11"/>
        <v>43.01</v>
      </c>
      <c r="Q124" t="str">
        <f t="shared" ca="1" si="12"/>
        <v>Undrafted</v>
      </c>
      <c r="R124">
        <f t="shared" ca="1" si="13"/>
        <v>0</v>
      </c>
      <c r="S124">
        <f t="shared" ca="1" si="14"/>
        <v>-69.75</v>
      </c>
      <c r="T124" s="84">
        <f t="shared" ca="1" si="15"/>
        <v>-11.507323878664609</v>
      </c>
      <c r="U124" s="84">
        <f ca="1">T124*Auction!$A$2</f>
        <v>-11.507323878664609</v>
      </c>
      <c r="V124" s="5" t="str">
        <f>IF(OR(INDEX(Auction!$H$13:$H$650,MATCH(B124,Auction!$A$13:$A$650,0))&gt;0,IFERROR(INDEX(CheatSheet!$V$5:$V$64,MATCH(B124,CheatSheet!$S$5:$S$64,0)),"")&lt;&gt;""),"Yes","No")</f>
        <v>No</v>
      </c>
      <c r="W124" s="175"/>
      <c r="Y124" s="113">
        <f t="shared" ca="1" si="16"/>
        <v>1</v>
      </c>
      <c r="Z124" s="174">
        <f t="shared" ca="1" si="17"/>
        <v>-34.875</v>
      </c>
      <c r="AA124" t="str">
        <f t="shared" ca="1" si="18"/>
        <v>WR8</v>
      </c>
      <c r="AB124" s="174">
        <f ca="1">Z124*LeagueInfo!$H$5</f>
        <v>-11.262887424678938</v>
      </c>
      <c r="AC124" s="174">
        <f ca="1">(Z124-AVERAGE(Z:$Z))/_xlfn.STDEV.P(Z:Z)</f>
        <v>-0.54767180400356619</v>
      </c>
    </row>
    <row r="125" spans="1:29" x14ac:dyDescent="0.35">
      <c r="A125">
        <f t="shared" si="10"/>
        <v>123</v>
      </c>
      <c r="B125" t="str">
        <f>WR_Raw!A123</f>
        <v>John Metchie III</v>
      </c>
      <c r="C125" t="s">
        <v>32</v>
      </c>
      <c r="D125">
        <f>_xlfn.IFNA(INDEX(BYEs!E:E,MATCH(B125,BYEs!D:D,0)),"N/A")</f>
        <v>24</v>
      </c>
      <c r="E125">
        <f>INDEX(BYEs!$B$2:$B$34,MATCH(F125,BYEs!$A$2:$A$34,0))</f>
        <v>14</v>
      </c>
      <c r="F125" t="str">
        <f>WR_Raw!B123</f>
        <v>HOU</v>
      </c>
      <c r="G125" s="202">
        <v>0</v>
      </c>
      <c r="H125" s="203">
        <v>0</v>
      </c>
      <c r="I125" s="200">
        <f>WR_Raw!F123</f>
        <v>0</v>
      </c>
      <c r="J125" s="200">
        <f>WR_Raw!G123</f>
        <v>5.3</v>
      </c>
      <c r="K125" s="200">
        <f>WR_Raw!H123</f>
        <v>0</v>
      </c>
      <c r="L125" s="202">
        <f>WR_Raw!C123</f>
        <v>19.2</v>
      </c>
      <c r="M125" s="200">
        <f>WR_Raw!D123</f>
        <v>232.6</v>
      </c>
      <c r="N125" s="203">
        <f>WR_Raw!E123</f>
        <v>1.5</v>
      </c>
      <c r="O125" s="200">
        <f>WR_Raw!I123</f>
        <v>0.1</v>
      </c>
      <c r="P125" s="204">
        <f t="shared" si="11"/>
        <v>42.19</v>
      </c>
      <c r="Q125" t="str">
        <f t="shared" ca="1" si="12"/>
        <v>Undrafted</v>
      </c>
      <c r="R125">
        <f t="shared" ca="1" si="13"/>
        <v>0</v>
      </c>
      <c r="S125">
        <f t="shared" ca="1" si="14"/>
        <v>-70.570000000000007</v>
      </c>
      <c r="T125" s="84">
        <f t="shared" ca="1" si="15"/>
        <v>-11.642607112793714</v>
      </c>
      <c r="U125" s="84">
        <f ca="1">T125*Auction!$A$2</f>
        <v>-11.642607112793714</v>
      </c>
      <c r="V125" s="5" t="str">
        <f>IF(OR(INDEX(Auction!$H$13:$H$650,MATCH(B125,Auction!$A$13:$A$650,0))&gt;0,IFERROR(INDEX(CheatSheet!$V$5:$V$64,MATCH(B125,CheatSheet!$S$5:$S$64,0)),"")&lt;&gt;""),"Yes","No")</f>
        <v>No</v>
      </c>
      <c r="W125" s="175"/>
      <c r="Y125" s="113">
        <f t="shared" ca="1" si="16"/>
        <v>1</v>
      </c>
      <c r="Z125" s="174">
        <f t="shared" ca="1" si="17"/>
        <v>-35.285000000000004</v>
      </c>
      <c r="AA125" t="str">
        <f t="shared" ca="1" si="18"/>
        <v>WR8</v>
      </c>
      <c r="AB125" s="174">
        <f ca="1">Z125*LeagueInfo!$H$5</f>
        <v>-11.395296997270147</v>
      </c>
      <c r="AC125" s="174">
        <f ca="1">(Z125-AVERAGE(Z:$Z))/_xlfn.STDEV.P(Z:Z)</f>
        <v>-0.55790128910043268</v>
      </c>
    </row>
    <row r="126" spans="1:29" x14ac:dyDescent="0.35">
      <c r="A126">
        <f t="shared" si="10"/>
        <v>124</v>
      </c>
      <c r="B126" t="str">
        <f>WR_Raw!A127</f>
        <v>Parker Washington</v>
      </c>
      <c r="C126" t="s">
        <v>32</v>
      </c>
      <c r="D126">
        <f>_xlfn.IFNA(INDEX(BYEs!E:E,MATCH(B126,BYEs!D:D,0)),"N/A")</f>
        <v>22</v>
      </c>
      <c r="E126">
        <f>INDEX(BYEs!$B$2:$B$34,MATCH(F126,BYEs!$A$2:$A$34,0))</f>
        <v>12</v>
      </c>
      <c r="F126" t="str">
        <f>WR_Raw!B127</f>
        <v>JAC</v>
      </c>
      <c r="G126" s="202">
        <v>0</v>
      </c>
      <c r="H126" s="203">
        <v>0</v>
      </c>
      <c r="I126" s="200">
        <f>WR_Raw!F127</f>
        <v>0</v>
      </c>
      <c r="J126" s="200">
        <f>WR_Raw!G127</f>
        <v>4</v>
      </c>
      <c r="K126" s="200">
        <f>WR_Raw!H127</f>
        <v>0</v>
      </c>
      <c r="L126" s="202">
        <f>WR_Raw!C127</f>
        <v>20.399999999999999</v>
      </c>
      <c r="M126" s="200">
        <f>WR_Raw!D127</f>
        <v>217.1</v>
      </c>
      <c r="N126" s="203">
        <f>WR_Raw!E127</f>
        <v>1.6</v>
      </c>
      <c r="O126" s="200">
        <f>WR_Raw!I127</f>
        <v>0</v>
      </c>
      <c r="P126" s="204">
        <f t="shared" si="11"/>
        <v>41.910000000000004</v>
      </c>
      <c r="Q126" t="str">
        <f t="shared" ca="1" si="12"/>
        <v>Undrafted</v>
      </c>
      <c r="R126">
        <f t="shared" ca="1" si="13"/>
        <v>0</v>
      </c>
      <c r="S126">
        <f t="shared" ca="1" si="14"/>
        <v>-70.849999999999994</v>
      </c>
      <c r="T126" s="84">
        <f t="shared" ca="1" si="15"/>
        <v>-11.688801387862187</v>
      </c>
      <c r="U126" s="84">
        <f ca="1">T126*Auction!$A$2</f>
        <v>-11.688801387862187</v>
      </c>
      <c r="V126" s="5" t="str">
        <f>IF(OR(INDEX(Auction!$H$13:$H$650,MATCH(B126,Auction!$A$13:$A$650,0))&gt;0,IFERROR(INDEX(CheatSheet!$V$5:$V$64,MATCH(B126,CheatSheet!$S$5:$S$64,0)),"")&lt;&gt;""),"Yes","No")</f>
        <v>No</v>
      </c>
      <c r="W126" s="175"/>
      <c r="Y126" s="113">
        <f t="shared" ca="1" si="16"/>
        <v>1</v>
      </c>
      <c r="Z126" s="174">
        <f t="shared" ca="1" si="17"/>
        <v>-35.424999999999997</v>
      </c>
      <c r="AA126" t="str">
        <f t="shared" ca="1" si="18"/>
        <v>WR8</v>
      </c>
      <c r="AB126" s="174">
        <f ca="1">Z126*LeagueInfo!$H$5</f>
        <v>-11.440510022057387</v>
      </c>
      <c r="AC126" s="174">
        <f ca="1">(Z126-AVERAGE(Z:$Z))/_xlfn.STDEV.P(Z:Z)</f>
        <v>-0.56139428401155766</v>
      </c>
    </row>
    <row r="127" spans="1:29" x14ac:dyDescent="0.35">
      <c r="A127">
        <f t="shared" si="10"/>
        <v>125</v>
      </c>
      <c r="B127" t="str">
        <f>WR_Raw!A124</f>
        <v>Tutu Atwell</v>
      </c>
      <c r="C127" t="s">
        <v>32</v>
      </c>
      <c r="D127">
        <f>_xlfn.IFNA(INDEX(BYEs!E:E,MATCH(B127,BYEs!D:D,0)),"N/A")</f>
        <v>24</v>
      </c>
      <c r="E127">
        <f>INDEX(BYEs!$B$2:$B$34,MATCH(F127,BYEs!$A$2:$A$34,0))</f>
        <v>6</v>
      </c>
      <c r="F127" t="str">
        <f>WR_Raw!B124</f>
        <v>LAR</v>
      </c>
      <c r="G127" s="202">
        <v>0</v>
      </c>
      <c r="H127" s="203">
        <v>0</v>
      </c>
      <c r="I127" s="200">
        <f>WR_Raw!F124</f>
        <v>2.2000000000000002</v>
      </c>
      <c r="J127" s="200">
        <f>WR_Raw!G124</f>
        <v>14.1</v>
      </c>
      <c r="K127" s="200">
        <f>WR_Raw!H124</f>
        <v>0.1</v>
      </c>
      <c r="L127" s="202">
        <f>WR_Raw!C124</f>
        <v>17.899999999999999</v>
      </c>
      <c r="M127" s="200">
        <f>WR_Raw!D124</f>
        <v>235.5</v>
      </c>
      <c r="N127" s="203">
        <f>WR_Raw!E124</f>
        <v>1.2</v>
      </c>
      <c r="O127" s="200">
        <f>WR_Raw!I124</f>
        <v>0.1</v>
      </c>
      <c r="P127" s="204">
        <f t="shared" si="11"/>
        <v>41.509999999999991</v>
      </c>
      <c r="Q127" t="str">
        <f t="shared" ca="1" si="12"/>
        <v>Undrafted</v>
      </c>
      <c r="R127">
        <f t="shared" ca="1" si="13"/>
        <v>0</v>
      </c>
      <c r="S127">
        <f t="shared" ca="1" si="14"/>
        <v>-71.250000000000014</v>
      </c>
      <c r="T127" s="84">
        <f t="shared" ca="1" si="15"/>
        <v>-11.754793209388582</v>
      </c>
      <c r="U127" s="84">
        <f ca="1">T127*Auction!$A$2</f>
        <v>-11.754793209388582</v>
      </c>
      <c r="V127" s="5" t="str">
        <f>IF(OR(INDEX(Auction!$H$13:$H$650,MATCH(B127,Auction!$A$13:$A$650,0))&gt;0,IFERROR(INDEX(CheatSheet!$V$5:$V$64,MATCH(B127,CheatSheet!$S$5:$S$64,0)),"")&lt;&gt;""),"Yes","No")</f>
        <v>No</v>
      </c>
      <c r="W127" s="175"/>
      <c r="Y127" s="113">
        <f t="shared" ca="1" si="16"/>
        <v>1</v>
      </c>
      <c r="Z127" s="174">
        <f t="shared" ca="1" si="17"/>
        <v>-35.625000000000007</v>
      </c>
      <c r="AA127" t="str">
        <f t="shared" ca="1" si="18"/>
        <v>WR8</v>
      </c>
      <c r="AB127" s="174">
        <f ca="1">Z127*LeagueInfo!$H$5</f>
        <v>-11.505100057467736</v>
      </c>
      <c r="AC127" s="174">
        <f ca="1">(Z127-AVERAGE(Z:$Z))/_xlfn.STDEV.P(Z:Z)</f>
        <v>-0.56638427674173675</v>
      </c>
    </row>
    <row r="128" spans="1:29" x14ac:dyDescent="0.35">
      <c r="A128">
        <f t="shared" si="10"/>
        <v>126</v>
      </c>
      <c r="B128" t="str">
        <f>WR_Raw!A125</f>
        <v>Trenton Irwin</v>
      </c>
      <c r="C128" t="s">
        <v>32</v>
      </c>
      <c r="D128">
        <f>_xlfn.IFNA(INDEX(BYEs!E:E,MATCH(B128,BYEs!D:D,0)),"N/A")</f>
        <v>28</v>
      </c>
      <c r="E128">
        <f>INDEX(BYEs!$B$2:$B$34,MATCH(F128,BYEs!$A$2:$A$34,0))</f>
        <v>12</v>
      </c>
      <c r="F128" t="str">
        <f>WR_Raw!B125</f>
        <v>CIN</v>
      </c>
      <c r="G128" s="202">
        <v>0</v>
      </c>
      <c r="H128" s="203">
        <v>0</v>
      </c>
      <c r="I128" s="200">
        <f>WR_Raw!F125</f>
        <v>0</v>
      </c>
      <c r="J128" s="200">
        <f>WR_Raw!G125</f>
        <v>1.5</v>
      </c>
      <c r="K128" s="200">
        <f>WR_Raw!H125</f>
        <v>0</v>
      </c>
      <c r="L128" s="202">
        <f>WR_Raw!C125</f>
        <v>18.2</v>
      </c>
      <c r="M128" s="200">
        <f>WR_Raw!D125</f>
        <v>230.4</v>
      </c>
      <c r="N128" s="203">
        <f>WR_Raw!E125</f>
        <v>1.5</v>
      </c>
      <c r="O128" s="200">
        <f>WR_Raw!I125</f>
        <v>0.1</v>
      </c>
      <c r="P128" s="204">
        <f t="shared" si="11"/>
        <v>41.09</v>
      </c>
      <c r="Q128" t="str">
        <f t="shared" ca="1" si="12"/>
        <v>Undrafted</v>
      </c>
      <c r="R128">
        <f t="shared" ca="1" si="13"/>
        <v>0</v>
      </c>
      <c r="S128">
        <f t="shared" ca="1" si="14"/>
        <v>-71.67</v>
      </c>
      <c r="T128" s="84">
        <f t="shared" ca="1" si="15"/>
        <v>-11.824084621991291</v>
      </c>
      <c r="U128" s="84">
        <f ca="1">T128*Auction!$A$2</f>
        <v>-11.824084621991291</v>
      </c>
      <c r="V128" s="5" t="str">
        <f>IF(OR(INDEX(Auction!$H$13:$H$650,MATCH(B128,Auction!$A$13:$A$650,0))&gt;0,IFERROR(INDEX(CheatSheet!$V$5:$V$64,MATCH(B128,CheatSheet!$S$5:$S$64,0)),"")&lt;&gt;""),"Yes","No")</f>
        <v>No</v>
      </c>
      <c r="W128" s="175"/>
      <c r="Y128" s="113">
        <f t="shared" ca="1" si="16"/>
        <v>1</v>
      </c>
      <c r="Z128" s="174">
        <f t="shared" ca="1" si="17"/>
        <v>-35.835000000000001</v>
      </c>
      <c r="AA128" t="str">
        <f t="shared" ca="1" si="18"/>
        <v>WR8</v>
      </c>
      <c r="AB128" s="174">
        <f ca="1">Z128*LeagueInfo!$H$5</f>
        <v>-11.572919594648596</v>
      </c>
      <c r="AC128" s="174">
        <f ca="1">(Z128-AVERAGE(Z:$Z))/_xlfn.STDEV.P(Z:Z)</f>
        <v>-0.57162376910842427</v>
      </c>
    </row>
    <row r="129" spans="1:29" x14ac:dyDescent="0.35">
      <c r="A129">
        <f t="shared" si="10"/>
        <v>127</v>
      </c>
      <c r="B129" t="str">
        <f>WR_Raw!A128</f>
        <v>Tyquan Thornton</v>
      </c>
      <c r="C129" t="s">
        <v>32</v>
      </c>
      <c r="D129">
        <f>_xlfn.IFNA(INDEX(BYEs!E:E,MATCH(B129,BYEs!D:D,0)),"N/A")</f>
        <v>23</v>
      </c>
      <c r="E129">
        <f>INDEX(BYEs!$B$2:$B$34,MATCH(F129,BYEs!$A$2:$A$34,0))</f>
        <v>14</v>
      </c>
      <c r="F129" t="str">
        <f>WR_Raw!B128</f>
        <v>NE</v>
      </c>
      <c r="G129" s="202">
        <v>0</v>
      </c>
      <c r="H129" s="203">
        <v>0</v>
      </c>
      <c r="I129" s="200">
        <f>WR_Raw!F128</f>
        <v>1.2</v>
      </c>
      <c r="J129" s="200">
        <f>WR_Raw!G128</f>
        <v>8.1</v>
      </c>
      <c r="K129" s="200">
        <f>WR_Raw!H128</f>
        <v>0</v>
      </c>
      <c r="L129" s="202">
        <f>WR_Raw!C128</f>
        <v>16</v>
      </c>
      <c r="M129" s="200">
        <f>WR_Raw!D128</f>
        <v>198.6</v>
      </c>
      <c r="N129" s="203">
        <f>WR_Raw!E128</f>
        <v>1</v>
      </c>
      <c r="O129" s="200">
        <f>WR_Raw!I128</f>
        <v>0.1</v>
      </c>
      <c r="P129" s="204">
        <f t="shared" si="11"/>
        <v>34.47</v>
      </c>
      <c r="Q129" t="str">
        <f t="shared" ca="1" si="12"/>
        <v>Undrafted</v>
      </c>
      <c r="R129">
        <f t="shared" ca="1" si="13"/>
        <v>0</v>
      </c>
      <c r="S129">
        <f t="shared" ca="1" si="14"/>
        <v>-78.290000000000006</v>
      </c>
      <c r="T129" s="84">
        <f t="shared" ca="1" si="15"/>
        <v>-12.916249268253081</v>
      </c>
      <c r="U129" s="84">
        <f ca="1">T129*Auction!$A$2</f>
        <v>-12.916249268253081</v>
      </c>
      <c r="V129" s="5" t="str">
        <f>IF(OR(INDEX(Auction!$H$13:$H$650,MATCH(B129,Auction!$A$13:$A$650,0))&gt;0,IFERROR(INDEX(CheatSheet!$V$5:$V$64,MATCH(B129,CheatSheet!$S$5:$S$64,0)),"")&lt;&gt;""),"Yes","No")</f>
        <v>No</v>
      </c>
      <c r="W129" s="175"/>
      <c r="Y129" s="113">
        <f t="shared" ca="1" si="16"/>
        <v>1</v>
      </c>
      <c r="Z129" s="174">
        <f t="shared" ca="1" si="17"/>
        <v>-39.145000000000003</v>
      </c>
      <c r="AA129" t="str">
        <f t="shared" ca="1" si="18"/>
        <v>WR8</v>
      </c>
      <c r="AB129" s="174">
        <f ca="1">Z129*LeagueInfo!$H$5</f>
        <v>-12.64188468068981</v>
      </c>
      <c r="AC129" s="174">
        <f ca="1">(Z129-AVERAGE(Z:$Z))/_xlfn.STDEV.P(Z:Z)</f>
        <v>-0.65420814879288258</v>
      </c>
    </row>
    <row r="130" spans="1:29" x14ac:dyDescent="0.35">
      <c r="A130">
        <f t="shared" si="10"/>
        <v>128</v>
      </c>
      <c r="B130" t="str">
        <f>WR_Raw!A130</f>
        <v>D.J. Montgomery</v>
      </c>
      <c r="C130" t="s">
        <v>32</v>
      </c>
      <c r="D130" t="str">
        <f>_xlfn.IFNA(INDEX(BYEs!E:E,MATCH(B130,BYEs!D:D,0)),"N/A")</f>
        <v>N/A</v>
      </c>
      <c r="E130">
        <f>INDEX(BYEs!$B$2:$B$34,MATCH(F130,BYEs!$A$2:$A$34,0))</f>
        <v>14</v>
      </c>
      <c r="F130" t="str">
        <f>WR_Raw!B130</f>
        <v>IND</v>
      </c>
      <c r="G130" s="202">
        <v>0</v>
      </c>
      <c r="H130" s="203">
        <v>0</v>
      </c>
      <c r="I130" s="200">
        <f>WR_Raw!F130</f>
        <v>0</v>
      </c>
      <c r="J130" s="200">
        <f>WR_Raw!G130</f>
        <v>6</v>
      </c>
      <c r="K130" s="200">
        <f>WR_Raw!H130</f>
        <v>0</v>
      </c>
      <c r="L130" s="202">
        <f>WR_Raw!C130</f>
        <v>16</v>
      </c>
      <c r="M130" s="200">
        <f>WR_Raw!D130</f>
        <v>192</v>
      </c>
      <c r="N130" s="203">
        <f>WR_Raw!E130</f>
        <v>1</v>
      </c>
      <c r="O130" s="200">
        <f>WR_Raw!I130</f>
        <v>0</v>
      </c>
      <c r="P130" s="204">
        <f t="shared" si="11"/>
        <v>33.800000000000004</v>
      </c>
      <c r="Q130" t="str">
        <f t="shared" ca="1" si="12"/>
        <v>Undrafted</v>
      </c>
      <c r="R130">
        <f t="shared" ca="1" si="13"/>
        <v>0</v>
      </c>
      <c r="S130">
        <f t="shared" ca="1" si="14"/>
        <v>-78.960000000000008</v>
      </c>
      <c r="T130" s="84">
        <f t="shared" ca="1" si="15"/>
        <v>-13.026785569309787</v>
      </c>
      <c r="U130" s="84">
        <f ca="1">T130*Auction!$A$2</f>
        <v>-13.026785569309787</v>
      </c>
      <c r="V130" s="5" t="str">
        <f>IF(OR(INDEX(Auction!$H$13:$H$650,MATCH(B130,Auction!$A$13:$A$650,0))&gt;0,IFERROR(INDEX(CheatSheet!$V$5:$V$64,MATCH(B130,CheatSheet!$S$5:$S$64,0)),"")&lt;&gt;""),"Yes","No")</f>
        <v>No</v>
      </c>
      <c r="W130" s="175"/>
      <c r="Y130" s="113">
        <f t="shared" ca="1" si="16"/>
        <v>1</v>
      </c>
      <c r="Z130" s="174">
        <f t="shared" ca="1" si="17"/>
        <v>-39.480000000000004</v>
      </c>
      <c r="AA130" t="str">
        <f t="shared" ca="1" si="18"/>
        <v>WR8</v>
      </c>
      <c r="AB130" s="174">
        <f ca="1">Z130*LeagueInfo!$H$5</f>
        <v>-12.750072990002138</v>
      </c>
      <c r="AC130" s="174">
        <f ca="1">(Z130-AVERAGE(Z:$Z))/_xlfn.STDEV.P(Z:Z)</f>
        <v>-0.66256638661593203</v>
      </c>
    </row>
    <row r="131" spans="1:29" x14ac:dyDescent="0.35">
      <c r="A131">
        <f t="shared" ref="A131:A194" si="19">RANK(P131,P:P)</f>
        <v>129</v>
      </c>
      <c r="B131" t="str">
        <f>WR_Raw!A129</f>
        <v>Mack Hollins</v>
      </c>
      <c r="C131" t="s">
        <v>32</v>
      </c>
      <c r="D131">
        <f>_xlfn.IFNA(INDEX(BYEs!E:E,MATCH(B131,BYEs!D:D,0)),"N/A")</f>
        <v>30</v>
      </c>
      <c r="E131">
        <f>INDEX(BYEs!$B$2:$B$34,MATCH(F131,BYEs!$A$2:$A$34,0))</f>
        <v>12</v>
      </c>
      <c r="F131" t="str">
        <f>WR_Raw!B129</f>
        <v>BUF</v>
      </c>
      <c r="G131" s="202">
        <v>0</v>
      </c>
      <c r="H131" s="203">
        <v>0</v>
      </c>
      <c r="I131" s="200">
        <f>WR_Raw!F129</f>
        <v>0</v>
      </c>
      <c r="J131" s="200">
        <f>WR_Raw!G129</f>
        <v>0</v>
      </c>
      <c r="K131" s="200">
        <f>WR_Raw!H129</f>
        <v>0</v>
      </c>
      <c r="L131" s="202">
        <f>WR_Raw!C129</f>
        <v>14.4</v>
      </c>
      <c r="M131" s="200">
        <f>WR_Raw!D129</f>
        <v>185.4</v>
      </c>
      <c r="N131" s="203">
        <f>WR_Raw!E129</f>
        <v>1.3</v>
      </c>
      <c r="O131" s="200">
        <f>WR_Raw!I129</f>
        <v>0</v>
      </c>
      <c r="P131" s="204">
        <f t="shared" ref="P131:P194" si="20">(J131*WRRushingYd)+(K131*WRRushingTD)+(L131*WRRec)+(M131*WRRecYd)+(N131*WRRecTD)+(O131*WRFuml)+(I131*WRRushAtt)</f>
        <v>33.540000000000006</v>
      </c>
      <c r="Q131" t="str">
        <f t="shared" ref="Q131:Q194" ca="1" si="21">IF(A131&lt;=WRStarters,"Starter",IF(A131&gt;WRStarters+WRBench,"Undrafted","Bench"))</f>
        <v>Undrafted</v>
      </c>
      <c r="R131">
        <f t="shared" ref="R131:R194" ca="1" si="22">IFERROR(MAX(P131-LARGE(WRSheetCount,WRStarters),0),0)</f>
        <v>0</v>
      </c>
      <c r="S131">
        <f t="shared" ref="S131:S194" ca="1" si="23">IFERROR(IF(AllowNegative="Yes",P131-LARGE(WRSheetCount,WRCount),MAX(P131-LARGE(WRSheetCount,WRCount),0)),0)</f>
        <v>-79.22</v>
      </c>
      <c r="T131" s="84">
        <f t="shared" ref="T131:T194" ca="1" si="24">(S131-R131)*BenchPF+R131*StarterPF</f>
        <v>-13.069680253301941</v>
      </c>
      <c r="U131" s="84">
        <f ca="1">T131*Auction!$A$2</f>
        <v>-13.069680253301941</v>
      </c>
      <c r="V131" s="5" t="str">
        <f>IF(OR(INDEX(Auction!$H$13:$H$650,MATCH(B131,Auction!$A$13:$A$650,0))&gt;0,IFERROR(INDEX(CheatSheet!$V$5:$V$64,MATCH(B131,CheatSheet!$S$5:$S$64,0)),"")&lt;&gt;""),"Yes","No")</f>
        <v>No</v>
      </c>
      <c r="W131" s="175"/>
      <c r="Y131" s="113">
        <f t="shared" ref="Y131:Y194" ca="1" si="25">IFERROR(SUMIFS(Z:Z,Z:Z,"&gt;0",V:V,"No")/SUMIF(Z:Z,"&gt;0"),0)</f>
        <v>1</v>
      </c>
      <c r="Z131" s="174">
        <f t="shared" ca="1" si="17"/>
        <v>-39.61</v>
      </c>
      <c r="AA131" t="str">
        <f t="shared" ca="1" si="18"/>
        <v>WR8</v>
      </c>
      <c r="AB131" s="174">
        <f ca="1">Z131*LeagueInfo!$H$5</f>
        <v>-12.79205651301886</v>
      </c>
      <c r="AC131" s="174">
        <f ca="1">(Z131-AVERAGE(Z:$Z))/_xlfn.STDEV.P(Z:Z)</f>
        <v>-0.66580988189054802</v>
      </c>
    </row>
    <row r="132" spans="1:29" x14ac:dyDescent="0.35">
      <c r="A132">
        <f t="shared" si="19"/>
        <v>130</v>
      </c>
      <c r="B132" t="str">
        <f>WR_Raw!A132</f>
        <v>Jake Bobo</v>
      </c>
      <c r="C132" t="s">
        <v>32</v>
      </c>
      <c r="D132">
        <f>_xlfn.IFNA(INDEX(BYEs!E:E,MATCH(B132,BYEs!D:D,0)),"N/A")</f>
        <v>25</v>
      </c>
      <c r="E132">
        <f>INDEX(BYEs!$B$2:$B$34,MATCH(F132,BYEs!$A$2:$A$34,0))</f>
        <v>10</v>
      </c>
      <c r="F132" t="str">
        <f>WR_Raw!B132</f>
        <v>SEA</v>
      </c>
      <c r="G132" s="202">
        <v>0</v>
      </c>
      <c r="H132" s="203">
        <v>0</v>
      </c>
      <c r="I132" s="200">
        <f>WR_Raw!F132</f>
        <v>0</v>
      </c>
      <c r="J132" s="200">
        <f>WR_Raw!G132</f>
        <v>1.3</v>
      </c>
      <c r="K132" s="200">
        <f>WR_Raw!H132</f>
        <v>0</v>
      </c>
      <c r="L132" s="202">
        <f>WR_Raw!C132</f>
        <v>15</v>
      </c>
      <c r="M132" s="200">
        <f>WR_Raw!D132</f>
        <v>174</v>
      </c>
      <c r="N132" s="203">
        <f>WR_Raw!E132</f>
        <v>1.3</v>
      </c>
      <c r="O132" s="200">
        <f>WR_Raw!I132</f>
        <v>0.1</v>
      </c>
      <c r="P132" s="204">
        <f t="shared" si="20"/>
        <v>32.629999999999995</v>
      </c>
      <c r="Q132" t="str">
        <f t="shared" ca="1" si="21"/>
        <v>Undrafted</v>
      </c>
      <c r="R132">
        <f t="shared" ca="1" si="22"/>
        <v>0</v>
      </c>
      <c r="S132">
        <f t="shared" ca="1" si="23"/>
        <v>-80.13000000000001</v>
      </c>
      <c r="T132" s="84">
        <f t="shared" ca="1" si="24"/>
        <v>-13.219811647274485</v>
      </c>
      <c r="U132" s="84">
        <f ca="1">T132*Auction!$A$2</f>
        <v>-13.219811647274485</v>
      </c>
      <c r="V132" s="5" t="str">
        <f>IF(OR(INDEX(Auction!$H$13:$H$650,MATCH(B132,Auction!$A$13:$A$650,0))&gt;0,IFERROR(INDEX(CheatSheet!$V$5:$V$64,MATCH(B132,CheatSheet!$S$5:$S$64,0)),"")&lt;&gt;""),"Yes","No")</f>
        <v>No</v>
      </c>
      <c r="W132" s="175"/>
      <c r="Y132" s="113">
        <f t="shared" ca="1" si="25"/>
        <v>1</v>
      </c>
      <c r="Z132" s="174">
        <f t="shared" ref="Z132:Z167" ca="1" si="26">AVERAGE(R132:S132)</f>
        <v>-40.065000000000005</v>
      </c>
      <c r="AA132" t="str">
        <f t="shared" ca="1" si="18"/>
        <v>WR8</v>
      </c>
      <c r="AB132" s="174">
        <f ca="1">Z132*LeagueInfo!$H$5</f>
        <v>-12.938998843577398</v>
      </c>
      <c r="AC132" s="174">
        <f ca="1">(Z132-AVERAGE(Z:$Z))/_xlfn.STDEV.P(Z:Z)</f>
        <v>-0.6771621153517049</v>
      </c>
    </row>
    <row r="133" spans="1:29" x14ac:dyDescent="0.35">
      <c r="A133">
        <f t="shared" si="19"/>
        <v>131</v>
      </c>
      <c r="B133" t="str">
        <f>WR_Raw!A134</f>
        <v>David Bell</v>
      </c>
      <c r="C133" t="s">
        <v>32</v>
      </c>
      <c r="D133">
        <f>_xlfn.IFNA(INDEX(BYEs!E:E,MATCH(B133,BYEs!D:D,0)),"N/A")</f>
        <v>23</v>
      </c>
      <c r="E133">
        <f>INDEX(BYEs!$B$2:$B$34,MATCH(F133,BYEs!$A$2:$A$34,0))</f>
        <v>10</v>
      </c>
      <c r="F133" t="str">
        <f>WR_Raw!B134</f>
        <v>CLE</v>
      </c>
      <c r="G133" s="202">
        <v>0</v>
      </c>
      <c r="H133" s="203">
        <v>0</v>
      </c>
      <c r="I133" s="200">
        <f>WR_Raw!F134</f>
        <v>0</v>
      </c>
      <c r="J133" s="200">
        <f>WR_Raw!G134</f>
        <v>1</v>
      </c>
      <c r="K133" s="200">
        <f>WR_Raw!H134</f>
        <v>0</v>
      </c>
      <c r="L133" s="202">
        <f>WR_Raw!C134</f>
        <v>15.2</v>
      </c>
      <c r="M133" s="200">
        <f>WR_Raw!D134</f>
        <v>157.5</v>
      </c>
      <c r="N133" s="203">
        <f>WR_Raw!E134</f>
        <v>1.5</v>
      </c>
      <c r="O133" s="200">
        <f>WR_Raw!I134</f>
        <v>0</v>
      </c>
      <c r="P133" s="204">
        <f t="shared" si="20"/>
        <v>32.450000000000003</v>
      </c>
      <c r="Q133" t="str">
        <f t="shared" ca="1" si="21"/>
        <v>Undrafted</v>
      </c>
      <c r="R133">
        <f t="shared" ca="1" si="22"/>
        <v>0</v>
      </c>
      <c r="S133">
        <f t="shared" ca="1" si="23"/>
        <v>-80.31</v>
      </c>
      <c r="T133" s="84">
        <f t="shared" ca="1" si="24"/>
        <v>-13.249507966961358</v>
      </c>
      <c r="U133" s="84">
        <f ca="1">T133*Auction!$A$2</f>
        <v>-13.249507966961358</v>
      </c>
      <c r="V133" s="5" t="str">
        <f>IF(OR(INDEX(Auction!$H$13:$H$650,MATCH(B133,Auction!$A$13:$A$650,0))&gt;0,IFERROR(INDEX(CheatSheet!$V$5:$V$64,MATCH(B133,CheatSheet!$S$5:$S$64,0)),"")&lt;&gt;""),"Yes","No")</f>
        <v>No</v>
      </c>
      <c r="W133" s="175"/>
      <c r="Y133" s="113">
        <f t="shared" ca="1" si="25"/>
        <v>1</v>
      </c>
      <c r="Z133" s="174">
        <f t="shared" ca="1" si="26"/>
        <v>-40.155000000000001</v>
      </c>
      <c r="AA133" t="str">
        <f t="shared" ref="AA133:AA168" ca="1" si="27">IF(AC133&gt;3,"WR1",IF(AC133&gt;2.5,"WR2",IF(AC133&gt;2,"WR3",IF(AC133&gt;1.5,"WR4",IF(AC133&gt;1,"WR5",IF(AC133&gt;0.5,"WR6",IF(AC133&gt;0,"WR7","WR8")))))))</f>
        <v>WR8</v>
      </c>
      <c r="AB133" s="174">
        <f ca="1">Z133*LeagueInfo!$H$5</f>
        <v>-12.968064359512052</v>
      </c>
      <c r="AC133" s="174">
        <f ca="1">(Z133-AVERAGE(Z:$Z))/_xlfn.STDEV.P(Z:Z)</f>
        <v>-0.67940761208028522</v>
      </c>
    </row>
    <row r="134" spans="1:29" x14ac:dyDescent="0.35">
      <c r="A134">
        <f t="shared" si="19"/>
        <v>132</v>
      </c>
      <c r="B134" t="str">
        <f>WR_Raw!A131</f>
        <v>Justin Watson</v>
      </c>
      <c r="C134" t="s">
        <v>32</v>
      </c>
      <c r="D134">
        <f>_xlfn.IFNA(INDEX(BYEs!E:E,MATCH(B134,BYEs!D:D,0)),"N/A")</f>
        <v>28</v>
      </c>
      <c r="E134">
        <f>INDEX(BYEs!$B$2:$B$34,MATCH(F134,BYEs!$A$2:$A$34,0))</f>
        <v>6</v>
      </c>
      <c r="F134" t="str">
        <f>WR_Raw!B131</f>
        <v>KC</v>
      </c>
      <c r="G134" s="202">
        <v>0</v>
      </c>
      <c r="H134" s="203">
        <v>0</v>
      </c>
      <c r="I134" s="200">
        <f>WR_Raw!F131</f>
        <v>0</v>
      </c>
      <c r="J134" s="200">
        <f>WR_Raw!G131</f>
        <v>0</v>
      </c>
      <c r="K134" s="200">
        <f>WR_Raw!H131</f>
        <v>0</v>
      </c>
      <c r="L134" s="202">
        <f>WR_Raw!C131</f>
        <v>12.7</v>
      </c>
      <c r="M134" s="200">
        <f>WR_Raw!D131</f>
        <v>179.1</v>
      </c>
      <c r="N134" s="203">
        <f>WR_Raw!E131</f>
        <v>1.3</v>
      </c>
      <c r="O134" s="200">
        <f>WR_Raw!I131</f>
        <v>0.1</v>
      </c>
      <c r="P134" s="204">
        <f t="shared" si="20"/>
        <v>31.860000000000003</v>
      </c>
      <c r="Q134" t="str">
        <f t="shared" ca="1" si="21"/>
        <v>Undrafted</v>
      </c>
      <c r="R134">
        <f t="shared" ca="1" si="22"/>
        <v>0</v>
      </c>
      <c r="S134">
        <f t="shared" ca="1" si="23"/>
        <v>-80.900000000000006</v>
      </c>
      <c r="T134" s="84">
        <f t="shared" ca="1" si="24"/>
        <v>-13.346845903712788</v>
      </c>
      <c r="U134" s="84">
        <f ca="1">T134*Auction!$A$2</f>
        <v>-13.346845903712788</v>
      </c>
      <c r="V134" s="5" t="str">
        <f>IF(OR(INDEX(Auction!$H$13:$H$650,MATCH(B134,Auction!$A$13:$A$650,0))&gt;0,IFERROR(INDEX(CheatSheet!$V$5:$V$64,MATCH(B134,CheatSheet!$S$5:$S$64,0)),"")&lt;&gt;""),"Yes","No")</f>
        <v>No</v>
      </c>
      <c r="W134" s="175"/>
      <c r="Y134" s="113">
        <f t="shared" ca="1" si="25"/>
        <v>1</v>
      </c>
      <c r="Z134" s="174">
        <f t="shared" ca="1" si="26"/>
        <v>-40.450000000000003</v>
      </c>
      <c r="AA134" t="str">
        <f t="shared" ca="1" si="27"/>
        <v>WR8</v>
      </c>
      <c r="AB134" s="174">
        <f ca="1">Z134*LeagueInfo!$H$5</f>
        <v>-13.063334661742312</v>
      </c>
      <c r="AC134" s="174">
        <f ca="1">(Z134-AVERAGE(Z:$Z))/_xlfn.STDEV.P(Z:Z)</f>
        <v>-0.6867678513572989</v>
      </c>
    </row>
    <row r="135" spans="1:29" x14ac:dyDescent="0.35">
      <c r="A135">
        <f t="shared" si="19"/>
        <v>133</v>
      </c>
      <c r="B135" t="str">
        <f>WR_Raw!A133</f>
        <v>Isaiah Hodgins</v>
      </c>
      <c r="C135" t="s">
        <v>32</v>
      </c>
      <c r="D135">
        <f>_xlfn.IFNA(INDEX(BYEs!E:E,MATCH(B135,BYEs!D:D,0)),"N/A")</f>
        <v>25</v>
      </c>
      <c r="E135">
        <f>INDEX(BYEs!$B$2:$B$34,MATCH(F135,BYEs!$A$2:$A$34,0))</f>
        <v>11</v>
      </c>
      <c r="F135" t="str">
        <f>WR_Raw!B133</f>
        <v>NYG</v>
      </c>
      <c r="G135" s="202">
        <v>0</v>
      </c>
      <c r="H135" s="203">
        <v>0</v>
      </c>
      <c r="I135" s="200">
        <f>WR_Raw!F133</f>
        <v>0</v>
      </c>
      <c r="J135" s="200">
        <f>WR_Raw!G133</f>
        <v>4</v>
      </c>
      <c r="K135" s="200">
        <f>WR_Raw!H133</f>
        <v>0</v>
      </c>
      <c r="L135" s="202">
        <f>WR_Raw!C133</f>
        <v>14</v>
      </c>
      <c r="M135" s="200">
        <f>WR_Raw!D133</f>
        <v>183</v>
      </c>
      <c r="N135" s="203">
        <f>WR_Raw!E133</f>
        <v>1</v>
      </c>
      <c r="O135" s="200">
        <f>WR_Raw!I133</f>
        <v>0</v>
      </c>
      <c r="P135" s="204">
        <f t="shared" si="20"/>
        <v>31.700000000000003</v>
      </c>
      <c r="Q135" t="str">
        <f t="shared" ca="1" si="21"/>
        <v>Undrafted</v>
      </c>
      <c r="R135">
        <f t="shared" ca="1" si="22"/>
        <v>0</v>
      </c>
      <c r="S135">
        <f t="shared" ca="1" si="23"/>
        <v>-81.06</v>
      </c>
      <c r="T135" s="84">
        <f t="shared" ca="1" si="24"/>
        <v>-13.373242632323345</v>
      </c>
      <c r="U135" s="84">
        <f ca="1">T135*Auction!$A$2</f>
        <v>-13.373242632323345</v>
      </c>
      <c r="V135" s="5" t="str">
        <f>IF(OR(INDEX(Auction!$H$13:$H$650,MATCH(B135,Auction!$A$13:$A$650,0))&gt;0,IFERROR(INDEX(CheatSheet!$V$5:$V$64,MATCH(B135,CheatSheet!$S$5:$S$64,0)),"")&lt;&gt;""),"Yes","No")</f>
        <v>No</v>
      </c>
      <c r="W135" s="175"/>
      <c r="Y135" s="113">
        <f t="shared" ca="1" si="25"/>
        <v>1</v>
      </c>
      <c r="Z135" s="174">
        <f t="shared" ca="1" si="26"/>
        <v>-40.53</v>
      </c>
      <c r="AA135" t="str">
        <f t="shared" ca="1" si="27"/>
        <v>WR8</v>
      </c>
      <c r="AB135" s="174">
        <f ca="1">Z135*LeagueInfo!$H$5</f>
        <v>-13.089170675906448</v>
      </c>
      <c r="AC135" s="174">
        <f ca="1">(Z135-AVERAGE(Z:$Z))/_xlfn.STDEV.P(Z:Z)</f>
        <v>-0.68876384844937033</v>
      </c>
    </row>
    <row r="136" spans="1:29" x14ac:dyDescent="0.35">
      <c r="A136">
        <f t="shared" si="19"/>
        <v>134</v>
      </c>
      <c r="B136" t="str">
        <f>WR_Raw!A135</f>
        <v>Rakim Jarrett</v>
      </c>
      <c r="C136" t="s">
        <v>32</v>
      </c>
      <c r="D136" t="str">
        <f>_xlfn.IFNA(INDEX(BYEs!E:E,MATCH(B136,BYEs!D:D,0)),"N/A")</f>
        <v>N/A</v>
      </c>
      <c r="E136">
        <f>INDEX(BYEs!$B$2:$B$34,MATCH(F136,BYEs!$A$2:$A$34,0))</f>
        <v>11</v>
      </c>
      <c r="F136" t="str">
        <f>WR_Raw!B135</f>
        <v>TB</v>
      </c>
      <c r="G136" s="202">
        <v>0</v>
      </c>
      <c r="H136" s="203">
        <v>0</v>
      </c>
      <c r="I136" s="200">
        <f>WR_Raw!F135</f>
        <v>0</v>
      </c>
      <c r="J136" s="200">
        <f>WR_Raw!G135</f>
        <v>10</v>
      </c>
      <c r="K136" s="200">
        <f>WR_Raw!H135</f>
        <v>0</v>
      </c>
      <c r="L136" s="202">
        <f>WR_Raw!C135</f>
        <v>14</v>
      </c>
      <c r="M136" s="200">
        <f>WR_Raw!D135</f>
        <v>175</v>
      </c>
      <c r="N136" s="203">
        <f>WR_Raw!E135</f>
        <v>1</v>
      </c>
      <c r="O136" s="200">
        <f>WR_Raw!I135</f>
        <v>0</v>
      </c>
      <c r="P136" s="204">
        <f t="shared" si="20"/>
        <v>31.5</v>
      </c>
      <c r="Q136" t="str">
        <f t="shared" ca="1" si="21"/>
        <v>Undrafted</v>
      </c>
      <c r="R136">
        <f t="shared" ca="1" si="22"/>
        <v>0</v>
      </c>
      <c r="S136">
        <f t="shared" ca="1" si="23"/>
        <v>-81.260000000000005</v>
      </c>
      <c r="T136" s="84">
        <f t="shared" ca="1" si="24"/>
        <v>-13.406238543086541</v>
      </c>
      <c r="U136" s="84">
        <f ca="1">T136*Auction!$A$2</f>
        <v>-13.406238543086541</v>
      </c>
      <c r="V136" s="5" t="str">
        <f>IF(OR(INDEX(Auction!$H$13:$H$650,MATCH(B136,Auction!$A$13:$A$650,0))&gt;0,IFERROR(INDEX(CheatSheet!$V$5:$V$64,MATCH(B136,CheatSheet!$S$5:$S$64,0)),"")&lt;&gt;""),"Yes","No")</f>
        <v>No</v>
      </c>
      <c r="W136" s="175"/>
      <c r="Y136" s="113">
        <f t="shared" ca="1" si="25"/>
        <v>1</v>
      </c>
      <c r="Z136" s="174">
        <f t="shared" ca="1" si="26"/>
        <v>-40.630000000000003</v>
      </c>
      <c r="AA136" t="str">
        <f t="shared" ca="1" si="27"/>
        <v>WR8</v>
      </c>
      <c r="AB136" s="174">
        <f ca="1">Z136*LeagueInfo!$H$5</f>
        <v>-13.121465693611622</v>
      </c>
      <c r="AC136" s="174">
        <f ca="1">(Z136-AVERAGE(Z:$Z))/_xlfn.STDEV.P(Z:Z)</f>
        <v>-0.69125884481445976</v>
      </c>
    </row>
    <row r="137" spans="1:29" x14ac:dyDescent="0.35">
      <c r="A137">
        <f t="shared" si="19"/>
        <v>135</v>
      </c>
      <c r="B137" t="str">
        <f>WR_Raw!A136</f>
        <v>Donovan Peoples-Jones</v>
      </c>
      <c r="C137" t="s">
        <v>32</v>
      </c>
      <c r="D137">
        <f>_xlfn.IFNA(INDEX(BYEs!E:E,MATCH(B137,BYEs!D:D,0)),"N/A")</f>
        <v>25</v>
      </c>
      <c r="E137">
        <f>INDEX(BYEs!$B$2:$B$34,MATCH(F137,BYEs!$A$2:$A$34,0))</f>
        <v>5</v>
      </c>
      <c r="F137" t="str">
        <f>WR_Raw!B136</f>
        <v>DET</v>
      </c>
      <c r="G137" s="202">
        <v>0</v>
      </c>
      <c r="H137" s="203">
        <v>0</v>
      </c>
      <c r="I137" s="200">
        <f>WR_Raw!F136</f>
        <v>0</v>
      </c>
      <c r="J137" s="200">
        <f>WR_Raw!G136</f>
        <v>4</v>
      </c>
      <c r="K137" s="200">
        <f>WR_Raw!H136</f>
        <v>0</v>
      </c>
      <c r="L137" s="202">
        <f>WR_Raw!C136</f>
        <v>13</v>
      </c>
      <c r="M137" s="200">
        <f>WR_Raw!D136</f>
        <v>181</v>
      </c>
      <c r="N137" s="203">
        <f>WR_Raw!E136</f>
        <v>1</v>
      </c>
      <c r="O137" s="200">
        <f>WR_Raw!I136</f>
        <v>0</v>
      </c>
      <c r="P137" s="204">
        <f t="shared" si="20"/>
        <v>31</v>
      </c>
      <c r="Q137" t="str">
        <f t="shared" ca="1" si="21"/>
        <v>Undrafted</v>
      </c>
      <c r="R137">
        <f t="shared" ca="1" si="22"/>
        <v>0</v>
      </c>
      <c r="S137">
        <f t="shared" ca="1" si="23"/>
        <v>-81.760000000000005</v>
      </c>
      <c r="T137" s="84">
        <f t="shared" ca="1" si="24"/>
        <v>-13.48872831999453</v>
      </c>
      <c r="U137" s="84">
        <f ca="1">T137*Auction!$A$2</f>
        <v>-13.48872831999453</v>
      </c>
      <c r="V137" s="5" t="str">
        <f>IF(OR(INDEX(Auction!$H$13:$H$650,MATCH(B137,Auction!$A$13:$A$650,0))&gt;0,IFERROR(INDEX(CheatSheet!$V$5:$V$64,MATCH(B137,CheatSheet!$S$5:$S$64,0)),"")&lt;&gt;""),"Yes","No")</f>
        <v>No</v>
      </c>
      <c r="W137" s="175"/>
      <c r="Y137" s="113">
        <f t="shared" ca="1" si="25"/>
        <v>1</v>
      </c>
      <c r="Z137" s="174">
        <f t="shared" ca="1" si="26"/>
        <v>-40.880000000000003</v>
      </c>
      <c r="AA137" t="str">
        <f t="shared" ca="1" si="27"/>
        <v>WR8</v>
      </c>
      <c r="AB137" s="174">
        <f ca="1">Z137*LeagueInfo!$H$5</f>
        <v>-13.202203237874553</v>
      </c>
      <c r="AC137" s="174">
        <f ca="1">(Z137-AVERAGE(Z:$Z))/_xlfn.STDEV.P(Z:Z)</f>
        <v>-0.69749633572718317</v>
      </c>
    </row>
    <row r="138" spans="1:29" x14ac:dyDescent="0.35">
      <c r="A138">
        <f t="shared" si="19"/>
        <v>136</v>
      </c>
      <c r="B138" t="str">
        <f>WR_Raw!A137</f>
        <v>Malik Washington</v>
      </c>
      <c r="C138" t="s">
        <v>32</v>
      </c>
      <c r="D138">
        <f>_xlfn.IFNA(INDEX(BYEs!E:E,MATCH(B138,BYEs!D:D,0)),"N/A")</f>
        <v>23</v>
      </c>
      <c r="E138">
        <f>INDEX(BYEs!$B$2:$B$34,MATCH(F138,BYEs!$A$2:$A$34,0))</f>
        <v>6</v>
      </c>
      <c r="F138" t="str">
        <f>WR_Raw!B137</f>
        <v>MIA</v>
      </c>
      <c r="G138" s="202">
        <v>0</v>
      </c>
      <c r="H138" s="203">
        <v>0</v>
      </c>
      <c r="I138" s="200">
        <f>WR_Raw!F137</f>
        <v>2.1</v>
      </c>
      <c r="J138" s="200">
        <f>WR_Raw!G137</f>
        <v>13.3</v>
      </c>
      <c r="K138" s="200">
        <f>WR_Raw!H137</f>
        <v>0.1</v>
      </c>
      <c r="L138" s="202">
        <f>WR_Raw!C137</f>
        <v>12.6</v>
      </c>
      <c r="M138" s="200">
        <f>WR_Raw!D137</f>
        <v>157</v>
      </c>
      <c r="N138" s="203">
        <f>WR_Raw!E137</f>
        <v>1</v>
      </c>
      <c r="O138" s="200">
        <f>WR_Raw!I137</f>
        <v>0</v>
      </c>
      <c r="P138" s="204">
        <f t="shared" si="20"/>
        <v>29.93</v>
      </c>
      <c r="Q138" t="str">
        <f t="shared" ca="1" si="21"/>
        <v>Undrafted</v>
      </c>
      <c r="R138">
        <f t="shared" ca="1" si="22"/>
        <v>0</v>
      </c>
      <c r="S138">
        <f t="shared" ca="1" si="23"/>
        <v>-82.830000000000013</v>
      </c>
      <c r="T138" s="84">
        <f t="shared" ca="1" si="24"/>
        <v>-13.665256442577631</v>
      </c>
      <c r="U138" s="84">
        <f ca="1">T138*Auction!$A$2</f>
        <v>-13.665256442577631</v>
      </c>
      <c r="V138" s="5" t="str">
        <f>IF(OR(INDEX(Auction!$H$13:$H$650,MATCH(B138,Auction!$A$13:$A$650,0))&gt;0,IFERROR(INDEX(CheatSheet!$V$5:$V$64,MATCH(B138,CheatSheet!$S$5:$S$64,0)),"")&lt;&gt;""),"Yes","No")</f>
        <v>No</v>
      </c>
      <c r="W138" s="175"/>
      <c r="Y138" s="113">
        <f t="shared" ca="1" si="25"/>
        <v>1</v>
      </c>
      <c r="Z138" s="174">
        <f t="shared" ca="1" si="26"/>
        <v>-41.415000000000006</v>
      </c>
      <c r="AA138" t="str">
        <f t="shared" ca="1" si="27"/>
        <v>WR8</v>
      </c>
      <c r="AB138" s="174">
        <f ca="1">Z138*LeagueInfo!$H$5</f>
        <v>-13.374981582597227</v>
      </c>
      <c r="AC138" s="174">
        <f ca="1">(Z138-AVERAGE(Z:$Z))/_xlfn.STDEV.P(Z:Z)</f>
        <v>-0.71084456628041148</v>
      </c>
    </row>
    <row r="139" spans="1:29" x14ac:dyDescent="0.35">
      <c r="A139">
        <f t="shared" si="19"/>
        <v>137</v>
      </c>
      <c r="B139" t="str">
        <f>WR_Raw!A140</f>
        <v>Trent Sherfield Sr.</v>
      </c>
      <c r="C139" t="s">
        <v>32</v>
      </c>
      <c r="D139" t="str">
        <f>_xlfn.IFNA(INDEX(BYEs!E:E,MATCH(B139,BYEs!D:D,0)),"N/A")</f>
        <v>N/A</v>
      </c>
      <c r="E139">
        <f>INDEX(BYEs!$B$2:$B$34,MATCH(F139,BYEs!$A$2:$A$34,0))</f>
        <v>6</v>
      </c>
      <c r="F139" t="str">
        <f>WR_Raw!B140</f>
        <v>MIN</v>
      </c>
      <c r="G139" s="202">
        <v>0</v>
      </c>
      <c r="H139" s="203">
        <v>0</v>
      </c>
      <c r="I139" s="200">
        <f>WR_Raw!F140</f>
        <v>0</v>
      </c>
      <c r="J139" s="200">
        <f>WR_Raw!G140</f>
        <v>2</v>
      </c>
      <c r="K139" s="200">
        <f>WR_Raw!H140</f>
        <v>0</v>
      </c>
      <c r="L139" s="202">
        <f>WR_Raw!C140</f>
        <v>13.9</v>
      </c>
      <c r="M139" s="200">
        <f>WR_Raw!D140</f>
        <v>165.6</v>
      </c>
      <c r="N139" s="203">
        <f>WR_Raw!E140</f>
        <v>1</v>
      </c>
      <c r="O139" s="200">
        <f>WR_Raw!I140</f>
        <v>0</v>
      </c>
      <c r="P139" s="204">
        <f t="shared" si="20"/>
        <v>29.71</v>
      </c>
      <c r="Q139" t="str">
        <f t="shared" ca="1" si="21"/>
        <v>Undrafted</v>
      </c>
      <c r="R139">
        <f t="shared" ca="1" si="22"/>
        <v>0</v>
      </c>
      <c r="S139">
        <f t="shared" ca="1" si="23"/>
        <v>-83.050000000000011</v>
      </c>
      <c r="T139" s="84">
        <f t="shared" ca="1" si="24"/>
        <v>-13.701551944417146</v>
      </c>
      <c r="U139" s="84">
        <f ca="1">T139*Auction!$A$2</f>
        <v>-13.701551944417146</v>
      </c>
      <c r="V139" s="5" t="str">
        <f>IF(OR(INDEX(Auction!$H$13:$H$650,MATCH(B139,Auction!$A$13:$A$650,0))&gt;0,IFERROR(INDEX(CheatSheet!$V$5:$V$64,MATCH(B139,CheatSheet!$S$5:$S$64,0)),"")&lt;&gt;""),"Yes","No")</f>
        <v>No</v>
      </c>
      <c r="W139" s="175"/>
      <c r="Y139" s="113">
        <f t="shared" ca="1" si="25"/>
        <v>1</v>
      </c>
      <c r="Z139" s="174">
        <f t="shared" ca="1" si="26"/>
        <v>-41.525000000000006</v>
      </c>
      <c r="AA139" t="str">
        <f t="shared" ca="1" si="27"/>
        <v>WR8</v>
      </c>
      <c r="AB139" s="174">
        <f ca="1">Z139*LeagueInfo!$H$5</f>
        <v>-13.410506102072917</v>
      </c>
      <c r="AC139" s="174">
        <f ca="1">(Z139-AVERAGE(Z:$Z))/_xlfn.STDEV.P(Z:Z)</f>
        <v>-0.7135890622820098</v>
      </c>
    </row>
    <row r="140" spans="1:29" x14ac:dyDescent="0.35">
      <c r="A140">
        <f t="shared" si="19"/>
        <v>138</v>
      </c>
      <c r="B140" t="str">
        <f>WR_Raw!A139</f>
        <v>Isaiah Williams</v>
      </c>
      <c r="C140" t="s">
        <v>32</v>
      </c>
      <c r="D140" t="str">
        <f>_xlfn.IFNA(INDEX(BYEs!E:E,MATCH(B140,BYEs!D:D,0)),"N/A")</f>
        <v>N/A</v>
      </c>
      <c r="E140">
        <f>INDEX(BYEs!$B$2:$B$34,MATCH(F140,BYEs!$A$2:$A$34,0))</f>
        <v>5</v>
      </c>
      <c r="F140" t="str">
        <f>WR_Raw!B139</f>
        <v>DET</v>
      </c>
      <c r="G140" s="202">
        <v>0</v>
      </c>
      <c r="H140" s="203">
        <v>0</v>
      </c>
      <c r="I140" s="200">
        <f>WR_Raw!F139</f>
        <v>0</v>
      </c>
      <c r="J140" s="200">
        <f>WR_Raw!G139</f>
        <v>0</v>
      </c>
      <c r="K140" s="200">
        <f>WR_Raw!H139</f>
        <v>0</v>
      </c>
      <c r="L140" s="202">
        <f>WR_Raw!C139</f>
        <v>13.6</v>
      </c>
      <c r="M140" s="200">
        <f>WR_Raw!D139</f>
        <v>161.80000000000001</v>
      </c>
      <c r="N140" s="203">
        <f>WR_Raw!E139</f>
        <v>1.1000000000000001</v>
      </c>
      <c r="O140" s="200">
        <f>WR_Raw!I139</f>
        <v>0.1</v>
      </c>
      <c r="P140" s="204">
        <f t="shared" si="20"/>
        <v>29.380000000000006</v>
      </c>
      <c r="Q140" t="str">
        <f t="shared" ca="1" si="21"/>
        <v>Undrafted</v>
      </c>
      <c r="R140">
        <f t="shared" ca="1" si="22"/>
        <v>0</v>
      </c>
      <c r="S140">
        <f t="shared" ca="1" si="23"/>
        <v>-83.38</v>
      </c>
      <c r="T140" s="84">
        <f t="shared" ca="1" si="24"/>
        <v>-13.755995197176416</v>
      </c>
      <c r="U140" s="84">
        <f ca="1">T140*Auction!$A$2</f>
        <v>-13.755995197176416</v>
      </c>
      <c r="V140" s="5" t="str">
        <f>IF(OR(INDEX(Auction!$H$13:$H$650,MATCH(B140,Auction!$A$13:$A$650,0))&gt;0,IFERROR(INDEX(CheatSheet!$V$5:$V$64,MATCH(B140,CheatSheet!$S$5:$S$64,0)),"")&lt;&gt;""),"Yes","No")</f>
        <v>No</v>
      </c>
      <c r="W140" s="175"/>
      <c r="Y140" s="113">
        <f t="shared" ca="1" si="25"/>
        <v>1</v>
      </c>
      <c r="Z140" s="174">
        <f t="shared" ca="1" si="26"/>
        <v>-41.69</v>
      </c>
      <c r="AA140" t="str">
        <f t="shared" ca="1" si="27"/>
        <v>WR8</v>
      </c>
      <c r="AB140" s="174">
        <f ca="1">Z140*LeagueInfo!$H$5</f>
        <v>-13.46379288128645</v>
      </c>
      <c r="AC140" s="174">
        <f ca="1">(Z140-AVERAGE(Z:$Z))/_xlfn.STDEV.P(Z:Z)</f>
        <v>-0.71770580628440706</v>
      </c>
    </row>
    <row r="141" spans="1:29" x14ac:dyDescent="0.35">
      <c r="A141">
        <f t="shared" si="19"/>
        <v>139</v>
      </c>
      <c r="B141" t="str">
        <f>WR_Raw!A142</f>
        <v>Bub Means</v>
      </c>
      <c r="C141" t="s">
        <v>32</v>
      </c>
      <c r="D141">
        <f>_xlfn.IFNA(INDEX(BYEs!E:E,MATCH(B141,BYEs!D:D,0)),"N/A")</f>
        <v>23</v>
      </c>
      <c r="E141">
        <f>INDEX(BYEs!$B$2:$B$34,MATCH(F141,BYEs!$A$2:$A$34,0))</f>
        <v>12</v>
      </c>
      <c r="F141" t="str">
        <f>WR_Raw!B142</f>
        <v>NO</v>
      </c>
      <c r="G141" s="202">
        <v>0</v>
      </c>
      <c r="H141" s="203">
        <v>0</v>
      </c>
      <c r="I141" s="200">
        <f>WR_Raw!F142</f>
        <v>0</v>
      </c>
      <c r="J141" s="200">
        <f>WR_Raw!G142</f>
        <v>0</v>
      </c>
      <c r="K141" s="200">
        <f>WR_Raw!H142</f>
        <v>0</v>
      </c>
      <c r="L141" s="202">
        <f>WR_Raw!C142</f>
        <v>13.2</v>
      </c>
      <c r="M141" s="200">
        <f>WR_Raw!D142</f>
        <v>160.19999999999999</v>
      </c>
      <c r="N141" s="203">
        <f>WR_Raw!E142</f>
        <v>1.1000000000000001</v>
      </c>
      <c r="O141" s="200">
        <f>WR_Raw!I142</f>
        <v>0</v>
      </c>
      <c r="P141" s="204">
        <f t="shared" si="20"/>
        <v>29.22</v>
      </c>
      <c r="Q141" t="str">
        <f t="shared" ca="1" si="21"/>
        <v>Undrafted</v>
      </c>
      <c r="R141">
        <f t="shared" ca="1" si="22"/>
        <v>0</v>
      </c>
      <c r="S141">
        <f t="shared" ca="1" si="23"/>
        <v>-83.54</v>
      </c>
      <c r="T141" s="84">
        <f t="shared" ca="1" si="24"/>
        <v>-13.782391925786975</v>
      </c>
      <c r="U141" s="84">
        <f ca="1">T141*Auction!$A$2</f>
        <v>-13.782391925786975</v>
      </c>
      <c r="V141" s="5" t="str">
        <f>IF(OR(INDEX(Auction!$H$13:$H$650,MATCH(B141,Auction!$A$13:$A$650,0))&gt;0,IFERROR(INDEX(CheatSheet!$V$5:$V$64,MATCH(B141,CheatSheet!$S$5:$S$64,0)),"")&lt;&gt;""),"Yes","No")</f>
        <v>No</v>
      </c>
      <c r="W141" s="175"/>
      <c r="Y141" s="113">
        <f t="shared" ca="1" si="25"/>
        <v>1</v>
      </c>
      <c r="Z141" s="174">
        <f t="shared" ca="1" si="26"/>
        <v>-41.77</v>
      </c>
      <c r="AA141" t="str">
        <f t="shared" ca="1" si="27"/>
        <v>WR8</v>
      </c>
      <c r="AB141" s="174">
        <f ca="1">Z141*LeagueInfo!$H$5</f>
        <v>-13.48962889545059</v>
      </c>
      <c r="AC141" s="174">
        <f ca="1">(Z141-AVERAGE(Z:$Z))/_xlfn.STDEV.P(Z:Z)</f>
        <v>-0.7197018033764786</v>
      </c>
    </row>
    <row r="142" spans="1:29" x14ac:dyDescent="0.35">
      <c r="A142">
        <f t="shared" si="19"/>
        <v>140</v>
      </c>
      <c r="B142" t="str">
        <f>WR_Raw!A143</f>
        <v>Parris Campbell</v>
      </c>
      <c r="C142" t="s">
        <v>32</v>
      </c>
      <c r="D142">
        <f>_xlfn.IFNA(INDEX(BYEs!E:E,MATCH(B142,BYEs!D:D,0)),"N/A")</f>
        <v>27</v>
      </c>
      <c r="E142">
        <f>INDEX(BYEs!$B$2:$B$34,MATCH(F142,BYEs!$A$2:$A$34,0))</f>
        <v>5</v>
      </c>
      <c r="F142" t="str">
        <f>WR_Raw!B143</f>
        <v>PHI</v>
      </c>
      <c r="G142" s="202">
        <v>0</v>
      </c>
      <c r="H142" s="203">
        <v>0</v>
      </c>
      <c r="I142" s="200">
        <f>WR_Raw!F143</f>
        <v>0</v>
      </c>
      <c r="J142" s="200">
        <f>WR_Raw!G143</f>
        <v>5</v>
      </c>
      <c r="K142" s="200">
        <f>WR_Raw!H143</f>
        <v>0</v>
      </c>
      <c r="L142" s="202">
        <f>WR_Raw!C143</f>
        <v>14</v>
      </c>
      <c r="M142" s="200">
        <f>WR_Raw!D143</f>
        <v>152</v>
      </c>
      <c r="N142" s="203">
        <f>WR_Raw!E143</f>
        <v>1</v>
      </c>
      <c r="O142" s="200">
        <f>WR_Raw!I143</f>
        <v>0</v>
      </c>
      <c r="P142" s="204">
        <f t="shared" si="20"/>
        <v>28.700000000000003</v>
      </c>
      <c r="Q142" t="str">
        <f t="shared" ca="1" si="21"/>
        <v>Undrafted</v>
      </c>
      <c r="R142">
        <f t="shared" ca="1" si="22"/>
        <v>0</v>
      </c>
      <c r="S142">
        <f t="shared" ca="1" si="23"/>
        <v>-84.06</v>
      </c>
      <c r="T142" s="84">
        <f t="shared" ca="1" si="24"/>
        <v>-13.868181293771285</v>
      </c>
      <c r="U142" s="84">
        <f ca="1">T142*Auction!$A$2</f>
        <v>-13.868181293771285</v>
      </c>
      <c r="V142" s="5" t="str">
        <f>IF(OR(INDEX(Auction!$H$13:$H$650,MATCH(B142,Auction!$A$13:$A$650,0))&gt;0,IFERROR(INDEX(CheatSheet!$V$5:$V$64,MATCH(B142,CheatSheet!$S$5:$S$64,0)),"")&lt;&gt;""),"Yes","No")</f>
        <v>No</v>
      </c>
      <c r="W142" s="175"/>
      <c r="Y142" s="113">
        <f t="shared" ca="1" si="25"/>
        <v>1</v>
      </c>
      <c r="Z142" s="174">
        <f t="shared" ca="1" si="26"/>
        <v>-42.03</v>
      </c>
      <c r="AA142" t="str">
        <f t="shared" ca="1" si="27"/>
        <v>WR8</v>
      </c>
      <c r="AB142" s="174">
        <f ca="1">Z142*LeagueInfo!$H$5</f>
        <v>-13.573595941484038</v>
      </c>
      <c r="AC142" s="174">
        <f ca="1">(Z142-AVERAGE(Z:$Z))/_xlfn.STDEV.P(Z:Z)</f>
        <v>-0.72618879392571101</v>
      </c>
    </row>
    <row r="143" spans="1:29" x14ac:dyDescent="0.35">
      <c r="A143">
        <f t="shared" si="19"/>
        <v>141</v>
      </c>
      <c r="B143" t="str">
        <f>WR_Raw!A144</f>
        <v>Brandon Powell</v>
      </c>
      <c r="C143" t="s">
        <v>32</v>
      </c>
      <c r="D143">
        <f>_xlfn.IFNA(INDEX(BYEs!E:E,MATCH(B143,BYEs!D:D,0)),"N/A")</f>
        <v>28</v>
      </c>
      <c r="E143">
        <f>INDEX(BYEs!$B$2:$B$34,MATCH(F143,BYEs!$A$2:$A$34,0))</f>
        <v>6</v>
      </c>
      <c r="F143" t="str">
        <f>WR_Raw!B144</f>
        <v>MIN</v>
      </c>
      <c r="G143" s="202">
        <v>0</v>
      </c>
      <c r="H143" s="203">
        <v>0</v>
      </c>
      <c r="I143" s="200">
        <f>WR_Raw!F144</f>
        <v>1.9</v>
      </c>
      <c r="J143" s="200">
        <f>WR_Raw!G144</f>
        <v>14.6</v>
      </c>
      <c r="K143" s="200">
        <f>WR_Raw!H144</f>
        <v>0</v>
      </c>
      <c r="L143" s="202">
        <f>WR_Raw!C144</f>
        <v>14.7</v>
      </c>
      <c r="M143" s="200">
        <f>WR_Raw!D144</f>
        <v>143.4</v>
      </c>
      <c r="N143" s="203">
        <f>WR_Raw!E144</f>
        <v>0.9</v>
      </c>
      <c r="O143" s="200">
        <f>WR_Raw!I144</f>
        <v>0.1</v>
      </c>
      <c r="P143" s="204">
        <f t="shared" si="20"/>
        <v>28.349999999999998</v>
      </c>
      <c r="Q143" t="str">
        <f t="shared" ca="1" si="21"/>
        <v>Undrafted</v>
      </c>
      <c r="R143">
        <f t="shared" ca="1" si="22"/>
        <v>0</v>
      </c>
      <c r="S143">
        <f t="shared" ca="1" si="23"/>
        <v>-84.410000000000011</v>
      </c>
      <c r="T143" s="84">
        <f t="shared" ca="1" si="24"/>
        <v>-13.925924137606879</v>
      </c>
      <c r="U143" s="84">
        <f ca="1">T143*Auction!$A$2</f>
        <v>-13.925924137606879</v>
      </c>
      <c r="V143" s="5" t="str">
        <f>IF(OR(INDEX(Auction!$H$13:$H$650,MATCH(B143,Auction!$A$13:$A$650,0))&gt;0,IFERROR(INDEX(CheatSheet!$V$5:$V$64,MATCH(B143,CheatSheet!$S$5:$S$64,0)),"")&lt;&gt;""),"Yes","No")</f>
        <v>No</v>
      </c>
      <c r="W143" s="175"/>
      <c r="Y143" s="113">
        <f t="shared" ca="1" si="25"/>
        <v>1</v>
      </c>
      <c r="Z143" s="174">
        <f t="shared" ca="1" si="26"/>
        <v>-42.205000000000005</v>
      </c>
      <c r="AA143" t="str">
        <f t="shared" ca="1" si="27"/>
        <v>WR8</v>
      </c>
      <c r="AB143" s="174">
        <f ca="1">Z143*LeagueInfo!$H$5</f>
        <v>-13.630112222468091</v>
      </c>
      <c r="AC143" s="174">
        <f ca="1">(Z143-AVERAGE(Z:$Z))/_xlfn.STDEV.P(Z:Z)</f>
        <v>-0.73055503756461748</v>
      </c>
    </row>
    <row r="144" spans="1:29" x14ac:dyDescent="0.35">
      <c r="A144">
        <f t="shared" si="19"/>
        <v>142</v>
      </c>
      <c r="B144" t="str">
        <f>WR_Raw!A138</f>
        <v>Cornelius Johnson</v>
      </c>
      <c r="C144" t="s">
        <v>32</v>
      </c>
      <c r="D144" t="str">
        <f>_xlfn.IFNA(INDEX(BYEs!E:E,MATCH(B144,BYEs!D:D,0)),"N/A")</f>
        <v>N/A</v>
      </c>
      <c r="E144">
        <f>INDEX(BYEs!$B$2:$B$34,MATCH(F144,BYEs!$A$2:$A$34,0))</f>
        <v>5</v>
      </c>
      <c r="F144" t="str">
        <f>WR_Raw!B138</f>
        <v>LAC</v>
      </c>
      <c r="G144" s="202">
        <v>0</v>
      </c>
      <c r="H144" s="203">
        <v>0</v>
      </c>
      <c r="I144" s="200">
        <f>WR_Raw!F138</f>
        <v>0</v>
      </c>
      <c r="J144" s="200">
        <f>WR_Raw!G138</f>
        <v>0</v>
      </c>
      <c r="K144" s="200">
        <f>WR_Raw!H138</f>
        <v>0</v>
      </c>
      <c r="L144" s="202">
        <f>WR_Raw!C138</f>
        <v>11</v>
      </c>
      <c r="M144" s="200">
        <f>WR_Raw!D138</f>
        <v>166</v>
      </c>
      <c r="N144" s="203">
        <f>WR_Raw!E138</f>
        <v>1</v>
      </c>
      <c r="O144" s="200">
        <f>WR_Raw!I138</f>
        <v>0</v>
      </c>
      <c r="P144" s="204">
        <f t="shared" si="20"/>
        <v>28.1</v>
      </c>
      <c r="Q144" t="str">
        <f t="shared" ca="1" si="21"/>
        <v>Undrafted</v>
      </c>
      <c r="R144">
        <f t="shared" ca="1" si="22"/>
        <v>0</v>
      </c>
      <c r="S144">
        <f t="shared" ca="1" si="23"/>
        <v>-84.66</v>
      </c>
      <c r="T144" s="84">
        <f t="shared" ca="1" si="24"/>
        <v>-13.967169026060871</v>
      </c>
      <c r="U144" s="84">
        <f ca="1">T144*Auction!$A$2</f>
        <v>-13.967169026060871</v>
      </c>
      <c r="V144" s="5" t="str">
        <f>IF(OR(INDEX(Auction!$H$13:$H$650,MATCH(B144,Auction!$A$13:$A$650,0))&gt;0,IFERROR(INDEX(CheatSheet!$V$5:$V$64,MATCH(B144,CheatSheet!$S$5:$S$64,0)),"")&lt;&gt;""),"Yes","No")</f>
        <v>No</v>
      </c>
      <c r="W144" s="175"/>
      <c r="Y144" s="113">
        <f t="shared" ca="1" si="25"/>
        <v>1</v>
      </c>
      <c r="Z144" s="174">
        <f t="shared" ca="1" si="26"/>
        <v>-42.33</v>
      </c>
      <c r="AA144" t="str">
        <f t="shared" ca="1" si="27"/>
        <v>WR8</v>
      </c>
      <c r="AB144" s="174">
        <f ca="1">Z144*LeagueInfo!$H$5</f>
        <v>-13.670480994599554</v>
      </c>
      <c r="AC144" s="174">
        <f ca="1">(Z144-AVERAGE(Z:$Z))/_xlfn.STDEV.P(Z:Z)</f>
        <v>-0.73367378302097908</v>
      </c>
    </row>
    <row r="145" spans="1:29" x14ac:dyDescent="0.35">
      <c r="A145">
        <f t="shared" si="19"/>
        <v>143</v>
      </c>
      <c r="B145" t="str">
        <f>WR_Raw!A141</f>
        <v>Marquez Valdes-Scantling</v>
      </c>
      <c r="C145" t="s">
        <v>32</v>
      </c>
      <c r="D145">
        <f>_xlfn.IFNA(INDEX(BYEs!E:E,MATCH(B145,BYEs!D:D,0)),"N/A")</f>
        <v>29</v>
      </c>
      <c r="E145">
        <f>INDEX(BYEs!$B$2:$B$34,MATCH(F145,BYEs!$A$2:$A$34,0))</f>
        <v>12</v>
      </c>
      <c r="F145" t="str">
        <f>WR_Raw!B141</f>
        <v>BUF</v>
      </c>
      <c r="G145" s="202">
        <v>0</v>
      </c>
      <c r="H145" s="203">
        <v>0</v>
      </c>
      <c r="I145" s="200">
        <f>WR_Raw!F141</f>
        <v>0</v>
      </c>
      <c r="J145" s="200">
        <f>WR_Raw!G141</f>
        <v>1</v>
      </c>
      <c r="K145" s="200">
        <f>WR_Raw!H141</f>
        <v>0</v>
      </c>
      <c r="L145" s="202">
        <f>WR_Raw!C141</f>
        <v>9.9</v>
      </c>
      <c r="M145" s="200">
        <f>WR_Raw!D141</f>
        <v>155</v>
      </c>
      <c r="N145" s="203">
        <f>WR_Raw!E141</f>
        <v>1.2</v>
      </c>
      <c r="O145" s="200">
        <f>WR_Raw!I141</f>
        <v>0</v>
      </c>
      <c r="P145" s="204">
        <f t="shared" si="20"/>
        <v>27.75</v>
      </c>
      <c r="Q145" t="str">
        <f t="shared" ca="1" si="21"/>
        <v>Undrafted</v>
      </c>
      <c r="R145">
        <f t="shared" ca="1" si="22"/>
        <v>0</v>
      </c>
      <c r="S145">
        <f t="shared" ca="1" si="23"/>
        <v>-85.01</v>
      </c>
      <c r="T145" s="84">
        <f t="shared" ca="1" si="24"/>
        <v>-14.024911869896465</v>
      </c>
      <c r="U145" s="84">
        <f ca="1">T145*Auction!$A$2</f>
        <v>-14.024911869896465</v>
      </c>
      <c r="V145" s="5" t="str">
        <f>IF(OR(INDEX(Auction!$H$13:$H$650,MATCH(B145,Auction!$A$13:$A$650,0))&gt;0,IFERROR(INDEX(CheatSheet!$V$5:$V$64,MATCH(B145,CheatSheet!$S$5:$S$64,0)),"")&lt;&gt;""),"Yes","No")</f>
        <v>No</v>
      </c>
      <c r="W145" s="175"/>
      <c r="Y145" s="113">
        <f t="shared" ca="1" si="25"/>
        <v>1</v>
      </c>
      <c r="Z145" s="174">
        <f t="shared" ca="1" si="26"/>
        <v>-42.505000000000003</v>
      </c>
      <c r="AA145" t="str">
        <f t="shared" ca="1" si="27"/>
        <v>WR8</v>
      </c>
      <c r="AB145" s="174">
        <f ca="1">Z145*LeagueInfo!$H$5</f>
        <v>-13.726997275583608</v>
      </c>
      <c r="AC145" s="174">
        <f ca="1">(Z145-AVERAGE(Z:$Z))/_xlfn.STDEV.P(Z:Z)</f>
        <v>-0.73804002665988555</v>
      </c>
    </row>
    <row r="146" spans="1:29" x14ac:dyDescent="0.35">
      <c r="A146">
        <f t="shared" si="19"/>
        <v>144</v>
      </c>
      <c r="B146" t="str">
        <f>WR_Raw!A149</f>
        <v>Braxton Berrios</v>
      </c>
      <c r="C146" t="s">
        <v>32</v>
      </c>
      <c r="D146" t="str">
        <f>_xlfn.IFNA(INDEX(BYEs!E:E,MATCH(B146,BYEs!D:D,0)),"N/A")</f>
        <v>N/A</v>
      </c>
      <c r="E146">
        <f>INDEX(BYEs!$B$2:$B$34,MATCH(F146,BYEs!$A$2:$A$34,0))</f>
        <v>6</v>
      </c>
      <c r="F146" t="str">
        <f>WR_Raw!B149</f>
        <v>MIA</v>
      </c>
      <c r="G146" s="202">
        <v>0</v>
      </c>
      <c r="H146" s="203">
        <v>0</v>
      </c>
      <c r="I146" s="200">
        <f>WR_Raw!F149</f>
        <v>0</v>
      </c>
      <c r="J146" s="200">
        <f>WR_Raw!G149</f>
        <v>2.7</v>
      </c>
      <c r="K146" s="200">
        <f>WR_Raw!H149</f>
        <v>0</v>
      </c>
      <c r="L146" s="202">
        <f>WR_Raw!C149</f>
        <v>14.4</v>
      </c>
      <c r="M146" s="200">
        <f>WR_Raw!D149</f>
        <v>140.6</v>
      </c>
      <c r="N146" s="203">
        <f>WR_Raw!E149</f>
        <v>0.9</v>
      </c>
      <c r="O146" s="200">
        <f>WR_Raw!I149</f>
        <v>0.1</v>
      </c>
      <c r="P146" s="204">
        <f t="shared" si="20"/>
        <v>26.73</v>
      </c>
      <c r="Q146" t="str">
        <f t="shared" ca="1" si="21"/>
        <v>Undrafted</v>
      </c>
      <c r="R146">
        <f t="shared" ca="1" si="22"/>
        <v>0</v>
      </c>
      <c r="S146">
        <f t="shared" ca="1" si="23"/>
        <v>-86.03</v>
      </c>
      <c r="T146" s="84">
        <f t="shared" ca="1" si="24"/>
        <v>-14.193191014788765</v>
      </c>
      <c r="U146" s="84">
        <f ca="1">T146*Auction!$A$2</f>
        <v>-14.193191014788765</v>
      </c>
      <c r="V146" s="5" t="str">
        <f>IF(OR(INDEX(Auction!$H$13:$H$650,MATCH(B146,Auction!$A$13:$A$650,0))&gt;0,IFERROR(INDEX(CheatSheet!$V$5:$V$64,MATCH(B146,CheatSheet!$S$5:$S$64,0)),"")&lt;&gt;""),"Yes","No")</f>
        <v>No</v>
      </c>
      <c r="W146" s="175"/>
      <c r="Y146" s="113">
        <f t="shared" ca="1" si="25"/>
        <v>1</v>
      </c>
      <c r="Z146" s="174">
        <f t="shared" ca="1" si="26"/>
        <v>-43.015000000000001</v>
      </c>
      <c r="AA146" t="str">
        <f t="shared" ca="1" si="27"/>
        <v>WR8</v>
      </c>
      <c r="AB146" s="174">
        <f ca="1">Z146*LeagueInfo!$H$5</f>
        <v>-13.891701865879988</v>
      </c>
      <c r="AC146" s="174">
        <f ca="1">(Z146-AVERAGE(Z:$Z))/_xlfn.STDEV.P(Z:Z)</f>
        <v>-0.75076450812184126</v>
      </c>
    </row>
    <row r="147" spans="1:29" x14ac:dyDescent="0.35">
      <c r="A147">
        <f t="shared" si="19"/>
        <v>145</v>
      </c>
      <c r="B147" t="str">
        <f>WR_Raw!A147</f>
        <v>Ryan Flournoy</v>
      </c>
      <c r="C147" t="s">
        <v>32</v>
      </c>
      <c r="D147">
        <f>_xlfn.IFNA(INDEX(BYEs!E:E,MATCH(B147,BYEs!D:D,0)),"N/A")</f>
        <v>24</v>
      </c>
      <c r="E147">
        <f>INDEX(BYEs!$B$2:$B$34,MATCH(F147,BYEs!$A$2:$A$34,0))</f>
        <v>7</v>
      </c>
      <c r="F147" t="str">
        <f>WR_Raw!B147</f>
        <v>DAL</v>
      </c>
      <c r="G147" s="202">
        <v>0</v>
      </c>
      <c r="H147" s="203">
        <v>0</v>
      </c>
      <c r="I147" s="200">
        <f>WR_Raw!F147</f>
        <v>0</v>
      </c>
      <c r="J147" s="200">
        <f>WR_Raw!G147</f>
        <v>0</v>
      </c>
      <c r="K147" s="200">
        <f>WR_Raw!H147</f>
        <v>0</v>
      </c>
      <c r="L147" s="202">
        <f>WR_Raw!C147</f>
        <v>12</v>
      </c>
      <c r="M147" s="200">
        <f>WR_Raw!D147</f>
        <v>141.1</v>
      </c>
      <c r="N147" s="203">
        <f>WR_Raw!E147</f>
        <v>1.1000000000000001</v>
      </c>
      <c r="O147" s="200">
        <f>WR_Raw!I147</f>
        <v>0</v>
      </c>
      <c r="P147" s="204">
        <f t="shared" si="20"/>
        <v>26.71</v>
      </c>
      <c r="Q147" t="str">
        <f t="shared" ca="1" si="21"/>
        <v>Undrafted</v>
      </c>
      <c r="R147">
        <f t="shared" ca="1" si="22"/>
        <v>0</v>
      </c>
      <c r="S147">
        <f t="shared" ca="1" si="23"/>
        <v>-86.050000000000011</v>
      </c>
      <c r="T147" s="84">
        <f t="shared" ca="1" si="24"/>
        <v>-14.196490605865087</v>
      </c>
      <c r="U147" s="84">
        <f ca="1">T147*Auction!$A$2</f>
        <v>-14.196490605865087</v>
      </c>
      <c r="V147" s="5" t="str">
        <f>IF(OR(INDEX(Auction!$H$13:$H$650,MATCH(B147,Auction!$A$13:$A$650,0))&gt;0,IFERROR(INDEX(CheatSheet!$V$5:$V$64,MATCH(B147,CheatSheet!$S$5:$S$64,0)),"")&lt;&gt;""),"Yes","No")</f>
        <v>No</v>
      </c>
      <c r="W147" s="175"/>
      <c r="Y147" s="113">
        <f t="shared" ca="1" si="25"/>
        <v>1</v>
      </c>
      <c r="Z147" s="174">
        <f t="shared" ca="1" si="26"/>
        <v>-43.025000000000006</v>
      </c>
      <c r="AA147" t="str">
        <f t="shared" ca="1" si="27"/>
        <v>WR8</v>
      </c>
      <c r="AB147" s="174">
        <f ca="1">Z147*LeagueInfo!$H$5</f>
        <v>-13.894931367650507</v>
      </c>
      <c r="AC147" s="174">
        <f ca="1">(Z147-AVERAGE(Z:$Z))/_xlfn.STDEV.P(Z:Z)</f>
        <v>-0.75101400775835037</v>
      </c>
    </row>
    <row r="148" spans="1:29" x14ac:dyDescent="0.35">
      <c r="A148">
        <f t="shared" si="19"/>
        <v>146</v>
      </c>
      <c r="B148" t="str">
        <f>WR_Raw!A146</f>
        <v>Jamari Thrash</v>
      </c>
      <c r="C148" t="s">
        <v>32</v>
      </c>
      <c r="D148">
        <f>_xlfn.IFNA(INDEX(BYEs!E:E,MATCH(B148,BYEs!D:D,0)),"N/A")</f>
        <v>23</v>
      </c>
      <c r="E148">
        <f>INDEX(BYEs!$B$2:$B$34,MATCH(F148,BYEs!$A$2:$A$34,0))</f>
        <v>10</v>
      </c>
      <c r="F148" t="str">
        <f>WR_Raw!B146</f>
        <v>CLE</v>
      </c>
      <c r="G148" s="202">
        <v>0</v>
      </c>
      <c r="H148" s="203">
        <v>0</v>
      </c>
      <c r="I148" s="200">
        <f>WR_Raw!F146</f>
        <v>0</v>
      </c>
      <c r="J148" s="200">
        <f>WR_Raw!G146</f>
        <v>6</v>
      </c>
      <c r="K148" s="200">
        <f>WR_Raw!H146</f>
        <v>0</v>
      </c>
      <c r="L148" s="202">
        <f>WR_Raw!C146</f>
        <v>11</v>
      </c>
      <c r="M148" s="200">
        <f>WR_Raw!D146</f>
        <v>141</v>
      </c>
      <c r="N148" s="203">
        <f>WR_Raw!E146</f>
        <v>1</v>
      </c>
      <c r="O148" s="200">
        <f>WR_Raw!I146</f>
        <v>0</v>
      </c>
      <c r="P148" s="204">
        <f t="shared" si="20"/>
        <v>26.200000000000003</v>
      </c>
      <c r="Q148" t="str">
        <f t="shared" ca="1" si="21"/>
        <v>Undrafted</v>
      </c>
      <c r="R148">
        <f t="shared" ca="1" si="22"/>
        <v>0</v>
      </c>
      <c r="S148">
        <f t="shared" ca="1" si="23"/>
        <v>-86.56</v>
      </c>
      <c r="T148" s="84">
        <f t="shared" ca="1" si="24"/>
        <v>-14.280630178311235</v>
      </c>
      <c r="U148" s="84">
        <f ca="1">T148*Auction!$A$2</f>
        <v>-14.280630178311235</v>
      </c>
      <c r="V148" s="5" t="str">
        <f>IF(OR(INDEX(Auction!$H$13:$H$650,MATCH(B148,Auction!$A$13:$A$650,0))&gt;0,IFERROR(INDEX(CheatSheet!$V$5:$V$64,MATCH(B148,CheatSheet!$S$5:$S$64,0)),"")&lt;&gt;""),"Yes","No")</f>
        <v>No</v>
      </c>
      <c r="W148" s="175"/>
      <c r="Y148" s="113">
        <f t="shared" ca="1" si="25"/>
        <v>1</v>
      </c>
      <c r="Z148" s="174">
        <f t="shared" ca="1" si="26"/>
        <v>-43.28</v>
      </c>
      <c r="AA148" t="str">
        <f t="shared" ca="1" si="27"/>
        <v>WR8</v>
      </c>
      <c r="AB148" s="174">
        <f ca="1">Z148*LeagueInfo!$H$5</f>
        <v>-13.977283662798696</v>
      </c>
      <c r="AC148" s="174">
        <f ca="1">(Z148-AVERAGE(Z:$Z))/_xlfn.STDEV.P(Z:Z)</f>
        <v>-0.75737624848932816</v>
      </c>
    </row>
    <row r="149" spans="1:29" x14ac:dyDescent="0.35">
      <c r="A149">
        <f t="shared" si="19"/>
        <v>146</v>
      </c>
      <c r="B149" t="str">
        <f>WR_Raw!A145</f>
        <v>Ainias Smith</v>
      </c>
      <c r="C149" t="s">
        <v>32</v>
      </c>
      <c r="D149">
        <f>_xlfn.IFNA(INDEX(BYEs!E:E,MATCH(B149,BYEs!D:D,0)),"N/A")</f>
        <v>23</v>
      </c>
      <c r="E149">
        <f>INDEX(BYEs!$B$2:$B$34,MATCH(F149,BYEs!$A$2:$A$34,0))</f>
        <v>5</v>
      </c>
      <c r="F149" t="str">
        <f>WR_Raw!B145</f>
        <v>PHI</v>
      </c>
      <c r="G149" s="202">
        <v>0</v>
      </c>
      <c r="H149" s="203">
        <v>0</v>
      </c>
      <c r="I149" s="200">
        <f>WR_Raw!F145</f>
        <v>0</v>
      </c>
      <c r="J149" s="200">
        <f>WR_Raw!G145</f>
        <v>6</v>
      </c>
      <c r="K149" s="200">
        <f>WR_Raw!H145</f>
        <v>0</v>
      </c>
      <c r="L149" s="202">
        <f>WR_Raw!C145</f>
        <v>11</v>
      </c>
      <c r="M149" s="200">
        <f>WR_Raw!D145</f>
        <v>141</v>
      </c>
      <c r="N149" s="203">
        <f>WR_Raw!E145</f>
        <v>1</v>
      </c>
      <c r="O149" s="200">
        <f>WR_Raw!I145</f>
        <v>0</v>
      </c>
      <c r="P149" s="204">
        <f t="shared" si="20"/>
        <v>26.200000000000003</v>
      </c>
      <c r="Q149" t="str">
        <f t="shared" ca="1" si="21"/>
        <v>Undrafted</v>
      </c>
      <c r="R149">
        <f t="shared" ca="1" si="22"/>
        <v>0</v>
      </c>
      <c r="S149">
        <f t="shared" ca="1" si="23"/>
        <v>-86.56</v>
      </c>
      <c r="T149" s="84">
        <f t="shared" ca="1" si="24"/>
        <v>-14.280630178311235</v>
      </c>
      <c r="U149" s="84">
        <f ca="1">T149*Auction!$A$2</f>
        <v>-14.280630178311235</v>
      </c>
      <c r="V149" s="5" t="str">
        <f>IF(OR(INDEX(Auction!$H$13:$H$650,MATCH(B149,Auction!$A$13:$A$650,0))&gt;0,IFERROR(INDEX(CheatSheet!$V$5:$V$64,MATCH(B149,CheatSheet!$S$5:$S$64,0)),"")&lt;&gt;""),"Yes","No")</f>
        <v>No</v>
      </c>
      <c r="W149" s="175"/>
      <c r="Y149" s="113">
        <f t="shared" ca="1" si="25"/>
        <v>1</v>
      </c>
      <c r="Z149" s="174">
        <f t="shared" ca="1" si="26"/>
        <v>-43.28</v>
      </c>
      <c r="AA149" t="str">
        <f t="shared" ca="1" si="27"/>
        <v>WR8</v>
      </c>
      <c r="AB149" s="174">
        <f ca="1">Z149*LeagueInfo!$H$5</f>
        <v>-13.977283662798696</v>
      </c>
      <c r="AC149" s="174">
        <f ca="1">(Z149-AVERAGE(Z:$Z))/_xlfn.STDEV.P(Z:Z)</f>
        <v>-0.75737624848932816</v>
      </c>
    </row>
    <row r="150" spans="1:29" x14ac:dyDescent="0.35">
      <c r="A150">
        <f t="shared" si="19"/>
        <v>148</v>
      </c>
      <c r="B150" t="str">
        <f>WR_Raw!A150</f>
        <v>Johnny Wilson</v>
      </c>
      <c r="C150" t="s">
        <v>32</v>
      </c>
      <c r="D150">
        <f>_xlfn.IFNA(INDEX(BYEs!E:E,MATCH(B150,BYEs!D:D,0)),"N/A")</f>
        <v>23</v>
      </c>
      <c r="E150">
        <f>INDEX(BYEs!$B$2:$B$34,MATCH(F150,BYEs!$A$2:$A$34,0))</f>
        <v>5</v>
      </c>
      <c r="F150" t="str">
        <f>WR_Raw!B150</f>
        <v>PHI</v>
      </c>
      <c r="G150" s="202">
        <v>0</v>
      </c>
      <c r="H150" s="203">
        <v>0</v>
      </c>
      <c r="I150" s="200">
        <f>WR_Raw!F150</f>
        <v>0</v>
      </c>
      <c r="J150" s="200">
        <f>WR_Raw!G150</f>
        <v>2.5</v>
      </c>
      <c r="K150" s="200">
        <f>WR_Raw!H150</f>
        <v>0</v>
      </c>
      <c r="L150" s="202">
        <f>WR_Raw!C150</f>
        <v>11.8</v>
      </c>
      <c r="M150" s="200">
        <f>WR_Raw!D150</f>
        <v>140</v>
      </c>
      <c r="N150" s="203">
        <f>WR_Raw!E150</f>
        <v>0.9</v>
      </c>
      <c r="O150" s="200">
        <f>WR_Raw!I150</f>
        <v>0</v>
      </c>
      <c r="P150" s="204">
        <f t="shared" si="20"/>
        <v>25.549999999999997</v>
      </c>
      <c r="Q150" t="str">
        <f t="shared" ca="1" si="21"/>
        <v>Undrafted</v>
      </c>
      <c r="R150">
        <f t="shared" ca="1" si="22"/>
        <v>0</v>
      </c>
      <c r="S150">
        <f t="shared" ca="1" si="23"/>
        <v>-87.210000000000008</v>
      </c>
      <c r="T150" s="84">
        <f t="shared" ca="1" si="24"/>
        <v>-14.387866888291622</v>
      </c>
      <c r="U150" s="84">
        <f ca="1">T150*Auction!$A$2</f>
        <v>-14.387866888291622</v>
      </c>
      <c r="V150" s="5" t="str">
        <f>IF(OR(INDEX(Auction!$H$13:$H$650,MATCH(B150,Auction!$A$13:$A$650,0))&gt;0,IFERROR(INDEX(CheatSheet!$V$5:$V$64,MATCH(B150,CheatSheet!$S$5:$S$64,0)),"")&lt;&gt;""),"Yes","No")</f>
        <v>No</v>
      </c>
      <c r="W150" s="175"/>
      <c r="Y150" s="113">
        <f t="shared" ca="1" si="25"/>
        <v>1</v>
      </c>
      <c r="Z150" s="174">
        <f t="shared" ca="1" si="26"/>
        <v>-43.605000000000004</v>
      </c>
      <c r="AA150" t="str">
        <f t="shared" ca="1" si="27"/>
        <v>WR8</v>
      </c>
      <c r="AB150" s="174">
        <f ca="1">Z150*LeagueInfo!$H$5</f>
        <v>-14.082242470340507</v>
      </c>
      <c r="AC150" s="174">
        <f ca="1">(Z150-AVERAGE(Z:$Z))/_xlfn.STDEV.P(Z:Z)</f>
        <v>-0.76548498667586873</v>
      </c>
    </row>
    <row r="151" spans="1:29" x14ac:dyDescent="0.35">
      <c r="A151">
        <f t="shared" si="19"/>
        <v>149</v>
      </c>
      <c r="B151" t="str">
        <f>WR_Raw!A148</f>
        <v>Jacob Cowing</v>
      </c>
      <c r="C151" t="s">
        <v>32</v>
      </c>
      <c r="D151">
        <f>_xlfn.IFNA(INDEX(BYEs!E:E,MATCH(B151,BYEs!D:D,0)),"N/A")</f>
        <v>23</v>
      </c>
      <c r="E151">
        <f>INDEX(BYEs!$B$2:$B$34,MATCH(F151,BYEs!$A$2:$A$34,0))</f>
        <v>9</v>
      </c>
      <c r="F151" t="str">
        <f>WR_Raw!B148</f>
        <v>SF</v>
      </c>
      <c r="G151" s="202">
        <v>0</v>
      </c>
      <c r="H151" s="203">
        <v>0</v>
      </c>
      <c r="I151" s="200">
        <f>WR_Raw!F148</f>
        <v>0</v>
      </c>
      <c r="J151" s="200">
        <f>WR_Raw!G148</f>
        <v>6</v>
      </c>
      <c r="K151" s="200">
        <f>WR_Raw!H148</f>
        <v>0</v>
      </c>
      <c r="L151" s="202">
        <f>WR_Raw!C148</f>
        <v>11</v>
      </c>
      <c r="M151" s="200">
        <f>WR_Raw!D148</f>
        <v>134</v>
      </c>
      <c r="N151" s="203">
        <f>WR_Raw!E148</f>
        <v>1</v>
      </c>
      <c r="O151" s="200">
        <f>WR_Raw!I148</f>
        <v>0</v>
      </c>
      <c r="P151" s="204">
        <f t="shared" si="20"/>
        <v>25.5</v>
      </c>
      <c r="Q151" t="str">
        <f t="shared" ca="1" si="21"/>
        <v>Undrafted</v>
      </c>
      <c r="R151">
        <f t="shared" ca="1" si="22"/>
        <v>0</v>
      </c>
      <c r="S151">
        <f t="shared" ca="1" si="23"/>
        <v>-87.26</v>
      </c>
      <c r="T151" s="84">
        <f t="shared" ca="1" si="24"/>
        <v>-14.396115865982422</v>
      </c>
      <c r="U151" s="84">
        <f ca="1">T151*Auction!$A$2</f>
        <v>-14.396115865982422</v>
      </c>
      <c r="V151" s="5" t="str">
        <f>IF(OR(INDEX(Auction!$H$13:$H$650,MATCH(B151,Auction!$A$13:$A$650,0))&gt;0,IFERROR(INDEX(CheatSheet!$V$5:$V$64,MATCH(B151,CheatSheet!$S$5:$S$64,0)),"")&lt;&gt;""),"Yes","No")</f>
        <v>No</v>
      </c>
      <c r="W151" s="175"/>
      <c r="Y151" s="113">
        <f t="shared" ca="1" si="25"/>
        <v>1</v>
      </c>
      <c r="Z151" s="174">
        <f t="shared" ca="1" si="26"/>
        <v>-43.63</v>
      </c>
      <c r="AA151" t="str">
        <f t="shared" ca="1" si="27"/>
        <v>WR8</v>
      </c>
      <c r="AB151" s="174">
        <f ca="1">Z151*LeagueInfo!$H$5</f>
        <v>-14.0903162247668</v>
      </c>
      <c r="AC151" s="174">
        <f ca="1">(Z151-AVERAGE(Z:$Z))/_xlfn.STDEV.P(Z:Z)</f>
        <v>-0.766108735767141</v>
      </c>
    </row>
    <row r="152" spans="1:29" x14ac:dyDescent="0.35">
      <c r="A152">
        <f t="shared" si="19"/>
        <v>150</v>
      </c>
      <c r="B152" t="str">
        <f>WR_Raw!A153</f>
        <v>Devaughn Vele</v>
      </c>
      <c r="C152" t="s">
        <v>32</v>
      </c>
      <c r="D152" t="str">
        <f>_xlfn.IFNA(INDEX(BYEs!E:E,MATCH(B152,BYEs!D:D,0)),"N/A")</f>
        <v>N/A</v>
      </c>
      <c r="E152">
        <f>INDEX(BYEs!$B$2:$B$34,MATCH(F152,BYEs!$A$2:$A$34,0))</f>
        <v>14</v>
      </c>
      <c r="F152" t="str">
        <f>WR_Raw!B153</f>
        <v>DEN</v>
      </c>
      <c r="G152" s="202">
        <v>0</v>
      </c>
      <c r="H152" s="203">
        <v>0</v>
      </c>
      <c r="I152" s="200">
        <f>WR_Raw!F153</f>
        <v>0</v>
      </c>
      <c r="J152" s="200">
        <f>WR_Raw!G153</f>
        <v>0</v>
      </c>
      <c r="K152" s="200">
        <f>WR_Raw!H153</f>
        <v>0</v>
      </c>
      <c r="L152" s="202">
        <f>WR_Raw!C153</f>
        <v>11.8</v>
      </c>
      <c r="M152" s="200">
        <f>WR_Raw!D153</f>
        <v>139.1</v>
      </c>
      <c r="N152" s="203">
        <f>WR_Raw!E153</f>
        <v>0.9</v>
      </c>
      <c r="O152" s="200">
        <f>WR_Raw!I153</f>
        <v>0</v>
      </c>
      <c r="P152" s="204">
        <f t="shared" si="20"/>
        <v>25.21</v>
      </c>
      <c r="Q152" t="str">
        <f t="shared" ca="1" si="21"/>
        <v>Undrafted</v>
      </c>
      <c r="R152">
        <f t="shared" ca="1" si="22"/>
        <v>0</v>
      </c>
      <c r="S152">
        <f t="shared" ca="1" si="23"/>
        <v>-87.550000000000011</v>
      </c>
      <c r="T152" s="84">
        <f t="shared" ca="1" si="24"/>
        <v>-14.443959936589057</v>
      </c>
      <c r="U152" s="84">
        <f ca="1">T152*Auction!$A$2</f>
        <v>-14.443959936589057</v>
      </c>
      <c r="V152" s="5" t="str">
        <f>IF(OR(INDEX(Auction!$H$13:$H$650,MATCH(B152,Auction!$A$13:$A$650,0))&gt;0,IFERROR(INDEX(CheatSheet!$V$5:$V$64,MATCH(B152,CheatSheet!$S$5:$S$64,0)),"")&lt;&gt;""),"Yes","No")</f>
        <v>No</v>
      </c>
      <c r="W152" s="175"/>
      <c r="Y152" s="113">
        <f t="shared" ca="1" si="25"/>
        <v>1</v>
      </c>
      <c r="Z152" s="174">
        <f t="shared" ca="1" si="26"/>
        <v>-43.775000000000006</v>
      </c>
      <c r="AA152" t="str">
        <f t="shared" ca="1" si="27"/>
        <v>WR8</v>
      </c>
      <c r="AB152" s="174">
        <f ca="1">Z152*LeagueInfo!$H$5</f>
        <v>-14.137144000439301</v>
      </c>
      <c r="AC152" s="174">
        <f ca="1">(Z152-AVERAGE(Z:$Z))/_xlfn.STDEV.P(Z:Z)</f>
        <v>-0.7697264804965207</v>
      </c>
    </row>
    <row r="153" spans="1:29" x14ac:dyDescent="0.35">
      <c r="A153">
        <f t="shared" si="19"/>
        <v>151</v>
      </c>
      <c r="B153" t="str">
        <f>WR_Raw!A154</f>
        <v>Tahj Washington</v>
      </c>
      <c r="C153" t="s">
        <v>32</v>
      </c>
      <c r="D153">
        <f>_xlfn.IFNA(INDEX(BYEs!E:E,MATCH(B153,BYEs!D:D,0)),"N/A")</f>
        <v>23</v>
      </c>
      <c r="E153">
        <f>INDEX(BYEs!$B$2:$B$34,MATCH(F153,BYEs!$A$2:$A$34,0))</f>
        <v>6</v>
      </c>
      <c r="F153" t="str">
        <f>WR_Raw!B154</f>
        <v>MIA</v>
      </c>
      <c r="G153" s="202">
        <v>0</v>
      </c>
      <c r="H153" s="203">
        <v>0</v>
      </c>
      <c r="I153" s="200">
        <f>WR_Raw!F154</f>
        <v>0</v>
      </c>
      <c r="J153" s="200">
        <f>WR_Raw!G154</f>
        <v>0</v>
      </c>
      <c r="K153" s="200">
        <f>WR_Raw!H154</f>
        <v>0</v>
      </c>
      <c r="L153" s="202">
        <f>WR_Raw!C154</f>
        <v>11</v>
      </c>
      <c r="M153" s="200">
        <f>WR_Raw!D154</f>
        <v>131</v>
      </c>
      <c r="N153" s="203">
        <f>WR_Raw!E154</f>
        <v>1</v>
      </c>
      <c r="O153" s="200">
        <f>WR_Raw!I154</f>
        <v>0</v>
      </c>
      <c r="P153" s="204">
        <f t="shared" si="20"/>
        <v>24.6</v>
      </c>
      <c r="Q153" t="str">
        <f t="shared" ca="1" si="21"/>
        <v>Undrafted</v>
      </c>
      <c r="R153">
        <f t="shared" ca="1" si="22"/>
        <v>0</v>
      </c>
      <c r="S153">
        <f t="shared" ca="1" si="23"/>
        <v>-88.16</v>
      </c>
      <c r="T153" s="84">
        <f t="shared" ca="1" si="24"/>
        <v>-14.544597464416801</v>
      </c>
      <c r="U153" s="84">
        <f ca="1">T153*Auction!$A$2</f>
        <v>-14.544597464416801</v>
      </c>
      <c r="V153" s="5" t="str">
        <f>IF(OR(INDEX(Auction!$H$13:$H$650,MATCH(B153,Auction!$A$13:$A$650,0))&gt;0,IFERROR(INDEX(CheatSheet!$V$5:$V$64,MATCH(B153,CheatSheet!$S$5:$S$64,0)),"")&lt;&gt;""),"Yes","No")</f>
        <v>No</v>
      </c>
      <c r="W153" s="175"/>
      <c r="Y153" s="113">
        <f t="shared" ca="1" si="25"/>
        <v>1</v>
      </c>
      <c r="Z153" s="174">
        <f t="shared" ca="1" si="26"/>
        <v>-44.08</v>
      </c>
      <c r="AA153" t="str">
        <f t="shared" ca="1" si="27"/>
        <v>WR8</v>
      </c>
      <c r="AB153" s="174">
        <f ca="1">Z153*LeagueInfo!$H$5</f>
        <v>-14.235643804440075</v>
      </c>
      <c r="AC153" s="174">
        <f ca="1">(Z153-AVERAGE(Z:$Z))/_xlfn.STDEV.P(Z:Z)</f>
        <v>-0.77733621941004305</v>
      </c>
    </row>
    <row r="154" spans="1:29" x14ac:dyDescent="0.35">
      <c r="A154">
        <f t="shared" si="19"/>
        <v>152</v>
      </c>
      <c r="B154" t="str">
        <f>WR_Raw!A151</f>
        <v>Nick Westbrook-Ikhine</v>
      </c>
      <c r="C154" t="s">
        <v>32</v>
      </c>
      <c r="D154">
        <f>_xlfn.IFNA(INDEX(BYEs!E:E,MATCH(B154,BYEs!D:D,0)),"N/A")</f>
        <v>27</v>
      </c>
      <c r="E154">
        <f>INDEX(BYEs!$B$2:$B$34,MATCH(F154,BYEs!$A$2:$A$34,0))</f>
        <v>5</v>
      </c>
      <c r="F154" t="str">
        <f>WR_Raw!B151</f>
        <v>TEN</v>
      </c>
      <c r="G154" s="202">
        <v>0</v>
      </c>
      <c r="H154" s="203">
        <v>0</v>
      </c>
      <c r="I154" s="200">
        <f>WR_Raw!F151</f>
        <v>0</v>
      </c>
      <c r="J154" s="200">
        <f>WR_Raw!G151</f>
        <v>1.3</v>
      </c>
      <c r="K154" s="200">
        <f>WR_Raw!H151</f>
        <v>0</v>
      </c>
      <c r="L154" s="202">
        <f>WR_Raw!C151</f>
        <v>10.6</v>
      </c>
      <c r="M154" s="200">
        <f>WR_Raw!D151</f>
        <v>143.19999999999999</v>
      </c>
      <c r="N154" s="203">
        <f>WR_Raw!E151</f>
        <v>0.8</v>
      </c>
      <c r="O154" s="200">
        <f>WR_Raw!I151</f>
        <v>0</v>
      </c>
      <c r="P154" s="204">
        <f t="shared" si="20"/>
        <v>24.55</v>
      </c>
      <c r="Q154" t="str">
        <f t="shared" ca="1" si="21"/>
        <v>Undrafted</v>
      </c>
      <c r="R154">
        <f t="shared" ca="1" si="22"/>
        <v>0</v>
      </c>
      <c r="S154">
        <f t="shared" ca="1" si="23"/>
        <v>-88.210000000000008</v>
      </c>
      <c r="T154" s="84">
        <f t="shared" ca="1" si="24"/>
        <v>-14.552846442107603</v>
      </c>
      <c r="U154" s="84">
        <f ca="1">T154*Auction!$A$2</f>
        <v>-14.552846442107603</v>
      </c>
      <c r="V154" s="5" t="str">
        <f>IF(OR(INDEX(Auction!$H$13:$H$650,MATCH(B154,Auction!$A$13:$A$650,0))&gt;0,IFERROR(INDEX(CheatSheet!$V$5:$V$64,MATCH(B154,CheatSheet!$S$5:$S$64,0)),"")&lt;&gt;""),"Yes","No")</f>
        <v>No</v>
      </c>
      <c r="W154" s="175"/>
      <c r="Y154" s="113">
        <f t="shared" ca="1" si="25"/>
        <v>1</v>
      </c>
      <c r="Z154" s="174">
        <f t="shared" ca="1" si="26"/>
        <v>-44.105000000000004</v>
      </c>
      <c r="AA154" t="str">
        <f t="shared" ca="1" si="27"/>
        <v>WR8</v>
      </c>
      <c r="AB154" s="174">
        <f ca="1">Z154*LeagueInfo!$H$5</f>
        <v>-14.24371755886637</v>
      </c>
      <c r="AC154" s="174">
        <f ca="1">(Z154-AVERAGE(Z:$Z))/_xlfn.STDEV.P(Z:Z)</f>
        <v>-0.77795996850131555</v>
      </c>
    </row>
    <row r="155" spans="1:29" x14ac:dyDescent="0.35">
      <c r="A155">
        <f t="shared" si="19"/>
        <v>153</v>
      </c>
      <c r="B155" t="str">
        <f>WR_Raw!A152</f>
        <v>Marcus Rosemy-Jacksaint</v>
      </c>
      <c r="C155" t="s">
        <v>32</v>
      </c>
      <c r="D155" t="str">
        <f>_xlfn.IFNA(INDEX(BYEs!E:E,MATCH(B155,BYEs!D:D,0)),"N/A")</f>
        <v>N/A</v>
      </c>
      <c r="E155">
        <f>INDEX(BYEs!$B$2:$B$34,MATCH(F155,BYEs!$A$2:$A$34,0))</f>
        <v>5</v>
      </c>
      <c r="F155" t="str">
        <f>WR_Raw!B152</f>
        <v>PHI</v>
      </c>
      <c r="G155" s="202">
        <v>0</v>
      </c>
      <c r="H155" s="203">
        <v>0</v>
      </c>
      <c r="I155" s="200">
        <f>WR_Raw!F152</f>
        <v>0</v>
      </c>
      <c r="J155" s="200">
        <f>WR_Raw!G152</f>
        <v>6</v>
      </c>
      <c r="K155" s="200">
        <f>WR_Raw!H152</f>
        <v>0</v>
      </c>
      <c r="L155" s="202">
        <f>WR_Raw!C152</f>
        <v>10</v>
      </c>
      <c r="M155" s="200">
        <f>WR_Raw!D152</f>
        <v>126</v>
      </c>
      <c r="N155" s="203">
        <f>WR_Raw!E152</f>
        <v>1</v>
      </c>
      <c r="O155" s="200">
        <f>WR_Raw!I152</f>
        <v>0</v>
      </c>
      <c r="P155" s="204">
        <f t="shared" si="20"/>
        <v>24.200000000000003</v>
      </c>
      <c r="Q155" t="str">
        <f t="shared" ca="1" si="21"/>
        <v>Undrafted</v>
      </c>
      <c r="R155">
        <f t="shared" ca="1" si="22"/>
        <v>0</v>
      </c>
      <c r="S155">
        <f t="shared" ca="1" si="23"/>
        <v>-88.56</v>
      </c>
      <c r="T155" s="84">
        <f t="shared" ca="1" si="24"/>
        <v>-14.610589285943195</v>
      </c>
      <c r="U155" s="84">
        <f ca="1">T155*Auction!$A$2</f>
        <v>-14.610589285943195</v>
      </c>
      <c r="V155" s="5" t="str">
        <f>IF(OR(INDEX(Auction!$H$13:$H$650,MATCH(B155,Auction!$A$13:$A$650,0))&gt;0,IFERROR(INDEX(CheatSheet!$V$5:$V$64,MATCH(B155,CheatSheet!$S$5:$S$64,0)),"")&lt;&gt;""),"Yes","No")</f>
        <v>No</v>
      </c>
      <c r="W155" s="175"/>
      <c r="Y155" s="113">
        <f t="shared" ca="1" si="25"/>
        <v>1</v>
      </c>
      <c r="Z155" s="174">
        <f t="shared" ca="1" si="26"/>
        <v>-44.28</v>
      </c>
      <c r="AA155" t="str">
        <f t="shared" ca="1" si="27"/>
        <v>WR8</v>
      </c>
      <c r="AB155" s="174">
        <f ca="1">Z155*LeagueInfo!$H$5</f>
        <v>-14.300233839850421</v>
      </c>
      <c r="AC155" s="174">
        <f ca="1">(Z155-AVERAGE(Z:$Z))/_xlfn.STDEV.P(Z:Z)</f>
        <v>-0.78232621214022191</v>
      </c>
    </row>
    <row r="156" spans="1:29" x14ac:dyDescent="0.35">
      <c r="A156">
        <f t="shared" si="19"/>
        <v>154</v>
      </c>
      <c r="B156" t="str">
        <f>WR_Raw!A155</f>
        <v>Nikko Remigio</v>
      </c>
      <c r="C156" t="s">
        <v>32</v>
      </c>
      <c r="D156" t="str">
        <f>_xlfn.IFNA(INDEX(BYEs!E:E,MATCH(B156,BYEs!D:D,0)),"N/A")</f>
        <v>N/A</v>
      </c>
      <c r="E156">
        <f>INDEX(BYEs!$B$2:$B$34,MATCH(F156,BYEs!$A$2:$A$34,0))</f>
        <v>6</v>
      </c>
      <c r="F156" t="str">
        <f>WR_Raw!B155</f>
        <v>KC</v>
      </c>
      <c r="G156" s="202">
        <v>0</v>
      </c>
      <c r="H156" s="203">
        <v>0</v>
      </c>
      <c r="I156" s="200">
        <f>WR_Raw!F155</f>
        <v>0</v>
      </c>
      <c r="J156" s="200">
        <f>WR_Raw!G155</f>
        <v>0</v>
      </c>
      <c r="K156" s="200">
        <f>WR_Raw!H155</f>
        <v>0</v>
      </c>
      <c r="L156" s="202">
        <f>WR_Raw!C155</f>
        <v>10</v>
      </c>
      <c r="M156" s="200">
        <f>WR_Raw!D155</f>
        <v>130</v>
      </c>
      <c r="N156" s="203">
        <f>WR_Raw!E155</f>
        <v>1</v>
      </c>
      <c r="O156" s="200">
        <f>WR_Raw!I155</f>
        <v>0</v>
      </c>
      <c r="P156" s="204">
        <f t="shared" si="20"/>
        <v>24</v>
      </c>
      <c r="Q156" t="str">
        <f t="shared" ca="1" si="21"/>
        <v>Undrafted</v>
      </c>
      <c r="R156">
        <f t="shared" ca="1" si="22"/>
        <v>0</v>
      </c>
      <c r="S156">
        <f t="shared" ca="1" si="23"/>
        <v>-88.76</v>
      </c>
      <c r="T156" s="84">
        <f t="shared" ca="1" si="24"/>
        <v>-14.643585196706391</v>
      </c>
      <c r="U156" s="84">
        <f ca="1">T156*Auction!$A$2</f>
        <v>-14.643585196706391</v>
      </c>
      <c r="V156" s="5" t="str">
        <f>IF(OR(INDEX(Auction!$H$13:$H$650,MATCH(B156,Auction!$A$13:$A$650,0))&gt;0,IFERROR(INDEX(CheatSheet!$V$5:$V$64,MATCH(B156,CheatSheet!$S$5:$S$64,0)),"")&lt;&gt;""),"Yes","No")</f>
        <v>No</v>
      </c>
      <c r="W156" s="175"/>
      <c r="Y156" s="113">
        <f t="shared" ca="1" si="25"/>
        <v>1</v>
      </c>
      <c r="Z156" s="174">
        <f t="shared" ca="1" si="26"/>
        <v>-44.38</v>
      </c>
      <c r="AA156" t="str">
        <f t="shared" ca="1" si="27"/>
        <v>WR8</v>
      </c>
      <c r="AB156" s="174">
        <f ca="1">Z156*LeagueInfo!$H$5</f>
        <v>-14.332528857555594</v>
      </c>
      <c r="AC156" s="174">
        <f ca="1">(Z156-AVERAGE(Z:$Z))/_xlfn.STDEV.P(Z:Z)</f>
        <v>-0.78482120850531134</v>
      </c>
    </row>
    <row r="157" spans="1:29" x14ac:dyDescent="0.35">
      <c r="A157">
        <f t="shared" si="19"/>
        <v>155</v>
      </c>
      <c r="B157" t="str">
        <f>WR_Raw!A158</f>
        <v>Jordan Whittington</v>
      </c>
      <c r="C157" t="s">
        <v>32</v>
      </c>
      <c r="D157" t="str">
        <f>_xlfn.IFNA(INDEX(BYEs!E:E,MATCH(B157,BYEs!D:D,0)),"N/A")</f>
        <v>N/A</v>
      </c>
      <c r="E157">
        <f>INDEX(BYEs!$B$2:$B$34,MATCH(F157,BYEs!$A$2:$A$34,0))</f>
        <v>6</v>
      </c>
      <c r="F157" t="str">
        <f>WR_Raw!B158</f>
        <v>LAR</v>
      </c>
      <c r="G157" s="202">
        <v>0</v>
      </c>
      <c r="H157" s="203">
        <v>0</v>
      </c>
      <c r="I157" s="200">
        <f>WR_Raw!F158</f>
        <v>0</v>
      </c>
      <c r="J157" s="200">
        <f>WR_Raw!G158</f>
        <v>0</v>
      </c>
      <c r="K157" s="200">
        <f>WR_Raw!H158</f>
        <v>0</v>
      </c>
      <c r="L157" s="202">
        <f>WR_Raw!C158</f>
        <v>10.8</v>
      </c>
      <c r="M157" s="200">
        <f>WR_Raw!D158</f>
        <v>129.6</v>
      </c>
      <c r="N157" s="203">
        <f>WR_Raw!E158</f>
        <v>0.9</v>
      </c>
      <c r="O157" s="200">
        <f>WR_Raw!I158</f>
        <v>0</v>
      </c>
      <c r="P157" s="204">
        <f t="shared" si="20"/>
        <v>23.759999999999998</v>
      </c>
      <c r="Q157" t="str">
        <f t="shared" ca="1" si="21"/>
        <v>Undrafted</v>
      </c>
      <c r="R157">
        <f t="shared" ca="1" si="22"/>
        <v>0</v>
      </c>
      <c r="S157">
        <f t="shared" ca="1" si="23"/>
        <v>-89</v>
      </c>
      <c r="T157" s="84">
        <f t="shared" ca="1" si="24"/>
        <v>-14.683180289622225</v>
      </c>
      <c r="U157" s="84">
        <f ca="1">T157*Auction!$A$2</f>
        <v>-14.683180289622225</v>
      </c>
      <c r="V157" s="5" t="str">
        <f>IF(OR(INDEX(Auction!$H$13:$H$650,MATCH(B157,Auction!$A$13:$A$650,0))&gt;0,IFERROR(INDEX(CheatSheet!$V$5:$V$64,MATCH(B157,CheatSheet!$S$5:$S$64,0)),"")&lt;&gt;""),"Yes","No")</f>
        <v>No</v>
      </c>
      <c r="W157" s="175"/>
      <c r="Y157" s="113">
        <f t="shared" ca="1" si="25"/>
        <v>1</v>
      </c>
      <c r="Z157" s="174">
        <f t="shared" ca="1" si="26"/>
        <v>-44.5</v>
      </c>
      <c r="AA157" t="str">
        <f t="shared" ca="1" si="27"/>
        <v>WR8</v>
      </c>
      <c r="AB157" s="174">
        <f ca="1">Z157*LeagueInfo!$H$5</f>
        <v>-14.3712828788018</v>
      </c>
      <c r="AC157" s="174">
        <f ca="1">(Z157-AVERAGE(Z:$Z))/_xlfn.STDEV.P(Z:Z)</f>
        <v>-0.78781520414341843</v>
      </c>
    </row>
    <row r="158" spans="1:29" x14ac:dyDescent="0.35">
      <c r="A158">
        <f t="shared" si="19"/>
        <v>156</v>
      </c>
      <c r="B158" t="str">
        <f>WR_Raw!A159</f>
        <v>Tejhaun Palmer</v>
      </c>
      <c r="C158" t="s">
        <v>32</v>
      </c>
      <c r="D158" t="str">
        <f>_xlfn.IFNA(INDEX(BYEs!E:E,MATCH(B158,BYEs!D:D,0)),"N/A")</f>
        <v>N/A</v>
      </c>
      <c r="E158">
        <f>INDEX(BYEs!$B$2:$B$34,MATCH(F158,BYEs!$A$2:$A$34,0))</f>
        <v>11</v>
      </c>
      <c r="F158" t="str">
        <f>WR_Raw!B159</f>
        <v>ARI</v>
      </c>
      <c r="G158" s="202">
        <v>0</v>
      </c>
      <c r="H158" s="203">
        <v>0</v>
      </c>
      <c r="I158" s="200">
        <f>WR_Raw!F159</f>
        <v>0</v>
      </c>
      <c r="J158" s="200">
        <f>WR_Raw!G159</f>
        <v>0</v>
      </c>
      <c r="K158" s="200">
        <f>WR_Raw!H159</f>
        <v>0</v>
      </c>
      <c r="L158" s="202">
        <f>WR_Raw!C159</f>
        <v>11</v>
      </c>
      <c r="M158" s="200">
        <f>WR_Raw!D159</f>
        <v>122</v>
      </c>
      <c r="N158" s="203">
        <f>WR_Raw!E159</f>
        <v>1</v>
      </c>
      <c r="O158" s="200">
        <f>WR_Raw!I159</f>
        <v>0</v>
      </c>
      <c r="P158" s="204">
        <f t="shared" si="20"/>
        <v>23.700000000000003</v>
      </c>
      <c r="Q158" t="str">
        <f t="shared" ca="1" si="21"/>
        <v>Undrafted</v>
      </c>
      <c r="R158">
        <f t="shared" ca="1" si="22"/>
        <v>0</v>
      </c>
      <c r="S158">
        <f t="shared" ca="1" si="23"/>
        <v>-89.06</v>
      </c>
      <c r="T158" s="84">
        <f t="shared" ca="1" si="24"/>
        <v>-14.693079062851185</v>
      </c>
      <c r="U158" s="84">
        <f ca="1">T158*Auction!$A$2</f>
        <v>-14.693079062851185</v>
      </c>
      <c r="V158" s="5" t="str">
        <f>IF(OR(INDEX(Auction!$H$13:$H$650,MATCH(B158,Auction!$A$13:$A$650,0))&gt;0,IFERROR(INDEX(CheatSheet!$V$5:$V$64,MATCH(B158,CheatSheet!$S$5:$S$64,0)),"")&lt;&gt;""),"Yes","No")</f>
        <v>No</v>
      </c>
      <c r="W158" s="175"/>
      <c r="Y158" s="113">
        <f t="shared" ca="1" si="25"/>
        <v>1</v>
      </c>
      <c r="Z158" s="174">
        <f t="shared" ca="1" si="26"/>
        <v>-44.53</v>
      </c>
      <c r="AA158" t="str">
        <f t="shared" ca="1" si="27"/>
        <v>WR8</v>
      </c>
      <c r="AB158" s="174">
        <f ca="1">Z158*LeagueInfo!$H$5</f>
        <v>-14.380971384113353</v>
      </c>
      <c r="AC158" s="174">
        <f ca="1">(Z158-AVERAGE(Z:$Z))/_xlfn.STDEV.P(Z:Z)</f>
        <v>-0.78856370305294532</v>
      </c>
    </row>
    <row r="159" spans="1:29" x14ac:dyDescent="0.35">
      <c r="A159">
        <f t="shared" si="19"/>
        <v>157</v>
      </c>
      <c r="B159" t="str">
        <f>WR_Raw!A156</f>
        <v>KJ Hamler</v>
      </c>
      <c r="C159" t="s">
        <v>32</v>
      </c>
      <c r="D159" t="str">
        <f>_xlfn.IFNA(INDEX(BYEs!E:E,MATCH(B159,BYEs!D:D,0)),"N/A")</f>
        <v>N/A</v>
      </c>
      <c r="E159">
        <f>INDEX(BYEs!$B$2:$B$34,MATCH(F159,BYEs!$A$2:$A$34,0))</f>
        <v>12</v>
      </c>
      <c r="F159" t="str">
        <f>WR_Raw!B156</f>
        <v>BUF</v>
      </c>
      <c r="G159" s="202">
        <v>0</v>
      </c>
      <c r="H159" s="203">
        <v>0</v>
      </c>
      <c r="I159" s="200">
        <f>WR_Raw!F156</f>
        <v>0</v>
      </c>
      <c r="J159" s="200">
        <f>WR_Raw!G156</f>
        <v>5</v>
      </c>
      <c r="K159" s="200">
        <f>WR_Raw!H156</f>
        <v>0</v>
      </c>
      <c r="L159" s="202">
        <f>WR_Raw!C156</f>
        <v>9</v>
      </c>
      <c r="M159" s="200">
        <f>WR_Raw!D156</f>
        <v>125</v>
      </c>
      <c r="N159" s="203">
        <f>WR_Raw!E156</f>
        <v>1</v>
      </c>
      <c r="O159" s="200">
        <f>WR_Raw!I156</f>
        <v>0</v>
      </c>
      <c r="P159" s="204">
        <f t="shared" si="20"/>
        <v>23.5</v>
      </c>
      <c r="Q159" t="str">
        <f t="shared" ca="1" si="21"/>
        <v>Undrafted</v>
      </c>
      <c r="R159">
        <f t="shared" ca="1" si="22"/>
        <v>0</v>
      </c>
      <c r="S159">
        <f t="shared" ca="1" si="23"/>
        <v>-89.26</v>
      </c>
      <c r="T159" s="84">
        <f t="shared" ca="1" si="24"/>
        <v>-14.726074973614381</v>
      </c>
      <c r="U159" s="84">
        <f ca="1">T159*Auction!$A$2</f>
        <v>-14.726074973614381</v>
      </c>
      <c r="V159" s="5" t="str">
        <f>IF(OR(INDEX(Auction!$H$13:$H$650,MATCH(B159,Auction!$A$13:$A$650,0))&gt;0,IFERROR(INDEX(CheatSheet!$V$5:$V$64,MATCH(B159,CheatSheet!$S$5:$S$64,0)),"")&lt;&gt;""),"Yes","No")</f>
        <v>No</v>
      </c>
      <c r="W159" s="175"/>
      <c r="Y159" s="113">
        <f t="shared" ca="1" si="25"/>
        <v>1</v>
      </c>
      <c r="Z159" s="174">
        <f t="shared" ca="1" si="26"/>
        <v>-44.63</v>
      </c>
      <c r="AA159" t="str">
        <f t="shared" ca="1" si="27"/>
        <v>WR8</v>
      </c>
      <c r="AB159" s="174">
        <f ca="1">Z159*LeagueInfo!$H$5</f>
        <v>-14.413266401818525</v>
      </c>
      <c r="AC159" s="174">
        <f ca="1">(Z159-AVERAGE(Z:$Z))/_xlfn.STDEV.P(Z:Z)</f>
        <v>-0.79105869941803475</v>
      </c>
    </row>
    <row r="160" spans="1:29" x14ac:dyDescent="0.35">
      <c r="A160">
        <f t="shared" si="19"/>
        <v>158</v>
      </c>
      <c r="B160" t="str">
        <f>WR_Raw!A160</f>
        <v>Isaiah McKenzie</v>
      </c>
      <c r="C160" t="s">
        <v>32</v>
      </c>
      <c r="D160" t="str">
        <f>_xlfn.IFNA(INDEX(BYEs!E:E,MATCH(B160,BYEs!D:D,0)),"N/A")</f>
        <v>N/A</v>
      </c>
      <c r="E160">
        <f>INDEX(BYEs!$B$2:$B$34,MATCH(F160,BYEs!$A$2:$A$34,0))</f>
        <v>11</v>
      </c>
      <c r="F160" t="str">
        <f>WR_Raw!B160</f>
        <v>NYG</v>
      </c>
      <c r="G160" s="202">
        <v>0</v>
      </c>
      <c r="H160" s="203">
        <v>0</v>
      </c>
      <c r="I160" s="200">
        <f>WR_Raw!F160</f>
        <v>0</v>
      </c>
      <c r="J160" s="200">
        <f>WR_Raw!G160</f>
        <v>10</v>
      </c>
      <c r="K160" s="200">
        <f>WR_Raw!H160</f>
        <v>0</v>
      </c>
      <c r="L160" s="202">
        <f>WR_Raw!C160</f>
        <v>11</v>
      </c>
      <c r="M160" s="200">
        <f>WR_Raw!D160</f>
        <v>107</v>
      </c>
      <c r="N160" s="203">
        <f>WR_Raw!E160</f>
        <v>1</v>
      </c>
      <c r="O160" s="200">
        <f>WR_Raw!I160</f>
        <v>0</v>
      </c>
      <c r="P160" s="204">
        <f t="shared" si="20"/>
        <v>23.200000000000003</v>
      </c>
      <c r="Q160" t="str">
        <f t="shared" ca="1" si="21"/>
        <v>Undrafted</v>
      </c>
      <c r="R160">
        <f t="shared" ca="1" si="22"/>
        <v>0</v>
      </c>
      <c r="S160">
        <f t="shared" ca="1" si="23"/>
        <v>-89.56</v>
      </c>
      <c r="T160" s="84">
        <f t="shared" ca="1" si="24"/>
        <v>-14.775568839759174</v>
      </c>
      <c r="U160" s="84">
        <f ca="1">T160*Auction!$A$2</f>
        <v>-14.775568839759174</v>
      </c>
      <c r="V160" s="5" t="str">
        <f>IF(OR(INDEX(Auction!$H$13:$H$650,MATCH(B160,Auction!$A$13:$A$650,0))&gt;0,IFERROR(INDEX(CheatSheet!$V$5:$V$64,MATCH(B160,CheatSheet!$S$5:$S$64,0)),"")&lt;&gt;""),"Yes","No")</f>
        <v>No</v>
      </c>
      <c r="W160" s="175"/>
      <c r="Y160" s="113">
        <f t="shared" ca="1" si="25"/>
        <v>1</v>
      </c>
      <c r="Z160" s="174">
        <f t="shared" ca="1" si="26"/>
        <v>-44.78</v>
      </c>
      <c r="AA160" t="str">
        <f t="shared" ca="1" si="27"/>
        <v>WR8</v>
      </c>
      <c r="AB160" s="174">
        <f ca="1">Z160*LeagueInfo!$H$5</f>
        <v>-14.461708928376284</v>
      </c>
      <c r="AC160" s="174">
        <f ca="1">(Z160-AVERAGE(Z:$Z))/_xlfn.STDEV.P(Z:Z)</f>
        <v>-0.79480119396566873</v>
      </c>
    </row>
    <row r="161" spans="1:29" x14ac:dyDescent="0.35">
      <c r="A161">
        <f t="shared" si="19"/>
        <v>158</v>
      </c>
      <c r="B161" t="str">
        <f>WR_Raw!A161</f>
        <v>Allen Robinson II</v>
      </c>
      <c r="C161" t="s">
        <v>32</v>
      </c>
      <c r="D161">
        <f>_xlfn.IFNA(INDEX(BYEs!E:E,MATCH(B161,BYEs!D:D,0)),"N/A")</f>
        <v>30</v>
      </c>
      <c r="E161">
        <f>INDEX(BYEs!$B$2:$B$34,MATCH(F161,BYEs!$A$2:$A$34,0))</f>
        <v>5</v>
      </c>
      <c r="F161" t="str">
        <f>WR_Raw!B161</f>
        <v>DET</v>
      </c>
      <c r="G161" s="202">
        <v>0</v>
      </c>
      <c r="H161" s="203">
        <v>0</v>
      </c>
      <c r="I161" s="200">
        <f>WR_Raw!F161</f>
        <v>0</v>
      </c>
      <c r="J161" s="200">
        <f>WR_Raw!G161</f>
        <v>4</v>
      </c>
      <c r="K161" s="200">
        <f>WR_Raw!H161</f>
        <v>0</v>
      </c>
      <c r="L161" s="202">
        <f>WR_Raw!C161</f>
        <v>11</v>
      </c>
      <c r="M161" s="200">
        <f>WR_Raw!D161</f>
        <v>113</v>
      </c>
      <c r="N161" s="203">
        <f>WR_Raw!E161</f>
        <v>1</v>
      </c>
      <c r="O161" s="200">
        <f>WR_Raw!I161</f>
        <v>0</v>
      </c>
      <c r="P161" s="204">
        <f t="shared" si="20"/>
        <v>23.200000000000003</v>
      </c>
      <c r="Q161" t="str">
        <f t="shared" ca="1" si="21"/>
        <v>Undrafted</v>
      </c>
      <c r="R161">
        <f t="shared" ca="1" si="22"/>
        <v>0</v>
      </c>
      <c r="S161">
        <f t="shared" ca="1" si="23"/>
        <v>-89.56</v>
      </c>
      <c r="T161" s="84">
        <f t="shared" ca="1" si="24"/>
        <v>-14.775568839759174</v>
      </c>
      <c r="U161" s="84">
        <f ca="1">T161*Auction!$A$2</f>
        <v>-14.775568839759174</v>
      </c>
      <c r="V161" s="5" t="str">
        <f>IF(OR(INDEX(Auction!$H$13:$H$650,MATCH(B161,Auction!$A$13:$A$650,0))&gt;0,IFERROR(INDEX(CheatSheet!$V$5:$V$64,MATCH(B161,CheatSheet!$S$5:$S$64,0)),"")&lt;&gt;""),"Yes","No")</f>
        <v>No</v>
      </c>
      <c r="W161" s="175"/>
      <c r="Y161" s="113">
        <f t="shared" ca="1" si="25"/>
        <v>1</v>
      </c>
      <c r="Z161" s="174">
        <f t="shared" ca="1" si="26"/>
        <v>-44.78</v>
      </c>
      <c r="AA161" t="str">
        <f t="shared" ca="1" si="27"/>
        <v>WR8</v>
      </c>
      <c r="AB161" s="174">
        <f ca="1">Z161*LeagueInfo!$H$5</f>
        <v>-14.461708928376284</v>
      </c>
      <c r="AC161" s="174">
        <f ca="1">(Z161-AVERAGE(Z:$Z))/_xlfn.STDEV.P(Z:Z)</f>
        <v>-0.79480119396566873</v>
      </c>
    </row>
    <row r="162" spans="1:29" x14ac:dyDescent="0.35">
      <c r="A162">
        <f t="shared" si="19"/>
        <v>160</v>
      </c>
      <c r="B162" t="str">
        <f>WR_Raw!A157</f>
        <v>Michael Woods II</v>
      </c>
      <c r="C162" t="s">
        <v>32</v>
      </c>
      <c r="D162" t="str">
        <f>_xlfn.IFNA(INDEX(BYEs!E:E,MATCH(B162,BYEs!D:D,0)),"N/A")</f>
        <v>N/A</v>
      </c>
      <c r="E162">
        <f>INDEX(BYEs!$B$2:$B$34,MATCH(F162,BYEs!$A$2:$A$34,0))</f>
        <v>10</v>
      </c>
      <c r="F162" t="str">
        <f>WR_Raw!B157</f>
        <v>CLE</v>
      </c>
      <c r="G162" s="202">
        <v>0</v>
      </c>
      <c r="H162" s="203">
        <v>0</v>
      </c>
      <c r="I162" s="200">
        <f>WR_Raw!F157</f>
        <v>0</v>
      </c>
      <c r="J162" s="200">
        <f>WR_Raw!G157</f>
        <v>4</v>
      </c>
      <c r="K162" s="200">
        <f>WR_Raw!H157</f>
        <v>0</v>
      </c>
      <c r="L162" s="202">
        <f>WR_Raw!C157</f>
        <v>9</v>
      </c>
      <c r="M162" s="200">
        <f>WR_Raw!D157</f>
        <v>119</v>
      </c>
      <c r="N162" s="203">
        <f>WR_Raw!E157</f>
        <v>1</v>
      </c>
      <c r="O162" s="200">
        <f>WR_Raw!I157</f>
        <v>0</v>
      </c>
      <c r="P162" s="204">
        <f t="shared" si="20"/>
        <v>22.8</v>
      </c>
      <c r="Q162" t="str">
        <f t="shared" ca="1" si="21"/>
        <v>Undrafted</v>
      </c>
      <c r="R162">
        <f t="shared" ca="1" si="22"/>
        <v>0</v>
      </c>
      <c r="S162">
        <f t="shared" ca="1" si="23"/>
        <v>-89.960000000000008</v>
      </c>
      <c r="T162" s="84">
        <f t="shared" ca="1" si="24"/>
        <v>-14.841560661285568</v>
      </c>
      <c r="U162" s="84">
        <f ca="1">T162*Auction!$A$2</f>
        <v>-14.841560661285568</v>
      </c>
      <c r="V162" s="5" t="str">
        <f>IF(OR(INDEX(Auction!$H$13:$H$650,MATCH(B162,Auction!$A$13:$A$650,0))&gt;0,IFERROR(INDEX(CheatSheet!$V$5:$V$64,MATCH(B162,CheatSheet!$S$5:$S$64,0)),"")&lt;&gt;""),"Yes","No")</f>
        <v>No</v>
      </c>
      <c r="W162" s="175"/>
      <c r="Y162" s="113">
        <f t="shared" ca="1" si="25"/>
        <v>1</v>
      </c>
      <c r="Z162" s="174">
        <f t="shared" ca="1" si="26"/>
        <v>-44.980000000000004</v>
      </c>
      <c r="AA162" t="str">
        <f t="shared" ca="1" si="27"/>
        <v>WR8</v>
      </c>
      <c r="AB162" s="174">
        <f ca="1">Z162*LeagueInfo!$H$5</f>
        <v>-14.52629896378663</v>
      </c>
      <c r="AC162" s="174">
        <f ca="1">(Z162-AVERAGE(Z:$Z))/_xlfn.STDEV.P(Z:Z)</f>
        <v>-0.79979118669584759</v>
      </c>
    </row>
    <row r="163" spans="1:29" x14ac:dyDescent="0.35">
      <c r="A163">
        <f t="shared" si="19"/>
        <v>161</v>
      </c>
      <c r="B163" t="str">
        <f>WR_Raw!A164</f>
        <v>Jamison Crowder</v>
      </c>
      <c r="C163" t="s">
        <v>32</v>
      </c>
      <c r="D163" t="str">
        <f>_xlfn.IFNA(INDEX(BYEs!E:E,MATCH(B163,BYEs!D:D,0)),"N/A")</f>
        <v>N/A</v>
      </c>
      <c r="E163">
        <f>INDEX(BYEs!$B$2:$B$34,MATCH(F163,BYEs!$A$2:$A$34,0))</f>
        <v>14</v>
      </c>
      <c r="F163" t="str">
        <f>WR_Raw!B164</f>
        <v>WAS</v>
      </c>
      <c r="G163" s="202">
        <v>0</v>
      </c>
      <c r="H163" s="203">
        <v>0</v>
      </c>
      <c r="I163" s="200">
        <f>WR_Raw!F164</f>
        <v>0</v>
      </c>
      <c r="J163" s="200">
        <f>WR_Raw!G164</f>
        <v>0</v>
      </c>
      <c r="K163" s="200">
        <f>WR_Raw!H164</f>
        <v>0</v>
      </c>
      <c r="L163" s="202">
        <f>WR_Raw!C164</f>
        <v>12</v>
      </c>
      <c r="M163" s="200">
        <f>WR_Raw!D164</f>
        <v>118.3</v>
      </c>
      <c r="N163" s="203">
        <f>WR_Raw!E164</f>
        <v>0.7</v>
      </c>
      <c r="O163" s="200">
        <f>WR_Raw!I164</f>
        <v>0</v>
      </c>
      <c r="P163" s="204">
        <f t="shared" si="20"/>
        <v>22.029999999999998</v>
      </c>
      <c r="Q163" t="str">
        <f t="shared" ca="1" si="21"/>
        <v>Undrafted</v>
      </c>
      <c r="R163">
        <f t="shared" ca="1" si="22"/>
        <v>0</v>
      </c>
      <c r="S163">
        <f t="shared" ca="1" si="23"/>
        <v>-90.73</v>
      </c>
      <c r="T163" s="84">
        <f t="shared" ca="1" si="24"/>
        <v>-14.968594917723872</v>
      </c>
      <c r="U163" s="84">
        <f ca="1">T163*Auction!$A$2</f>
        <v>-14.968594917723872</v>
      </c>
      <c r="V163" s="5" t="str">
        <f>IF(OR(INDEX(Auction!$H$13:$H$650,MATCH(B163,Auction!$A$13:$A$650,0))&gt;0,IFERROR(INDEX(CheatSheet!$V$5:$V$64,MATCH(B163,CheatSheet!$S$5:$S$64,0)),"")&lt;&gt;""),"Yes","No")</f>
        <v>No</v>
      </c>
      <c r="W163" s="175"/>
      <c r="Y163" s="113">
        <f t="shared" ca="1" si="25"/>
        <v>1</v>
      </c>
      <c r="Z163" s="174">
        <f t="shared" ca="1" si="26"/>
        <v>-45.365000000000002</v>
      </c>
      <c r="AA163" t="str">
        <f t="shared" ca="1" si="27"/>
        <v>WR8</v>
      </c>
      <c r="AB163" s="174">
        <f ca="1">Z163*LeagueInfo!$H$5</f>
        <v>-14.650634781951544</v>
      </c>
      <c r="AC163" s="174">
        <f ca="1">(Z163-AVERAGE(Z:$Z))/_xlfn.STDEV.P(Z:Z)</f>
        <v>-0.80939692270144159</v>
      </c>
    </row>
    <row r="164" spans="1:29" x14ac:dyDescent="0.35">
      <c r="A164">
        <f t="shared" si="19"/>
        <v>162</v>
      </c>
      <c r="B164" t="str">
        <f>WR_Raw!A162</f>
        <v>Tyler Scott</v>
      </c>
      <c r="C164" t="s">
        <v>32</v>
      </c>
      <c r="D164">
        <f>_xlfn.IFNA(INDEX(BYEs!E:E,MATCH(B164,BYEs!D:D,0)),"N/A")</f>
        <v>22</v>
      </c>
      <c r="E164">
        <f>INDEX(BYEs!$B$2:$B$34,MATCH(F164,BYEs!$A$2:$A$34,0))</f>
        <v>7</v>
      </c>
      <c r="F164" t="str">
        <f>WR_Raw!B162</f>
        <v>CHI</v>
      </c>
      <c r="G164" s="202">
        <v>0</v>
      </c>
      <c r="H164" s="203">
        <v>0</v>
      </c>
      <c r="I164" s="200">
        <f>WR_Raw!F162</f>
        <v>2.1</v>
      </c>
      <c r="J164" s="200">
        <f>WR_Raw!G162</f>
        <v>18.2</v>
      </c>
      <c r="K164" s="200">
        <f>WR_Raw!H162</f>
        <v>0.1</v>
      </c>
      <c r="L164" s="202">
        <f>WR_Raw!C162</f>
        <v>8.9</v>
      </c>
      <c r="M164" s="200">
        <f>WR_Raw!D162</f>
        <v>101.7</v>
      </c>
      <c r="N164" s="203">
        <f>WR_Raw!E162</f>
        <v>0.8</v>
      </c>
      <c r="O164" s="200">
        <f>WR_Raw!I162</f>
        <v>0</v>
      </c>
      <c r="P164" s="204">
        <f t="shared" si="20"/>
        <v>21.840000000000003</v>
      </c>
      <c r="Q164" t="str">
        <f t="shared" ca="1" si="21"/>
        <v>Undrafted</v>
      </c>
      <c r="R164">
        <f t="shared" ca="1" si="22"/>
        <v>0</v>
      </c>
      <c r="S164">
        <f t="shared" ca="1" si="23"/>
        <v>-90.92</v>
      </c>
      <c r="T164" s="84">
        <f t="shared" ca="1" si="24"/>
        <v>-14.999941032948907</v>
      </c>
      <c r="U164" s="84">
        <f ca="1">T164*Auction!$A$2</f>
        <v>-14.999941032948907</v>
      </c>
      <c r="V164" s="5" t="str">
        <f>IF(OR(INDEX(Auction!$H$13:$H$650,MATCH(B164,Auction!$A$13:$A$650,0))&gt;0,IFERROR(INDEX(CheatSheet!$V$5:$V$64,MATCH(B164,CheatSheet!$S$5:$S$64,0)),"")&lt;&gt;""),"Yes","No")</f>
        <v>No</v>
      </c>
      <c r="W164" s="175"/>
      <c r="Y164" s="113">
        <f t="shared" ca="1" si="25"/>
        <v>1</v>
      </c>
      <c r="Z164" s="174">
        <f t="shared" ca="1" si="26"/>
        <v>-45.46</v>
      </c>
      <c r="AA164" t="str">
        <f t="shared" ca="1" si="27"/>
        <v>WR8</v>
      </c>
      <c r="AB164" s="174">
        <f ca="1">Z164*LeagueInfo!$H$5</f>
        <v>-14.681315048771458</v>
      </c>
      <c r="AC164" s="174">
        <f ca="1">(Z164-AVERAGE(Z:$Z))/_xlfn.STDEV.P(Z:Z)</f>
        <v>-0.81176716924827652</v>
      </c>
    </row>
    <row r="165" spans="1:29" x14ac:dyDescent="0.35">
      <c r="A165">
        <f t="shared" si="19"/>
        <v>163</v>
      </c>
      <c r="B165" t="str">
        <f>WR_Raw!A168</f>
        <v>Jalen Brooks</v>
      </c>
      <c r="C165" t="s">
        <v>32</v>
      </c>
      <c r="D165" t="str">
        <f>_xlfn.IFNA(INDEX(BYEs!E:E,MATCH(B165,BYEs!D:D,0)),"N/A")</f>
        <v>N/A</v>
      </c>
      <c r="E165">
        <f>INDEX(BYEs!$B$2:$B$34,MATCH(F165,BYEs!$A$2:$A$34,0))</f>
        <v>7</v>
      </c>
      <c r="F165" t="str">
        <f>WR_Raw!B168</f>
        <v>DAL</v>
      </c>
      <c r="G165" s="202">
        <v>0</v>
      </c>
      <c r="H165" s="203">
        <v>0</v>
      </c>
      <c r="I165" s="200">
        <f>WR_Raw!F168</f>
        <v>0</v>
      </c>
      <c r="J165" s="200">
        <f>WR_Raw!G168</f>
        <v>0</v>
      </c>
      <c r="K165" s="200">
        <f>WR_Raw!H168</f>
        <v>0</v>
      </c>
      <c r="L165" s="202">
        <f>WR_Raw!C168</f>
        <v>11.5</v>
      </c>
      <c r="M165" s="200">
        <f>WR_Raw!D168</f>
        <v>106.9</v>
      </c>
      <c r="N165" s="203">
        <f>WR_Raw!E168</f>
        <v>0.8</v>
      </c>
      <c r="O165" s="200">
        <f>WR_Raw!I168</f>
        <v>0</v>
      </c>
      <c r="P165" s="204">
        <f t="shared" si="20"/>
        <v>21.240000000000002</v>
      </c>
      <c r="Q165" t="str">
        <f t="shared" ca="1" si="21"/>
        <v>Undrafted</v>
      </c>
      <c r="R165">
        <f t="shared" ca="1" si="22"/>
        <v>0</v>
      </c>
      <c r="S165">
        <f t="shared" ca="1" si="23"/>
        <v>-91.52000000000001</v>
      </c>
      <c r="T165" s="84">
        <f t="shared" ca="1" si="24"/>
        <v>-15.098928765238497</v>
      </c>
      <c r="U165" s="84">
        <f ca="1">T165*Auction!$A$2</f>
        <v>-15.098928765238497</v>
      </c>
      <c r="V165" s="5" t="str">
        <f>IF(OR(INDEX(Auction!$H$13:$H$650,MATCH(B165,Auction!$A$13:$A$650,0))&gt;0,IFERROR(INDEX(CheatSheet!$V$5:$V$64,MATCH(B165,CheatSheet!$S$5:$S$64,0)),"")&lt;&gt;""),"Yes","No")</f>
        <v>No</v>
      </c>
      <c r="W165" s="175"/>
      <c r="Y165" s="113">
        <f t="shared" ca="1" si="25"/>
        <v>1</v>
      </c>
      <c r="Z165" s="174">
        <f t="shared" ca="1" si="26"/>
        <v>-45.760000000000005</v>
      </c>
      <c r="AA165" t="str">
        <f t="shared" ca="1" si="27"/>
        <v>WR8</v>
      </c>
      <c r="AB165" s="174">
        <f ca="1">Z165*LeagueInfo!$H$5</f>
        <v>-14.778200101886977</v>
      </c>
      <c r="AC165" s="174">
        <f ca="1">(Z165-AVERAGE(Z:$Z))/_xlfn.STDEV.P(Z:Z)</f>
        <v>-0.8192521583435447</v>
      </c>
    </row>
    <row r="166" spans="1:29" x14ac:dyDescent="0.35">
      <c r="A166">
        <f t="shared" si="19"/>
        <v>164</v>
      </c>
      <c r="B166" t="str">
        <f>WR_Raw!A163</f>
        <v>Justyn Ross</v>
      </c>
      <c r="C166" t="s">
        <v>32</v>
      </c>
      <c r="D166">
        <f>_xlfn.IFNA(INDEX(BYEs!E:E,MATCH(B166,BYEs!D:D,0)),"N/A")</f>
        <v>24</v>
      </c>
      <c r="E166">
        <f>INDEX(BYEs!$B$2:$B$34,MATCH(F166,BYEs!$A$2:$A$34,0))</f>
        <v>6</v>
      </c>
      <c r="F166" t="str">
        <f>WR_Raw!B163</f>
        <v>KC</v>
      </c>
      <c r="G166" s="202">
        <v>0</v>
      </c>
      <c r="H166" s="203">
        <v>0</v>
      </c>
      <c r="I166" s="200">
        <f>WR_Raw!F163</f>
        <v>0</v>
      </c>
      <c r="J166" s="200">
        <f>WR_Raw!G163</f>
        <v>0</v>
      </c>
      <c r="K166" s="200">
        <f>WR_Raw!H163</f>
        <v>0</v>
      </c>
      <c r="L166" s="202">
        <f>WR_Raw!C163</f>
        <v>8</v>
      </c>
      <c r="M166" s="200">
        <f>WR_Raw!D163</f>
        <v>103</v>
      </c>
      <c r="N166" s="203">
        <f>WR_Raw!E163</f>
        <v>1</v>
      </c>
      <c r="O166" s="200">
        <f>WR_Raw!I163</f>
        <v>0</v>
      </c>
      <c r="P166" s="204">
        <f t="shared" si="20"/>
        <v>20.3</v>
      </c>
      <c r="Q166" t="str">
        <f t="shared" ca="1" si="21"/>
        <v>Undrafted</v>
      </c>
      <c r="R166">
        <f t="shared" ca="1" si="22"/>
        <v>0</v>
      </c>
      <c r="S166">
        <f t="shared" ca="1" si="23"/>
        <v>-92.460000000000008</v>
      </c>
      <c r="T166" s="84">
        <f t="shared" ca="1" si="24"/>
        <v>-15.254009545825518</v>
      </c>
      <c r="U166" s="84">
        <f ca="1">T166*Auction!$A$2</f>
        <v>-15.254009545825518</v>
      </c>
      <c r="V166" s="5" t="str">
        <f>IF(OR(INDEX(Auction!$H$13:$H$650,MATCH(B166,Auction!$A$13:$A$650,0))&gt;0,IFERROR(INDEX(CheatSheet!$V$5:$V$64,MATCH(B166,CheatSheet!$S$5:$S$64,0)),"")&lt;&gt;""),"Yes","No")</f>
        <v>No</v>
      </c>
      <c r="W166" s="175"/>
      <c r="Y166" s="113">
        <f t="shared" ca="1" si="25"/>
        <v>1</v>
      </c>
      <c r="Z166" s="174">
        <f t="shared" ca="1" si="26"/>
        <v>-46.230000000000004</v>
      </c>
      <c r="AA166" t="str">
        <f t="shared" ca="1" si="27"/>
        <v>WR8</v>
      </c>
      <c r="AB166" s="174">
        <f ca="1">Z166*LeagueInfo!$H$5</f>
        <v>-14.929986685101287</v>
      </c>
      <c r="AC166" s="174">
        <f ca="1">(Z166-AVERAGE(Z:$Z))/_xlfn.STDEV.P(Z:Z)</f>
        <v>-0.83097864125946475</v>
      </c>
    </row>
    <row r="167" spans="1:29" x14ac:dyDescent="0.35">
      <c r="A167">
        <f t="shared" si="19"/>
        <v>165</v>
      </c>
      <c r="B167" t="str">
        <f>WR_Raw!A167</f>
        <v>Casey Washington</v>
      </c>
      <c r="C167" t="s">
        <v>32</v>
      </c>
      <c r="D167">
        <f>_xlfn.IFNA(INDEX(BYEs!E:E,MATCH(B167,BYEs!D:D,0)),"N/A")</f>
        <v>23</v>
      </c>
      <c r="E167">
        <f>INDEX(BYEs!$B$2:$B$34,MATCH(F167,BYEs!$A$2:$A$34,0))</f>
        <v>12</v>
      </c>
      <c r="F167" t="str">
        <f>WR_Raw!B167</f>
        <v>ATL</v>
      </c>
      <c r="G167" s="202">
        <v>0</v>
      </c>
      <c r="H167" s="203">
        <v>0</v>
      </c>
      <c r="I167" s="200">
        <f>WR_Raw!F167</f>
        <v>0</v>
      </c>
      <c r="J167" s="200">
        <f>WR_Raw!G167</f>
        <v>0</v>
      </c>
      <c r="K167" s="200">
        <f>WR_Raw!H167</f>
        <v>0</v>
      </c>
      <c r="L167" s="202">
        <f>WR_Raw!C167</f>
        <v>8.6999999999999993</v>
      </c>
      <c r="M167" s="200">
        <f>WR_Raw!D167</f>
        <v>105.8</v>
      </c>
      <c r="N167" s="203">
        <f>WR_Raw!E167</f>
        <v>0.8</v>
      </c>
      <c r="O167" s="200">
        <f>WR_Raw!I167</f>
        <v>0</v>
      </c>
      <c r="P167" s="204">
        <f t="shared" si="20"/>
        <v>19.73</v>
      </c>
      <c r="Q167" t="str">
        <f t="shared" ca="1" si="21"/>
        <v>Undrafted</v>
      </c>
      <c r="R167">
        <f t="shared" ca="1" si="22"/>
        <v>0</v>
      </c>
      <c r="S167">
        <f t="shared" ca="1" si="23"/>
        <v>-93.03</v>
      </c>
      <c r="T167" s="84">
        <f t="shared" ca="1" si="24"/>
        <v>-15.348047891500626</v>
      </c>
      <c r="U167" s="84">
        <f ca="1">T167*Auction!$A$2</f>
        <v>-15.348047891500626</v>
      </c>
      <c r="V167" s="5" t="str">
        <f>IF(OR(INDEX(Auction!$H$13:$H$650,MATCH(B167,Auction!$A$13:$A$650,0))&gt;0,IFERROR(INDEX(CheatSheet!$V$5:$V$64,MATCH(B167,CheatSheet!$S$5:$S$64,0)),"")&lt;&gt;""),"Yes","No")</f>
        <v>No</v>
      </c>
      <c r="W167" s="175"/>
      <c r="Y167" s="113">
        <f t="shared" ca="1" si="25"/>
        <v>1</v>
      </c>
      <c r="Z167" s="174">
        <f t="shared" ca="1" si="26"/>
        <v>-46.515000000000001</v>
      </c>
      <c r="AA167" t="str">
        <f t="shared" ca="1" si="27"/>
        <v>WR8</v>
      </c>
      <c r="AB167" s="174">
        <f ca="1">Z167*LeagueInfo!$H$5</f>
        <v>-15.022027485561027</v>
      </c>
      <c r="AC167" s="174">
        <f ca="1">(Z167-AVERAGE(Z:$Z))/_xlfn.STDEV.P(Z:Z)</f>
        <v>-0.83808938089996943</v>
      </c>
    </row>
    <row r="168" spans="1:29" x14ac:dyDescent="0.35">
      <c r="A168">
        <f t="shared" si="19"/>
        <v>166</v>
      </c>
      <c r="B168" t="str">
        <f>WR_Raw!A165</f>
        <v>Derius Davis</v>
      </c>
      <c r="C168" t="s">
        <v>32</v>
      </c>
      <c r="D168">
        <f>_xlfn.IFNA(INDEX(BYEs!E:E,MATCH(B168,BYEs!D:D,0)),"N/A")</f>
        <v>23</v>
      </c>
      <c r="E168">
        <f>INDEX(BYEs!$B$2:$B$34,MATCH(F168,BYEs!$A$2:$A$34,0))</f>
        <v>5</v>
      </c>
      <c r="F168" t="str">
        <f>WR_Raw!B165</f>
        <v>LAC</v>
      </c>
      <c r="G168" s="202">
        <v>0</v>
      </c>
      <c r="H168" s="203">
        <v>0</v>
      </c>
      <c r="I168" s="200">
        <f>WR_Raw!F165</f>
        <v>6.7</v>
      </c>
      <c r="J168" s="200">
        <f>WR_Raw!G165</f>
        <v>38.6</v>
      </c>
      <c r="K168" s="200">
        <f>WR_Raw!H165</f>
        <v>0.1</v>
      </c>
      <c r="L168" s="202">
        <f>WR_Raw!C165</f>
        <v>7</v>
      </c>
      <c r="M168" s="200">
        <f>WR_Raw!D165</f>
        <v>81.2</v>
      </c>
      <c r="N168" s="203">
        <f>WR_Raw!E165</f>
        <v>0.6</v>
      </c>
      <c r="O168" s="200">
        <f>WR_Raw!I165</f>
        <v>0.1</v>
      </c>
      <c r="P168" s="204">
        <f t="shared" si="20"/>
        <v>19.48</v>
      </c>
      <c r="Q168" t="str">
        <f t="shared" ca="1" si="21"/>
        <v>Undrafted</v>
      </c>
      <c r="R168">
        <f t="shared" ca="1" si="22"/>
        <v>0</v>
      </c>
      <c r="S168">
        <f t="shared" ca="1" si="23"/>
        <v>-93.28</v>
      </c>
      <c r="T168" s="84">
        <f t="shared" ca="1" si="24"/>
        <v>-15.389292779954621</v>
      </c>
      <c r="U168" s="84">
        <f ca="1">T168*Auction!$A$2</f>
        <v>-15.389292779954621</v>
      </c>
      <c r="V168" s="5" t="str">
        <f>IF(OR(INDEX(Auction!$H$13:$H$650,MATCH(B168,Auction!$A$13:$A$650,0))&gt;0,IFERROR(INDEX(CheatSheet!$V$5:$V$64,MATCH(B168,CheatSheet!$S$5:$S$64,0)),"")&lt;&gt;""),"Yes","No")</f>
        <v>No</v>
      </c>
      <c r="W168" s="175"/>
      <c r="Y168" s="113">
        <f t="shared" ca="1" si="25"/>
        <v>1</v>
      </c>
      <c r="Z168" s="174">
        <f t="shared" ref="Z168" ca="1" si="28">AVERAGE(R168:S168)</f>
        <v>-46.64</v>
      </c>
      <c r="AA168" t="str">
        <f t="shared" ca="1" si="27"/>
        <v>WR8</v>
      </c>
      <c r="AB168" s="174">
        <f ca="1">Z168*LeagueInfo!$H$5</f>
        <v>-15.062396257692495</v>
      </c>
      <c r="AC168" s="174">
        <f ca="1">(Z168-AVERAGE(Z:$Z))/_xlfn.STDEV.P(Z:Z)</f>
        <v>-0.84120812635633113</v>
      </c>
    </row>
    <row r="169" spans="1:29" x14ac:dyDescent="0.35">
      <c r="A169">
        <f t="shared" si="19"/>
        <v>167</v>
      </c>
      <c r="B169" t="str">
        <f>WR_Raw!A169</f>
        <v>Skyy Moore</v>
      </c>
      <c r="C169" t="s">
        <v>32</v>
      </c>
      <c r="D169">
        <f>_xlfn.IFNA(INDEX(BYEs!E:E,MATCH(B169,BYEs!D:D,0)),"N/A")</f>
        <v>23</v>
      </c>
      <c r="E169">
        <f>INDEX(BYEs!$B$2:$B$34,MATCH(F169,BYEs!$A$2:$A$34,0))</f>
        <v>6</v>
      </c>
      <c r="F169" t="str">
        <f>WR_Raw!B169</f>
        <v>KC</v>
      </c>
      <c r="G169" s="202">
        <v>0</v>
      </c>
      <c r="H169" s="203">
        <v>0</v>
      </c>
      <c r="I169" s="200">
        <f>WR_Raw!F169</f>
        <v>0</v>
      </c>
      <c r="J169" s="200">
        <f>WR_Raw!G169</f>
        <v>3</v>
      </c>
      <c r="K169" s="200">
        <f>WR_Raw!H169</f>
        <v>0</v>
      </c>
      <c r="L169" s="202">
        <f>WR_Raw!C169</f>
        <v>8.6</v>
      </c>
      <c r="M169" s="200">
        <f>WR_Raw!D169</f>
        <v>100.4</v>
      </c>
      <c r="N169" s="203">
        <f>WR_Raw!E169</f>
        <v>0.8</v>
      </c>
      <c r="O169" s="200">
        <f>WR_Raw!I169</f>
        <v>0.1</v>
      </c>
      <c r="P169" s="204">
        <f t="shared" si="20"/>
        <v>19.240000000000002</v>
      </c>
      <c r="Q169" t="str">
        <f t="shared" ca="1" si="21"/>
        <v>Undrafted</v>
      </c>
      <c r="R169">
        <f t="shared" ca="1" si="22"/>
        <v>0</v>
      </c>
      <c r="S169">
        <f t="shared" ca="1" si="23"/>
        <v>-93.52000000000001</v>
      </c>
      <c r="T169" s="84">
        <f t="shared" ca="1" si="24"/>
        <v>-15.428887872870456</v>
      </c>
      <c r="U169" s="84">
        <f ca="1">T169*Auction!$A$2</f>
        <v>-15.428887872870456</v>
      </c>
      <c r="V169" s="5" t="str">
        <f>IF(OR(INDEX(Auction!$H$13:$H$650,MATCH(B169,Auction!$A$13:$A$650,0))&gt;0,IFERROR(INDEX(CheatSheet!$V$5:$V$64,MATCH(B169,CheatSheet!$S$5:$S$64,0)),"")&lt;&gt;""),"Yes","No")</f>
        <v>No</v>
      </c>
      <c r="W169" s="175"/>
      <c r="Y169" s="113">
        <f t="shared" ca="1" si="25"/>
        <v>1</v>
      </c>
      <c r="Z169" s="174">
        <f t="shared" ref="Z169:Z211" ca="1" si="29">AVERAGE(R169:S169)</f>
        <v>-46.760000000000005</v>
      </c>
      <c r="AA169" t="str">
        <f t="shared" ref="AA169:AA211" ca="1" si="30">IF(AC169&gt;3,"WR1",IF(AC169&gt;2.5,"WR2",IF(AC169&gt;2,"WR3",IF(AC169&gt;1.5,"WR4",IF(AC169&gt;1,"WR5",IF(AC169&gt;0.5,"WR6",IF(AC169&gt;0,"WR7","WR8")))))))</f>
        <v>WR8</v>
      </c>
      <c r="AB169" s="174">
        <f ca="1">Z169*LeagueInfo!$H$5</f>
        <v>-15.101150278938702</v>
      </c>
      <c r="AC169" s="174">
        <f ca="1">(Z169-AVERAGE(Z:$Z))/_xlfn.STDEV.P(Z:Z)</f>
        <v>-0.84420212199443845</v>
      </c>
    </row>
    <row r="170" spans="1:29" x14ac:dyDescent="0.35">
      <c r="A170">
        <f t="shared" si="19"/>
        <v>168</v>
      </c>
      <c r="B170" t="str">
        <f>WR_Raw!A170</f>
        <v>David Moore</v>
      </c>
      <c r="C170" t="s">
        <v>32</v>
      </c>
      <c r="D170" t="str">
        <f>_xlfn.IFNA(INDEX(BYEs!E:E,MATCH(B170,BYEs!D:D,0)),"N/A")</f>
        <v>N/A</v>
      </c>
      <c r="E170">
        <f>INDEX(BYEs!$B$2:$B$34,MATCH(F170,BYEs!$A$2:$A$34,0))</f>
        <v>11</v>
      </c>
      <c r="F170" t="str">
        <f>WR_Raw!B170</f>
        <v>CAR</v>
      </c>
      <c r="G170" s="202">
        <v>0</v>
      </c>
      <c r="H170" s="203">
        <v>0</v>
      </c>
      <c r="I170" s="200">
        <f>WR_Raw!F170</f>
        <v>0</v>
      </c>
      <c r="J170" s="200">
        <f>WR_Raw!G170</f>
        <v>1.7</v>
      </c>
      <c r="K170" s="200">
        <f>WR_Raw!H170</f>
        <v>0</v>
      </c>
      <c r="L170" s="202">
        <f>WR_Raw!C170</f>
        <v>8.1</v>
      </c>
      <c r="M170" s="200">
        <f>WR_Raw!D170</f>
        <v>107.9</v>
      </c>
      <c r="N170" s="203">
        <f>WR_Raw!E170</f>
        <v>0.7</v>
      </c>
      <c r="O170" s="200">
        <f>WR_Raw!I170</f>
        <v>0.1</v>
      </c>
      <c r="P170" s="204">
        <f t="shared" si="20"/>
        <v>19.010000000000002</v>
      </c>
      <c r="Q170" t="str">
        <f t="shared" ca="1" si="21"/>
        <v>Undrafted</v>
      </c>
      <c r="R170">
        <f t="shared" ca="1" si="22"/>
        <v>0</v>
      </c>
      <c r="S170">
        <f t="shared" ca="1" si="23"/>
        <v>-93.75</v>
      </c>
      <c r="T170" s="84">
        <f t="shared" ca="1" si="24"/>
        <v>-15.466833170248131</v>
      </c>
      <c r="U170" s="84">
        <f ca="1">T170*Auction!$A$2</f>
        <v>-15.466833170248131</v>
      </c>
      <c r="V170" s="5" t="str">
        <f>IF(OR(INDEX(Auction!$H$13:$H$650,MATCH(B170,Auction!$A$13:$A$650,0))&gt;0,IFERROR(INDEX(CheatSheet!$V$5:$V$64,MATCH(B170,CheatSheet!$S$5:$S$64,0)),"")&lt;&gt;""),"Yes","No")</f>
        <v>No</v>
      </c>
      <c r="W170" s="175"/>
      <c r="Y170" s="113">
        <f t="shared" ca="1" si="25"/>
        <v>1</v>
      </c>
      <c r="Z170" s="174">
        <f t="shared" ca="1" si="29"/>
        <v>-46.875</v>
      </c>
      <c r="AA170" t="str">
        <f t="shared" ca="1" si="30"/>
        <v>WR8</v>
      </c>
      <c r="AB170" s="174">
        <f ca="1">Z170*LeagueInfo!$H$5</f>
        <v>-15.13828954929965</v>
      </c>
      <c r="AC170" s="174">
        <f ca="1">(Z170-AVERAGE(Z:$Z))/_xlfn.STDEV.P(Z:Z)</f>
        <v>-0.84707136781429115</v>
      </c>
    </row>
    <row r="171" spans="1:29" x14ac:dyDescent="0.35">
      <c r="A171">
        <f t="shared" si="19"/>
        <v>169</v>
      </c>
      <c r="B171" t="str">
        <f>WR_Raw!A166</f>
        <v>Equanimeous St. Brown</v>
      </c>
      <c r="C171" t="s">
        <v>32</v>
      </c>
      <c r="D171" t="str">
        <f>_xlfn.IFNA(INDEX(BYEs!E:E,MATCH(B171,BYEs!D:D,0)),"N/A")</f>
        <v>N/A</v>
      </c>
      <c r="E171">
        <f>INDEX(BYEs!$B$2:$B$34,MATCH(F171,BYEs!$A$2:$A$34,0))</f>
        <v>12</v>
      </c>
      <c r="F171" t="str">
        <f>WR_Raw!B166</f>
        <v>NO</v>
      </c>
      <c r="G171" s="202">
        <v>0</v>
      </c>
      <c r="H171" s="203">
        <v>0</v>
      </c>
      <c r="I171" s="200">
        <f>WR_Raw!F166</f>
        <v>0</v>
      </c>
      <c r="J171" s="200">
        <f>WR_Raw!G166</f>
        <v>4</v>
      </c>
      <c r="K171" s="200">
        <f>WR_Raw!H166</f>
        <v>0</v>
      </c>
      <c r="L171" s="202">
        <f>WR_Raw!C166</f>
        <v>7</v>
      </c>
      <c r="M171" s="200">
        <f>WR_Raw!D166</f>
        <v>91</v>
      </c>
      <c r="N171" s="203">
        <f>WR_Raw!E166</f>
        <v>1</v>
      </c>
      <c r="O171" s="200">
        <f>WR_Raw!I166</f>
        <v>0</v>
      </c>
      <c r="P171" s="204">
        <f t="shared" si="20"/>
        <v>19</v>
      </c>
      <c r="Q171" t="str">
        <f t="shared" ca="1" si="21"/>
        <v>Undrafted</v>
      </c>
      <c r="R171">
        <f t="shared" ca="1" si="22"/>
        <v>0</v>
      </c>
      <c r="S171">
        <f t="shared" ca="1" si="23"/>
        <v>-93.76</v>
      </c>
      <c r="T171" s="84">
        <f t="shared" ca="1" si="24"/>
        <v>-15.468482965786292</v>
      </c>
      <c r="U171" s="84">
        <f ca="1">T171*Auction!$A$2</f>
        <v>-15.468482965786292</v>
      </c>
      <c r="V171" s="5" t="str">
        <f>IF(OR(INDEX(Auction!$H$13:$H$650,MATCH(B171,Auction!$A$13:$A$650,0))&gt;0,IFERROR(INDEX(CheatSheet!$V$5:$V$64,MATCH(B171,CheatSheet!$S$5:$S$64,0)),"")&lt;&gt;""),"Yes","No")</f>
        <v>No</v>
      </c>
      <c r="W171" s="175"/>
      <c r="Y171" s="113">
        <f t="shared" ca="1" si="25"/>
        <v>1</v>
      </c>
      <c r="Z171" s="174">
        <f t="shared" ca="1" si="29"/>
        <v>-46.88</v>
      </c>
      <c r="AA171" t="str">
        <f t="shared" ca="1" si="30"/>
        <v>WR8</v>
      </c>
      <c r="AB171" s="174">
        <f ca="1">Z171*LeagueInfo!$H$5</f>
        <v>-15.139904300184909</v>
      </c>
      <c r="AC171" s="174">
        <f ca="1">(Z171-AVERAGE(Z:$Z))/_xlfn.STDEV.P(Z:Z)</f>
        <v>-0.84719611763254565</v>
      </c>
    </row>
    <row r="172" spans="1:29" x14ac:dyDescent="0.35">
      <c r="A172">
        <f t="shared" si="19"/>
        <v>170</v>
      </c>
      <c r="B172" t="str">
        <f>WR_Raw!A171</f>
        <v>Devin Duvernay</v>
      </c>
      <c r="C172" t="s">
        <v>32</v>
      </c>
      <c r="D172" t="str">
        <f>_xlfn.IFNA(INDEX(BYEs!E:E,MATCH(B172,BYEs!D:D,0)),"N/A")</f>
        <v>N/A</v>
      </c>
      <c r="E172">
        <f>INDEX(BYEs!$B$2:$B$34,MATCH(F172,BYEs!$A$2:$A$34,0))</f>
        <v>12</v>
      </c>
      <c r="F172" t="str">
        <f>WR_Raw!B171</f>
        <v>JAC</v>
      </c>
      <c r="G172" s="202">
        <v>0</v>
      </c>
      <c r="H172" s="203">
        <v>0</v>
      </c>
      <c r="I172" s="200">
        <f>WR_Raw!F171</f>
        <v>3.3</v>
      </c>
      <c r="J172" s="200">
        <f>WR_Raw!G171</f>
        <v>16.899999999999999</v>
      </c>
      <c r="K172" s="200">
        <f>WR_Raw!H171</f>
        <v>0.1</v>
      </c>
      <c r="L172" s="202">
        <f>WR_Raw!C171</f>
        <v>8.8000000000000007</v>
      </c>
      <c r="M172" s="200">
        <f>WR_Raw!D171</f>
        <v>88.5</v>
      </c>
      <c r="N172" s="203">
        <f>WR_Raw!E171</f>
        <v>0.4</v>
      </c>
      <c r="O172" s="200">
        <f>WR_Raw!I171</f>
        <v>0.1</v>
      </c>
      <c r="P172" s="204">
        <f t="shared" si="20"/>
        <v>17.739999999999998</v>
      </c>
      <c r="Q172" t="str">
        <f t="shared" ca="1" si="21"/>
        <v>Undrafted</v>
      </c>
      <c r="R172">
        <f t="shared" ca="1" si="22"/>
        <v>0</v>
      </c>
      <c r="S172">
        <f t="shared" ca="1" si="23"/>
        <v>-95.02000000000001</v>
      </c>
      <c r="T172" s="84">
        <f t="shared" ca="1" si="24"/>
        <v>-15.676357203594428</v>
      </c>
      <c r="U172" s="84">
        <f ca="1">T172*Auction!$A$2</f>
        <v>-15.676357203594428</v>
      </c>
      <c r="V172" s="5" t="str">
        <f>IF(OR(INDEX(Auction!$H$13:$H$650,MATCH(B172,Auction!$A$13:$A$650,0))&gt;0,IFERROR(INDEX(CheatSheet!$V$5:$V$64,MATCH(B172,CheatSheet!$S$5:$S$64,0)),"")&lt;&gt;""),"Yes","No")</f>
        <v>No</v>
      </c>
      <c r="W172" s="175"/>
      <c r="Y172" s="113">
        <f t="shared" ca="1" si="25"/>
        <v>1</v>
      </c>
      <c r="Z172" s="174">
        <f t="shared" ca="1" si="29"/>
        <v>-47.510000000000005</v>
      </c>
      <c r="AA172" t="str">
        <f t="shared" ca="1" si="30"/>
        <v>WR8</v>
      </c>
      <c r="AB172" s="174">
        <f ca="1">Z172*LeagueInfo!$H$5</f>
        <v>-15.343362911727496</v>
      </c>
      <c r="AC172" s="174">
        <f ca="1">(Z172-AVERAGE(Z:$Z))/_xlfn.STDEV.P(Z:Z)</f>
        <v>-0.86291459473260879</v>
      </c>
    </row>
    <row r="173" spans="1:29" x14ac:dyDescent="0.35">
      <c r="A173">
        <f t="shared" si="19"/>
        <v>171</v>
      </c>
      <c r="B173" t="str">
        <f>WR_Raw!A172</f>
        <v>Jalen Reagor</v>
      </c>
      <c r="C173" t="s">
        <v>32</v>
      </c>
      <c r="D173" t="str">
        <f>_xlfn.IFNA(INDEX(BYEs!E:E,MATCH(B173,BYEs!D:D,0)),"N/A")</f>
        <v>N/A</v>
      </c>
      <c r="E173">
        <f>INDEX(BYEs!$B$2:$B$34,MATCH(F173,BYEs!$A$2:$A$34,0))</f>
        <v>14</v>
      </c>
      <c r="F173" t="str">
        <f>WR_Raw!B172</f>
        <v>NE</v>
      </c>
      <c r="G173" s="202">
        <v>0</v>
      </c>
      <c r="H173" s="203">
        <v>0</v>
      </c>
      <c r="I173" s="200">
        <f>WR_Raw!F172</f>
        <v>0</v>
      </c>
      <c r="J173" s="200">
        <f>WR_Raw!G172</f>
        <v>2</v>
      </c>
      <c r="K173" s="200">
        <f>WR_Raw!H172</f>
        <v>0</v>
      </c>
      <c r="L173" s="202">
        <f>WR_Raw!C172</f>
        <v>7</v>
      </c>
      <c r="M173" s="200">
        <f>WR_Raw!D172</f>
        <v>90.2</v>
      </c>
      <c r="N173" s="203">
        <f>WR_Raw!E172</f>
        <v>0.7</v>
      </c>
      <c r="O173" s="200">
        <f>WR_Raw!I172</f>
        <v>0</v>
      </c>
      <c r="P173" s="204">
        <f t="shared" si="20"/>
        <v>16.920000000000002</v>
      </c>
      <c r="Q173" t="str">
        <f t="shared" ca="1" si="21"/>
        <v>Undrafted</v>
      </c>
      <c r="R173">
        <f t="shared" ca="1" si="22"/>
        <v>0</v>
      </c>
      <c r="S173">
        <f t="shared" ca="1" si="23"/>
        <v>-95.84</v>
      </c>
      <c r="T173" s="84">
        <f t="shared" ca="1" si="24"/>
        <v>-15.811640437723529</v>
      </c>
      <c r="U173" s="84">
        <f ca="1">T173*Auction!$A$2</f>
        <v>-15.811640437723529</v>
      </c>
      <c r="V173" s="5" t="str">
        <f>IF(OR(INDEX(Auction!$H$13:$H$650,MATCH(B173,Auction!$A$13:$A$650,0))&gt;0,IFERROR(INDEX(CheatSheet!$V$5:$V$64,MATCH(B173,CheatSheet!$S$5:$S$64,0)),"")&lt;&gt;""),"Yes","No")</f>
        <v>No</v>
      </c>
      <c r="W173" s="175"/>
      <c r="Y173" s="113">
        <f t="shared" ca="1" si="25"/>
        <v>1</v>
      </c>
      <c r="Z173" s="174">
        <f t="shared" ca="1" si="29"/>
        <v>-47.92</v>
      </c>
      <c r="AA173" t="str">
        <f t="shared" ca="1" si="30"/>
        <v>WR8</v>
      </c>
      <c r="AB173" s="174">
        <f ca="1">Z173*LeagueInfo!$H$5</f>
        <v>-15.475772484318703</v>
      </c>
      <c r="AC173" s="174">
        <f ca="1">(Z173-AVERAGE(Z:$Z))/_xlfn.STDEV.P(Z:Z)</f>
        <v>-0.87314407982947517</v>
      </c>
    </row>
    <row r="174" spans="1:29" x14ac:dyDescent="0.35">
      <c r="A174">
        <f t="shared" si="19"/>
        <v>172</v>
      </c>
      <c r="B174" t="str">
        <f>WR_Raw!A173</f>
        <v>Robert Woods</v>
      </c>
      <c r="C174" t="s">
        <v>32</v>
      </c>
      <c r="D174">
        <f>_xlfn.IFNA(INDEX(BYEs!E:E,MATCH(B174,BYEs!D:D,0)),"N/A")</f>
        <v>32</v>
      </c>
      <c r="E174">
        <f>INDEX(BYEs!$B$2:$B$34,MATCH(F174,BYEs!$A$2:$A$34,0))</f>
        <v>14</v>
      </c>
      <c r="F174" t="str">
        <f>WR_Raw!B173</f>
        <v>HOU</v>
      </c>
      <c r="G174" s="202">
        <v>0</v>
      </c>
      <c r="H174" s="203">
        <v>0</v>
      </c>
      <c r="I174" s="200">
        <f>WR_Raw!F173</f>
        <v>0</v>
      </c>
      <c r="J174" s="200">
        <f>WR_Raw!G173</f>
        <v>1.3</v>
      </c>
      <c r="K174" s="200">
        <f>WR_Raw!H173</f>
        <v>0</v>
      </c>
      <c r="L174" s="202">
        <f>WR_Raw!C173</f>
        <v>8.3000000000000007</v>
      </c>
      <c r="M174" s="200">
        <f>WR_Raw!D173</f>
        <v>89.4</v>
      </c>
      <c r="N174" s="203">
        <f>WR_Raw!E173</f>
        <v>0.6</v>
      </c>
      <c r="O174" s="200">
        <f>WR_Raw!I173</f>
        <v>0</v>
      </c>
      <c r="P174" s="204">
        <f t="shared" si="20"/>
        <v>16.82</v>
      </c>
      <c r="Q174" t="str">
        <f t="shared" ca="1" si="21"/>
        <v>Undrafted</v>
      </c>
      <c r="R174">
        <f t="shared" ca="1" si="22"/>
        <v>0</v>
      </c>
      <c r="S174">
        <f t="shared" ca="1" si="23"/>
        <v>-95.94</v>
      </c>
      <c r="T174" s="84">
        <f t="shared" ca="1" si="24"/>
        <v>-15.828138393105126</v>
      </c>
      <c r="U174" s="84">
        <f ca="1">T174*Auction!$A$2</f>
        <v>-15.828138393105126</v>
      </c>
      <c r="V174" s="5" t="str">
        <f>IF(OR(INDEX(Auction!$H$13:$H$650,MATCH(B174,Auction!$A$13:$A$650,0))&gt;0,IFERROR(INDEX(CheatSheet!$V$5:$V$64,MATCH(B174,CheatSheet!$S$5:$S$64,0)),"")&lt;&gt;""),"Yes","No")</f>
        <v>No</v>
      </c>
      <c r="W174" s="175"/>
      <c r="Y174" s="113">
        <f t="shared" ca="1" si="25"/>
        <v>1</v>
      </c>
      <c r="Z174" s="174">
        <f t="shared" ca="1" si="29"/>
        <v>-47.97</v>
      </c>
      <c r="AA174" t="str">
        <f t="shared" ca="1" si="30"/>
        <v>WR8</v>
      </c>
      <c r="AB174" s="174">
        <f ca="1">Z174*LeagueInfo!$H$5</f>
        <v>-15.491919993171289</v>
      </c>
      <c r="AC174" s="174">
        <f ca="1">(Z174-AVERAGE(Z:$Z))/_xlfn.STDEV.P(Z:Z)</f>
        <v>-0.87439157801201972</v>
      </c>
    </row>
    <row r="175" spans="1:29" x14ac:dyDescent="0.35">
      <c r="A175">
        <f t="shared" si="19"/>
        <v>173</v>
      </c>
      <c r="B175" t="str">
        <f>WR_Raw!A175</f>
        <v>Chris Moore</v>
      </c>
      <c r="C175" t="s">
        <v>32</v>
      </c>
      <c r="D175" t="str">
        <f>_xlfn.IFNA(INDEX(BYEs!E:E,MATCH(B175,BYEs!D:D,0)),"N/A")</f>
        <v>N/A</v>
      </c>
      <c r="E175">
        <f>INDEX(BYEs!$B$2:$B$34,MATCH(F175,BYEs!$A$2:$A$34,0))</f>
        <v>11</v>
      </c>
      <c r="F175" t="str">
        <f>WR_Raw!B175</f>
        <v>ARI</v>
      </c>
      <c r="G175" s="202">
        <v>0</v>
      </c>
      <c r="H175" s="203">
        <v>0</v>
      </c>
      <c r="I175" s="200">
        <f>WR_Raw!F175</f>
        <v>0</v>
      </c>
      <c r="J175" s="200">
        <f>WR_Raw!G175</f>
        <v>3.3</v>
      </c>
      <c r="K175" s="200">
        <f>WR_Raw!H175</f>
        <v>0</v>
      </c>
      <c r="L175" s="202">
        <f>WR_Raw!C175</f>
        <v>7.7</v>
      </c>
      <c r="M175" s="200">
        <f>WR_Raw!D175</f>
        <v>92.7</v>
      </c>
      <c r="N175" s="203">
        <f>WR_Raw!E175</f>
        <v>0.5</v>
      </c>
      <c r="O175" s="200">
        <f>WR_Raw!I175</f>
        <v>0</v>
      </c>
      <c r="P175" s="204">
        <f t="shared" si="20"/>
        <v>16.450000000000003</v>
      </c>
      <c r="Q175" t="str">
        <f t="shared" ca="1" si="21"/>
        <v>Undrafted</v>
      </c>
      <c r="R175">
        <f t="shared" ca="1" si="22"/>
        <v>0</v>
      </c>
      <c r="S175">
        <f t="shared" ca="1" si="23"/>
        <v>-96.31</v>
      </c>
      <c r="T175" s="84">
        <f t="shared" ca="1" si="24"/>
        <v>-15.889180828017039</v>
      </c>
      <c r="U175" s="84">
        <f ca="1">T175*Auction!$A$2</f>
        <v>-15.889180828017039</v>
      </c>
      <c r="V175" s="5" t="str">
        <f>IF(OR(INDEX(Auction!$H$13:$H$650,MATCH(B175,Auction!$A$13:$A$650,0))&gt;0,IFERROR(INDEX(CheatSheet!$V$5:$V$64,MATCH(B175,CheatSheet!$S$5:$S$64,0)),"")&lt;&gt;""),"Yes","No")</f>
        <v>No</v>
      </c>
      <c r="W175" s="175"/>
      <c r="Y175" s="113">
        <f t="shared" ca="1" si="25"/>
        <v>1</v>
      </c>
      <c r="Z175" s="174">
        <f t="shared" ca="1" si="29"/>
        <v>-48.155000000000001</v>
      </c>
      <c r="AA175" t="str">
        <f t="shared" ca="1" si="30"/>
        <v>WR8</v>
      </c>
      <c r="AB175" s="174">
        <f ca="1">Z175*LeagueInfo!$H$5</f>
        <v>-15.551665775925859</v>
      </c>
      <c r="AC175" s="174">
        <f ca="1">(Z175-AVERAGE(Z:$Z))/_xlfn.STDEV.P(Z:Z)</f>
        <v>-0.87900732128743519</v>
      </c>
    </row>
    <row r="176" spans="1:29" x14ac:dyDescent="0.35">
      <c r="A176">
        <f t="shared" si="19"/>
        <v>174</v>
      </c>
      <c r="B176" t="str">
        <f>WR_Raw!A174</f>
        <v>Brenden Rice</v>
      </c>
      <c r="C176" t="s">
        <v>32</v>
      </c>
      <c r="D176">
        <f>_xlfn.IFNA(INDEX(BYEs!E:E,MATCH(B176,BYEs!D:D,0)),"N/A")</f>
        <v>22</v>
      </c>
      <c r="E176">
        <f>INDEX(BYEs!$B$2:$B$34,MATCH(F176,BYEs!$A$2:$A$34,0))</f>
        <v>5</v>
      </c>
      <c r="F176" t="str">
        <f>WR_Raw!B174</f>
        <v>LAC</v>
      </c>
      <c r="G176" s="202">
        <v>0</v>
      </c>
      <c r="H176" s="203">
        <v>0</v>
      </c>
      <c r="I176" s="200">
        <f>WR_Raw!F174</f>
        <v>0</v>
      </c>
      <c r="J176" s="200">
        <f>WR_Raw!G174</f>
        <v>2</v>
      </c>
      <c r="K176" s="200">
        <f>WR_Raw!H174</f>
        <v>0</v>
      </c>
      <c r="L176" s="202">
        <f>WR_Raw!C174</f>
        <v>7.2</v>
      </c>
      <c r="M176" s="200">
        <f>WR_Raw!D174</f>
        <v>87.9</v>
      </c>
      <c r="N176" s="203">
        <f>WR_Raw!E174</f>
        <v>0.6</v>
      </c>
      <c r="O176" s="200">
        <f>WR_Raw!I174</f>
        <v>0</v>
      </c>
      <c r="P176" s="204">
        <f t="shared" si="20"/>
        <v>16.190000000000001</v>
      </c>
      <c r="Q176" t="str">
        <f t="shared" ca="1" si="21"/>
        <v>Undrafted</v>
      </c>
      <c r="R176">
        <f t="shared" ca="1" si="22"/>
        <v>0</v>
      </c>
      <c r="S176">
        <f t="shared" ca="1" si="23"/>
        <v>-96.570000000000007</v>
      </c>
      <c r="T176" s="84">
        <f t="shared" ca="1" si="24"/>
        <v>-15.932075512009195</v>
      </c>
      <c r="U176" s="84">
        <f ca="1">T176*Auction!$A$2</f>
        <v>-15.932075512009195</v>
      </c>
      <c r="V176" s="5" t="str">
        <f>IF(OR(INDEX(Auction!$H$13:$H$650,MATCH(B176,Auction!$A$13:$A$650,0))&gt;0,IFERROR(INDEX(CheatSheet!$V$5:$V$64,MATCH(B176,CheatSheet!$S$5:$S$64,0)),"")&lt;&gt;""),"Yes","No")</f>
        <v>No</v>
      </c>
      <c r="W176" s="175"/>
      <c r="Y176" s="113">
        <f t="shared" ca="1" si="25"/>
        <v>1</v>
      </c>
      <c r="Z176" s="174">
        <f t="shared" ca="1" si="29"/>
        <v>-48.285000000000004</v>
      </c>
      <c r="AA176" t="str">
        <f t="shared" ca="1" si="30"/>
        <v>WR8</v>
      </c>
      <c r="AB176" s="174">
        <f ca="1">Z176*LeagueInfo!$H$5</f>
        <v>-15.593649298942584</v>
      </c>
      <c r="AC176" s="174">
        <f ca="1">(Z176-AVERAGE(Z:$Z))/_xlfn.STDEV.P(Z:Z)</f>
        <v>-0.8822508165620514</v>
      </c>
    </row>
    <row r="177" spans="1:29" x14ac:dyDescent="0.35">
      <c r="A177">
        <f t="shared" si="19"/>
        <v>174</v>
      </c>
      <c r="B177" t="str">
        <f>WR_Raw!A176</f>
        <v>Kayshon Boutte</v>
      </c>
      <c r="C177" t="s">
        <v>32</v>
      </c>
      <c r="D177">
        <f>_xlfn.IFNA(INDEX(BYEs!E:E,MATCH(B177,BYEs!D:D,0)),"N/A")</f>
        <v>22</v>
      </c>
      <c r="E177">
        <f>INDEX(BYEs!$B$2:$B$34,MATCH(F177,BYEs!$A$2:$A$34,0))</f>
        <v>14</v>
      </c>
      <c r="F177" t="str">
        <f>WR_Raw!B176</f>
        <v>NE</v>
      </c>
      <c r="G177" s="202">
        <v>0</v>
      </c>
      <c r="H177" s="203">
        <v>0</v>
      </c>
      <c r="I177" s="200">
        <f>WR_Raw!F176</f>
        <v>0</v>
      </c>
      <c r="J177" s="200">
        <f>WR_Raw!G176</f>
        <v>2.5</v>
      </c>
      <c r="K177" s="200">
        <f>WR_Raw!H176</f>
        <v>0</v>
      </c>
      <c r="L177" s="202">
        <f>WR_Raw!C176</f>
        <v>7</v>
      </c>
      <c r="M177" s="200">
        <f>WR_Raw!D176</f>
        <v>88.4</v>
      </c>
      <c r="N177" s="203">
        <f>WR_Raw!E176</f>
        <v>0.6</v>
      </c>
      <c r="O177" s="200">
        <f>WR_Raw!I176</f>
        <v>0</v>
      </c>
      <c r="P177" s="204">
        <f t="shared" si="20"/>
        <v>16.190000000000001</v>
      </c>
      <c r="Q177" t="str">
        <f t="shared" ca="1" si="21"/>
        <v>Undrafted</v>
      </c>
      <c r="R177">
        <f t="shared" ca="1" si="22"/>
        <v>0</v>
      </c>
      <c r="S177">
        <f t="shared" ca="1" si="23"/>
        <v>-96.570000000000007</v>
      </c>
      <c r="T177" s="84">
        <f t="shared" ca="1" si="24"/>
        <v>-15.932075512009195</v>
      </c>
      <c r="U177" s="84">
        <f ca="1">T177*Auction!$A$2</f>
        <v>-15.932075512009195</v>
      </c>
      <c r="V177" s="5" t="str">
        <f>IF(OR(INDEX(Auction!$H$13:$H$650,MATCH(B177,Auction!$A$13:$A$650,0))&gt;0,IFERROR(INDEX(CheatSheet!$V$5:$V$64,MATCH(B177,CheatSheet!$S$5:$S$64,0)),"")&lt;&gt;""),"Yes","No")</f>
        <v>No</v>
      </c>
      <c r="W177" s="175"/>
      <c r="Y177" s="113">
        <f t="shared" ca="1" si="25"/>
        <v>1</v>
      </c>
      <c r="Z177" s="174">
        <f t="shared" ca="1" si="29"/>
        <v>-48.285000000000004</v>
      </c>
      <c r="AA177" t="str">
        <f t="shared" ca="1" si="30"/>
        <v>WR8</v>
      </c>
      <c r="AB177" s="174">
        <f ca="1">Z177*LeagueInfo!$H$5</f>
        <v>-15.593649298942584</v>
      </c>
      <c r="AC177" s="174">
        <f ca="1">(Z177-AVERAGE(Z:$Z))/_xlfn.STDEV.P(Z:Z)</f>
        <v>-0.8822508165620514</v>
      </c>
    </row>
    <row r="178" spans="1:29" x14ac:dyDescent="0.35">
      <c r="A178">
        <f t="shared" si="19"/>
        <v>176</v>
      </c>
      <c r="B178" t="str">
        <f>WR_Raw!A177</f>
        <v>Zach Pascal</v>
      </c>
      <c r="C178" t="s">
        <v>32</v>
      </c>
      <c r="D178" t="str">
        <f>_xlfn.IFNA(INDEX(BYEs!E:E,MATCH(B178,BYEs!D:D,0)),"N/A")</f>
        <v>N/A</v>
      </c>
      <c r="E178">
        <f>INDEX(BYEs!$B$2:$B$34,MATCH(F178,BYEs!$A$2:$A$34,0))</f>
        <v>11</v>
      </c>
      <c r="F178" t="str">
        <f>WR_Raw!B177</f>
        <v>ARI</v>
      </c>
      <c r="G178" s="202">
        <v>0</v>
      </c>
      <c r="H178" s="203">
        <v>0</v>
      </c>
      <c r="I178" s="200">
        <f>WR_Raw!F177</f>
        <v>0</v>
      </c>
      <c r="J178" s="200">
        <f>WR_Raw!G177</f>
        <v>2</v>
      </c>
      <c r="K178" s="200">
        <f>WR_Raw!H177</f>
        <v>0</v>
      </c>
      <c r="L178" s="202">
        <f>WR_Raw!C177</f>
        <v>6.8</v>
      </c>
      <c r="M178" s="200">
        <f>WR_Raw!D177</f>
        <v>83.6</v>
      </c>
      <c r="N178" s="203">
        <f>WR_Raw!E177</f>
        <v>0.7</v>
      </c>
      <c r="O178" s="200">
        <f>WR_Raw!I177</f>
        <v>0</v>
      </c>
      <c r="P178" s="204">
        <f t="shared" si="20"/>
        <v>16.159999999999997</v>
      </c>
      <c r="Q178" t="str">
        <f t="shared" ca="1" si="21"/>
        <v>Undrafted</v>
      </c>
      <c r="R178">
        <f t="shared" ca="1" si="22"/>
        <v>0</v>
      </c>
      <c r="S178">
        <f t="shared" ca="1" si="23"/>
        <v>-96.600000000000009</v>
      </c>
      <c r="T178" s="84">
        <f t="shared" ca="1" si="24"/>
        <v>-15.937024898623676</v>
      </c>
      <c r="U178" s="84">
        <f ca="1">T178*Auction!$A$2</f>
        <v>-15.937024898623676</v>
      </c>
      <c r="V178" s="5" t="str">
        <f>IF(OR(INDEX(Auction!$H$13:$H$650,MATCH(B178,Auction!$A$13:$A$650,0))&gt;0,IFERROR(INDEX(CheatSheet!$V$5:$V$64,MATCH(B178,CheatSheet!$S$5:$S$64,0)),"")&lt;&gt;""),"Yes","No")</f>
        <v>No</v>
      </c>
      <c r="W178" s="175"/>
      <c r="Y178" s="113">
        <f t="shared" ca="1" si="25"/>
        <v>1</v>
      </c>
      <c r="Z178" s="174">
        <f t="shared" ca="1" si="29"/>
        <v>-48.300000000000004</v>
      </c>
      <c r="AA178" t="str">
        <f t="shared" ca="1" si="30"/>
        <v>WR8</v>
      </c>
      <c r="AB178" s="174">
        <f ca="1">Z178*LeagueInfo!$H$5</f>
        <v>-15.598493551598359</v>
      </c>
      <c r="AC178" s="174">
        <f ca="1">(Z178-AVERAGE(Z:$Z))/_xlfn.STDEV.P(Z:Z)</f>
        <v>-0.88262506601681479</v>
      </c>
    </row>
    <row r="179" spans="1:29" x14ac:dyDescent="0.35">
      <c r="A179">
        <f t="shared" si="19"/>
        <v>177</v>
      </c>
      <c r="B179" t="str">
        <f>WR_Raw!A178</f>
        <v>Mason Tipton</v>
      </c>
      <c r="C179" t="s">
        <v>32</v>
      </c>
      <c r="D179" t="str">
        <f>_xlfn.IFNA(INDEX(BYEs!E:E,MATCH(B179,BYEs!D:D,0)),"N/A")</f>
        <v>N/A</v>
      </c>
      <c r="E179">
        <f>INDEX(BYEs!$B$2:$B$34,MATCH(F179,BYEs!$A$2:$A$34,0))</f>
        <v>12</v>
      </c>
      <c r="F179" t="str">
        <f>WR_Raw!B178</f>
        <v>NO</v>
      </c>
      <c r="G179" s="202">
        <v>0</v>
      </c>
      <c r="H179" s="203">
        <v>0</v>
      </c>
      <c r="I179" s="200">
        <f>WR_Raw!F178</f>
        <v>0</v>
      </c>
      <c r="J179" s="200">
        <f>WR_Raw!G178</f>
        <v>0</v>
      </c>
      <c r="K179" s="200">
        <f>WR_Raw!H178</f>
        <v>0</v>
      </c>
      <c r="L179" s="202">
        <f>WR_Raw!C178</f>
        <v>7.7</v>
      </c>
      <c r="M179" s="200">
        <f>WR_Raw!D178</f>
        <v>86.1</v>
      </c>
      <c r="N179" s="203">
        <f>WR_Raw!E178</f>
        <v>0.6</v>
      </c>
      <c r="O179" s="200">
        <f>WR_Raw!I178</f>
        <v>0</v>
      </c>
      <c r="P179" s="204">
        <f t="shared" si="20"/>
        <v>16.059999999999999</v>
      </c>
      <c r="Q179" t="str">
        <f t="shared" ca="1" si="21"/>
        <v>Undrafted</v>
      </c>
      <c r="R179">
        <f t="shared" ca="1" si="22"/>
        <v>0</v>
      </c>
      <c r="S179">
        <f t="shared" ca="1" si="23"/>
        <v>-96.7</v>
      </c>
      <c r="T179" s="84">
        <f t="shared" ca="1" si="24"/>
        <v>-15.953522854005273</v>
      </c>
      <c r="U179" s="84">
        <f ca="1">T179*Auction!$A$2</f>
        <v>-15.953522854005273</v>
      </c>
      <c r="V179" s="5" t="str">
        <f>IF(OR(INDEX(Auction!$H$13:$H$650,MATCH(B179,Auction!$A$13:$A$650,0))&gt;0,IFERROR(INDEX(CheatSheet!$V$5:$V$64,MATCH(B179,CheatSheet!$S$5:$S$64,0)),"")&lt;&gt;""),"Yes","No")</f>
        <v>No</v>
      </c>
      <c r="W179" s="175"/>
      <c r="Y179" s="113">
        <f t="shared" ca="1" si="25"/>
        <v>1</v>
      </c>
      <c r="Z179" s="174">
        <f t="shared" ca="1" si="29"/>
        <v>-48.35</v>
      </c>
      <c r="AA179" t="str">
        <f t="shared" ca="1" si="30"/>
        <v>WR8</v>
      </c>
      <c r="AB179" s="174">
        <f ca="1">Z179*LeagueInfo!$H$5</f>
        <v>-15.614641060450944</v>
      </c>
      <c r="AC179" s="174">
        <f ca="1">(Z179-AVERAGE(Z:$Z))/_xlfn.STDEV.P(Z:Z)</f>
        <v>-0.88387256419935945</v>
      </c>
    </row>
    <row r="180" spans="1:29" x14ac:dyDescent="0.35">
      <c r="A180">
        <f t="shared" si="19"/>
        <v>178</v>
      </c>
      <c r="B180" t="str">
        <f>WR_Raw!A181</f>
        <v>Xavier Hutchinson</v>
      </c>
      <c r="C180" t="s">
        <v>32</v>
      </c>
      <c r="D180">
        <f>_xlfn.IFNA(INDEX(BYEs!E:E,MATCH(B180,BYEs!D:D,0)),"N/A")</f>
        <v>24</v>
      </c>
      <c r="E180">
        <f>INDEX(BYEs!$B$2:$B$34,MATCH(F180,BYEs!$A$2:$A$34,0))</f>
        <v>14</v>
      </c>
      <c r="F180" t="str">
        <f>WR_Raw!B181</f>
        <v>HOU</v>
      </c>
      <c r="G180" s="202">
        <v>0</v>
      </c>
      <c r="H180" s="203">
        <v>0</v>
      </c>
      <c r="I180" s="200">
        <f>WR_Raw!F181</f>
        <v>0</v>
      </c>
      <c r="J180" s="200">
        <f>WR_Raw!G181</f>
        <v>7</v>
      </c>
      <c r="K180" s="200">
        <f>WR_Raw!H181</f>
        <v>0</v>
      </c>
      <c r="L180" s="202">
        <f>WR_Raw!C181</f>
        <v>6.4</v>
      </c>
      <c r="M180" s="200">
        <f>WR_Raw!D181</f>
        <v>76.599999999999994</v>
      </c>
      <c r="N180" s="203">
        <f>WR_Raw!E181</f>
        <v>0.6</v>
      </c>
      <c r="O180" s="200">
        <f>WR_Raw!I181</f>
        <v>0</v>
      </c>
      <c r="P180" s="204">
        <f t="shared" si="20"/>
        <v>15.16</v>
      </c>
      <c r="Q180" t="str">
        <f t="shared" ca="1" si="21"/>
        <v>Undrafted</v>
      </c>
      <c r="R180">
        <f t="shared" ca="1" si="22"/>
        <v>0</v>
      </c>
      <c r="S180">
        <f t="shared" ca="1" si="23"/>
        <v>-97.600000000000009</v>
      </c>
      <c r="T180" s="84">
        <f t="shared" ca="1" si="24"/>
        <v>-16.102004452439655</v>
      </c>
      <c r="U180" s="84">
        <f ca="1">T180*Auction!$A$2</f>
        <v>-16.102004452439655</v>
      </c>
      <c r="V180" s="5" t="str">
        <f>IF(OR(INDEX(Auction!$H$13:$H$650,MATCH(B180,Auction!$A$13:$A$650,0))&gt;0,IFERROR(INDEX(CheatSheet!$V$5:$V$64,MATCH(B180,CheatSheet!$S$5:$S$64,0)),"")&lt;&gt;""),"Yes","No")</f>
        <v>No</v>
      </c>
      <c r="W180" s="175"/>
      <c r="Y180" s="113">
        <f t="shared" ca="1" si="25"/>
        <v>1</v>
      </c>
      <c r="Z180" s="174">
        <f t="shared" ca="1" si="29"/>
        <v>-48.800000000000004</v>
      </c>
      <c r="AA180" t="str">
        <f t="shared" ca="1" si="30"/>
        <v>WR8</v>
      </c>
      <c r="AB180" s="174">
        <f ca="1">Z180*LeagueInfo!$H$5</f>
        <v>-15.759968640124223</v>
      </c>
      <c r="AC180" s="174">
        <f ca="1">(Z180-AVERAGE(Z:$Z))/_xlfn.STDEV.P(Z:Z)</f>
        <v>-0.89510004784226171</v>
      </c>
    </row>
    <row r="181" spans="1:29" x14ac:dyDescent="0.35">
      <c r="A181">
        <f t="shared" si="19"/>
        <v>179</v>
      </c>
      <c r="B181" t="str">
        <f>WR_Raw!A182</f>
        <v>Anthony Gould</v>
      </c>
      <c r="C181" t="s">
        <v>32</v>
      </c>
      <c r="D181" t="str">
        <f>_xlfn.IFNA(INDEX(BYEs!E:E,MATCH(B181,BYEs!D:D,0)),"N/A")</f>
        <v>N/A</v>
      </c>
      <c r="E181">
        <f>INDEX(BYEs!$B$2:$B$34,MATCH(F181,BYEs!$A$2:$A$34,0))</f>
        <v>14</v>
      </c>
      <c r="F181" t="str">
        <f>WR_Raw!B182</f>
        <v>IND</v>
      </c>
      <c r="G181" s="202">
        <v>0</v>
      </c>
      <c r="H181" s="203">
        <v>0</v>
      </c>
      <c r="I181" s="200">
        <f>WR_Raw!F182</f>
        <v>0</v>
      </c>
      <c r="J181" s="200">
        <f>WR_Raw!G182</f>
        <v>0</v>
      </c>
      <c r="K181" s="200">
        <f>WR_Raw!H182</f>
        <v>0</v>
      </c>
      <c r="L181" s="202">
        <f>WR_Raw!C182</f>
        <v>6.8</v>
      </c>
      <c r="M181" s="200">
        <f>WR_Raw!D182</f>
        <v>80.7</v>
      </c>
      <c r="N181" s="203">
        <f>WR_Raw!E182</f>
        <v>0.6</v>
      </c>
      <c r="O181" s="200">
        <f>WR_Raw!I182</f>
        <v>0</v>
      </c>
      <c r="P181" s="204">
        <f t="shared" si="20"/>
        <v>15.07</v>
      </c>
      <c r="Q181" t="str">
        <f t="shared" ca="1" si="21"/>
        <v>Undrafted</v>
      </c>
      <c r="R181">
        <f t="shared" ca="1" si="22"/>
        <v>0</v>
      </c>
      <c r="S181">
        <f t="shared" ca="1" si="23"/>
        <v>-97.69</v>
      </c>
      <c r="T181" s="84">
        <f t="shared" ca="1" si="24"/>
        <v>-16.116852612283093</v>
      </c>
      <c r="U181" s="84">
        <f ca="1">T181*Auction!$A$2</f>
        <v>-16.116852612283093</v>
      </c>
      <c r="V181" s="5" t="str">
        <f>IF(OR(INDEX(Auction!$H$13:$H$650,MATCH(B181,Auction!$A$13:$A$650,0))&gt;0,IFERROR(INDEX(CheatSheet!$V$5:$V$64,MATCH(B181,CheatSheet!$S$5:$S$64,0)),"")&lt;&gt;""),"Yes","No")</f>
        <v>No</v>
      </c>
      <c r="W181" s="175"/>
      <c r="Y181" s="113">
        <f t="shared" ca="1" si="25"/>
        <v>1</v>
      </c>
      <c r="Z181" s="174">
        <f t="shared" ca="1" si="29"/>
        <v>-48.844999999999999</v>
      </c>
      <c r="AA181" t="str">
        <f t="shared" ca="1" si="30"/>
        <v>WR8</v>
      </c>
      <c r="AB181" s="174">
        <f ca="1">Z181*LeagueInfo!$H$5</f>
        <v>-15.774501398091548</v>
      </c>
      <c r="AC181" s="174">
        <f ca="1">(Z181-AVERAGE(Z:$Z))/_xlfn.STDEV.P(Z:Z)</f>
        <v>-0.89622279620655176</v>
      </c>
    </row>
    <row r="182" spans="1:29" x14ac:dyDescent="0.35">
      <c r="A182">
        <f t="shared" si="19"/>
        <v>180</v>
      </c>
      <c r="B182" t="str">
        <f>WR_Raw!A180</f>
        <v>Robbie Chosen</v>
      </c>
      <c r="C182" t="s">
        <v>32</v>
      </c>
      <c r="D182" t="str">
        <f>_xlfn.IFNA(INDEX(BYEs!E:E,MATCH(B182,BYEs!D:D,0)),"N/A")</f>
        <v>N/A</v>
      </c>
      <c r="E182">
        <f>INDEX(BYEs!$B$2:$B$34,MATCH(F182,BYEs!$A$2:$A$34,0))</f>
        <v>6</v>
      </c>
      <c r="F182" t="str">
        <f>WR_Raw!B180</f>
        <v>MIA</v>
      </c>
      <c r="G182" s="202">
        <v>0</v>
      </c>
      <c r="H182" s="203">
        <v>0</v>
      </c>
      <c r="I182" s="200">
        <f>WR_Raw!F180</f>
        <v>0</v>
      </c>
      <c r="J182" s="200">
        <f>WR_Raw!G180</f>
        <v>2</v>
      </c>
      <c r="K182" s="200">
        <f>WR_Raw!H180</f>
        <v>0</v>
      </c>
      <c r="L182" s="202">
        <f>WR_Raw!C180</f>
        <v>6.6</v>
      </c>
      <c r="M182" s="200">
        <f>WR_Raw!D180</f>
        <v>79</v>
      </c>
      <c r="N182" s="203">
        <f>WR_Raw!E180</f>
        <v>0.6</v>
      </c>
      <c r="O182" s="200">
        <f>WR_Raw!I180</f>
        <v>0</v>
      </c>
      <c r="P182" s="204">
        <f t="shared" si="20"/>
        <v>15</v>
      </c>
      <c r="Q182" t="str">
        <f t="shared" ca="1" si="21"/>
        <v>Undrafted</v>
      </c>
      <c r="R182">
        <f t="shared" ca="1" si="22"/>
        <v>0</v>
      </c>
      <c r="S182">
        <f t="shared" ca="1" si="23"/>
        <v>-97.76</v>
      </c>
      <c r="T182" s="84">
        <f t="shared" ca="1" si="24"/>
        <v>-16.128401181050211</v>
      </c>
      <c r="U182" s="84">
        <f ca="1">T182*Auction!$A$2</f>
        <v>-16.128401181050211</v>
      </c>
      <c r="V182" s="5" t="str">
        <f>IF(OR(INDEX(Auction!$H$13:$H$650,MATCH(B182,Auction!$A$13:$A$650,0))&gt;0,IFERROR(INDEX(CheatSheet!$V$5:$V$64,MATCH(B182,CheatSheet!$S$5:$S$64,0)),"")&lt;&gt;""),"Yes","No")</f>
        <v>No</v>
      </c>
      <c r="W182" s="175"/>
      <c r="Y182" s="113">
        <f t="shared" ca="1" si="25"/>
        <v>1</v>
      </c>
      <c r="Z182" s="174">
        <f t="shared" ca="1" si="29"/>
        <v>-48.88</v>
      </c>
      <c r="AA182" t="str">
        <f t="shared" ca="1" si="30"/>
        <v>WR8</v>
      </c>
      <c r="AB182" s="174">
        <f ca="1">Z182*LeagueInfo!$H$5</f>
        <v>-15.785804654288361</v>
      </c>
      <c r="AC182" s="174">
        <f ca="1">(Z182-AVERAGE(Z:$Z))/_xlfn.STDEV.P(Z:Z)</f>
        <v>-0.89709604493433315</v>
      </c>
    </row>
    <row r="183" spans="1:29" x14ac:dyDescent="0.35">
      <c r="A183">
        <f t="shared" si="19"/>
        <v>181</v>
      </c>
      <c r="B183" t="str">
        <f>WR_Raw!A183</f>
        <v>Deonte Harty</v>
      </c>
      <c r="C183" t="s">
        <v>32</v>
      </c>
      <c r="D183" t="str">
        <f>_xlfn.IFNA(INDEX(BYEs!E:E,MATCH(B183,BYEs!D:D,0)),"N/A")</f>
        <v>N/A</v>
      </c>
      <c r="E183">
        <f>INDEX(BYEs!$B$2:$B$34,MATCH(F183,BYEs!$A$2:$A$34,0))</f>
        <v>14</v>
      </c>
      <c r="F183" t="str">
        <f>WR_Raw!B183</f>
        <v>BAL</v>
      </c>
      <c r="G183" s="202">
        <v>0</v>
      </c>
      <c r="H183" s="203">
        <v>0</v>
      </c>
      <c r="I183" s="200">
        <f>WR_Raw!F183</f>
        <v>0</v>
      </c>
      <c r="J183" s="200">
        <f>WR_Raw!G183</f>
        <v>5</v>
      </c>
      <c r="K183" s="200">
        <f>WR_Raw!H183</f>
        <v>0</v>
      </c>
      <c r="L183" s="202">
        <f>WR_Raw!C183</f>
        <v>6.3</v>
      </c>
      <c r="M183" s="200">
        <f>WR_Raw!D183</f>
        <v>77.2</v>
      </c>
      <c r="N183" s="203">
        <f>WR_Raw!E183</f>
        <v>0.6</v>
      </c>
      <c r="O183" s="200">
        <f>WR_Raw!I183</f>
        <v>0</v>
      </c>
      <c r="P183" s="204">
        <f t="shared" si="20"/>
        <v>14.97</v>
      </c>
      <c r="Q183" t="str">
        <f t="shared" ca="1" si="21"/>
        <v>Undrafted</v>
      </c>
      <c r="R183">
        <f t="shared" ca="1" si="22"/>
        <v>0</v>
      </c>
      <c r="S183">
        <f t="shared" ca="1" si="23"/>
        <v>-97.79</v>
      </c>
      <c r="T183" s="84">
        <f t="shared" ca="1" si="24"/>
        <v>-16.133350567664692</v>
      </c>
      <c r="U183" s="84">
        <f ca="1">T183*Auction!$A$2</f>
        <v>-16.133350567664692</v>
      </c>
      <c r="V183" s="5" t="str">
        <f>IF(OR(INDEX(Auction!$H$13:$H$650,MATCH(B183,Auction!$A$13:$A$650,0))&gt;0,IFERROR(INDEX(CheatSheet!$V$5:$V$64,MATCH(B183,CheatSheet!$S$5:$S$64,0)),"")&lt;&gt;""),"Yes","No")</f>
        <v>No</v>
      </c>
      <c r="W183" s="175"/>
      <c r="Y183" s="113">
        <f t="shared" ca="1" si="25"/>
        <v>1</v>
      </c>
      <c r="Z183" s="174">
        <f t="shared" ca="1" si="29"/>
        <v>-48.895000000000003</v>
      </c>
      <c r="AA183" t="str">
        <f t="shared" ca="1" si="30"/>
        <v>WR8</v>
      </c>
      <c r="AB183" s="174">
        <f ca="1">Z183*LeagueInfo!$H$5</f>
        <v>-15.790648906944137</v>
      </c>
      <c r="AC183" s="174">
        <f ca="1">(Z183-AVERAGE(Z:$Z))/_xlfn.STDEV.P(Z:Z)</f>
        <v>-0.89747029438909653</v>
      </c>
    </row>
    <row r="184" spans="1:29" x14ac:dyDescent="0.35">
      <c r="A184">
        <f t="shared" si="19"/>
        <v>182</v>
      </c>
      <c r="B184" t="str">
        <f>WR_Raw!A179</f>
        <v>Mecole Hardman Jr.</v>
      </c>
      <c r="C184" t="s">
        <v>32</v>
      </c>
      <c r="D184">
        <f>_xlfn.IFNA(INDEX(BYEs!E:E,MATCH(B184,BYEs!D:D,0)),"N/A")</f>
        <v>26</v>
      </c>
      <c r="E184">
        <f>INDEX(BYEs!$B$2:$B$34,MATCH(F184,BYEs!$A$2:$A$34,0))</f>
        <v>6</v>
      </c>
      <c r="F184" t="str">
        <f>WR_Raw!B179</f>
        <v>KC</v>
      </c>
      <c r="G184" s="202">
        <v>0</v>
      </c>
      <c r="H184" s="203">
        <v>0</v>
      </c>
      <c r="I184" s="200">
        <f>WR_Raw!F179</f>
        <v>2.1</v>
      </c>
      <c r="J184" s="200">
        <f>WR_Raw!G179</f>
        <v>15.4</v>
      </c>
      <c r="K184" s="200">
        <f>WR_Raw!H179</f>
        <v>0.1</v>
      </c>
      <c r="L184" s="202">
        <f>WR_Raw!C179</f>
        <v>5.2</v>
      </c>
      <c r="M184" s="200">
        <f>WR_Raw!D179</f>
        <v>65.5</v>
      </c>
      <c r="N184" s="203">
        <f>WR_Raw!E179</f>
        <v>0.6</v>
      </c>
      <c r="O184" s="200">
        <f>WR_Raw!I179</f>
        <v>0</v>
      </c>
      <c r="P184" s="204">
        <f t="shared" si="20"/>
        <v>14.89</v>
      </c>
      <c r="Q184" t="str">
        <f t="shared" ca="1" si="21"/>
        <v>Undrafted</v>
      </c>
      <c r="R184">
        <f t="shared" ca="1" si="22"/>
        <v>0</v>
      </c>
      <c r="S184">
        <f t="shared" ca="1" si="23"/>
        <v>-97.87</v>
      </c>
      <c r="T184" s="84">
        <f t="shared" ca="1" si="24"/>
        <v>-16.146548931969971</v>
      </c>
      <c r="U184" s="84">
        <f ca="1">T184*Auction!$A$2</f>
        <v>-16.146548931969971</v>
      </c>
      <c r="V184" s="5" t="str">
        <f>IF(OR(INDEX(Auction!$H$13:$H$650,MATCH(B184,Auction!$A$13:$A$650,0))&gt;0,IFERROR(INDEX(CheatSheet!$V$5:$V$64,MATCH(B184,CheatSheet!$S$5:$S$64,0)),"")&lt;&gt;""),"Yes","No")</f>
        <v>No</v>
      </c>
      <c r="W184" s="175"/>
      <c r="Y184" s="113">
        <f t="shared" ca="1" si="25"/>
        <v>1</v>
      </c>
      <c r="Z184" s="174">
        <f t="shared" ca="1" si="29"/>
        <v>-48.935000000000002</v>
      </c>
      <c r="AA184" t="str">
        <f t="shared" ca="1" si="30"/>
        <v>WR8</v>
      </c>
      <c r="AB184" s="174">
        <f ca="1">Z184*LeagueInfo!$H$5</f>
        <v>-15.803566914026206</v>
      </c>
      <c r="AC184" s="174">
        <f ca="1">(Z184-AVERAGE(Z:$Z))/_xlfn.STDEV.P(Z:Z)</f>
        <v>-0.89846829293513231</v>
      </c>
    </row>
    <row r="185" spans="1:29" x14ac:dyDescent="0.35">
      <c r="A185">
        <f t="shared" si="19"/>
        <v>182</v>
      </c>
      <c r="B185" t="str">
        <f>WR_Raw!A185</f>
        <v>Charlie Jones</v>
      </c>
      <c r="C185" t="s">
        <v>32</v>
      </c>
      <c r="D185">
        <f>_xlfn.IFNA(INDEX(BYEs!E:E,MATCH(B185,BYEs!D:D,0)),"N/A")</f>
        <v>25</v>
      </c>
      <c r="E185">
        <f>INDEX(BYEs!$B$2:$B$34,MATCH(F185,BYEs!$A$2:$A$34,0))</f>
        <v>12</v>
      </c>
      <c r="F185" t="str">
        <f>WR_Raw!B185</f>
        <v>CIN</v>
      </c>
      <c r="G185" s="202">
        <v>0</v>
      </c>
      <c r="H185" s="203">
        <v>0</v>
      </c>
      <c r="I185" s="200">
        <f>WR_Raw!F185</f>
        <v>0</v>
      </c>
      <c r="J185" s="200">
        <f>WR_Raw!G185</f>
        <v>1.7</v>
      </c>
      <c r="K185" s="200">
        <f>WR_Raw!H185</f>
        <v>0</v>
      </c>
      <c r="L185" s="202">
        <f>WR_Raw!C185</f>
        <v>6.8</v>
      </c>
      <c r="M185" s="200">
        <f>WR_Raw!D185</f>
        <v>83.2</v>
      </c>
      <c r="N185" s="203">
        <f>WR_Raw!E185</f>
        <v>0.5</v>
      </c>
      <c r="O185" s="200">
        <f>WR_Raw!I185</f>
        <v>0</v>
      </c>
      <c r="P185" s="204">
        <f t="shared" si="20"/>
        <v>14.89</v>
      </c>
      <c r="Q185" t="str">
        <f t="shared" ca="1" si="21"/>
        <v>Undrafted</v>
      </c>
      <c r="R185">
        <f t="shared" ca="1" si="22"/>
        <v>0</v>
      </c>
      <c r="S185">
        <f t="shared" ca="1" si="23"/>
        <v>-97.87</v>
      </c>
      <c r="T185" s="84">
        <f t="shared" ca="1" si="24"/>
        <v>-16.146548931969971</v>
      </c>
      <c r="U185" s="84">
        <f ca="1">T185*Auction!$A$2</f>
        <v>-16.146548931969971</v>
      </c>
      <c r="V185" s="5" t="str">
        <f>IF(OR(INDEX(Auction!$H$13:$H$650,MATCH(B185,Auction!$A$13:$A$650,0))&gt;0,IFERROR(INDEX(CheatSheet!$V$5:$V$64,MATCH(B185,CheatSheet!$S$5:$S$64,0)),"")&lt;&gt;""),"Yes","No")</f>
        <v>No</v>
      </c>
      <c r="W185" s="175"/>
      <c r="Y185" s="113">
        <f t="shared" ca="1" si="25"/>
        <v>1</v>
      </c>
      <c r="Z185" s="174">
        <f t="shared" ca="1" si="29"/>
        <v>-48.935000000000002</v>
      </c>
      <c r="AA185" t="str">
        <f t="shared" ca="1" si="30"/>
        <v>WR8</v>
      </c>
      <c r="AB185" s="174">
        <f ca="1">Z185*LeagueInfo!$H$5</f>
        <v>-15.803566914026206</v>
      </c>
      <c r="AC185" s="174">
        <f ca="1">(Z185-AVERAGE(Z:$Z))/_xlfn.STDEV.P(Z:Z)</f>
        <v>-0.89846829293513231</v>
      </c>
    </row>
    <row r="186" spans="1:29" x14ac:dyDescent="0.35">
      <c r="A186">
        <f t="shared" si="19"/>
        <v>184</v>
      </c>
      <c r="B186" t="str">
        <f>WR_Raw!A184</f>
        <v>Jalen Guyton</v>
      </c>
      <c r="C186" t="s">
        <v>32</v>
      </c>
      <c r="D186" t="str">
        <f>_xlfn.IFNA(INDEX(BYEs!E:E,MATCH(B186,BYEs!D:D,0)),"N/A")</f>
        <v>N/A</v>
      </c>
      <c r="E186">
        <f>INDEX(BYEs!$B$2:$B$34,MATCH(F186,BYEs!$A$2:$A$34,0))</f>
        <v>10</v>
      </c>
      <c r="F186" t="str">
        <f>WR_Raw!B184</f>
        <v>LV</v>
      </c>
      <c r="G186" s="202">
        <v>0</v>
      </c>
      <c r="H186" s="203">
        <v>0</v>
      </c>
      <c r="I186" s="200">
        <f>WR_Raw!F184</f>
        <v>0</v>
      </c>
      <c r="J186" s="200">
        <f>WR_Raw!G184</f>
        <v>2</v>
      </c>
      <c r="K186" s="200">
        <f>WR_Raw!H184</f>
        <v>0</v>
      </c>
      <c r="L186" s="202">
        <f>WR_Raw!C184</f>
        <v>6</v>
      </c>
      <c r="M186" s="200">
        <f>WR_Raw!D184</f>
        <v>80</v>
      </c>
      <c r="N186" s="203">
        <f>WR_Raw!E184</f>
        <v>0.6</v>
      </c>
      <c r="O186" s="200">
        <f>WR_Raw!I184</f>
        <v>0</v>
      </c>
      <c r="P186" s="204">
        <f t="shared" si="20"/>
        <v>14.799999999999999</v>
      </c>
      <c r="Q186" t="str">
        <f t="shared" ca="1" si="21"/>
        <v>Undrafted</v>
      </c>
      <c r="R186">
        <f t="shared" ca="1" si="22"/>
        <v>0</v>
      </c>
      <c r="S186">
        <f t="shared" ca="1" si="23"/>
        <v>-97.960000000000008</v>
      </c>
      <c r="T186" s="84">
        <f t="shared" ca="1" si="24"/>
        <v>-16.161397091813409</v>
      </c>
      <c r="U186" s="84">
        <f ca="1">T186*Auction!$A$2</f>
        <v>-16.161397091813409</v>
      </c>
      <c r="V186" s="5" t="str">
        <f>IF(OR(INDEX(Auction!$H$13:$H$650,MATCH(B186,Auction!$A$13:$A$650,0))&gt;0,IFERROR(INDEX(CheatSheet!$V$5:$V$64,MATCH(B186,CheatSheet!$S$5:$S$64,0)),"")&lt;&gt;""),"Yes","No")</f>
        <v>No</v>
      </c>
      <c r="W186" s="175"/>
      <c r="Y186" s="113">
        <f t="shared" ca="1" si="25"/>
        <v>1</v>
      </c>
      <c r="Z186" s="174">
        <f t="shared" ca="1" si="29"/>
        <v>-48.980000000000004</v>
      </c>
      <c r="AA186" t="str">
        <f t="shared" ca="1" si="30"/>
        <v>WR8</v>
      </c>
      <c r="AB186" s="174">
        <f ca="1">Z186*LeagueInfo!$H$5</f>
        <v>-15.818099671993533</v>
      </c>
      <c r="AC186" s="174">
        <f ca="1">(Z186-AVERAGE(Z:$Z))/_xlfn.STDEV.P(Z:Z)</f>
        <v>-0.89959104129942258</v>
      </c>
    </row>
    <row r="187" spans="1:29" x14ac:dyDescent="0.35">
      <c r="A187">
        <f t="shared" si="19"/>
        <v>185</v>
      </c>
      <c r="B187" t="str">
        <f>WR_Raw!A186</f>
        <v>Ashton Dulin</v>
      </c>
      <c r="C187" t="s">
        <v>32</v>
      </c>
      <c r="D187" t="str">
        <f>_xlfn.IFNA(INDEX(BYEs!E:E,MATCH(B187,BYEs!D:D,0)),"N/A")</f>
        <v>N/A</v>
      </c>
      <c r="E187">
        <f>INDEX(BYEs!$B$2:$B$34,MATCH(F187,BYEs!$A$2:$A$34,0))</f>
        <v>14</v>
      </c>
      <c r="F187" t="str">
        <f>WR_Raw!B186</f>
        <v>IND</v>
      </c>
      <c r="G187" s="202">
        <v>0</v>
      </c>
      <c r="H187" s="203">
        <v>0</v>
      </c>
      <c r="I187" s="200">
        <f>WR_Raw!F186</f>
        <v>0</v>
      </c>
      <c r="J187" s="200">
        <f>WR_Raw!G186</f>
        <v>2</v>
      </c>
      <c r="K187" s="200">
        <f>WR_Raw!H186</f>
        <v>0</v>
      </c>
      <c r="L187" s="202">
        <f>WR_Raw!C186</f>
        <v>6.5</v>
      </c>
      <c r="M187" s="200">
        <f>WR_Raw!D186</f>
        <v>75.099999999999994</v>
      </c>
      <c r="N187" s="203">
        <f>WR_Raw!E186</f>
        <v>0.6</v>
      </c>
      <c r="O187" s="200">
        <f>WR_Raw!I186</f>
        <v>0</v>
      </c>
      <c r="P187" s="204">
        <f t="shared" si="20"/>
        <v>14.56</v>
      </c>
      <c r="Q187" t="str">
        <f t="shared" ca="1" si="21"/>
        <v>Undrafted</v>
      </c>
      <c r="R187">
        <f t="shared" ca="1" si="22"/>
        <v>0</v>
      </c>
      <c r="S187">
        <f t="shared" ca="1" si="23"/>
        <v>-98.2</v>
      </c>
      <c r="T187" s="84">
        <f t="shared" ca="1" si="24"/>
        <v>-16.200992184729241</v>
      </c>
      <c r="U187" s="84">
        <f ca="1">T187*Auction!$A$2</f>
        <v>-16.200992184729241</v>
      </c>
      <c r="V187" s="5" t="str">
        <f>IF(OR(INDEX(Auction!$H$13:$H$650,MATCH(B187,Auction!$A$13:$A$650,0))&gt;0,IFERROR(INDEX(CheatSheet!$V$5:$V$64,MATCH(B187,CheatSheet!$S$5:$S$64,0)),"")&lt;&gt;""),"Yes","No")</f>
        <v>No</v>
      </c>
      <c r="W187" s="175"/>
      <c r="Y187" s="113">
        <f t="shared" ca="1" si="25"/>
        <v>1</v>
      </c>
      <c r="Z187" s="174">
        <f t="shared" ca="1" si="29"/>
        <v>-49.1</v>
      </c>
      <c r="AA187" t="str">
        <f t="shared" ca="1" si="30"/>
        <v>WR8</v>
      </c>
      <c r="AB187" s="174">
        <f ca="1">Z187*LeagueInfo!$H$5</f>
        <v>-15.85685369323974</v>
      </c>
      <c r="AC187" s="174">
        <f ca="1">(Z187-AVERAGE(Z:$Z))/_xlfn.STDEV.P(Z:Z)</f>
        <v>-0.90258503693752978</v>
      </c>
    </row>
    <row r="188" spans="1:29" x14ac:dyDescent="0.35">
      <c r="A188">
        <f t="shared" si="19"/>
        <v>186</v>
      </c>
      <c r="B188" t="str">
        <f>WR_Raw!A187</f>
        <v>Ronnie Bell</v>
      </c>
      <c r="C188" t="s">
        <v>32</v>
      </c>
      <c r="D188" t="str">
        <f>_xlfn.IFNA(INDEX(BYEs!E:E,MATCH(B188,BYEs!D:D,0)),"N/A")</f>
        <v>N/A</v>
      </c>
      <c r="E188">
        <f>INDEX(BYEs!$B$2:$B$34,MATCH(F188,BYEs!$A$2:$A$34,0))</f>
        <v>9</v>
      </c>
      <c r="F188" t="str">
        <f>WR_Raw!B187</f>
        <v>SF</v>
      </c>
      <c r="G188" s="202">
        <v>0</v>
      </c>
      <c r="H188" s="203">
        <v>0</v>
      </c>
      <c r="I188" s="200">
        <f>WR_Raw!F187</f>
        <v>0</v>
      </c>
      <c r="J188" s="200">
        <f>WR_Raw!G187</f>
        <v>2</v>
      </c>
      <c r="K188" s="200">
        <f>WR_Raw!H187</f>
        <v>0</v>
      </c>
      <c r="L188" s="202">
        <f>WR_Raw!C187</f>
        <v>6.3</v>
      </c>
      <c r="M188" s="200">
        <f>WR_Raw!D187</f>
        <v>76.099999999999994</v>
      </c>
      <c r="N188" s="203">
        <f>WR_Raw!E187</f>
        <v>0.6</v>
      </c>
      <c r="O188" s="200">
        <f>WR_Raw!I187</f>
        <v>0</v>
      </c>
      <c r="P188" s="204">
        <f t="shared" si="20"/>
        <v>14.559999999999999</v>
      </c>
      <c r="Q188" t="str">
        <f t="shared" ca="1" si="21"/>
        <v>Undrafted</v>
      </c>
      <c r="R188">
        <f t="shared" ca="1" si="22"/>
        <v>0</v>
      </c>
      <c r="S188">
        <f t="shared" ca="1" si="23"/>
        <v>-98.2</v>
      </c>
      <c r="T188" s="84">
        <f t="shared" ca="1" si="24"/>
        <v>-16.200992184729241</v>
      </c>
      <c r="U188" s="84">
        <f ca="1">T188*Auction!$A$2</f>
        <v>-16.200992184729241</v>
      </c>
      <c r="V188" s="5" t="str">
        <f>IF(OR(INDEX(Auction!$H$13:$H$650,MATCH(B188,Auction!$A$13:$A$650,0))&gt;0,IFERROR(INDEX(CheatSheet!$V$5:$V$64,MATCH(B188,CheatSheet!$S$5:$S$64,0)),"")&lt;&gt;""),"Yes","No")</f>
        <v>No</v>
      </c>
      <c r="W188" s="175"/>
      <c r="Y188" s="113">
        <f t="shared" ca="1" si="25"/>
        <v>1</v>
      </c>
      <c r="Z188" s="174">
        <f t="shared" ca="1" si="29"/>
        <v>-49.1</v>
      </c>
      <c r="AA188" t="str">
        <f t="shared" ca="1" si="30"/>
        <v>WR8</v>
      </c>
      <c r="AB188" s="174">
        <f ca="1">Z188*LeagueInfo!$H$5</f>
        <v>-15.85685369323974</v>
      </c>
      <c r="AC188" s="174">
        <f ca="1">(Z188-AVERAGE(Z:$Z))/_xlfn.STDEV.P(Z:Z)</f>
        <v>-0.90258503693752978</v>
      </c>
    </row>
    <row r="189" spans="1:29" x14ac:dyDescent="0.35">
      <c r="A189">
        <f t="shared" si="19"/>
        <v>187</v>
      </c>
      <c r="B189" t="str">
        <f>WR_Raw!A192</f>
        <v>River Cracraft</v>
      </c>
      <c r="C189" t="s">
        <v>32</v>
      </c>
      <c r="D189" t="str">
        <f>_xlfn.IFNA(INDEX(BYEs!E:E,MATCH(B189,BYEs!D:D,0)),"N/A")</f>
        <v>N/A</v>
      </c>
      <c r="E189">
        <f>INDEX(BYEs!$B$2:$B$34,MATCH(F189,BYEs!$A$2:$A$34,0))</f>
        <v>6</v>
      </c>
      <c r="F189" t="str">
        <f>WR_Raw!B192</f>
        <v>MIA</v>
      </c>
      <c r="G189" s="202">
        <v>0</v>
      </c>
      <c r="H189" s="203">
        <v>0</v>
      </c>
      <c r="I189" s="200">
        <f>WR_Raw!F192</f>
        <v>0</v>
      </c>
      <c r="J189" s="200">
        <f>WR_Raw!G192</f>
        <v>0</v>
      </c>
      <c r="K189" s="200">
        <f>WR_Raw!H192</f>
        <v>0</v>
      </c>
      <c r="L189" s="202">
        <f>WR_Raw!C192</f>
        <v>9.3000000000000007</v>
      </c>
      <c r="M189" s="200">
        <f>WR_Raw!D192</f>
        <v>78.900000000000006</v>
      </c>
      <c r="N189" s="203">
        <f>WR_Raw!E192</f>
        <v>0.3</v>
      </c>
      <c r="O189" s="200">
        <f>WR_Raw!I192</f>
        <v>0</v>
      </c>
      <c r="P189" s="204">
        <f t="shared" si="20"/>
        <v>14.34</v>
      </c>
      <c r="Q189" t="str">
        <f t="shared" ca="1" si="21"/>
        <v>Undrafted</v>
      </c>
      <c r="R189">
        <f t="shared" ca="1" si="22"/>
        <v>0</v>
      </c>
      <c r="S189">
        <f t="shared" ca="1" si="23"/>
        <v>-98.42</v>
      </c>
      <c r="T189" s="84">
        <f t="shared" ca="1" si="24"/>
        <v>-16.237287686568759</v>
      </c>
      <c r="U189" s="84">
        <f ca="1">T189*Auction!$A$2</f>
        <v>-16.237287686568759</v>
      </c>
      <c r="V189" s="5" t="str">
        <f>IF(OR(INDEX(Auction!$H$13:$H$650,MATCH(B189,Auction!$A$13:$A$650,0))&gt;0,IFERROR(INDEX(CheatSheet!$V$5:$V$64,MATCH(B189,CheatSheet!$S$5:$S$64,0)),"")&lt;&gt;""),"Yes","No")</f>
        <v>No</v>
      </c>
      <c r="W189" s="175"/>
      <c r="Y189" s="113">
        <f t="shared" ca="1" si="25"/>
        <v>1</v>
      </c>
      <c r="Z189" s="174">
        <f t="shared" ca="1" si="29"/>
        <v>-49.21</v>
      </c>
      <c r="AA189" t="str">
        <f t="shared" ca="1" si="30"/>
        <v>WR8</v>
      </c>
      <c r="AB189" s="174">
        <f ca="1">Z189*LeagueInfo!$H$5</f>
        <v>-15.89237821271543</v>
      </c>
      <c r="AC189" s="174">
        <f ca="1">(Z189-AVERAGE(Z:$Z))/_xlfn.STDEV.P(Z:Z)</f>
        <v>-0.90532953293912799</v>
      </c>
    </row>
    <row r="190" spans="1:29" x14ac:dyDescent="0.35">
      <c r="A190">
        <f t="shared" si="19"/>
        <v>188</v>
      </c>
      <c r="B190" t="str">
        <f>WR_Raw!A191</f>
        <v>Bryce Ford-Wheaton</v>
      </c>
      <c r="C190" t="s">
        <v>32</v>
      </c>
      <c r="D190" t="str">
        <f>_xlfn.IFNA(INDEX(BYEs!E:E,MATCH(B190,BYEs!D:D,0)),"N/A")</f>
        <v>N/A</v>
      </c>
      <c r="E190">
        <f>INDEX(BYEs!$B$2:$B$34,MATCH(F190,BYEs!$A$2:$A$34,0))</f>
        <v>11</v>
      </c>
      <c r="F190" t="str">
        <f>WR_Raw!B191</f>
        <v>NYG</v>
      </c>
      <c r="G190" s="202">
        <v>0</v>
      </c>
      <c r="H190" s="203">
        <v>0</v>
      </c>
      <c r="I190" s="200">
        <f>WR_Raw!F191</f>
        <v>0</v>
      </c>
      <c r="J190" s="200">
        <f>WR_Raw!G191</f>
        <v>0</v>
      </c>
      <c r="K190" s="200">
        <f>WR_Raw!H191</f>
        <v>0</v>
      </c>
      <c r="L190" s="202">
        <f>WR_Raw!C191</f>
        <v>7.1</v>
      </c>
      <c r="M190" s="200">
        <f>WR_Raw!D191</f>
        <v>74.8</v>
      </c>
      <c r="N190" s="203">
        <f>WR_Raw!E191</f>
        <v>0.4</v>
      </c>
      <c r="O190" s="200">
        <f>WR_Raw!I191</f>
        <v>0</v>
      </c>
      <c r="P190" s="204">
        <f t="shared" si="20"/>
        <v>13.430000000000001</v>
      </c>
      <c r="Q190" t="str">
        <f t="shared" ca="1" si="21"/>
        <v>Undrafted</v>
      </c>
      <c r="R190">
        <f t="shared" ca="1" si="22"/>
        <v>0</v>
      </c>
      <c r="S190">
        <f t="shared" ca="1" si="23"/>
        <v>-99.33</v>
      </c>
      <c r="T190" s="84">
        <f t="shared" ca="1" si="24"/>
        <v>-16.387419080541299</v>
      </c>
      <c r="U190" s="84">
        <f ca="1">T190*Auction!$A$2</f>
        <v>-16.387419080541299</v>
      </c>
      <c r="V190" s="5" t="str">
        <f>IF(OR(INDEX(Auction!$H$13:$H$650,MATCH(B190,Auction!$A$13:$A$650,0))&gt;0,IFERROR(INDEX(CheatSheet!$V$5:$V$64,MATCH(B190,CheatSheet!$S$5:$S$64,0)),"")&lt;&gt;""),"Yes","No")</f>
        <v>No</v>
      </c>
      <c r="W190" s="175"/>
      <c r="Y190" s="113">
        <f t="shared" ca="1" si="25"/>
        <v>1</v>
      </c>
      <c r="Z190" s="174">
        <f t="shared" ca="1" si="29"/>
        <v>-49.664999999999999</v>
      </c>
      <c r="AA190" t="str">
        <f t="shared" ca="1" si="30"/>
        <v>WR8</v>
      </c>
      <c r="AB190" s="174">
        <f ca="1">Z190*LeagueInfo!$H$5</f>
        <v>-16.039320543273963</v>
      </c>
      <c r="AC190" s="174">
        <f ca="1">(Z190-AVERAGE(Z:$Z))/_xlfn.STDEV.P(Z:Z)</f>
        <v>-0.91668176640028465</v>
      </c>
    </row>
    <row r="191" spans="1:29" x14ac:dyDescent="0.35">
      <c r="A191">
        <f t="shared" si="19"/>
        <v>189</v>
      </c>
      <c r="B191" t="str">
        <f>WR_Raw!A188</f>
        <v>Laviska Shenault Jr.</v>
      </c>
      <c r="C191" t="s">
        <v>32</v>
      </c>
      <c r="D191" t="str">
        <f>_xlfn.IFNA(INDEX(BYEs!E:E,MATCH(B191,BYEs!D:D,0)),"N/A")</f>
        <v>N/A</v>
      </c>
      <c r="E191">
        <f>INDEX(BYEs!$B$2:$B$34,MATCH(F191,BYEs!$A$2:$A$34,0))</f>
        <v>10</v>
      </c>
      <c r="F191" t="str">
        <f>WR_Raw!B188</f>
        <v>SEA</v>
      </c>
      <c r="G191" s="202">
        <v>0</v>
      </c>
      <c r="H191" s="203">
        <v>0</v>
      </c>
      <c r="I191" s="200">
        <f>WR_Raw!F188</f>
        <v>5.3</v>
      </c>
      <c r="J191" s="200">
        <f>WR_Raw!G188</f>
        <v>36.4</v>
      </c>
      <c r="K191" s="200">
        <f>WR_Raw!H188</f>
        <v>0.1</v>
      </c>
      <c r="L191" s="202">
        <f>WR_Raw!C188</f>
        <v>5.2</v>
      </c>
      <c r="M191" s="200">
        <f>WR_Raw!D188</f>
        <v>55.1</v>
      </c>
      <c r="N191" s="203">
        <f>WR_Raw!E188</f>
        <v>0.2</v>
      </c>
      <c r="O191" s="200">
        <f>WR_Raw!I188</f>
        <v>0.1</v>
      </c>
      <c r="P191" s="204">
        <f t="shared" si="20"/>
        <v>13.350000000000001</v>
      </c>
      <c r="Q191" t="str">
        <f t="shared" ca="1" si="21"/>
        <v>Undrafted</v>
      </c>
      <c r="R191">
        <f t="shared" ca="1" si="22"/>
        <v>0</v>
      </c>
      <c r="S191">
        <f t="shared" ca="1" si="23"/>
        <v>-99.41</v>
      </c>
      <c r="T191" s="84">
        <f t="shared" ca="1" si="24"/>
        <v>-16.400617444846578</v>
      </c>
      <c r="U191" s="84">
        <f ca="1">T191*Auction!$A$2</f>
        <v>-16.400617444846578</v>
      </c>
      <c r="V191" s="5" t="str">
        <f>IF(OR(INDEX(Auction!$H$13:$H$650,MATCH(B191,Auction!$A$13:$A$650,0))&gt;0,IFERROR(INDEX(CheatSheet!$V$5:$V$64,MATCH(B191,CheatSheet!$S$5:$S$64,0)),"")&lt;&gt;""),"Yes","No")</f>
        <v>No</v>
      </c>
      <c r="W191" s="175"/>
      <c r="Y191" s="113">
        <f t="shared" ca="1" si="25"/>
        <v>1</v>
      </c>
      <c r="Z191" s="174">
        <f t="shared" ca="1" si="29"/>
        <v>-49.704999999999998</v>
      </c>
      <c r="AA191" t="str">
        <f t="shared" ca="1" si="30"/>
        <v>WR8</v>
      </c>
      <c r="AB191" s="174">
        <f ca="1">Z191*LeagueInfo!$H$5</f>
        <v>-16.052238550356034</v>
      </c>
      <c r="AC191" s="174">
        <f ca="1">(Z191-AVERAGE(Z:$Z))/_xlfn.STDEV.P(Z:Z)</f>
        <v>-0.91767976494632042</v>
      </c>
    </row>
    <row r="192" spans="1:29" x14ac:dyDescent="0.35">
      <c r="A192">
        <f t="shared" si="19"/>
        <v>190</v>
      </c>
      <c r="B192" t="str">
        <f>WR_Raw!A189</f>
        <v>Bo Melton</v>
      </c>
      <c r="C192" t="s">
        <v>32</v>
      </c>
      <c r="D192">
        <f>_xlfn.IFNA(INDEX(BYEs!E:E,MATCH(B192,BYEs!D:D,0)),"N/A")</f>
        <v>25</v>
      </c>
      <c r="E192">
        <f>INDEX(BYEs!$B$2:$B$34,MATCH(F192,BYEs!$A$2:$A$34,0))</f>
        <v>10</v>
      </c>
      <c r="F192" t="str">
        <f>WR_Raw!B189</f>
        <v>GB</v>
      </c>
      <c r="G192" s="202">
        <v>0</v>
      </c>
      <c r="H192" s="203">
        <v>0</v>
      </c>
      <c r="I192" s="200">
        <f>WR_Raw!F189</f>
        <v>1</v>
      </c>
      <c r="J192" s="200">
        <f>WR_Raw!G189</f>
        <v>6.3</v>
      </c>
      <c r="K192" s="200">
        <f>WR_Raw!H189</f>
        <v>0</v>
      </c>
      <c r="L192" s="202">
        <f>WR_Raw!C189</f>
        <v>5.9</v>
      </c>
      <c r="M192" s="200">
        <f>WR_Raw!D189</f>
        <v>68.599999999999994</v>
      </c>
      <c r="N192" s="203">
        <f>WR_Raw!E189</f>
        <v>0.5</v>
      </c>
      <c r="O192" s="200">
        <f>WR_Raw!I189</f>
        <v>0.1</v>
      </c>
      <c r="P192" s="204">
        <f t="shared" si="20"/>
        <v>13.24</v>
      </c>
      <c r="Q192" t="str">
        <f t="shared" ca="1" si="21"/>
        <v>Undrafted</v>
      </c>
      <c r="R192">
        <f t="shared" ca="1" si="22"/>
        <v>0</v>
      </c>
      <c r="S192">
        <f t="shared" ca="1" si="23"/>
        <v>-99.52000000000001</v>
      </c>
      <c r="T192" s="84">
        <f t="shared" ca="1" si="24"/>
        <v>-16.418765195766337</v>
      </c>
      <c r="U192" s="84">
        <f ca="1">T192*Auction!$A$2</f>
        <v>-16.418765195766337</v>
      </c>
      <c r="V192" s="5" t="str">
        <f>IF(OR(INDEX(Auction!$H$13:$H$650,MATCH(B192,Auction!$A$13:$A$650,0))&gt;0,IFERROR(INDEX(CheatSheet!$V$5:$V$64,MATCH(B192,CheatSheet!$S$5:$S$64,0)),"")&lt;&gt;""),"Yes","No")</f>
        <v>No</v>
      </c>
      <c r="W192" s="175"/>
      <c r="Y192" s="113">
        <f t="shared" ca="1" si="25"/>
        <v>1</v>
      </c>
      <c r="Z192" s="174">
        <f t="shared" ca="1" si="29"/>
        <v>-49.760000000000005</v>
      </c>
      <c r="AA192" t="str">
        <f t="shared" ca="1" si="30"/>
        <v>WR8</v>
      </c>
      <c r="AB192" s="174">
        <f ca="1">Z192*LeagueInfo!$H$5</f>
        <v>-16.07000081009388</v>
      </c>
      <c r="AC192" s="174">
        <f ca="1">(Z192-AVERAGE(Z:$Z))/_xlfn.STDEV.P(Z:Z)</f>
        <v>-0.91905201294711969</v>
      </c>
    </row>
    <row r="193" spans="1:29" x14ac:dyDescent="0.35">
      <c r="A193">
        <f t="shared" si="19"/>
        <v>191</v>
      </c>
      <c r="B193" t="str">
        <f>WR_Raw!A190</f>
        <v>Chris Conley</v>
      </c>
      <c r="C193" t="s">
        <v>32</v>
      </c>
      <c r="D193" t="str">
        <f>_xlfn.IFNA(INDEX(BYEs!E:E,MATCH(B193,BYEs!D:D,0)),"N/A")</f>
        <v>N/A</v>
      </c>
      <c r="E193">
        <f>INDEX(BYEs!$B$2:$B$34,MATCH(F193,BYEs!$A$2:$A$34,0))</f>
        <v>9</v>
      </c>
      <c r="F193" t="str">
        <f>WR_Raw!B190</f>
        <v>SF</v>
      </c>
      <c r="G193" s="202">
        <v>0</v>
      </c>
      <c r="H193" s="203">
        <v>0</v>
      </c>
      <c r="I193" s="200">
        <f>WR_Raw!F190</f>
        <v>0</v>
      </c>
      <c r="J193" s="200">
        <f>WR_Raw!G190</f>
        <v>2</v>
      </c>
      <c r="K193" s="200">
        <f>WR_Raw!H190</f>
        <v>0</v>
      </c>
      <c r="L193" s="202">
        <f>WR_Raw!C190</f>
        <v>5.3</v>
      </c>
      <c r="M193" s="200">
        <f>WR_Raw!D190</f>
        <v>65.099999999999994</v>
      </c>
      <c r="N193" s="203">
        <f>WR_Raw!E190</f>
        <v>0.6</v>
      </c>
      <c r="O193" s="200">
        <f>WR_Raw!I190</f>
        <v>0</v>
      </c>
      <c r="P193" s="204">
        <f t="shared" si="20"/>
        <v>12.959999999999999</v>
      </c>
      <c r="Q193" t="str">
        <f t="shared" ca="1" si="21"/>
        <v>Undrafted</v>
      </c>
      <c r="R193">
        <f t="shared" ca="1" si="22"/>
        <v>0</v>
      </c>
      <c r="S193">
        <f t="shared" ca="1" si="23"/>
        <v>-99.800000000000011</v>
      </c>
      <c r="T193" s="84">
        <f t="shared" ca="1" si="24"/>
        <v>-16.464959470834813</v>
      </c>
      <c r="U193" s="84">
        <f ca="1">T193*Auction!$A$2</f>
        <v>-16.464959470834813</v>
      </c>
      <c r="V193" s="5" t="str">
        <f>IF(OR(INDEX(Auction!$H$13:$H$650,MATCH(B193,Auction!$A$13:$A$650,0))&gt;0,IFERROR(INDEX(CheatSheet!$V$5:$V$64,MATCH(B193,CheatSheet!$S$5:$S$64,0)),"")&lt;&gt;""),"Yes","No")</f>
        <v>No</v>
      </c>
      <c r="W193" s="175"/>
      <c r="Y193" s="113">
        <f t="shared" ca="1" si="25"/>
        <v>1</v>
      </c>
      <c r="Z193" s="174">
        <f t="shared" ca="1" si="29"/>
        <v>-49.900000000000006</v>
      </c>
      <c r="AA193" t="str">
        <f t="shared" ca="1" si="30"/>
        <v>WR8</v>
      </c>
      <c r="AB193" s="174">
        <f ca="1">Z193*LeagueInfo!$H$5</f>
        <v>-16.115213834881121</v>
      </c>
      <c r="AC193" s="174">
        <f ca="1">(Z193-AVERAGE(Z:$Z))/_xlfn.STDEV.P(Z:Z)</f>
        <v>-0.92254500785824489</v>
      </c>
    </row>
    <row r="194" spans="1:29" x14ac:dyDescent="0.35">
      <c r="A194">
        <f t="shared" si="19"/>
        <v>192</v>
      </c>
      <c r="B194" t="str">
        <f>WR_Raw!A198</f>
        <v>Tre'Quan Smith</v>
      </c>
      <c r="C194" t="s">
        <v>32</v>
      </c>
      <c r="D194" t="str">
        <f>_xlfn.IFNA(INDEX(BYEs!E:E,MATCH(B194,BYEs!D:D,0)),"N/A")</f>
        <v>N/A</v>
      </c>
      <c r="E194">
        <f>INDEX(BYEs!$B$2:$B$34,MATCH(F194,BYEs!$A$2:$A$34,0))</f>
        <v>5</v>
      </c>
      <c r="F194" t="str">
        <f>WR_Raw!B198</f>
        <v>DET</v>
      </c>
      <c r="G194" s="202">
        <v>0</v>
      </c>
      <c r="H194" s="203">
        <v>0</v>
      </c>
      <c r="I194" s="200">
        <f>WR_Raw!F198</f>
        <v>0</v>
      </c>
      <c r="J194" s="200">
        <f>WR_Raw!G198</f>
        <v>0</v>
      </c>
      <c r="K194" s="200">
        <f>WR_Raw!H198</f>
        <v>0</v>
      </c>
      <c r="L194" s="202">
        <f>WR_Raw!C198</f>
        <v>11</v>
      </c>
      <c r="M194" s="200">
        <f>WR_Raw!D198</f>
        <v>74</v>
      </c>
      <c r="N194" s="203">
        <f>WR_Raw!E198</f>
        <v>0</v>
      </c>
      <c r="O194" s="200">
        <f>WR_Raw!I198</f>
        <v>0</v>
      </c>
      <c r="P194" s="204">
        <f t="shared" si="20"/>
        <v>12.9</v>
      </c>
      <c r="Q194" t="str">
        <f t="shared" ca="1" si="21"/>
        <v>Undrafted</v>
      </c>
      <c r="R194">
        <f t="shared" ca="1" si="22"/>
        <v>0</v>
      </c>
      <c r="S194">
        <f t="shared" ca="1" si="23"/>
        <v>-99.86</v>
      </c>
      <c r="T194" s="84">
        <f t="shared" ca="1" si="24"/>
        <v>-16.474858244063768</v>
      </c>
      <c r="U194" s="84">
        <f ca="1">T194*Auction!$A$2</f>
        <v>-16.474858244063768</v>
      </c>
      <c r="V194" s="5" t="str">
        <f>IF(OR(INDEX(Auction!$H$13:$H$650,MATCH(B194,Auction!$A$13:$A$650,0))&gt;0,IFERROR(INDEX(CheatSheet!$V$5:$V$64,MATCH(B194,CheatSheet!$S$5:$S$64,0)),"")&lt;&gt;""),"Yes","No")</f>
        <v>No</v>
      </c>
      <c r="W194" s="175"/>
      <c r="Y194" s="113">
        <f t="shared" ca="1" si="25"/>
        <v>1</v>
      </c>
      <c r="Z194" s="174">
        <f t="shared" ca="1" si="29"/>
        <v>-49.93</v>
      </c>
      <c r="AA194" t="str">
        <f t="shared" ca="1" si="30"/>
        <v>WR8</v>
      </c>
      <c r="AB194" s="174">
        <f ca="1">Z194*LeagueInfo!$H$5</f>
        <v>-16.124902340192673</v>
      </c>
      <c r="AC194" s="174">
        <f ca="1">(Z194-AVERAGE(Z:$Z))/_xlfn.STDEV.P(Z:Z)</f>
        <v>-0.92329350676777155</v>
      </c>
    </row>
    <row r="195" spans="1:29" x14ac:dyDescent="0.35">
      <c r="A195">
        <f t="shared" ref="A195:A213" si="31">RANK(P195,P:P)</f>
        <v>193</v>
      </c>
      <c r="B195" t="str">
        <f>WR_Raw!A193</f>
        <v>Tim Jones</v>
      </c>
      <c r="C195" t="s">
        <v>32</v>
      </c>
      <c r="D195" t="str">
        <f>_xlfn.IFNA(INDEX(BYEs!E:E,MATCH(B195,BYEs!D:D,0)),"N/A")</f>
        <v>N/A</v>
      </c>
      <c r="E195">
        <f>INDEX(BYEs!$B$2:$B$34,MATCH(F195,BYEs!$A$2:$A$34,0))</f>
        <v>12</v>
      </c>
      <c r="F195" t="str">
        <f>WR_Raw!B193</f>
        <v>JAC</v>
      </c>
      <c r="G195" s="202">
        <v>0</v>
      </c>
      <c r="H195" s="203">
        <v>0</v>
      </c>
      <c r="I195" s="200">
        <f>WR_Raw!F193</f>
        <v>0</v>
      </c>
      <c r="J195" s="200">
        <f>WR_Raw!G193</f>
        <v>2</v>
      </c>
      <c r="K195" s="200">
        <f>WR_Raw!H193</f>
        <v>0</v>
      </c>
      <c r="L195" s="202">
        <f>WR_Raw!C193</f>
        <v>4.9000000000000004</v>
      </c>
      <c r="M195" s="200">
        <f>WR_Raw!D193</f>
        <v>57</v>
      </c>
      <c r="N195" s="203">
        <f>WR_Raw!E193</f>
        <v>0.6</v>
      </c>
      <c r="O195" s="200">
        <f>WR_Raw!I193</f>
        <v>0</v>
      </c>
      <c r="P195" s="204">
        <f t="shared" ref="P195:P258" si="32">(J195*WRRushingYd)+(K195*WRRushingTD)+(L195*WRRec)+(M195*WRRecYd)+(N195*WRRecTD)+(O195*WRFuml)+(I195*WRRushAtt)</f>
        <v>11.950000000000001</v>
      </c>
      <c r="Q195" t="str">
        <f t="shared" ref="Q195:Q213" ca="1" si="33">IF(A195&lt;=WRStarters,"Starter",IF(A195&gt;WRStarters+WRBench,"Undrafted","Bench"))</f>
        <v>Undrafted</v>
      </c>
      <c r="R195">
        <f t="shared" ref="R195:R213" ca="1" si="34">IFERROR(MAX(P195-LARGE(WRSheetCount,WRStarters),0),0)</f>
        <v>0</v>
      </c>
      <c r="S195">
        <f t="shared" ref="S195:S213" ca="1" si="35">IFERROR(IF(AllowNegative="Yes",P195-LARGE(WRSheetCount,WRCount),MAX(P195-LARGE(WRSheetCount,WRCount),0)),0)</f>
        <v>-100.81</v>
      </c>
      <c r="T195" s="84">
        <f t="shared" ref="T195:T258" ca="1" si="36">(S195-R195)*BenchPF+R195*StarterPF</f>
        <v>-16.631588820188952</v>
      </c>
      <c r="U195" s="84">
        <f ca="1">T195*Auction!$A$2</f>
        <v>-16.631588820188952</v>
      </c>
      <c r="V195" s="5" t="str">
        <f>IF(OR(INDEX(Auction!$H$13:$H$650,MATCH(B195,Auction!$A$13:$A$650,0))&gt;0,IFERROR(INDEX(CheatSheet!$V$5:$V$64,MATCH(B195,CheatSheet!$S$5:$S$64,0)),"")&lt;&gt;""),"Yes","No")</f>
        <v>No</v>
      </c>
      <c r="W195" s="175"/>
      <c r="Y195" s="113">
        <f t="shared" ref="Y195:Y211" ca="1" si="37">IFERROR(SUMIFS(Z:Z,Z:Z,"&gt;0",V:V,"No")/SUMIF(Z:Z,"&gt;0"),0)</f>
        <v>1</v>
      </c>
      <c r="Z195" s="174">
        <f t="shared" ca="1" si="29"/>
        <v>-50.405000000000001</v>
      </c>
      <c r="AA195" t="str">
        <f t="shared" ca="1" si="30"/>
        <v>WR8</v>
      </c>
      <c r="AB195" s="174">
        <f ca="1">Z195*LeagueInfo!$H$5</f>
        <v>-16.278303674292243</v>
      </c>
      <c r="AC195" s="174">
        <f ca="1">(Z195-AVERAGE(Z:$Z))/_xlfn.STDEV.P(Z:Z)</f>
        <v>-0.9351447395019461</v>
      </c>
    </row>
    <row r="196" spans="1:29" x14ac:dyDescent="0.35">
      <c r="A196">
        <f t="shared" si="31"/>
        <v>194</v>
      </c>
      <c r="B196" t="str">
        <f>WR_Raw!A195</f>
        <v>Scotty Miller</v>
      </c>
      <c r="C196" t="s">
        <v>32</v>
      </c>
      <c r="D196" t="str">
        <f>_xlfn.IFNA(INDEX(BYEs!E:E,MATCH(B196,BYEs!D:D,0)),"N/A")</f>
        <v>N/A</v>
      </c>
      <c r="E196">
        <f>INDEX(BYEs!$B$2:$B$34,MATCH(F196,BYEs!$A$2:$A$34,0))</f>
        <v>9</v>
      </c>
      <c r="F196" t="str">
        <f>WR_Raw!B195</f>
        <v>PIT</v>
      </c>
      <c r="G196" s="202">
        <v>0</v>
      </c>
      <c r="H196" s="203">
        <v>0</v>
      </c>
      <c r="I196" s="200">
        <f>WR_Raw!F195</f>
        <v>0</v>
      </c>
      <c r="J196" s="200">
        <f>WR_Raw!G195</f>
        <v>1.3</v>
      </c>
      <c r="K196" s="200">
        <f>WR_Raw!H195</f>
        <v>0</v>
      </c>
      <c r="L196" s="202">
        <f>WR_Raw!C195</f>
        <v>5.6</v>
      </c>
      <c r="M196" s="200">
        <f>WR_Raw!D195</f>
        <v>69.599999999999994</v>
      </c>
      <c r="N196" s="203">
        <f>WR_Raw!E195</f>
        <v>0.3</v>
      </c>
      <c r="O196" s="200">
        <f>WR_Raw!I195</f>
        <v>0</v>
      </c>
      <c r="P196" s="204">
        <f t="shared" si="32"/>
        <v>11.690000000000001</v>
      </c>
      <c r="Q196" t="str">
        <f t="shared" ca="1" si="33"/>
        <v>Undrafted</v>
      </c>
      <c r="R196">
        <f t="shared" ca="1" si="34"/>
        <v>0</v>
      </c>
      <c r="S196">
        <f t="shared" ca="1" si="35"/>
        <v>-101.07000000000001</v>
      </c>
      <c r="T196" s="84">
        <f t="shared" ca="1" si="36"/>
        <v>-16.674483504181104</v>
      </c>
      <c r="U196" s="84">
        <f ca="1">T196*Auction!$A$2</f>
        <v>-16.674483504181104</v>
      </c>
      <c r="V196" s="5" t="str">
        <f>IF(OR(INDEX(Auction!$H$13:$H$650,MATCH(B196,Auction!$A$13:$A$650,0))&gt;0,IFERROR(INDEX(CheatSheet!$V$5:$V$64,MATCH(B196,CheatSheet!$S$5:$S$64,0)),"")&lt;&gt;""),"Yes","No")</f>
        <v>No</v>
      </c>
      <c r="W196" s="175"/>
      <c r="Y196" s="113">
        <f t="shared" ca="1" si="37"/>
        <v>1</v>
      </c>
      <c r="Z196" s="174">
        <f t="shared" ca="1" si="29"/>
        <v>-50.535000000000004</v>
      </c>
      <c r="AA196" t="str">
        <f t="shared" ca="1" si="30"/>
        <v>WR8</v>
      </c>
      <c r="AB196" s="174">
        <f ca="1">Z196*LeagueInfo!$H$5</f>
        <v>-16.320287197308968</v>
      </c>
      <c r="AC196" s="174">
        <f ca="1">(Z196-AVERAGE(Z:$Z))/_xlfn.STDEV.P(Z:Z)</f>
        <v>-0.9383882347765623</v>
      </c>
    </row>
    <row r="197" spans="1:29" x14ac:dyDescent="0.35">
      <c r="A197">
        <f t="shared" si="31"/>
        <v>195</v>
      </c>
      <c r="B197" t="str">
        <f>WR_Raw!A194</f>
        <v>Malik Heath</v>
      </c>
      <c r="C197" t="s">
        <v>32</v>
      </c>
      <c r="D197" t="str">
        <f>_xlfn.IFNA(INDEX(BYEs!E:E,MATCH(B197,BYEs!D:D,0)),"N/A")</f>
        <v>N/A</v>
      </c>
      <c r="E197">
        <f>INDEX(BYEs!$B$2:$B$34,MATCH(F197,BYEs!$A$2:$A$34,0))</f>
        <v>10</v>
      </c>
      <c r="F197" t="str">
        <f>WR_Raw!B194</f>
        <v>GB</v>
      </c>
      <c r="G197" s="202">
        <v>0</v>
      </c>
      <c r="H197" s="203">
        <v>0</v>
      </c>
      <c r="I197" s="200">
        <f>WR_Raw!F194</f>
        <v>0</v>
      </c>
      <c r="J197" s="200">
        <f>WR_Raw!G194</f>
        <v>1</v>
      </c>
      <c r="K197" s="200">
        <f>WR_Raw!H194</f>
        <v>0</v>
      </c>
      <c r="L197" s="202">
        <f>WR_Raw!C194</f>
        <v>4.9000000000000004</v>
      </c>
      <c r="M197" s="200">
        <f>WR_Raw!D194</f>
        <v>56.7</v>
      </c>
      <c r="N197" s="203">
        <f>WR_Raw!E194</f>
        <v>0.5</v>
      </c>
      <c r="O197" s="200">
        <f>WR_Raw!I194</f>
        <v>0</v>
      </c>
      <c r="P197" s="204">
        <f t="shared" si="32"/>
        <v>11.22</v>
      </c>
      <c r="Q197" t="str">
        <f t="shared" ca="1" si="33"/>
        <v>Undrafted</v>
      </c>
      <c r="R197">
        <f t="shared" ca="1" si="34"/>
        <v>0</v>
      </c>
      <c r="S197">
        <f t="shared" ca="1" si="35"/>
        <v>-101.54</v>
      </c>
      <c r="T197" s="84">
        <f t="shared" ca="1" si="36"/>
        <v>-16.752023894474618</v>
      </c>
      <c r="U197" s="84">
        <f ca="1">T197*Auction!$A$2</f>
        <v>-16.752023894474618</v>
      </c>
      <c r="V197" s="5" t="str">
        <f>IF(OR(INDEX(Auction!$H$13:$H$650,MATCH(B197,Auction!$A$13:$A$650,0))&gt;0,IFERROR(INDEX(CheatSheet!$V$5:$V$64,MATCH(B197,CheatSheet!$S$5:$S$64,0)),"")&lt;&gt;""),"Yes","No")</f>
        <v>No</v>
      </c>
      <c r="W197" s="175"/>
      <c r="Y197" s="113">
        <f t="shared" ca="1" si="37"/>
        <v>1</v>
      </c>
      <c r="Z197" s="174">
        <f t="shared" ca="1" si="29"/>
        <v>-50.77</v>
      </c>
      <c r="AA197" t="str">
        <f t="shared" ca="1" si="30"/>
        <v>WR8</v>
      </c>
      <c r="AB197" s="174">
        <f ca="1">Z197*LeagueInfo!$H$5</f>
        <v>-16.396180488916123</v>
      </c>
      <c r="AC197" s="174">
        <f ca="1">(Z197-AVERAGE(Z:$Z))/_xlfn.STDEV.P(Z:Z)</f>
        <v>-0.94425147623452232</v>
      </c>
    </row>
    <row r="198" spans="1:29" x14ac:dyDescent="0.35">
      <c r="A198">
        <f t="shared" si="31"/>
        <v>196</v>
      </c>
      <c r="B198" t="str">
        <f>WR_Raw!A196</f>
        <v>Dareke Young</v>
      </c>
      <c r="C198" t="s">
        <v>32</v>
      </c>
      <c r="D198" t="str">
        <f>_xlfn.IFNA(INDEX(BYEs!E:E,MATCH(B198,BYEs!D:D,0)),"N/A")</f>
        <v>N/A</v>
      </c>
      <c r="E198">
        <f>INDEX(BYEs!$B$2:$B$34,MATCH(F198,BYEs!$A$2:$A$34,0))</f>
        <v>10</v>
      </c>
      <c r="F198" t="str">
        <f>WR_Raw!B196</f>
        <v>SEA</v>
      </c>
      <c r="G198" s="202">
        <v>0</v>
      </c>
      <c r="H198" s="203">
        <v>0</v>
      </c>
      <c r="I198" s="200">
        <f>WR_Raw!F196</f>
        <v>0</v>
      </c>
      <c r="J198" s="200">
        <f>WR_Raw!G196</f>
        <v>0</v>
      </c>
      <c r="K198" s="200">
        <f>WR_Raw!H196</f>
        <v>0</v>
      </c>
      <c r="L198" s="202">
        <f>WR_Raw!C196</f>
        <v>5.0999999999999996</v>
      </c>
      <c r="M198" s="200">
        <f>WR_Raw!D196</f>
        <v>59.7</v>
      </c>
      <c r="N198" s="203">
        <f>WR_Raw!E196</f>
        <v>0.4</v>
      </c>
      <c r="O198" s="200">
        <f>WR_Raw!I196</f>
        <v>0</v>
      </c>
      <c r="P198" s="204">
        <f t="shared" si="32"/>
        <v>10.92</v>
      </c>
      <c r="Q198" t="str">
        <f t="shared" ca="1" si="33"/>
        <v>Undrafted</v>
      </c>
      <c r="R198">
        <f t="shared" ca="1" si="34"/>
        <v>0</v>
      </c>
      <c r="S198">
        <f t="shared" ca="1" si="35"/>
        <v>-101.84</v>
      </c>
      <c r="T198" s="84">
        <f t="shared" ca="1" si="36"/>
        <v>-16.801517760619411</v>
      </c>
      <c r="U198" s="84">
        <f ca="1">T198*Auction!$A$2</f>
        <v>-16.801517760619411</v>
      </c>
      <c r="V198" s="5" t="str">
        <f>IF(OR(INDEX(Auction!$H$13:$H$650,MATCH(B198,Auction!$A$13:$A$650,0))&gt;0,IFERROR(INDEX(CheatSheet!$V$5:$V$64,MATCH(B198,CheatSheet!$S$5:$S$64,0)),"")&lt;&gt;""),"Yes","No")</f>
        <v>No</v>
      </c>
      <c r="W198" s="175"/>
      <c r="Y198" s="113">
        <f t="shared" ca="1" si="37"/>
        <v>1</v>
      </c>
      <c r="Z198" s="174">
        <f t="shared" ca="1" si="29"/>
        <v>-50.92</v>
      </c>
      <c r="AA198" t="str">
        <f t="shared" ca="1" si="30"/>
        <v>WR8</v>
      </c>
      <c r="AB198" s="174">
        <f ca="1">Z198*LeagueInfo!$H$5</f>
        <v>-16.44462301547388</v>
      </c>
      <c r="AC198" s="174">
        <f ca="1">(Z198-AVERAGE(Z:$Z))/_xlfn.STDEV.P(Z:Z)</f>
        <v>-0.94799397078215641</v>
      </c>
    </row>
    <row r="199" spans="1:29" x14ac:dyDescent="0.35">
      <c r="A199">
        <f t="shared" si="31"/>
        <v>197</v>
      </c>
      <c r="B199" t="str">
        <f>WR_Raw!A197</f>
        <v>Easop Winston Jr.</v>
      </c>
      <c r="C199" t="s">
        <v>32</v>
      </c>
      <c r="D199" t="str">
        <f>_xlfn.IFNA(INDEX(BYEs!E:E,MATCH(B199,BYEs!D:D,0)),"N/A")</f>
        <v>N/A</v>
      </c>
      <c r="E199">
        <f>INDEX(BYEs!$B$2:$B$34,MATCH(F199,BYEs!$A$2:$A$34,0))</f>
        <v>10</v>
      </c>
      <c r="F199" t="str">
        <f>WR_Raw!B197</f>
        <v>SEA</v>
      </c>
      <c r="G199" s="202">
        <v>0</v>
      </c>
      <c r="H199" s="203">
        <v>0</v>
      </c>
      <c r="I199" s="200">
        <f>WR_Raw!F197</f>
        <v>0</v>
      </c>
      <c r="J199" s="200">
        <f>WR_Raw!G197</f>
        <v>0</v>
      </c>
      <c r="K199" s="200">
        <f>WR_Raw!H197</f>
        <v>0</v>
      </c>
      <c r="L199" s="202">
        <f>WR_Raw!C197</f>
        <v>5.0999999999999996</v>
      </c>
      <c r="M199" s="200">
        <f>WR_Raw!D197</f>
        <v>59.3</v>
      </c>
      <c r="N199" s="203">
        <f>WR_Raw!E197</f>
        <v>0.4</v>
      </c>
      <c r="O199" s="200">
        <f>WR_Raw!I197</f>
        <v>0</v>
      </c>
      <c r="P199" s="204">
        <f t="shared" si="32"/>
        <v>10.88</v>
      </c>
      <c r="Q199" t="str">
        <f t="shared" ca="1" si="33"/>
        <v>Undrafted</v>
      </c>
      <c r="R199">
        <f t="shared" ca="1" si="34"/>
        <v>0</v>
      </c>
      <c r="S199">
        <f t="shared" ca="1" si="35"/>
        <v>-101.88000000000001</v>
      </c>
      <c r="T199" s="84">
        <f t="shared" ca="1" si="36"/>
        <v>-16.808116942772049</v>
      </c>
      <c r="U199" s="84">
        <f ca="1">T199*Auction!$A$2</f>
        <v>-16.808116942772049</v>
      </c>
      <c r="V199" s="5" t="str">
        <f>IF(OR(INDEX(Auction!$H$13:$H$650,MATCH(B199,Auction!$A$13:$A$650,0))&gt;0,IFERROR(INDEX(CheatSheet!$V$5:$V$64,MATCH(B199,CheatSheet!$S$5:$S$64,0)),"")&lt;&gt;""),"Yes","No")</f>
        <v>No</v>
      </c>
      <c r="W199" s="175"/>
      <c r="Y199" s="113">
        <f t="shared" ca="1" si="37"/>
        <v>1</v>
      </c>
      <c r="Z199" s="174">
        <f t="shared" ca="1" si="29"/>
        <v>-50.940000000000005</v>
      </c>
      <c r="AA199" t="str">
        <f t="shared" ca="1" si="30"/>
        <v>WR8</v>
      </c>
      <c r="AB199" s="174">
        <f ca="1">Z199*LeagueInfo!$H$5</f>
        <v>-16.451082019014915</v>
      </c>
      <c r="AC199" s="174">
        <f ca="1">(Z199-AVERAGE(Z:$Z))/_xlfn.STDEV.P(Z:Z)</f>
        <v>-0.9484929700551743</v>
      </c>
    </row>
    <row r="200" spans="1:29" x14ac:dyDescent="0.35">
      <c r="A200">
        <f t="shared" si="31"/>
        <v>198</v>
      </c>
      <c r="B200" t="str">
        <f>WR_Raw!A199</f>
        <v>Britain Covey</v>
      </c>
      <c r="C200" t="s">
        <v>32</v>
      </c>
      <c r="D200" t="str">
        <f>_xlfn.IFNA(INDEX(BYEs!E:E,MATCH(B200,BYEs!D:D,0)),"N/A")</f>
        <v>N/A</v>
      </c>
      <c r="E200">
        <f>INDEX(BYEs!$B$2:$B$34,MATCH(F200,BYEs!$A$2:$A$34,0))</f>
        <v>5</v>
      </c>
      <c r="F200" t="str">
        <f>WR_Raw!B199</f>
        <v>PHI</v>
      </c>
      <c r="G200" s="202">
        <v>0</v>
      </c>
      <c r="H200" s="203">
        <v>0</v>
      </c>
      <c r="I200" s="200">
        <f>WR_Raw!F199</f>
        <v>0</v>
      </c>
      <c r="J200" s="200">
        <f>WR_Raw!G199</f>
        <v>0</v>
      </c>
      <c r="K200" s="200">
        <f>WR_Raw!H199</f>
        <v>0</v>
      </c>
      <c r="L200" s="202">
        <f>WR_Raw!C199</f>
        <v>5.2</v>
      </c>
      <c r="M200" s="200">
        <f>WR_Raw!D199</f>
        <v>57.3</v>
      </c>
      <c r="N200" s="203">
        <f>WR_Raw!E199</f>
        <v>0.3</v>
      </c>
      <c r="O200" s="200">
        <f>WR_Raw!I199</f>
        <v>0</v>
      </c>
      <c r="P200" s="204">
        <f t="shared" si="32"/>
        <v>10.129999999999999</v>
      </c>
      <c r="Q200" t="str">
        <f t="shared" ca="1" si="33"/>
        <v>Undrafted</v>
      </c>
      <c r="R200">
        <f t="shared" ca="1" si="34"/>
        <v>0</v>
      </c>
      <c r="S200">
        <f t="shared" ca="1" si="35"/>
        <v>-102.63000000000001</v>
      </c>
      <c r="T200" s="84">
        <f t="shared" ca="1" si="36"/>
        <v>-16.931851608134036</v>
      </c>
      <c r="U200" s="84">
        <f ca="1">T200*Auction!$A$2</f>
        <v>-16.931851608134036</v>
      </c>
      <c r="V200" s="5" t="str">
        <f>IF(OR(INDEX(Auction!$H$13:$H$650,MATCH(B200,Auction!$A$13:$A$650,0))&gt;0,IFERROR(INDEX(CheatSheet!$V$5:$V$64,MATCH(B200,CheatSheet!$S$5:$S$64,0)),"")&lt;&gt;""),"Yes","No")</f>
        <v>No</v>
      </c>
      <c r="W200" s="175"/>
      <c r="Y200" s="113">
        <f t="shared" ca="1" si="37"/>
        <v>1</v>
      </c>
      <c r="Z200" s="174">
        <f t="shared" ca="1" si="29"/>
        <v>-51.315000000000005</v>
      </c>
      <c r="AA200" t="str">
        <f t="shared" ca="1" si="30"/>
        <v>WR8</v>
      </c>
      <c r="AB200" s="174">
        <f ca="1">Z200*LeagueInfo!$H$5</f>
        <v>-16.572188335409315</v>
      </c>
      <c r="AC200" s="174">
        <f ca="1">(Z200-AVERAGE(Z:$Z))/_xlfn.STDEV.P(Z:Z)</f>
        <v>-0.95784920642425952</v>
      </c>
    </row>
    <row r="201" spans="1:29" x14ac:dyDescent="0.35">
      <c r="A201">
        <f t="shared" si="31"/>
        <v>199</v>
      </c>
      <c r="B201" t="str">
        <f>WR_Raw!A200</f>
        <v>Terrace Marshall Jr.</v>
      </c>
      <c r="C201" t="s">
        <v>32</v>
      </c>
      <c r="D201">
        <f>_xlfn.IFNA(INDEX(BYEs!E:E,MATCH(B201,BYEs!D:D,0)),"N/A")</f>
        <v>24</v>
      </c>
      <c r="E201">
        <f>INDEX(BYEs!$B$2:$B$34,MATCH(F201,BYEs!$A$2:$A$34,0))</f>
        <v>9</v>
      </c>
      <c r="F201" t="str">
        <f>WR_Raw!B200</f>
        <v>SF</v>
      </c>
      <c r="G201" s="202">
        <v>0</v>
      </c>
      <c r="H201" s="203">
        <v>0</v>
      </c>
      <c r="I201" s="200">
        <f>WR_Raw!F200</f>
        <v>0</v>
      </c>
      <c r="J201" s="200">
        <f>WR_Raw!G200</f>
        <v>4</v>
      </c>
      <c r="K201" s="200">
        <f>WR_Raw!H200</f>
        <v>0</v>
      </c>
      <c r="L201" s="202">
        <f>WR_Raw!C200</f>
        <v>5</v>
      </c>
      <c r="M201" s="200">
        <f>WR_Raw!D200</f>
        <v>64</v>
      </c>
      <c r="N201" s="203">
        <f>WR_Raw!E200</f>
        <v>0</v>
      </c>
      <c r="O201" s="200">
        <f>WR_Raw!I200</f>
        <v>0</v>
      </c>
      <c r="P201" s="204">
        <f t="shared" si="32"/>
        <v>9.3000000000000007</v>
      </c>
      <c r="Q201" t="str">
        <f t="shared" ca="1" si="33"/>
        <v>Undrafted</v>
      </c>
      <c r="R201">
        <f t="shared" ca="1" si="34"/>
        <v>0</v>
      </c>
      <c r="S201">
        <f t="shared" ca="1" si="35"/>
        <v>-103.46000000000001</v>
      </c>
      <c r="T201" s="84">
        <f t="shared" ca="1" si="36"/>
        <v>-17.068784637801297</v>
      </c>
      <c r="U201" s="84">
        <f ca="1">T201*Auction!$A$2</f>
        <v>-17.068784637801297</v>
      </c>
      <c r="V201" s="5" t="str">
        <f>IF(OR(INDEX(Auction!$H$13:$H$650,MATCH(B201,Auction!$A$13:$A$650,0))&gt;0,IFERROR(INDEX(CheatSheet!$V$5:$V$64,MATCH(B201,CheatSheet!$S$5:$S$64,0)),"")&lt;&gt;""),"Yes","No")</f>
        <v>No</v>
      </c>
      <c r="W201" s="175"/>
      <c r="Y201" s="113">
        <f t="shared" ca="1" si="37"/>
        <v>1</v>
      </c>
      <c r="Z201" s="174">
        <f t="shared" ca="1" si="29"/>
        <v>-51.730000000000004</v>
      </c>
      <c r="AA201" t="str">
        <f t="shared" ca="1" si="30"/>
        <v>WR8</v>
      </c>
      <c r="AB201" s="174">
        <f ca="1">Z201*LeagueInfo!$H$5</f>
        <v>-16.706212658885779</v>
      </c>
      <c r="AC201" s="174">
        <f ca="1">(Z201-AVERAGE(Z:$Z))/_xlfn.STDEV.P(Z:Z)</f>
        <v>-0.9682034413393803</v>
      </c>
    </row>
    <row r="202" spans="1:29" x14ac:dyDescent="0.35">
      <c r="A202">
        <f t="shared" si="31"/>
        <v>200</v>
      </c>
      <c r="B202" t="str">
        <f>WR_Raw!A201</f>
        <v>Dee Eskridge</v>
      </c>
      <c r="C202" t="s">
        <v>32</v>
      </c>
      <c r="D202">
        <f>_xlfn.IFNA(INDEX(BYEs!E:E,MATCH(B202,BYEs!D:D,0)),"N/A")</f>
        <v>26</v>
      </c>
      <c r="E202">
        <f>INDEX(BYEs!$B$2:$B$34,MATCH(F202,BYEs!$A$2:$A$34,0))</f>
        <v>6</v>
      </c>
      <c r="F202" t="str">
        <f>WR_Raw!B201</f>
        <v>MIA</v>
      </c>
      <c r="G202" s="202">
        <v>0</v>
      </c>
      <c r="H202" s="203">
        <v>0</v>
      </c>
      <c r="I202" s="200">
        <f>WR_Raw!F201</f>
        <v>0</v>
      </c>
      <c r="J202" s="200">
        <f>WR_Raw!G201</f>
        <v>6</v>
      </c>
      <c r="K202" s="200">
        <f>WR_Raw!H201</f>
        <v>0</v>
      </c>
      <c r="L202" s="202">
        <f>WR_Raw!C201</f>
        <v>4</v>
      </c>
      <c r="M202" s="200">
        <f>WR_Raw!D201</f>
        <v>56</v>
      </c>
      <c r="N202" s="203">
        <f>WR_Raw!E201</f>
        <v>0</v>
      </c>
      <c r="O202" s="200">
        <f>WR_Raw!I201</f>
        <v>0</v>
      </c>
      <c r="P202" s="204">
        <f t="shared" si="32"/>
        <v>8.2000000000000011</v>
      </c>
      <c r="Q202" t="str">
        <f t="shared" ca="1" si="33"/>
        <v>Undrafted</v>
      </c>
      <c r="R202">
        <f t="shared" ca="1" si="34"/>
        <v>0</v>
      </c>
      <c r="S202">
        <f t="shared" ca="1" si="35"/>
        <v>-104.56</v>
      </c>
      <c r="T202" s="84">
        <f t="shared" ca="1" si="36"/>
        <v>-17.250262146998875</v>
      </c>
      <c r="U202" s="84">
        <f ca="1">T202*Auction!$A$2</f>
        <v>-17.250262146998875</v>
      </c>
      <c r="V202" s="5" t="str">
        <f>IF(OR(INDEX(Auction!$H$13:$H$650,MATCH(B202,Auction!$A$13:$A$650,0))&gt;0,IFERROR(INDEX(CheatSheet!$V$5:$V$64,MATCH(B202,CheatSheet!$S$5:$S$64,0)),"")&lt;&gt;""),"Yes","No")</f>
        <v>No</v>
      </c>
      <c r="W202" s="175"/>
      <c r="Y202" s="113">
        <f t="shared" ca="1" si="37"/>
        <v>1</v>
      </c>
      <c r="Z202" s="174">
        <f t="shared" ca="1" si="29"/>
        <v>-52.28</v>
      </c>
      <c r="AA202" t="str">
        <f t="shared" ca="1" si="30"/>
        <v>WR8</v>
      </c>
      <c r="AB202" s="174">
        <f ca="1">Z202*LeagueInfo!$H$5</f>
        <v>-16.883835256264227</v>
      </c>
      <c r="AC202" s="174">
        <f ca="1">(Z202-AVERAGE(Z:$Z))/_xlfn.STDEV.P(Z:Z)</f>
        <v>-0.98192592134737189</v>
      </c>
    </row>
    <row r="203" spans="1:29" x14ac:dyDescent="0.35">
      <c r="A203">
        <f t="shared" si="31"/>
        <v>201</v>
      </c>
      <c r="B203" t="str">
        <f>WR_Raw!A203</f>
        <v>Gunner Olszewski</v>
      </c>
      <c r="C203" t="s">
        <v>32</v>
      </c>
      <c r="D203" t="str">
        <f>_xlfn.IFNA(INDEX(BYEs!E:E,MATCH(B203,BYEs!D:D,0)),"N/A")</f>
        <v>N/A</v>
      </c>
      <c r="E203">
        <f>INDEX(BYEs!$B$2:$B$34,MATCH(F203,BYEs!$A$2:$A$34,0))</f>
        <v>11</v>
      </c>
      <c r="F203" t="str">
        <f>WR_Raw!B203</f>
        <v>NYG</v>
      </c>
      <c r="G203" s="202">
        <v>0</v>
      </c>
      <c r="H203" s="203">
        <v>0</v>
      </c>
      <c r="I203" s="200">
        <f>WR_Raw!F203</f>
        <v>0</v>
      </c>
      <c r="J203" s="200">
        <f>WR_Raw!G203</f>
        <v>0</v>
      </c>
      <c r="K203" s="200">
        <f>WR_Raw!H203</f>
        <v>0</v>
      </c>
      <c r="L203" s="202">
        <f>WR_Raw!C203</f>
        <v>4.2</v>
      </c>
      <c r="M203" s="200">
        <f>WR_Raw!D203</f>
        <v>44.5</v>
      </c>
      <c r="N203" s="203">
        <f>WR_Raw!E203</f>
        <v>0.2</v>
      </c>
      <c r="O203" s="200">
        <f>WR_Raw!I203</f>
        <v>0</v>
      </c>
      <c r="P203" s="204">
        <f t="shared" si="32"/>
        <v>7.7500000000000009</v>
      </c>
      <c r="Q203" t="str">
        <f t="shared" ca="1" si="33"/>
        <v>Undrafted</v>
      </c>
      <c r="R203">
        <f t="shared" ca="1" si="34"/>
        <v>0</v>
      </c>
      <c r="S203">
        <f t="shared" ca="1" si="35"/>
        <v>-105.01</v>
      </c>
      <c r="T203" s="84">
        <f t="shared" ca="1" si="36"/>
        <v>-17.324502946216068</v>
      </c>
      <c r="U203" s="84">
        <f ca="1">T203*Auction!$A$2</f>
        <v>-17.324502946216068</v>
      </c>
      <c r="V203" s="5" t="str">
        <f>IF(OR(INDEX(Auction!$H$13:$H$650,MATCH(B203,Auction!$A$13:$A$650,0))&gt;0,IFERROR(INDEX(CheatSheet!$V$5:$V$64,MATCH(B203,CheatSheet!$S$5:$S$64,0)),"")&lt;&gt;""),"Yes","No")</f>
        <v>No</v>
      </c>
      <c r="W203" s="175"/>
      <c r="Y203" s="113">
        <f t="shared" ca="1" si="37"/>
        <v>1</v>
      </c>
      <c r="Z203" s="174">
        <f t="shared" ca="1" si="29"/>
        <v>-52.505000000000003</v>
      </c>
      <c r="AA203" t="str">
        <f t="shared" ca="1" si="30"/>
        <v>WR8</v>
      </c>
      <c r="AB203" s="174">
        <f ca="1">Z203*LeagueInfo!$H$5</f>
        <v>-16.956499046100866</v>
      </c>
      <c r="AC203" s="174">
        <f ca="1">(Z203-AVERAGE(Z:$Z))/_xlfn.STDEV.P(Z:Z)</f>
        <v>-0.98753966316882302</v>
      </c>
    </row>
    <row r="204" spans="1:29" x14ac:dyDescent="0.35">
      <c r="A204">
        <f t="shared" si="31"/>
        <v>202</v>
      </c>
      <c r="B204" t="str">
        <f>WR_Raw!A202</f>
        <v>Tyler Johnson</v>
      </c>
      <c r="C204" t="s">
        <v>32</v>
      </c>
      <c r="D204">
        <f>_xlfn.IFNA(INDEX(BYEs!E:E,MATCH(B204,BYEs!D:D,0)),"N/A")</f>
        <v>24</v>
      </c>
      <c r="E204">
        <f>INDEX(BYEs!$B$2:$B$34,MATCH(F204,BYEs!$A$2:$A$34,0))</f>
        <v>6</v>
      </c>
      <c r="F204" t="str">
        <f>WR_Raw!B202</f>
        <v>LAR</v>
      </c>
      <c r="G204" s="202">
        <v>0</v>
      </c>
      <c r="H204" s="203">
        <v>0</v>
      </c>
      <c r="I204" s="200">
        <f>WR_Raw!F202</f>
        <v>0</v>
      </c>
      <c r="J204" s="200">
        <f>WR_Raw!G202</f>
        <v>0</v>
      </c>
      <c r="K204" s="200">
        <f>WR_Raw!H202</f>
        <v>0</v>
      </c>
      <c r="L204" s="202">
        <f>WR_Raw!C202</f>
        <v>3.4</v>
      </c>
      <c r="M204" s="200">
        <f>WR_Raw!D202</f>
        <v>40.4</v>
      </c>
      <c r="N204" s="203">
        <f>WR_Raw!E202</f>
        <v>0.3</v>
      </c>
      <c r="O204" s="200">
        <f>WR_Raw!I202</f>
        <v>0</v>
      </c>
      <c r="P204" s="204">
        <f t="shared" si="32"/>
        <v>7.54</v>
      </c>
      <c r="Q204" t="str">
        <f t="shared" ca="1" si="33"/>
        <v>Undrafted</v>
      </c>
      <c r="R204">
        <f t="shared" ca="1" si="34"/>
        <v>0</v>
      </c>
      <c r="S204">
        <f t="shared" ca="1" si="35"/>
        <v>-105.22</v>
      </c>
      <c r="T204" s="84">
        <f t="shared" ca="1" si="36"/>
        <v>-17.359148652517423</v>
      </c>
      <c r="U204" s="84">
        <f ca="1">T204*Auction!$A$2</f>
        <v>-17.359148652517423</v>
      </c>
      <c r="V204" s="5" t="str">
        <f>IF(OR(INDEX(Auction!$H$13:$H$650,MATCH(B204,Auction!$A$13:$A$650,0))&gt;0,IFERROR(INDEX(CheatSheet!$V$5:$V$64,MATCH(B204,CheatSheet!$S$5:$S$64,0)),"")&lt;&gt;""),"Yes","No")</f>
        <v>No</v>
      </c>
      <c r="W204" s="175"/>
      <c r="Y204" s="113">
        <f t="shared" ca="1" si="37"/>
        <v>1</v>
      </c>
      <c r="Z204" s="174">
        <f t="shared" ca="1" si="29"/>
        <v>-52.61</v>
      </c>
      <c r="AA204" t="str">
        <f t="shared" ca="1" si="30"/>
        <v>WR8</v>
      </c>
      <c r="AB204" s="174">
        <f ca="1">Z204*LeagueInfo!$H$5</f>
        <v>-16.990408814691296</v>
      </c>
      <c r="AC204" s="174">
        <f ca="1">(Z204-AVERAGE(Z:$Z))/_xlfn.STDEV.P(Z:Z)</f>
        <v>-0.99015940935216673</v>
      </c>
    </row>
    <row r="205" spans="1:29" x14ac:dyDescent="0.35">
      <c r="A205">
        <f t="shared" si="31"/>
        <v>203</v>
      </c>
      <c r="B205" t="str">
        <f>WR_Raw!A204</f>
        <v>Kameron Johnson</v>
      </c>
      <c r="C205" t="s">
        <v>32</v>
      </c>
      <c r="D205" t="str">
        <f>_xlfn.IFNA(INDEX(BYEs!E:E,MATCH(B205,BYEs!D:D,0)),"N/A")</f>
        <v>N/A</v>
      </c>
      <c r="E205">
        <f>INDEX(BYEs!$B$2:$B$34,MATCH(F205,BYEs!$A$2:$A$34,0))</f>
        <v>11</v>
      </c>
      <c r="F205" t="str">
        <f>WR_Raw!B204</f>
        <v>TB</v>
      </c>
      <c r="G205" s="202">
        <v>0</v>
      </c>
      <c r="H205" s="203">
        <v>0</v>
      </c>
      <c r="I205" s="200">
        <f>WR_Raw!F204</f>
        <v>0</v>
      </c>
      <c r="J205" s="200">
        <f>WR_Raw!G204</f>
        <v>0</v>
      </c>
      <c r="K205" s="200">
        <f>WR_Raw!H204</f>
        <v>0</v>
      </c>
      <c r="L205" s="202">
        <f>WR_Raw!C204</f>
        <v>3.4</v>
      </c>
      <c r="M205" s="200">
        <f>WR_Raw!D204</f>
        <v>39.299999999999997</v>
      </c>
      <c r="N205" s="203">
        <f>WR_Raw!E204</f>
        <v>0.3</v>
      </c>
      <c r="O205" s="200">
        <f>WR_Raw!I204</f>
        <v>0</v>
      </c>
      <c r="P205" s="204">
        <f t="shared" si="32"/>
        <v>7.43</v>
      </c>
      <c r="Q205" t="str">
        <f t="shared" ca="1" si="33"/>
        <v>Undrafted</v>
      </c>
      <c r="R205">
        <f t="shared" ca="1" si="34"/>
        <v>0</v>
      </c>
      <c r="S205">
        <f t="shared" ca="1" si="35"/>
        <v>-105.33000000000001</v>
      </c>
      <c r="T205" s="84">
        <f t="shared" ca="1" si="36"/>
        <v>-17.377296403437182</v>
      </c>
      <c r="U205" s="84">
        <f ca="1">T205*Auction!$A$2</f>
        <v>-17.377296403437182</v>
      </c>
      <c r="V205" s="5" t="str">
        <f>IF(OR(INDEX(Auction!$H$13:$H$650,MATCH(B205,Auction!$A$13:$A$650,0))&gt;0,IFERROR(INDEX(CheatSheet!$V$5:$V$64,MATCH(B205,CheatSheet!$S$5:$S$64,0)),"")&lt;&gt;""),"Yes","No")</f>
        <v>No</v>
      </c>
      <c r="W205" s="175"/>
      <c r="Y205" s="113">
        <f t="shared" ca="1" si="37"/>
        <v>1</v>
      </c>
      <c r="Z205" s="174">
        <f t="shared" ca="1" si="29"/>
        <v>-52.665000000000006</v>
      </c>
      <c r="AA205" t="str">
        <f t="shared" ca="1" si="30"/>
        <v>WR8</v>
      </c>
      <c r="AB205" s="174">
        <f ca="1">Z205*LeagueInfo!$H$5</f>
        <v>-17.008171074429143</v>
      </c>
      <c r="AC205" s="174">
        <f ca="1">(Z205-AVERAGE(Z:$Z))/_xlfn.STDEV.P(Z:Z)</f>
        <v>-0.99153165735296611</v>
      </c>
    </row>
    <row r="206" spans="1:29" x14ac:dyDescent="0.35">
      <c r="A206">
        <f t="shared" si="31"/>
        <v>204</v>
      </c>
      <c r="B206" t="str">
        <f>WR_Raw!A206</f>
        <v>Tylan Wallace</v>
      </c>
      <c r="C206" t="s">
        <v>32</v>
      </c>
      <c r="D206" t="str">
        <f>_xlfn.IFNA(INDEX(BYEs!E:E,MATCH(B206,BYEs!D:D,0)),"N/A")</f>
        <v>N/A</v>
      </c>
      <c r="E206">
        <f>INDEX(BYEs!$B$2:$B$34,MATCH(F206,BYEs!$A$2:$A$34,0))</f>
        <v>14</v>
      </c>
      <c r="F206" t="str">
        <f>WR_Raw!B206</f>
        <v>BAL</v>
      </c>
      <c r="G206" s="202">
        <v>0</v>
      </c>
      <c r="H206" s="203">
        <v>0</v>
      </c>
      <c r="I206" s="200">
        <f>WR_Raw!F206</f>
        <v>0</v>
      </c>
      <c r="J206" s="200">
        <f>WR_Raw!G206</f>
        <v>2</v>
      </c>
      <c r="K206" s="200">
        <f>WR_Raw!H206</f>
        <v>0</v>
      </c>
      <c r="L206" s="202">
        <f>WR_Raw!C206</f>
        <v>3.2</v>
      </c>
      <c r="M206" s="200">
        <f>WR_Raw!D206</f>
        <v>41.3</v>
      </c>
      <c r="N206" s="203">
        <f>WR_Raw!E206</f>
        <v>0.1</v>
      </c>
      <c r="O206" s="200">
        <f>WR_Raw!I206</f>
        <v>0</v>
      </c>
      <c r="P206" s="204">
        <f t="shared" si="32"/>
        <v>6.5299999999999994</v>
      </c>
      <c r="Q206" t="str">
        <f t="shared" ca="1" si="33"/>
        <v>Undrafted</v>
      </c>
      <c r="R206">
        <f t="shared" ca="1" si="34"/>
        <v>0</v>
      </c>
      <c r="S206">
        <f t="shared" ca="1" si="35"/>
        <v>-106.23</v>
      </c>
      <c r="T206" s="84">
        <f t="shared" ca="1" si="36"/>
        <v>-17.525778001871561</v>
      </c>
      <c r="U206" s="84">
        <f ca="1">T206*Auction!$A$2</f>
        <v>-17.525778001871561</v>
      </c>
      <c r="V206" s="5" t="str">
        <f>IF(OR(INDEX(Auction!$H$13:$H$650,MATCH(B206,Auction!$A$13:$A$650,0))&gt;0,IFERROR(INDEX(CheatSheet!$V$5:$V$64,MATCH(B206,CheatSheet!$S$5:$S$64,0)),"")&lt;&gt;""),"Yes","No")</f>
        <v>No</v>
      </c>
      <c r="W206" s="175"/>
      <c r="Y206" s="113">
        <f t="shared" ca="1" si="37"/>
        <v>1</v>
      </c>
      <c r="Z206" s="174">
        <f t="shared" ca="1" si="29"/>
        <v>-53.115000000000002</v>
      </c>
      <c r="AA206" t="str">
        <f t="shared" ca="1" si="30"/>
        <v>WR8</v>
      </c>
      <c r="AB206" s="174">
        <f ca="1">Z206*LeagueInfo!$H$5</f>
        <v>-17.153498654102417</v>
      </c>
      <c r="AC206" s="174">
        <f ca="1">(Z206-AVERAGE(Z:$Z))/_xlfn.STDEV.P(Z:Z)</f>
        <v>-1.002759140995868</v>
      </c>
    </row>
    <row r="207" spans="1:29" x14ac:dyDescent="0.35">
      <c r="A207">
        <f t="shared" si="31"/>
        <v>205</v>
      </c>
      <c r="B207" t="str">
        <f>WR_Raw!A205</f>
        <v>DJ Turner</v>
      </c>
      <c r="C207" t="s">
        <v>32</v>
      </c>
      <c r="D207" t="str">
        <f>_xlfn.IFNA(INDEX(BYEs!E:E,MATCH(B207,BYEs!D:D,0)),"N/A")</f>
        <v>N/A</v>
      </c>
      <c r="E207">
        <f>INDEX(BYEs!$B$2:$B$34,MATCH(F207,BYEs!$A$2:$A$34,0))</f>
        <v>10</v>
      </c>
      <c r="F207" t="str">
        <f>WR_Raw!B205</f>
        <v>LV</v>
      </c>
      <c r="G207" s="202">
        <v>0</v>
      </c>
      <c r="H207" s="203">
        <v>0</v>
      </c>
      <c r="I207" s="200">
        <f>WR_Raw!F205</f>
        <v>0</v>
      </c>
      <c r="J207" s="200">
        <f>WR_Raw!G205</f>
        <v>0</v>
      </c>
      <c r="K207" s="200">
        <f>WR_Raw!H205</f>
        <v>0</v>
      </c>
      <c r="L207" s="202">
        <f>WR_Raw!C205</f>
        <v>3.3</v>
      </c>
      <c r="M207" s="200">
        <f>WR_Raw!D205</f>
        <v>37.4</v>
      </c>
      <c r="N207" s="203">
        <f>WR_Raw!E205</f>
        <v>0.2</v>
      </c>
      <c r="O207" s="200">
        <f>WR_Raw!I205</f>
        <v>0.1</v>
      </c>
      <c r="P207" s="204">
        <f t="shared" si="32"/>
        <v>6.3900000000000006</v>
      </c>
      <c r="Q207" t="str">
        <f t="shared" ca="1" si="33"/>
        <v>Undrafted</v>
      </c>
      <c r="R207">
        <f t="shared" ca="1" si="34"/>
        <v>0</v>
      </c>
      <c r="S207">
        <f t="shared" ca="1" si="35"/>
        <v>-106.37</v>
      </c>
      <c r="T207" s="84">
        <f t="shared" ca="1" si="36"/>
        <v>-17.548875139405801</v>
      </c>
      <c r="U207" s="84">
        <f ca="1">T207*Auction!$A$2</f>
        <v>-17.548875139405801</v>
      </c>
      <c r="V207" s="5" t="str">
        <f>IF(OR(INDEX(Auction!$H$13:$H$650,MATCH(B207,Auction!$A$13:$A$650,0))&gt;0,IFERROR(INDEX(CheatSheet!$V$5:$V$64,MATCH(B207,CheatSheet!$S$5:$S$64,0)),"")&lt;&gt;""),"Yes","No")</f>
        <v>No</v>
      </c>
      <c r="W207" s="175"/>
      <c r="Y207" s="113">
        <f t="shared" ca="1" si="37"/>
        <v>1</v>
      </c>
      <c r="Z207" s="174">
        <f t="shared" ca="1" si="29"/>
        <v>-53.185000000000002</v>
      </c>
      <c r="AA207" t="str">
        <f t="shared" ca="1" si="30"/>
        <v>WR8</v>
      </c>
      <c r="AB207" s="174">
        <f ca="1">Z207*LeagueInfo!$H$5</f>
        <v>-17.17610516649604</v>
      </c>
      <c r="AC207" s="174">
        <f ca="1">(Z207-AVERAGE(Z:$Z))/_xlfn.STDEV.P(Z:Z)</f>
        <v>-1.0045056384514308</v>
      </c>
    </row>
    <row r="208" spans="1:29" x14ac:dyDescent="0.35">
      <c r="A208">
        <f t="shared" si="31"/>
        <v>206</v>
      </c>
      <c r="B208" t="str">
        <f>WR_Raw!A209</f>
        <v>Jha'Quan Jackson</v>
      </c>
      <c r="C208" t="s">
        <v>32</v>
      </c>
      <c r="D208" t="str">
        <f>_xlfn.IFNA(INDEX(BYEs!E:E,MATCH(B208,BYEs!D:D,0)),"N/A")</f>
        <v>N/A</v>
      </c>
      <c r="E208">
        <f>INDEX(BYEs!$B$2:$B$34,MATCH(F208,BYEs!$A$2:$A$34,0))</f>
        <v>5</v>
      </c>
      <c r="F208" t="str">
        <f>WR_Raw!B209</f>
        <v>TEN</v>
      </c>
      <c r="G208" s="202">
        <v>0</v>
      </c>
      <c r="H208" s="203">
        <v>0</v>
      </c>
      <c r="I208" s="200">
        <f>WR_Raw!F209</f>
        <v>0</v>
      </c>
      <c r="J208" s="200">
        <f>WR_Raw!G209</f>
        <v>0</v>
      </c>
      <c r="K208" s="200">
        <f>WR_Raw!H209</f>
        <v>0</v>
      </c>
      <c r="L208" s="202">
        <f>WR_Raw!C209</f>
        <v>4</v>
      </c>
      <c r="M208" s="200">
        <f>WR_Raw!D209</f>
        <v>41</v>
      </c>
      <c r="N208" s="203">
        <f>WR_Raw!E209</f>
        <v>0</v>
      </c>
      <c r="O208" s="200">
        <f>WR_Raw!I209</f>
        <v>0</v>
      </c>
      <c r="P208" s="204">
        <f t="shared" si="32"/>
        <v>6.1000000000000005</v>
      </c>
      <c r="Q208" t="str">
        <f t="shared" ca="1" si="33"/>
        <v>Undrafted</v>
      </c>
      <c r="R208">
        <f t="shared" ca="1" si="34"/>
        <v>0</v>
      </c>
      <c r="S208">
        <f t="shared" ca="1" si="35"/>
        <v>-106.66000000000001</v>
      </c>
      <c r="T208" s="84">
        <f t="shared" ca="1" si="36"/>
        <v>-17.596719210012434</v>
      </c>
      <c r="U208" s="84">
        <f ca="1">T208*Auction!$A$2</f>
        <v>-17.596719210012434</v>
      </c>
      <c r="V208" s="5" t="str">
        <f>IF(OR(INDEX(Auction!$H$13:$H$650,MATCH(B208,Auction!$A$13:$A$650,0))&gt;0,IFERROR(INDEX(CheatSheet!$V$5:$V$64,MATCH(B208,CheatSheet!$S$5:$S$64,0)),"")&lt;&gt;""),"Yes","No")</f>
        <v>No</v>
      </c>
      <c r="W208" s="175"/>
      <c r="Y208" s="113">
        <f t="shared" ca="1" si="37"/>
        <v>1</v>
      </c>
      <c r="Z208" s="174">
        <f t="shared" ca="1" si="29"/>
        <v>-53.330000000000005</v>
      </c>
      <c r="AA208" t="str">
        <f t="shared" ca="1" si="30"/>
        <v>WR8</v>
      </c>
      <c r="AB208" s="174">
        <f ca="1">Z208*LeagueInfo!$H$5</f>
        <v>-17.222932942168541</v>
      </c>
      <c r="AC208" s="174">
        <f ca="1">(Z208-AVERAGE(Z:$Z))/_xlfn.STDEV.P(Z:Z)</f>
        <v>-1.0081233831808103</v>
      </c>
    </row>
    <row r="209" spans="1:29" x14ac:dyDescent="0.35">
      <c r="A209">
        <f t="shared" si="31"/>
        <v>207</v>
      </c>
      <c r="B209" t="str">
        <f>WR_Raw!A207</f>
        <v>Velus Jones Jr.</v>
      </c>
      <c r="C209" t="s">
        <v>32</v>
      </c>
      <c r="D209" t="str">
        <f>_xlfn.IFNA(INDEX(BYEs!E:E,MATCH(B209,BYEs!D:D,0)),"N/A")</f>
        <v>N/A</v>
      </c>
      <c r="E209">
        <f>INDEX(BYEs!$B$2:$B$34,MATCH(F209,BYEs!$A$2:$A$34,0))</f>
        <v>7</v>
      </c>
      <c r="F209" t="str">
        <f>WR_Raw!B207</f>
        <v>CHI</v>
      </c>
      <c r="G209" s="202">
        <v>0</v>
      </c>
      <c r="H209" s="203">
        <v>0</v>
      </c>
      <c r="I209" s="200">
        <f>WR_Raw!F207</f>
        <v>2.2999999999999998</v>
      </c>
      <c r="J209" s="200">
        <f>WR_Raw!G207</f>
        <v>9.6999999999999993</v>
      </c>
      <c r="K209" s="200">
        <f>WR_Raw!H207</f>
        <v>0.1</v>
      </c>
      <c r="L209" s="202">
        <f>WR_Raw!C207</f>
        <v>1.9</v>
      </c>
      <c r="M209" s="200">
        <f>WR_Raw!D207</f>
        <v>25</v>
      </c>
      <c r="N209" s="203">
        <f>WR_Raw!E207</f>
        <v>0.1</v>
      </c>
      <c r="O209" s="200">
        <f>WR_Raw!I207</f>
        <v>0</v>
      </c>
      <c r="P209" s="204">
        <f t="shared" si="32"/>
        <v>5.6199999999999992</v>
      </c>
      <c r="Q209" t="str">
        <f t="shared" ca="1" si="33"/>
        <v>Undrafted</v>
      </c>
      <c r="R209">
        <f t="shared" ca="1" si="34"/>
        <v>0</v>
      </c>
      <c r="S209">
        <f t="shared" ca="1" si="35"/>
        <v>-107.14</v>
      </c>
      <c r="T209" s="84">
        <f t="shared" ca="1" si="36"/>
        <v>-17.675909395844105</v>
      </c>
      <c r="U209" s="84">
        <f ca="1">T209*Auction!$A$2</f>
        <v>-17.675909395844105</v>
      </c>
      <c r="V209" s="5" t="str">
        <f>IF(OR(INDEX(Auction!$H$13:$H$650,MATCH(B209,Auction!$A$13:$A$650,0))&gt;0,IFERROR(INDEX(CheatSheet!$V$5:$V$64,MATCH(B209,CheatSheet!$S$5:$S$64,0)),"")&lt;&gt;""),"Yes","No")</f>
        <v>No</v>
      </c>
      <c r="W209" s="175"/>
      <c r="Y209" s="113">
        <f t="shared" ca="1" si="37"/>
        <v>1</v>
      </c>
      <c r="Z209" s="174">
        <f t="shared" ca="1" si="29"/>
        <v>-53.57</v>
      </c>
      <c r="AA209" t="str">
        <f t="shared" ca="1" si="30"/>
        <v>WR8</v>
      </c>
      <c r="AB209" s="174">
        <f ca="1">Z209*LeagueInfo!$H$5</f>
        <v>-17.300440984660955</v>
      </c>
      <c r="AC209" s="174">
        <f ca="1">(Z209-AVERAGE(Z:$Z))/_xlfn.STDEV.P(Z:Z)</f>
        <v>-1.0141113744570247</v>
      </c>
    </row>
    <row r="210" spans="1:29" x14ac:dyDescent="0.35">
      <c r="A210">
        <f t="shared" si="31"/>
        <v>208</v>
      </c>
      <c r="B210" t="str">
        <f>WR_Raw!A208</f>
        <v>Irvin Charles</v>
      </c>
      <c r="C210" t="s">
        <v>32</v>
      </c>
      <c r="D210" t="str">
        <f>_xlfn.IFNA(INDEX(BYEs!E:E,MATCH(B210,BYEs!D:D,0)),"N/A")</f>
        <v>N/A</v>
      </c>
      <c r="E210">
        <f>INDEX(BYEs!$B$2:$B$34,MATCH(F210,BYEs!$A$2:$A$34,0))</f>
        <v>12</v>
      </c>
      <c r="F210" t="str">
        <f>WR_Raw!B208</f>
        <v>NYJ</v>
      </c>
      <c r="G210" s="202">
        <v>0</v>
      </c>
      <c r="H210" s="203">
        <v>0</v>
      </c>
      <c r="I210" s="200">
        <f>WR_Raw!F208</f>
        <v>0</v>
      </c>
      <c r="J210" s="200">
        <f>WR_Raw!G208</f>
        <v>0</v>
      </c>
      <c r="K210" s="200">
        <f>WR_Raw!H208</f>
        <v>0</v>
      </c>
      <c r="L210" s="202">
        <f>WR_Raw!C208</f>
        <v>2.6</v>
      </c>
      <c r="M210" s="200">
        <f>WR_Raw!D208</f>
        <v>29.7</v>
      </c>
      <c r="N210" s="203">
        <f>WR_Raw!E208</f>
        <v>0.2</v>
      </c>
      <c r="O210" s="200">
        <f>WR_Raw!I208</f>
        <v>0</v>
      </c>
      <c r="P210" s="204">
        <f t="shared" si="32"/>
        <v>5.4700000000000006</v>
      </c>
      <c r="Q210" t="str">
        <f t="shared" ca="1" si="33"/>
        <v>Undrafted</v>
      </c>
      <c r="R210">
        <f t="shared" ca="1" si="34"/>
        <v>0</v>
      </c>
      <c r="S210">
        <f t="shared" ca="1" si="35"/>
        <v>-107.29</v>
      </c>
      <c r="T210" s="84">
        <f t="shared" ca="1" si="36"/>
        <v>-17.700656328916502</v>
      </c>
      <c r="U210" s="84">
        <f ca="1">T210*Auction!$A$2</f>
        <v>-17.700656328916502</v>
      </c>
      <c r="V210" s="5" t="str">
        <f>IF(OR(INDEX(Auction!$H$13:$H$650,MATCH(B210,Auction!$A$13:$A$650,0))&gt;0,IFERROR(INDEX(CheatSheet!$V$5:$V$64,MATCH(B210,CheatSheet!$S$5:$S$64,0)),"")&lt;&gt;""),"Yes","No")</f>
        <v>No</v>
      </c>
      <c r="W210" s="175"/>
      <c r="Y210" s="113">
        <f t="shared" ca="1" si="37"/>
        <v>1</v>
      </c>
      <c r="Z210" s="174">
        <f t="shared" ca="1" si="29"/>
        <v>-53.645000000000003</v>
      </c>
      <c r="AA210" t="str">
        <f t="shared" ca="1" si="30"/>
        <v>WR8</v>
      </c>
      <c r="AB210" s="174">
        <f ca="1">Z210*LeagueInfo!$H$5</f>
        <v>-17.324662247939834</v>
      </c>
      <c r="AC210" s="174">
        <f ca="1">(Z210-AVERAGE(Z:$Z))/_xlfn.STDEV.P(Z:Z)</f>
        <v>-1.0159826217308419</v>
      </c>
    </row>
    <row r="211" spans="1:29" x14ac:dyDescent="0.35">
      <c r="A211">
        <f t="shared" si="31"/>
        <v>209</v>
      </c>
      <c r="B211" t="str">
        <f>WR_Raw!A210</f>
        <v>Montrell Washington</v>
      </c>
      <c r="C211" t="s">
        <v>32</v>
      </c>
      <c r="D211" t="str">
        <f>_xlfn.IFNA(INDEX(BYEs!E:E,MATCH(B211,BYEs!D:D,0)),"N/A")</f>
        <v>N/A</v>
      </c>
      <c r="E211">
        <f>INDEX(BYEs!$B$2:$B$34,MATCH(F211,BYEs!$A$2:$A$34,0))</f>
        <v>6</v>
      </c>
      <c r="F211" t="str">
        <f>WR_Raw!B210</f>
        <v>KC</v>
      </c>
      <c r="G211" s="202">
        <v>0</v>
      </c>
      <c r="H211" s="203">
        <v>0</v>
      </c>
      <c r="I211" s="200">
        <f>WR_Raw!F210</f>
        <v>0</v>
      </c>
      <c r="J211" s="200">
        <f>WR_Raw!G210</f>
        <v>0</v>
      </c>
      <c r="K211" s="200">
        <f>WR_Raw!H210</f>
        <v>0</v>
      </c>
      <c r="L211" s="202">
        <f>WR_Raw!C210</f>
        <v>1.7</v>
      </c>
      <c r="M211" s="200">
        <f>WR_Raw!D210</f>
        <v>21.1</v>
      </c>
      <c r="N211" s="203">
        <f>WR_Raw!E210</f>
        <v>0.2</v>
      </c>
      <c r="O211" s="200">
        <f>WR_Raw!I210</f>
        <v>0</v>
      </c>
      <c r="P211" s="204">
        <f t="shared" si="32"/>
        <v>4.16</v>
      </c>
      <c r="Q211" t="str">
        <f t="shared" ca="1" si="33"/>
        <v>Undrafted</v>
      </c>
      <c r="R211">
        <f t="shared" ca="1" si="34"/>
        <v>0</v>
      </c>
      <c r="S211">
        <f t="shared" ca="1" si="35"/>
        <v>-108.60000000000001</v>
      </c>
      <c r="T211" s="84">
        <f t="shared" ca="1" si="36"/>
        <v>-17.916779544415437</v>
      </c>
      <c r="U211" s="84">
        <f ca="1">T211*Auction!$A$2</f>
        <v>-17.916779544415437</v>
      </c>
      <c r="V211" s="5" t="str">
        <f>IF(OR(INDEX(Auction!$H$13:$H$650,MATCH(B211,Auction!$A$13:$A$650,0))&gt;0,IFERROR(INDEX(CheatSheet!$V$5:$V$64,MATCH(B211,CheatSheet!$S$5:$S$64,0)),"")&lt;&gt;""),"Yes","No")</f>
        <v>No</v>
      </c>
      <c r="W211" s="175"/>
      <c r="Y211" s="113">
        <f t="shared" ca="1" si="37"/>
        <v>1</v>
      </c>
      <c r="Z211" s="174">
        <f t="shared" ca="1" si="29"/>
        <v>-54.300000000000004</v>
      </c>
      <c r="AA211" t="str">
        <f t="shared" ca="1" si="30"/>
        <v>WR8</v>
      </c>
      <c r="AB211" s="174">
        <f ca="1">Z211*LeagueInfo!$H$5</f>
        <v>-17.536194613908716</v>
      </c>
      <c r="AC211" s="174">
        <f ca="1">(Z211-AVERAGE(Z:$Z))/_xlfn.STDEV.P(Z:Z)</f>
        <v>-1.0323248479221774</v>
      </c>
    </row>
    <row r="212" spans="1:29" x14ac:dyDescent="0.35">
      <c r="A212">
        <f t="shared" si="31"/>
        <v>209</v>
      </c>
      <c r="B212" t="str">
        <f>WR_Raw!A210</f>
        <v>Montrell Washington</v>
      </c>
      <c r="C212" t="s">
        <v>32</v>
      </c>
      <c r="D212" t="str">
        <f>_xlfn.IFNA(INDEX(BYEs!E:E,MATCH(B212,BYEs!D:D,0)),"N/A")</f>
        <v>N/A</v>
      </c>
      <c r="E212">
        <f>INDEX(BYEs!$B$2:$B$34,MATCH(F212,BYEs!$A$2:$A$34,0))</f>
        <v>6</v>
      </c>
      <c r="F212" t="str">
        <f>WR_Raw!B210</f>
        <v>KC</v>
      </c>
      <c r="G212" s="202">
        <v>0</v>
      </c>
      <c r="H212" s="203">
        <v>0</v>
      </c>
      <c r="I212" s="200">
        <f>WR_Raw!F210</f>
        <v>0</v>
      </c>
      <c r="J212" s="200">
        <f>WR_Raw!G210</f>
        <v>0</v>
      </c>
      <c r="K212" s="200">
        <f>WR_Raw!H210</f>
        <v>0</v>
      </c>
      <c r="L212" s="202">
        <f>WR_Raw!C210</f>
        <v>1.7</v>
      </c>
      <c r="M212" s="200">
        <f>WR_Raw!D210</f>
        <v>21.1</v>
      </c>
      <c r="N212" s="203">
        <f>WR_Raw!E210</f>
        <v>0.2</v>
      </c>
      <c r="O212" s="200">
        <f>WR_Raw!I210</f>
        <v>0</v>
      </c>
      <c r="P212" s="204">
        <f t="shared" si="32"/>
        <v>4.16</v>
      </c>
      <c r="Q212" t="str">
        <f t="shared" ca="1" si="33"/>
        <v>Undrafted</v>
      </c>
      <c r="R212">
        <f t="shared" ca="1" si="34"/>
        <v>0</v>
      </c>
      <c r="S212">
        <f t="shared" ca="1" si="35"/>
        <v>-108.60000000000001</v>
      </c>
      <c r="T212" s="84">
        <f t="shared" ca="1" si="36"/>
        <v>-17.916779544415437</v>
      </c>
      <c r="U212" s="84">
        <f ca="1">T212*Auction!$A$2</f>
        <v>-17.916779544415437</v>
      </c>
      <c r="V212" s="5" t="str">
        <f>IF(OR(INDEX(Auction!$H$13:$H$650,MATCH(B212,Auction!$A$13:$A$650,0))&gt;0,IFERROR(INDEX(CheatSheet!$V$5:$V$64,MATCH(B212,CheatSheet!$S$5:$S$64,0)),"")&lt;&gt;""),"Yes","No")</f>
        <v>No</v>
      </c>
      <c r="W212" s="175"/>
      <c r="Y212" s="113">
        <f t="shared" ref="Y212:Y213" ca="1" si="38">IFERROR(SUMIFS(Z:Z,Z:Z,"&gt;0",V:V,"No")/SUMIF(Z:Z,"&gt;0"),0)</f>
        <v>1</v>
      </c>
      <c r="Z212" s="174">
        <f t="shared" ref="Z212:Z213" ca="1" si="39">AVERAGE(R212:S212)</f>
        <v>-54.300000000000004</v>
      </c>
      <c r="AA212" t="str">
        <f t="shared" ref="AA212:AA213" ca="1" si="40">IF(AC212&gt;3,"WR1",IF(AC212&gt;2.5,"WR2",IF(AC212&gt;2,"WR3",IF(AC212&gt;1.5,"WR4",IF(AC212&gt;1,"WR5",IF(AC212&gt;0.5,"WR6",IF(AC212&gt;0,"WR7","WR8")))))))</f>
        <v>WR8</v>
      </c>
      <c r="AB212" s="174">
        <f ca="1">Z212*LeagueInfo!$H$5</f>
        <v>-17.536194613908716</v>
      </c>
      <c r="AC212" s="174">
        <f ca="1">(Z212-AVERAGE(Z:$Z))/_xlfn.STDEV.P(Z:Z)</f>
        <v>-1.0323248479221774</v>
      </c>
    </row>
    <row r="213" spans="1:29" x14ac:dyDescent="0.35">
      <c r="A213">
        <f t="shared" si="31"/>
        <v>211</v>
      </c>
      <c r="B213" t="str">
        <f>WR_Raw!A217</f>
        <v>Byron Pringle</v>
      </c>
      <c r="C213" t="s">
        <v>32</v>
      </c>
      <c r="D213" t="str">
        <f>_xlfn.IFNA(INDEX(BYEs!E:E,MATCH(B213,BYEs!D:D,0)),"N/A")</f>
        <v>N/A</v>
      </c>
      <c r="E213">
        <f>INDEX(BYEs!$B$2:$B$34,MATCH(F213,BYEs!$A$2:$A$34,0))</f>
        <v>14</v>
      </c>
      <c r="F213" t="str">
        <f>WR_Raw!B217</f>
        <v>WAS</v>
      </c>
      <c r="G213" s="202">
        <v>0</v>
      </c>
      <c r="H213" s="203">
        <v>0</v>
      </c>
      <c r="I213" s="200">
        <f>WR_Raw!F217</f>
        <v>0</v>
      </c>
      <c r="J213" s="200">
        <f>WR_Raw!G217</f>
        <v>1</v>
      </c>
      <c r="K213" s="200">
        <f>WR_Raw!H217</f>
        <v>0</v>
      </c>
      <c r="L213" s="202">
        <f>WR_Raw!C217</f>
        <v>1.9</v>
      </c>
      <c r="M213" s="200">
        <f>WR_Raw!D217</f>
        <v>18.899999999999999</v>
      </c>
      <c r="N213" s="203">
        <f>WR_Raw!E217</f>
        <v>0.1</v>
      </c>
      <c r="O213" s="200">
        <f>WR_Raw!I217</f>
        <v>0</v>
      </c>
      <c r="P213" s="204">
        <f t="shared" si="32"/>
        <v>3.54</v>
      </c>
      <c r="Q213" t="str">
        <f t="shared" ca="1" si="33"/>
        <v>Undrafted</v>
      </c>
      <c r="R213">
        <f t="shared" ca="1" si="34"/>
        <v>0</v>
      </c>
      <c r="S213">
        <f t="shared" ca="1" si="35"/>
        <v>-109.22</v>
      </c>
      <c r="T213" s="84">
        <f t="shared" ca="1" si="36"/>
        <v>-18.019066867781341</v>
      </c>
      <c r="U213" s="84">
        <f ca="1">T213*Auction!$A$2</f>
        <v>-18.019066867781341</v>
      </c>
      <c r="V213" s="5" t="str">
        <f>IF(OR(INDEX(Auction!$H$13:$H$650,MATCH(B213,Auction!$A$13:$A$650,0))&gt;0,IFERROR(INDEX(CheatSheet!$V$5:$V$64,MATCH(B213,CheatSheet!$S$5:$S$64,0)),"")&lt;&gt;""),"Yes","No")</f>
        <v>No</v>
      </c>
      <c r="W213" s="175"/>
      <c r="Y213" s="113">
        <f t="shared" ca="1" si="38"/>
        <v>1</v>
      </c>
      <c r="Z213" s="174">
        <f t="shared" ca="1" si="39"/>
        <v>-54.61</v>
      </c>
      <c r="AA213" t="str">
        <f t="shared" ca="1" si="40"/>
        <v>WR8</v>
      </c>
      <c r="AB213" s="174">
        <f ca="1">Z213*LeagueInfo!$H$5</f>
        <v>-17.63630916879475</v>
      </c>
      <c r="AC213" s="174">
        <f ca="1">(Z213-AVERAGE(Z:$Z))/_xlfn.STDEV.P(Z:Z)</f>
        <v>-1.0400593366539541</v>
      </c>
    </row>
  </sheetData>
  <autoFilter ref="A2:W213" xr:uid="{00000000-0001-0000-0700-000000000000}"/>
  <sortState xmlns:xlrd2="http://schemas.microsoft.com/office/spreadsheetml/2017/richdata2" ref="A3:V214">
    <sortCondition ref="A2:A303"/>
  </sortState>
  <mergeCells count="3">
    <mergeCell ref="G1:H1"/>
    <mergeCell ref="I1:K1"/>
    <mergeCell ref="L1:N1"/>
  </mergeCells>
  <conditionalFormatting sqref="B3:V213">
    <cfRule type="expression" dxfId="74" priority="26">
      <formula>$V3="Yes"</formula>
    </cfRule>
  </conditionalFormatting>
  <conditionalFormatting sqref="D2">
    <cfRule type="expression" dxfId="73" priority="7">
      <formula>#REF!="Yes"</formula>
    </cfRule>
  </conditionalFormatting>
  <conditionalFormatting sqref="A2">
    <cfRule type="expression" dxfId="72" priority="4">
      <formula>#REF!="Yes"</formula>
    </cfRule>
  </conditionalFormatting>
  <conditionalFormatting sqref="G2:H2 C2 E2 O2:T2">
    <cfRule type="expression" dxfId="71" priority="291">
      <formula>#REF!="Yes"</formula>
    </cfRule>
  </conditionalFormatting>
  <conditionalFormatting sqref="D3:D213">
    <cfRule type="colorScale" priority="339">
      <colorScale>
        <cfvo type="min"/>
        <cfvo type="percentile" val="50"/>
        <cfvo type="max"/>
        <color rgb="FF63BE7B"/>
        <color rgb="FFFFEB84"/>
        <color rgb="FFF8696B"/>
      </colorScale>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700-000000000000}">
          <x14:formula1>
            <xm:f>LeagueInfo!$H$97:$H$100</xm:f>
          </x14:formula1>
          <xm:sqref>W3:W213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AC115"/>
  <sheetViews>
    <sheetView zoomScale="90" zoomScaleNormal="90" workbookViewId="0">
      <selection activeCell="R33" sqref="R33"/>
    </sheetView>
  </sheetViews>
  <sheetFormatPr defaultColWidth="6.08984375" defaultRowHeight="14.5" x14ac:dyDescent="0.35"/>
  <cols>
    <col min="1" max="1" width="5.90625" bestFit="1" customWidth="1"/>
    <col min="2" max="2" width="23.36328125" bestFit="1" customWidth="1"/>
    <col min="3" max="3" width="5.453125" bestFit="1" customWidth="1"/>
    <col min="4" max="4" width="5.36328125" bestFit="1" customWidth="1"/>
    <col min="5" max="5" width="5" bestFit="1" customWidth="1"/>
    <col min="6" max="6" width="5.08984375" bestFit="1" customWidth="1"/>
    <col min="7" max="7" width="4.90625" bestFit="1" customWidth="1"/>
    <col min="8" max="8" width="5.453125" bestFit="1" customWidth="1"/>
    <col min="9" max="9" width="4.90625" bestFit="1" customWidth="1"/>
    <col min="10" max="10" width="5.36328125" bestFit="1" customWidth="1"/>
    <col min="11" max="12" width="5" bestFit="1" customWidth="1"/>
    <col min="13" max="13" width="6" bestFit="1" customWidth="1"/>
    <col min="14" max="14" width="5" bestFit="1" customWidth="1"/>
    <col min="15" max="15" width="3.90625" bestFit="1" customWidth="1"/>
    <col min="16" max="16" width="7.6328125" bestFit="1" customWidth="1"/>
    <col min="17" max="17" width="12.6328125" bestFit="1" customWidth="1"/>
    <col min="18" max="18" width="9.54296875" bestFit="1" customWidth="1"/>
    <col min="19" max="19" width="11" bestFit="1" customWidth="1"/>
    <col min="20" max="20" width="6.6328125" bestFit="1" customWidth="1"/>
    <col min="21" max="21" width="9.6328125" bestFit="1" customWidth="1"/>
    <col min="22" max="22" width="9" style="5" bestFit="1" customWidth="1"/>
    <col min="23" max="23" width="8.36328125" bestFit="1" customWidth="1"/>
    <col min="24" max="24" width="0" hidden="1" customWidth="1"/>
    <col min="25" max="26" width="8.54296875" bestFit="1" customWidth="1"/>
    <col min="27" max="27" width="4.6328125" bestFit="1" customWidth="1"/>
    <col min="28" max="28" width="10.08984375" bestFit="1" customWidth="1"/>
    <col min="29" max="29" width="8.6328125" bestFit="1" customWidth="1"/>
  </cols>
  <sheetData>
    <row r="1" spans="1:29" x14ac:dyDescent="0.35">
      <c r="G1" s="264" t="s">
        <v>165</v>
      </c>
      <c r="H1" s="264"/>
      <c r="I1" s="264" t="s">
        <v>166</v>
      </c>
      <c r="J1" s="264"/>
      <c r="K1" s="264"/>
      <c r="L1" s="264" t="s">
        <v>225</v>
      </c>
      <c r="M1" s="264"/>
      <c r="N1" s="264"/>
    </row>
    <row r="2" spans="1:29" x14ac:dyDescent="0.35">
      <c r="A2" s="99" t="s">
        <v>167</v>
      </c>
      <c r="B2" s="99" t="s">
        <v>82</v>
      </c>
      <c r="C2" s="99" t="s">
        <v>168</v>
      </c>
      <c r="D2" s="99" t="s">
        <v>465</v>
      </c>
      <c r="E2" s="99" t="s">
        <v>169</v>
      </c>
      <c r="F2" s="99" t="s">
        <v>170</v>
      </c>
      <c r="G2" s="99" t="s">
        <v>171</v>
      </c>
      <c r="H2" s="99" t="s">
        <v>172</v>
      </c>
      <c r="I2" s="99" t="s">
        <v>171</v>
      </c>
      <c r="J2" s="99" t="s">
        <v>173</v>
      </c>
      <c r="K2" s="99" t="s">
        <v>174</v>
      </c>
      <c r="L2" s="99" t="s">
        <v>226</v>
      </c>
      <c r="M2" s="99" t="s">
        <v>173</v>
      </c>
      <c r="N2" s="99" t="s">
        <v>174</v>
      </c>
      <c r="O2" s="99" t="s">
        <v>176</v>
      </c>
      <c r="P2" s="99" t="s">
        <v>177</v>
      </c>
      <c r="Q2" s="99" t="s">
        <v>178</v>
      </c>
      <c r="R2" s="99" t="s">
        <v>179</v>
      </c>
      <c r="S2" s="99" t="s">
        <v>180</v>
      </c>
      <c r="T2" s="99" t="s">
        <v>181</v>
      </c>
      <c r="U2" s="99" t="s">
        <v>182</v>
      </c>
      <c r="V2" s="99" t="s">
        <v>183</v>
      </c>
      <c r="W2" s="99" t="s">
        <v>184</v>
      </c>
      <c r="Y2" s="99" t="s">
        <v>185</v>
      </c>
      <c r="Z2" s="99" t="s">
        <v>186</v>
      </c>
      <c r="AA2" s="99" t="s">
        <v>187</v>
      </c>
      <c r="AB2" s="99" t="s">
        <v>188</v>
      </c>
      <c r="AC2" s="99" t="s">
        <v>1094</v>
      </c>
    </row>
    <row r="3" spans="1:29" x14ac:dyDescent="0.35">
      <c r="A3">
        <f t="shared" ref="A3:A34" si="0">RANK(P3,P:P)</f>
        <v>1</v>
      </c>
      <c r="B3" t="str">
        <f>TE_Raw!A2</f>
        <v>Travis Kelce</v>
      </c>
      <c r="C3" t="s">
        <v>40</v>
      </c>
      <c r="D3">
        <f>_xlfn.IFNA(INDEX(BYEs!E:E,MATCH(B3,BYEs!D:D,0)),"N/A")</f>
        <v>34</v>
      </c>
      <c r="E3">
        <f>INDEX(BYEs!$B$2:$B$34,MATCH(F3,BYEs!$A$2:$A$34,0))</f>
        <v>6</v>
      </c>
      <c r="F3" t="str">
        <f>TE_Raw!B2</f>
        <v>KC</v>
      </c>
      <c r="G3" s="198">
        <v>0</v>
      </c>
      <c r="H3" s="199">
        <v>0</v>
      </c>
      <c r="I3" s="200">
        <v>0</v>
      </c>
      <c r="J3" s="200">
        <v>0</v>
      </c>
      <c r="K3" s="200">
        <v>0</v>
      </c>
      <c r="L3" s="201">
        <f>TE_Raw!C2</f>
        <v>89</v>
      </c>
      <c r="M3" s="201">
        <f>TE_Raw!D2</f>
        <v>960.9</v>
      </c>
      <c r="N3" s="203">
        <f>TE_Raw!E2</f>
        <v>7.5</v>
      </c>
      <c r="O3" s="200">
        <f>TE_Raw!F2</f>
        <v>0.8</v>
      </c>
      <c r="P3">
        <f t="shared" ref="P3:P34" si="1">(J3*TERushYd)+(K3*TERushTD)+(L3*TERec)+(M3*TERecYd)+(N3*TERecTD)+(O3*TEFuml)+(I3*TERushAtt)</f>
        <v>183.99</v>
      </c>
      <c r="Q3" t="str">
        <f t="shared" ref="Q3:Q34" ca="1" si="2">IF(A3&lt;=TEStarters,"Starter",IF(A3&gt;TEStarters+TEBench,"Undrafted","Bench"))</f>
        <v>Starter</v>
      </c>
      <c r="R3">
        <f t="shared" ref="R3:R34" ca="1" si="3">IFERROR(MAX(P3-LARGE(TESheetCount,TEStarters),0),0)</f>
        <v>59.180000000000007</v>
      </c>
      <c r="S3">
        <f t="shared" ref="S3:S34" ca="1" si="4">IFERROR(IF(AllowNegative="Yes",P3-LARGE(TESheetCount,TECount),MAX(P3-LARGE(TESheetCount,TECount),0)),0)</f>
        <v>93.16</v>
      </c>
      <c r="T3" s="174">
        <f t="shared" ref="T3:T34" ca="1" si="5">IF(TEStarters&gt;0,(S3-R3)*BenchPF+R3*StarterPF,0)</f>
        <v>24.31823222113529</v>
      </c>
      <c r="U3" s="174">
        <f ca="1">T3*Auction!$A$2</f>
        <v>24.31823222113529</v>
      </c>
      <c r="V3" s="5" t="str">
        <f>IF(OR(INDEX(Auction!$H$13:$H$650,MATCH(B3,Auction!$A$13:$A$650,0))&gt;0,IFERROR(INDEX(CheatSheet!$D$37:$D$64,MATCH(B3,CheatSheet!$A$37:$A$64,0)),"")&lt;&gt;""),"Yes","No")</f>
        <v>No</v>
      </c>
      <c r="W3" s="175"/>
      <c r="Y3" s="77">
        <f t="shared" ref="Y3:Y34" ca="1" si="6">IFERROR(SUMIFS(Z:Z,Z:Z,"&gt;0",V:V,"No")/SUMIF(Z:Z,"&gt;0"),0)</f>
        <v>1</v>
      </c>
      <c r="Z3">
        <f ca="1">AVERAGE(R3:S3)</f>
        <v>76.17</v>
      </c>
      <c r="AA3" t="str">
        <f ca="1">IF(AC3&gt;3,"TE1",IF(AC3&gt;2.5,"TE2",IF(AC3&gt;2,"TE3",IF(AC3&gt;1.5,"TE4",IF(AC3&gt;1,"TE5",IF(AC3&gt;0.5,"TE6",IF(AC3&gt;0,"TE7","TE8")))))))</f>
        <v>TE1</v>
      </c>
      <c r="AB3" s="174">
        <f ca="1">Z3*LeagueInfo!$H$5</f>
        <v>24.59911498602996</v>
      </c>
      <c r="AC3" s="174">
        <f t="shared" ref="AC3:AC34" ca="1" si="7">(Z3-AVERAGE(Z:Z))/_xlfn.STDEV.P(Z:Z)</f>
        <v>3.5874041373753047</v>
      </c>
    </row>
    <row r="4" spans="1:29" x14ac:dyDescent="0.35">
      <c r="A4">
        <f t="shared" si="0"/>
        <v>2</v>
      </c>
      <c r="B4" t="str">
        <f>TE_Raw!A3</f>
        <v>Sam LaPorta</v>
      </c>
      <c r="C4" t="s">
        <v>40</v>
      </c>
      <c r="D4">
        <f>_xlfn.IFNA(INDEX(BYEs!E:E,MATCH(B4,BYEs!D:D,0)),"N/A")</f>
        <v>23</v>
      </c>
      <c r="E4">
        <f>INDEX(BYEs!$B$2:$B$34,MATCH(F4,BYEs!$A$2:$A$34,0))</f>
        <v>5</v>
      </c>
      <c r="F4" t="str">
        <f>TE_Raw!B3</f>
        <v>DET</v>
      </c>
      <c r="G4" s="198">
        <v>0</v>
      </c>
      <c r="H4" s="199">
        <v>0</v>
      </c>
      <c r="I4" s="200">
        <v>0</v>
      </c>
      <c r="J4" s="200">
        <v>0</v>
      </c>
      <c r="K4" s="200">
        <v>0</v>
      </c>
      <c r="L4" s="201">
        <f>TE_Raw!C3</f>
        <v>86.3</v>
      </c>
      <c r="M4" s="201">
        <f>TE_Raw!D3</f>
        <v>891.3</v>
      </c>
      <c r="N4" s="203">
        <f>TE_Raw!E3</f>
        <v>7.7</v>
      </c>
      <c r="O4" s="200">
        <f>TE_Raw!F3</f>
        <v>0.4</v>
      </c>
      <c r="P4" s="10">
        <f t="shared" si="1"/>
        <v>177.68</v>
      </c>
      <c r="Q4" t="str">
        <f t="shared" ca="1" si="2"/>
        <v>Starter</v>
      </c>
      <c r="R4">
        <f t="shared" ca="1" si="3"/>
        <v>52.870000000000005</v>
      </c>
      <c r="S4">
        <f t="shared" ca="1" si="4"/>
        <v>86.85</v>
      </c>
      <c r="T4" s="174">
        <f t="shared" ca="1" si="5"/>
        <v>22.323062362071845</v>
      </c>
      <c r="U4" s="174">
        <f ca="1">T4*Auction!$A$2</f>
        <v>22.323062362071845</v>
      </c>
      <c r="V4" s="5" t="str">
        <f>IF(OR(INDEX(Auction!$H$13:$H$650,MATCH(B4,Auction!$A$13:$A$650,0))&gt;0,IFERROR(INDEX(CheatSheet!$D$37:$D$64,MATCH(B4,CheatSheet!$A$37:$A$64,0)),"")&lt;&gt;""),"Yes","No")</f>
        <v>No</v>
      </c>
      <c r="W4" s="175"/>
      <c r="Y4" s="77">
        <f t="shared" ca="1" si="6"/>
        <v>1</v>
      </c>
      <c r="Z4">
        <f t="shared" ref="Z4:Z67" ca="1" si="8">AVERAGE(R4:S4)</f>
        <v>69.86</v>
      </c>
      <c r="AA4" t="str">
        <f t="shared" ref="AA4:AA67" ca="1" si="9">IF(AC4&gt;3,"TE1",IF(AC4&gt;2.5,"TE2",IF(AC4&gt;2,"TE3",IF(AC4&gt;1.5,"TE4",IF(AC4&gt;1,"TE5",IF(AC4&gt;0.5,"TE6",IF(AC4&gt;0,"TE7","TE8")))))))</f>
        <v>TE1</v>
      </c>
      <c r="AB4" s="174">
        <f ca="1">Z4*LeagueInfo!$H$5</f>
        <v>22.561299368833566</v>
      </c>
      <c r="AC4" s="174">
        <f t="shared" ca="1" si="7"/>
        <v>3.3490800220137471</v>
      </c>
    </row>
    <row r="5" spans="1:29" x14ac:dyDescent="0.35">
      <c r="A5">
        <f t="shared" si="0"/>
        <v>3</v>
      </c>
      <c r="B5" t="str">
        <f>TE_Raw!A4</f>
        <v>Mark Andrews</v>
      </c>
      <c r="C5" t="s">
        <v>40</v>
      </c>
      <c r="D5">
        <f>_xlfn.IFNA(INDEX(BYEs!E:E,MATCH(B5,BYEs!D:D,0)),"N/A")</f>
        <v>28</v>
      </c>
      <c r="E5">
        <f>INDEX(BYEs!$B$2:$B$34,MATCH(F5,BYEs!$A$2:$A$34,0))</f>
        <v>14</v>
      </c>
      <c r="F5" t="str">
        <f>TE_Raw!B4</f>
        <v>BAL</v>
      </c>
      <c r="G5" s="198">
        <v>0</v>
      </c>
      <c r="H5" s="199">
        <v>0</v>
      </c>
      <c r="I5" s="200">
        <v>0</v>
      </c>
      <c r="J5" s="200">
        <v>0</v>
      </c>
      <c r="K5" s="200">
        <v>0</v>
      </c>
      <c r="L5" s="201">
        <f>TE_Raw!C4</f>
        <v>71.900000000000006</v>
      </c>
      <c r="M5" s="201">
        <f>TE_Raw!D4</f>
        <v>869.4</v>
      </c>
      <c r="N5" s="203">
        <f>TE_Raw!E4</f>
        <v>7.9</v>
      </c>
      <c r="O5" s="200">
        <f>TE_Raw!F4</f>
        <v>0.5</v>
      </c>
      <c r="P5" s="10">
        <f t="shared" si="1"/>
        <v>169.29000000000002</v>
      </c>
      <c r="Q5" t="str">
        <f t="shared" ca="1" si="2"/>
        <v>Starter</v>
      </c>
      <c r="R5">
        <f t="shared" ca="1" si="3"/>
        <v>44.480000000000018</v>
      </c>
      <c r="S5">
        <f t="shared" ca="1" si="4"/>
        <v>78.460000000000008</v>
      </c>
      <c r="T5" s="174">
        <f t="shared" ca="1" si="5"/>
        <v>19.670213690512046</v>
      </c>
      <c r="U5" s="174">
        <f ca="1">T5*Auction!$A$2</f>
        <v>19.670213690512046</v>
      </c>
      <c r="V5" s="5" t="str">
        <f>IF(OR(INDEX(Auction!$H$13:$H$650,MATCH(B5,Auction!$A$13:$A$650,0))&gt;0,IFERROR(INDEX(CheatSheet!$D$37:$D$64,MATCH(B5,CheatSheet!$A$37:$A$64,0)),"")&lt;&gt;""),"Yes","No")</f>
        <v>No</v>
      </c>
      <c r="W5" s="175"/>
      <c r="Y5" s="77">
        <f t="shared" ca="1" si="6"/>
        <v>1</v>
      </c>
      <c r="Z5">
        <f t="shared" ca="1" si="8"/>
        <v>61.470000000000013</v>
      </c>
      <c r="AA5" t="str">
        <f t="shared" ca="1" si="9"/>
        <v>TE1</v>
      </c>
      <c r="AB5" s="174">
        <f ca="1">Z5*LeagueInfo!$H$5</f>
        <v>19.851747383369592</v>
      </c>
      <c r="AC5" s="174">
        <f t="shared" ca="1" si="7"/>
        <v>3.0321958179117718</v>
      </c>
    </row>
    <row r="6" spans="1:29" x14ac:dyDescent="0.35">
      <c r="A6">
        <f t="shared" si="0"/>
        <v>4</v>
      </c>
      <c r="B6" t="str">
        <f>TE_Raw!A7</f>
        <v>Trey McBride</v>
      </c>
      <c r="C6" t="s">
        <v>40</v>
      </c>
      <c r="D6">
        <f>_xlfn.IFNA(INDEX(BYEs!E:E,MATCH(B6,BYEs!D:D,0)),"N/A")</f>
        <v>24</v>
      </c>
      <c r="E6">
        <f>INDEX(BYEs!$B$2:$B$34,MATCH(F6,BYEs!$A$2:$A$34,0))</f>
        <v>11</v>
      </c>
      <c r="F6" t="str">
        <f>TE_Raw!B7</f>
        <v>ARI</v>
      </c>
      <c r="G6" s="198">
        <v>0</v>
      </c>
      <c r="H6" s="199">
        <v>0</v>
      </c>
      <c r="I6" s="200">
        <v>0</v>
      </c>
      <c r="J6" s="200">
        <v>0</v>
      </c>
      <c r="K6" s="200">
        <v>0</v>
      </c>
      <c r="L6" s="201">
        <f>TE_Raw!C7</f>
        <v>86</v>
      </c>
      <c r="M6" s="201">
        <f>TE_Raw!D7</f>
        <v>880.4</v>
      </c>
      <c r="N6" s="203">
        <f>TE_Raw!E7</f>
        <v>5.0999999999999996</v>
      </c>
      <c r="O6" s="200">
        <f>TE_Raw!F7</f>
        <v>0.5</v>
      </c>
      <c r="P6" s="10">
        <f t="shared" si="1"/>
        <v>160.64000000000001</v>
      </c>
      <c r="Q6" t="str">
        <f t="shared" ca="1" si="2"/>
        <v>Starter</v>
      </c>
      <c r="R6">
        <f t="shared" ca="1" si="3"/>
        <v>35.830000000000013</v>
      </c>
      <c r="S6">
        <f t="shared" ca="1" si="4"/>
        <v>69.81</v>
      </c>
      <c r="T6" s="174">
        <f t="shared" ca="1" si="5"/>
        <v>16.935155167390199</v>
      </c>
      <c r="U6" s="174">
        <f ca="1">T6*Auction!$A$2</f>
        <v>16.935155167390199</v>
      </c>
      <c r="V6" s="5" t="str">
        <f>IF(OR(INDEX(Auction!$H$13:$H$650,MATCH(B6,Auction!$A$13:$A$650,0))&gt;0,IFERROR(INDEX(CheatSheet!$D$37:$D$64,MATCH(B6,CheatSheet!$A$37:$A$64,0)),"")&lt;&gt;""),"Yes","No")</f>
        <v>No</v>
      </c>
      <c r="W6" s="175"/>
      <c r="Y6" s="77">
        <f t="shared" ca="1" si="6"/>
        <v>1</v>
      </c>
      <c r="Z6">
        <f t="shared" ca="1" si="8"/>
        <v>52.820000000000007</v>
      </c>
      <c r="AA6" t="str">
        <f t="shared" ca="1" si="9"/>
        <v>TE2</v>
      </c>
      <c r="AB6" s="174">
        <f ca="1">Z6*LeagueInfo!$H$5</f>
        <v>17.058228351872163</v>
      </c>
      <c r="AC6" s="174">
        <f t="shared" ca="1" si="7"/>
        <v>2.7054916027172435</v>
      </c>
    </row>
    <row r="7" spans="1:29" x14ac:dyDescent="0.35">
      <c r="A7">
        <f t="shared" si="0"/>
        <v>5</v>
      </c>
      <c r="B7" t="str">
        <f>TE_Raw!A5</f>
        <v>George Kittle</v>
      </c>
      <c r="C7" t="s">
        <v>40</v>
      </c>
      <c r="D7">
        <f>_xlfn.IFNA(INDEX(BYEs!E:E,MATCH(B7,BYEs!D:D,0)),"N/A")</f>
        <v>30</v>
      </c>
      <c r="E7">
        <f>INDEX(BYEs!$B$2:$B$34,MATCH(F7,BYEs!$A$2:$A$34,0))</f>
        <v>9</v>
      </c>
      <c r="F7" t="str">
        <f>TE_Raw!B5</f>
        <v>SF</v>
      </c>
      <c r="G7" s="198">
        <v>0</v>
      </c>
      <c r="H7" s="199">
        <v>0</v>
      </c>
      <c r="I7" s="200">
        <v>0</v>
      </c>
      <c r="J7" s="200">
        <v>0</v>
      </c>
      <c r="K7" s="200">
        <v>0</v>
      </c>
      <c r="L7" s="201">
        <f>TE_Raw!C5</f>
        <v>65.400000000000006</v>
      </c>
      <c r="M7" s="201">
        <f>TE_Raw!D5</f>
        <v>882.1</v>
      </c>
      <c r="N7" s="203">
        <f>TE_Raw!E5</f>
        <v>6</v>
      </c>
      <c r="O7" s="200">
        <f>TE_Raw!F5</f>
        <v>0.4</v>
      </c>
      <c r="P7" s="10">
        <f t="shared" si="1"/>
        <v>156.11000000000001</v>
      </c>
      <c r="Q7" t="str">
        <f t="shared" ca="1" si="2"/>
        <v>Starter</v>
      </c>
      <c r="R7">
        <f t="shared" ca="1" si="3"/>
        <v>31.300000000000011</v>
      </c>
      <c r="S7">
        <f t="shared" ca="1" si="4"/>
        <v>65.28</v>
      </c>
      <c r="T7" s="174">
        <f t="shared" ca="1" si="5"/>
        <v>15.502806599789976</v>
      </c>
      <c r="U7" s="174">
        <f ca="1">T7*Auction!$A$2</f>
        <v>15.502806599789976</v>
      </c>
      <c r="V7" s="5" t="str">
        <f>IF(OR(INDEX(Auction!$H$13:$H$650,MATCH(B7,Auction!$A$13:$A$650,0))&gt;0,IFERROR(INDEX(CheatSheet!$D$37:$D$64,MATCH(B7,CheatSheet!$A$37:$A$64,0)),"")&lt;&gt;""),"Yes","No")</f>
        <v>No</v>
      </c>
      <c r="W7" s="175"/>
      <c r="Y7" s="77">
        <f t="shared" ca="1" si="6"/>
        <v>1</v>
      </c>
      <c r="Z7">
        <f t="shared" ca="1" si="8"/>
        <v>48.290000000000006</v>
      </c>
      <c r="AA7" t="str">
        <f t="shared" ca="1" si="9"/>
        <v>TE2</v>
      </c>
      <c r="AB7" s="174">
        <f ca="1">Z7*LeagueInfo!$H$5</f>
        <v>15.595264049827843</v>
      </c>
      <c r="AC7" s="174">
        <f t="shared" ca="1" si="7"/>
        <v>2.534396794066236</v>
      </c>
    </row>
    <row r="8" spans="1:29" x14ac:dyDescent="0.35">
      <c r="A8">
        <f t="shared" si="0"/>
        <v>6</v>
      </c>
      <c r="B8" t="str">
        <f>TE_Raw!A8</f>
        <v>Dalton Kincaid</v>
      </c>
      <c r="C8" t="s">
        <v>40</v>
      </c>
      <c r="D8">
        <f>_xlfn.IFNA(INDEX(BYEs!E:E,MATCH(B8,BYEs!D:D,0)),"N/A")</f>
        <v>24</v>
      </c>
      <c r="E8">
        <f>INDEX(BYEs!$B$2:$B$34,MATCH(F8,BYEs!$A$2:$A$34,0))</f>
        <v>12</v>
      </c>
      <c r="F8" t="str">
        <f>TE_Raw!B8</f>
        <v>BUF</v>
      </c>
      <c r="G8" s="198">
        <v>0</v>
      </c>
      <c r="H8" s="199">
        <v>0</v>
      </c>
      <c r="I8" s="200">
        <v>0</v>
      </c>
      <c r="J8" s="200">
        <v>0</v>
      </c>
      <c r="K8" s="200">
        <v>0</v>
      </c>
      <c r="L8" s="201">
        <f>TE_Raw!C8</f>
        <v>82.3</v>
      </c>
      <c r="M8" s="201">
        <f>TE_Raw!D8</f>
        <v>821.9</v>
      </c>
      <c r="N8" s="203">
        <f>TE_Raw!E8</f>
        <v>5.4</v>
      </c>
      <c r="O8" s="200">
        <f>TE_Raw!F8</f>
        <v>0.8</v>
      </c>
      <c r="P8" s="10">
        <f t="shared" si="1"/>
        <v>154.14000000000001</v>
      </c>
      <c r="Q8" t="str">
        <f t="shared" ca="1" si="2"/>
        <v>Starter</v>
      </c>
      <c r="R8">
        <f t="shared" ca="1" si="3"/>
        <v>29.330000000000013</v>
      </c>
      <c r="S8">
        <f t="shared" ca="1" si="4"/>
        <v>63.31</v>
      </c>
      <c r="T8" s="174">
        <f t="shared" ca="1" si="5"/>
        <v>14.879908878339105</v>
      </c>
      <c r="U8" s="174">
        <f ca="1">T8*Auction!$A$2</f>
        <v>14.879908878339105</v>
      </c>
      <c r="V8" s="5" t="str">
        <f>IF(OR(INDEX(Auction!$H$13:$H$650,MATCH(B8,Auction!$A$13:$A$650,0))&gt;0,IFERROR(INDEX(CheatSheet!$D$37:$D$64,MATCH(B8,CheatSheet!$A$37:$A$64,0)),"")&lt;&gt;""),"Yes","No")</f>
        <v>No</v>
      </c>
      <c r="W8" s="175"/>
      <c r="Y8" s="77">
        <f t="shared" ca="1" si="6"/>
        <v>1</v>
      </c>
      <c r="Z8">
        <f t="shared" ca="1" si="8"/>
        <v>46.320000000000007</v>
      </c>
      <c r="AA8" t="str">
        <f t="shared" ca="1" si="9"/>
        <v>TE3</v>
      </c>
      <c r="AB8" s="174">
        <f ca="1">Z8*LeagueInfo!$H$5</f>
        <v>14.959052201035943</v>
      </c>
      <c r="AC8" s="174">
        <f t="shared" ca="1" si="7"/>
        <v>2.4599913254034362</v>
      </c>
    </row>
    <row r="9" spans="1:29" x14ac:dyDescent="0.35">
      <c r="A9">
        <f t="shared" si="0"/>
        <v>7</v>
      </c>
      <c r="B9" t="str">
        <f>TE_Raw!A6</f>
        <v>Kyle Pitts</v>
      </c>
      <c r="C9" t="s">
        <v>40</v>
      </c>
      <c r="D9">
        <f>_xlfn.IFNA(INDEX(BYEs!E:E,MATCH(B9,BYEs!D:D,0)),"N/A")</f>
        <v>23</v>
      </c>
      <c r="E9">
        <f>INDEX(BYEs!$B$2:$B$34,MATCH(F9,BYEs!$A$2:$A$34,0))</f>
        <v>12</v>
      </c>
      <c r="F9" t="str">
        <f>TE_Raw!B6</f>
        <v>ATL</v>
      </c>
      <c r="G9" s="198">
        <v>0</v>
      </c>
      <c r="H9" s="199">
        <v>0</v>
      </c>
      <c r="I9" s="200">
        <v>0</v>
      </c>
      <c r="J9" s="200">
        <v>0</v>
      </c>
      <c r="K9" s="200">
        <v>0</v>
      </c>
      <c r="L9" s="201">
        <f>TE_Raw!C6</f>
        <v>67.8</v>
      </c>
      <c r="M9" s="201">
        <f>TE_Raw!D6</f>
        <v>874.6</v>
      </c>
      <c r="N9" s="203">
        <f>TE_Raw!E6</f>
        <v>5.2</v>
      </c>
      <c r="O9" s="200">
        <f>TE_Raw!F6</f>
        <v>0.4</v>
      </c>
      <c r="P9" s="10">
        <f t="shared" si="1"/>
        <v>151.76</v>
      </c>
      <c r="Q9" t="str">
        <f t="shared" ca="1" si="2"/>
        <v>Starter</v>
      </c>
      <c r="R9">
        <f t="shared" ca="1" si="3"/>
        <v>26.949999999999989</v>
      </c>
      <c r="S9">
        <f t="shared" ca="1" si="4"/>
        <v>60.929999999999978</v>
      </c>
      <c r="T9" s="174">
        <f t="shared" ca="1" si="5"/>
        <v>14.127372544809619</v>
      </c>
      <c r="U9" s="174">
        <f ca="1">T9*Auction!$A$2</f>
        <v>14.127372544809619</v>
      </c>
      <c r="V9" s="5" t="str">
        <f>IF(OR(INDEX(Auction!$H$13:$H$650,MATCH(B9,Auction!$A$13:$A$650,0))&gt;0,IFERROR(INDEX(CheatSheet!$D$37:$D$64,MATCH(B9,CheatSheet!$A$37:$A$64,0)),"")&lt;&gt;""),"Yes","No")</f>
        <v>No</v>
      </c>
      <c r="W9" s="175"/>
      <c r="Y9" s="77">
        <f t="shared" ca="1" si="6"/>
        <v>1</v>
      </c>
      <c r="Z9">
        <f t="shared" ca="1" si="8"/>
        <v>43.939999999999984</v>
      </c>
      <c r="AA9" t="str">
        <f t="shared" ca="1" si="9"/>
        <v>TE3</v>
      </c>
      <c r="AB9" s="174">
        <f ca="1">Z9*LeagueInfo!$H$5</f>
        <v>14.190430779652829</v>
      </c>
      <c r="AC9" s="174">
        <f t="shared" ca="1" si="7"/>
        <v>2.3701004546331488</v>
      </c>
    </row>
    <row r="10" spans="1:29" x14ac:dyDescent="0.35">
      <c r="A10">
        <f t="shared" si="0"/>
        <v>8</v>
      </c>
      <c r="B10" t="str">
        <f>TE_Raw!A11</f>
        <v>Evan Engram</v>
      </c>
      <c r="C10" t="s">
        <v>40</v>
      </c>
      <c r="D10">
        <f>_xlfn.IFNA(INDEX(BYEs!E:E,MATCH(B10,BYEs!D:D,0)),"N/A")</f>
        <v>29</v>
      </c>
      <c r="E10">
        <f>INDEX(BYEs!$B$2:$B$34,MATCH(F10,BYEs!$A$2:$A$34,0))</f>
        <v>12</v>
      </c>
      <c r="F10" t="str">
        <f>TE_Raw!B11</f>
        <v>JAC</v>
      </c>
      <c r="G10" s="198">
        <v>0</v>
      </c>
      <c r="H10" s="199">
        <v>0</v>
      </c>
      <c r="I10" s="200">
        <v>0</v>
      </c>
      <c r="J10" s="200">
        <v>0</v>
      </c>
      <c r="K10" s="200">
        <v>0</v>
      </c>
      <c r="L10" s="201">
        <f>TE_Raw!C11</f>
        <v>85.4</v>
      </c>
      <c r="M10" s="201">
        <f>TE_Raw!D11</f>
        <v>786.5</v>
      </c>
      <c r="N10" s="203">
        <f>TE_Raw!E11</f>
        <v>4.4000000000000004</v>
      </c>
      <c r="O10" s="200">
        <f>TE_Raw!F11</f>
        <v>0.9</v>
      </c>
      <c r="P10" s="10">
        <f t="shared" si="1"/>
        <v>145.94999999999999</v>
      </c>
      <c r="Q10" t="str">
        <f t="shared" ca="1" si="2"/>
        <v>Starter</v>
      </c>
      <c r="R10">
        <f t="shared" ca="1" si="3"/>
        <v>21.139999999999986</v>
      </c>
      <c r="S10">
        <f t="shared" ca="1" si="4"/>
        <v>55.119999999999976</v>
      </c>
      <c r="T10" s="174">
        <f t="shared" ca="1" si="5"/>
        <v>12.290298554134715</v>
      </c>
      <c r="U10" s="174">
        <f ca="1">T10*Auction!$A$2</f>
        <v>12.290298554134715</v>
      </c>
      <c r="V10" s="5" t="str">
        <f>IF(OR(INDEX(Auction!$H$13:$H$650,MATCH(B10,Auction!$A$13:$A$650,0))&gt;0,IFERROR(INDEX(CheatSheet!$D$37:$D$64,MATCH(B10,CheatSheet!$A$37:$A$64,0)),"")&lt;&gt;""),"Yes","No")</f>
        <v>No</v>
      </c>
      <c r="W10" s="175"/>
      <c r="Y10" s="77">
        <f t="shared" ca="1" si="6"/>
        <v>1</v>
      </c>
      <c r="Z10">
        <f t="shared" ca="1" si="8"/>
        <v>38.129999999999981</v>
      </c>
      <c r="AA10" t="str">
        <f t="shared" ca="1" si="9"/>
        <v>TE3</v>
      </c>
      <c r="AB10" s="174">
        <f ca="1">Z10*LeagueInfo!$H$5</f>
        <v>12.3140902509823</v>
      </c>
      <c r="AC10" s="174">
        <f t="shared" ca="1" si="7"/>
        <v>2.1506609759880377</v>
      </c>
    </row>
    <row r="11" spans="1:29" x14ac:dyDescent="0.35">
      <c r="A11">
        <f t="shared" si="0"/>
        <v>9</v>
      </c>
      <c r="B11" t="str">
        <f>TE_Raw!A9</f>
        <v>Jake Ferguson</v>
      </c>
      <c r="C11" t="s">
        <v>40</v>
      </c>
      <c r="D11">
        <f>_xlfn.IFNA(INDEX(BYEs!E:E,MATCH(B11,BYEs!D:D,0)),"N/A")</f>
        <v>25</v>
      </c>
      <c r="E11">
        <f>INDEX(BYEs!$B$2:$B$34,MATCH(F11,BYEs!$A$2:$A$34,0))</f>
        <v>7</v>
      </c>
      <c r="F11" t="str">
        <f>TE_Raw!B9</f>
        <v>DAL</v>
      </c>
      <c r="G11" s="198">
        <v>0</v>
      </c>
      <c r="H11" s="199">
        <v>0</v>
      </c>
      <c r="I11" s="200">
        <v>0</v>
      </c>
      <c r="J11" s="200">
        <v>0</v>
      </c>
      <c r="K11" s="200">
        <v>0</v>
      </c>
      <c r="L11" s="201">
        <f>TE_Raw!C9</f>
        <v>70.7</v>
      </c>
      <c r="M11" s="201">
        <f>TE_Raw!D9</f>
        <v>736.5</v>
      </c>
      <c r="N11" s="203">
        <f>TE_Raw!E9</f>
        <v>5.9</v>
      </c>
      <c r="O11" s="200">
        <f>TE_Raw!F9</f>
        <v>0.4</v>
      </c>
      <c r="P11" s="10">
        <f t="shared" si="1"/>
        <v>143.6</v>
      </c>
      <c r="Q11" t="str">
        <f t="shared" ca="1" si="2"/>
        <v>Starter</v>
      </c>
      <c r="R11">
        <f t="shared" ca="1" si="3"/>
        <v>18.789999999999992</v>
      </c>
      <c r="S11">
        <f t="shared" ca="1" si="4"/>
        <v>52.769999999999982</v>
      </c>
      <c r="T11" s="174">
        <f t="shared" ca="1" si="5"/>
        <v>11.547247972708551</v>
      </c>
      <c r="U11" s="174">
        <f ca="1">T11*Auction!$A$2</f>
        <v>11.547247972708551</v>
      </c>
      <c r="V11" s="5" t="str">
        <f>IF(OR(INDEX(Auction!$H$13:$H$650,MATCH(B11,Auction!$A$13:$A$650,0))&gt;0,IFERROR(INDEX(CheatSheet!$D$37:$D$64,MATCH(B11,CheatSheet!$A$37:$A$64,0)),"")&lt;&gt;""),"Yes","No")</f>
        <v>No</v>
      </c>
      <c r="W11" s="175"/>
      <c r="Y11" s="77">
        <f t="shared" ca="1" si="6"/>
        <v>1</v>
      </c>
      <c r="Z11">
        <f t="shared" ca="1" si="8"/>
        <v>35.779999999999987</v>
      </c>
      <c r="AA11" t="str">
        <f t="shared" ca="1" si="9"/>
        <v>TE3</v>
      </c>
      <c r="AB11" s="174">
        <f ca="1">Z11*LeagueInfo!$H$5</f>
        <v>11.555157334910747</v>
      </c>
      <c r="AC11" s="174">
        <f t="shared" ca="1" si="7"/>
        <v>2.0619031834207386</v>
      </c>
    </row>
    <row r="12" spans="1:29" x14ac:dyDescent="0.35">
      <c r="A12">
        <f t="shared" si="0"/>
        <v>10</v>
      </c>
      <c r="B12" t="str">
        <f>TE_Raw!A10</f>
        <v>David Njoku</v>
      </c>
      <c r="C12" t="s">
        <v>40</v>
      </c>
      <c r="D12">
        <f>_xlfn.IFNA(INDEX(BYEs!E:E,MATCH(B12,BYEs!D:D,0)),"N/A")</f>
        <v>28</v>
      </c>
      <c r="E12">
        <f>INDEX(BYEs!$B$2:$B$34,MATCH(F12,BYEs!$A$2:$A$34,0))</f>
        <v>10</v>
      </c>
      <c r="F12" t="str">
        <f>TE_Raw!B10</f>
        <v>CLE</v>
      </c>
      <c r="G12" s="198">
        <v>0</v>
      </c>
      <c r="H12" s="199">
        <v>0</v>
      </c>
      <c r="I12" s="200">
        <v>0</v>
      </c>
      <c r="J12" s="200">
        <v>0</v>
      </c>
      <c r="K12" s="200">
        <v>0</v>
      </c>
      <c r="L12" s="201">
        <f>TE_Raw!C10</f>
        <v>69.8</v>
      </c>
      <c r="M12" s="201">
        <f>TE_Raw!D10</f>
        <v>772.8</v>
      </c>
      <c r="N12" s="203">
        <f>TE_Raw!E10</f>
        <v>5.5</v>
      </c>
      <c r="O12" s="200">
        <f>TE_Raw!F10</f>
        <v>1.2</v>
      </c>
      <c r="P12" s="10">
        <f t="shared" si="1"/>
        <v>142.78</v>
      </c>
      <c r="Q12" t="str">
        <f t="shared" ca="1" si="2"/>
        <v>Starter</v>
      </c>
      <c r="R12">
        <f t="shared" ca="1" si="3"/>
        <v>17.97</v>
      </c>
      <c r="S12">
        <f t="shared" ca="1" si="4"/>
        <v>51.949999999999989</v>
      </c>
      <c r="T12" s="174">
        <f t="shared" ca="1" si="5"/>
        <v>11.287970748551338</v>
      </c>
      <c r="U12" s="174">
        <f ca="1">T12*Auction!$A$2</f>
        <v>11.287970748551338</v>
      </c>
      <c r="V12" s="5" t="str">
        <f>IF(OR(INDEX(Auction!$H$13:$H$650,MATCH(B12,Auction!$A$13:$A$650,0))&gt;0,IFERROR(INDEX(CheatSheet!$D$37:$D$64,MATCH(B12,CheatSheet!$A$37:$A$64,0)),"")&lt;&gt;""),"Yes","No")</f>
        <v>No</v>
      </c>
      <c r="W12" s="175"/>
      <c r="Y12" s="77">
        <f t="shared" ca="1" si="6"/>
        <v>1</v>
      </c>
      <c r="Z12">
        <f t="shared" ca="1" si="8"/>
        <v>34.959999999999994</v>
      </c>
      <c r="AA12" t="str">
        <f t="shared" ca="1" si="9"/>
        <v>TE3</v>
      </c>
      <c r="AB12" s="174">
        <f ca="1">Z12*LeagueInfo!$H$5</f>
        <v>11.290338189728335</v>
      </c>
      <c r="AC12" s="174">
        <f t="shared" ca="1" si="7"/>
        <v>2.0309323792057663</v>
      </c>
    </row>
    <row r="13" spans="1:29" x14ac:dyDescent="0.35">
      <c r="A13">
        <f t="shared" si="0"/>
        <v>11</v>
      </c>
      <c r="B13" t="str">
        <f>TE_Raw!A12</f>
        <v>Brock Bowers</v>
      </c>
      <c r="C13" t="s">
        <v>40</v>
      </c>
      <c r="D13">
        <f>_xlfn.IFNA(INDEX(BYEs!E:E,MATCH(B13,BYEs!D:D,0)),"N/A")</f>
        <v>21</v>
      </c>
      <c r="E13">
        <f>INDEX(BYEs!$B$2:$B$34,MATCH(F13,BYEs!$A$2:$A$34,0))</f>
        <v>10</v>
      </c>
      <c r="F13" t="str">
        <f>TE_Raw!B12</f>
        <v>LV</v>
      </c>
      <c r="G13" s="198">
        <v>0</v>
      </c>
      <c r="H13" s="199">
        <v>0</v>
      </c>
      <c r="I13" s="200">
        <v>0</v>
      </c>
      <c r="J13" s="200">
        <v>0</v>
      </c>
      <c r="K13" s="200">
        <v>0</v>
      </c>
      <c r="L13" s="201">
        <f>TE_Raw!C12</f>
        <v>62.6</v>
      </c>
      <c r="M13" s="201">
        <f>TE_Raw!D12</f>
        <v>696.6</v>
      </c>
      <c r="N13" s="203">
        <f>TE_Raw!E12</f>
        <v>4.5999999999999996</v>
      </c>
      <c r="O13" s="200">
        <f>TE_Raw!F12</f>
        <v>1.1000000000000001</v>
      </c>
      <c r="P13" s="10">
        <f t="shared" si="1"/>
        <v>126.36</v>
      </c>
      <c r="Q13" t="str">
        <f t="shared" ca="1" si="2"/>
        <v>Starter</v>
      </c>
      <c r="R13">
        <f t="shared" ca="1" si="3"/>
        <v>1.5499999999999972</v>
      </c>
      <c r="S13">
        <f t="shared" ca="1" si="4"/>
        <v>35.529999999999987</v>
      </c>
      <c r="T13" s="174">
        <f t="shared" ca="1" si="5"/>
        <v>6.0961024306714915</v>
      </c>
      <c r="U13" s="174">
        <f ca="1">T13*Auction!$A$2</f>
        <v>6.0961024306714915</v>
      </c>
      <c r="V13" s="5" t="str">
        <f>IF(OR(INDEX(Auction!$H$13:$H$650,MATCH(B13,Auction!$A$13:$A$650,0))&gt;0,IFERROR(INDEX(CheatSheet!$D$37:$D$64,MATCH(B13,CheatSheet!$A$37:$A$64,0)),"")&lt;&gt;""),"Yes","No")</f>
        <v>No</v>
      </c>
      <c r="W13" s="175"/>
      <c r="Y13" s="77">
        <f t="shared" ca="1" si="6"/>
        <v>1</v>
      </c>
      <c r="Z13">
        <f t="shared" ca="1" si="8"/>
        <v>18.539999999999992</v>
      </c>
      <c r="AA13" t="str">
        <f t="shared" ca="1" si="9"/>
        <v>TE5</v>
      </c>
      <c r="AB13" s="174">
        <f ca="1">Z13*LeagueInfo!$H$5</f>
        <v>5.987496282538995</v>
      </c>
      <c r="AC13" s="174">
        <f t="shared" ca="1" si="7"/>
        <v>1.4107609094376559</v>
      </c>
    </row>
    <row r="14" spans="1:29" x14ac:dyDescent="0.35">
      <c r="A14">
        <f t="shared" si="0"/>
        <v>12</v>
      </c>
      <c r="B14" t="str">
        <f>TE_Raw!A13</f>
        <v>Dallas Goedert</v>
      </c>
      <c r="C14" t="s">
        <v>40</v>
      </c>
      <c r="D14">
        <f>_xlfn.IFNA(INDEX(BYEs!E:E,MATCH(B14,BYEs!D:D,0)),"N/A")</f>
        <v>29</v>
      </c>
      <c r="E14">
        <f>INDEX(BYEs!$B$2:$B$34,MATCH(F14,BYEs!$A$2:$A$34,0))</f>
        <v>5</v>
      </c>
      <c r="F14" t="str">
        <f>TE_Raw!B13</f>
        <v>PHI</v>
      </c>
      <c r="G14" s="198">
        <v>0</v>
      </c>
      <c r="H14" s="199">
        <v>0</v>
      </c>
      <c r="I14" s="200">
        <v>0</v>
      </c>
      <c r="J14" s="200">
        <v>0</v>
      </c>
      <c r="K14" s="200">
        <v>0</v>
      </c>
      <c r="L14" s="201">
        <f>TE_Raw!C13</f>
        <v>65.5</v>
      </c>
      <c r="M14" s="201">
        <f>TE_Raw!D13</f>
        <v>690.6</v>
      </c>
      <c r="N14" s="203">
        <f>TE_Raw!E13</f>
        <v>4</v>
      </c>
      <c r="O14" s="200">
        <f>TE_Raw!F13</f>
        <v>0.5</v>
      </c>
      <c r="P14" s="10">
        <f t="shared" si="1"/>
        <v>124.81</v>
      </c>
      <c r="Q14" t="str">
        <f t="shared" ca="1" si="2"/>
        <v>Starter</v>
      </c>
      <c r="R14">
        <f t="shared" ca="1" si="3"/>
        <v>0</v>
      </c>
      <c r="S14">
        <f t="shared" ca="1" si="4"/>
        <v>33.97999999999999</v>
      </c>
      <c r="T14" s="174">
        <f t="shared" ca="1" si="5"/>
        <v>5.6060052386670005</v>
      </c>
      <c r="U14" s="174">
        <f ca="1">T14*Auction!$A$2</f>
        <v>5.6060052386670005</v>
      </c>
      <c r="V14" s="5" t="str">
        <f>IF(OR(INDEX(Auction!$H$13:$H$650,MATCH(B14,Auction!$A$13:$A$650,0))&gt;0,IFERROR(INDEX(CheatSheet!$D$37:$D$64,MATCH(B14,CheatSheet!$A$37:$A$64,0)),"")&lt;&gt;""),"Yes","No")</f>
        <v>No</v>
      </c>
      <c r="W14" s="175"/>
      <c r="Y14" s="77">
        <f t="shared" ca="1" si="6"/>
        <v>1</v>
      </c>
      <c r="Z14">
        <f t="shared" ca="1" si="8"/>
        <v>16.989999999999995</v>
      </c>
      <c r="AA14" t="str">
        <f t="shared" ca="1" si="9"/>
        <v>TE5</v>
      </c>
      <c r="AB14" s="174">
        <f ca="1">Z14*LeagueInfo!$H$5</f>
        <v>5.4869235081088208</v>
      </c>
      <c r="AC14" s="174">
        <f t="shared" ca="1" si="7"/>
        <v>1.3522185356166712</v>
      </c>
    </row>
    <row r="15" spans="1:29" x14ac:dyDescent="0.35">
      <c r="A15">
        <f t="shared" si="0"/>
        <v>13</v>
      </c>
      <c r="B15" t="str">
        <f>TE_Raw!A14</f>
        <v>Dalton Schultz</v>
      </c>
      <c r="C15" t="s">
        <v>40</v>
      </c>
      <c r="D15">
        <f>_xlfn.IFNA(INDEX(BYEs!E:E,MATCH(B15,BYEs!D:D,0)),"N/A")</f>
        <v>28</v>
      </c>
      <c r="E15">
        <f>INDEX(BYEs!$B$2:$B$34,MATCH(F15,BYEs!$A$2:$A$34,0))</f>
        <v>14</v>
      </c>
      <c r="F15" t="str">
        <f>TE_Raw!B14</f>
        <v>HOU</v>
      </c>
      <c r="G15" s="198">
        <v>0</v>
      </c>
      <c r="H15" s="199">
        <v>0</v>
      </c>
      <c r="I15" s="200">
        <v>0</v>
      </c>
      <c r="J15" s="200">
        <v>0</v>
      </c>
      <c r="K15" s="200">
        <v>0</v>
      </c>
      <c r="L15" s="201">
        <f>TE_Raw!C14</f>
        <v>56.9</v>
      </c>
      <c r="M15" s="201">
        <f>TE_Raw!D14</f>
        <v>607.70000000000005</v>
      </c>
      <c r="N15" s="203">
        <f>TE_Raw!E14</f>
        <v>4.9000000000000004</v>
      </c>
      <c r="O15" s="200">
        <f>TE_Raw!F14</f>
        <v>0.8</v>
      </c>
      <c r="P15" s="10">
        <f t="shared" si="1"/>
        <v>117.02000000000002</v>
      </c>
      <c r="Q15" t="str">
        <f t="shared" ca="1" si="2"/>
        <v>Bench</v>
      </c>
      <c r="R15">
        <f t="shared" ca="1" si="3"/>
        <v>0</v>
      </c>
      <c r="S15">
        <f t="shared" ca="1" si="4"/>
        <v>26.190000000000012</v>
      </c>
      <c r="T15" s="174">
        <f t="shared" ca="1" si="5"/>
        <v>4.3208145144405199</v>
      </c>
      <c r="U15" s="174">
        <f ca="1">T15*Auction!$A$2</f>
        <v>4.3208145144405199</v>
      </c>
      <c r="V15" s="5" t="str">
        <f>IF(OR(INDEX(Auction!$H$13:$H$650,MATCH(B15,Auction!$A$13:$A$650,0))&gt;0,IFERROR(INDEX(CheatSheet!$D$37:$D$64,MATCH(B15,CheatSheet!$A$37:$A$64,0)),"")&lt;&gt;""),"Yes","No")</f>
        <v>No</v>
      </c>
      <c r="W15" s="175"/>
      <c r="Y15" s="77">
        <f t="shared" ca="1" si="6"/>
        <v>1</v>
      </c>
      <c r="Z15">
        <f t="shared" ca="1" si="8"/>
        <v>13.095000000000006</v>
      </c>
      <c r="AA15" t="str">
        <f t="shared" ca="1" si="9"/>
        <v>TE5</v>
      </c>
      <c r="AB15" s="174">
        <f ca="1">Z15*LeagueInfo!$H$5</f>
        <v>4.229032568492352</v>
      </c>
      <c r="AC15" s="174">
        <f t="shared" ca="1" si="7"/>
        <v>1.2051072155955518</v>
      </c>
    </row>
    <row r="16" spans="1:29" x14ac:dyDescent="0.35">
      <c r="A16">
        <f t="shared" si="0"/>
        <v>14</v>
      </c>
      <c r="B16" t="str">
        <f>TE_Raw!A16</f>
        <v>Pat Freiermuth</v>
      </c>
      <c r="C16" t="s">
        <v>40</v>
      </c>
      <c r="D16">
        <f>_xlfn.IFNA(INDEX(BYEs!E:E,MATCH(B16,BYEs!D:D,0)),"N/A")</f>
        <v>25</v>
      </c>
      <c r="E16">
        <f>INDEX(BYEs!$B$2:$B$34,MATCH(F16,BYEs!$A$2:$A$34,0))</f>
        <v>9</v>
      </c>
      <c r="F16" t="str">
        <f>TE_Raw!B16</f>
        <v>PIT</v>
      </c>
      <c r="G16" s="198">
        <v>0</v>
      </c>
      <c r="H16" s="199">
        <v>0</v>
      </c>
      <c r="I16" s="200">
        <v>0</v>
      </c>
      <c r="J16" s="200">
        <v>0</v>
      </c>
      <c r="K16" s="200">
        <v>0</v>
      </c>
      <c r="L16" s="201">
        <f>TE_Raw!C16</f>
        <v>54.8</v>
      </c>
      <c r="M16" s="201">
        <f>TE_Raw!D16</f>
        <v>572.29999999999995</v>
      </c>
      <c r="N16" s="203">
        <f>TE_Raw!E16</f>
        <v>4.0999999999999996</v>
      </c>
      <c r="O16" s="200">
        <f>TE_Raw!F16</f>
        <v>0.5</v>
      </c>
      <c r="P16" s="10">
        <f t="shared" si="1"/>
        <v>108.22999999999999</v>
      </c>
      <c r="Q16" t="str">
        <f t="shared" ca="1" si="2"/>
        <v>Bench</v>
      </c>
      <c r="R16">
        <f t="shared" ca="1" si="3"/>
        <v>0</v>
      </c>
      <c r="S16">
        <f t="shared" ca="1" si="4"/>
        <v>17.399999999999977</v>
      </c>
      <c r="T16" s="174">
        <f t="shared" ca="1" si="5"/>
        <v>2.8706442363980496</v>
      </c>
      <c r="U16" s="174">
        <f ca="1">T16*Auction!$A$2</f>
        <v>2.8706442363980496</v>
      </c>
      <c r="V16" s="5" t="str">
        <f>IF(OR(INDEX(Auction!$H$13:$H$650,MATCH(B16,Auction!$A$13:$A$650,0))&gt;0,IFERROR(INDEX(CheatSheet!$D$37:$D$64,MATCH(B16,CheatSheet!$A$37:$A$64,0)),"")&lt;&gt;""),"Yes","No")</f>
        <v>No</v>
      </c>
      <c r="W16" s="175"/>
      <c r="Y16" s="77">
        <f t="shared" ca="1" si="6"/>
        <v>1</v>
      </c>
      <c r="Z16">
        <f t="shared" ca="1" si="8"/>
        <v>8.6999999999999886</v>
      </c>
      <c r="AA16" t="str">
        <f t="shared" ca="1" si="9"/>
        <v>TE5</v>
      </c>
      <c r="AB16" s="174">
        <f ca="1">Z16*LeagueInfo!$H$5</f>
        <v>2.8096665403500114</v>
      </c>
      <c r="AC16" s="174">
        <f t="shared" ca="1" si="7"/>
        <v>1.0391112588579843</v>
      </c>
    </row>
    <row r="17" spans="1:29" x14ac:dyDescent="0.35">
      <c r="A17">
        <f t="shared" si="0"/>
        <v>15</v>
      </c>
      <c r="B17" t="str">
        <f>TE_Raw!A19</f>
        <v>T.J. Hockenson</v>
      </c>
      <c r="C17" t="s">
        <v>40</v>
      </c>
      <c r="D17">
        <f>_xlfn.IFNA(INDEX(BYEs!E:E,MATCH(B17,BYEs!D:D,0)),"N/A")</f>
        <v>27</v>
      </c>
      <c r="E17">
        <f>INDEX(BYEs!$B$2:$B$34,MATCH(F17,BYEs!$A$2:$A$34,0))</f>
        <v>6</v>
      </c>
      <c r="F17" t="str">
        <f>TE_Raw!B19</f>
        <v>MIN</v>
      </c>
      <c r="G17" s="198">
        <v>0</v>
      </c>
      <c r="H17" s="199">
        <v>0</v>
      </c>
      <c r="I17" s="200">
        <v>0</v>
      </c>
      <c r="J17" s="200">
        <v>0</v>
      </c>
      <c r="K17" s="200">
        <v>0</v>
      </c>
      <c r="L17" s="201">
        <f>TE_Raw!C19</f>
        <v>56.1</v>
      </c>
      <c r="M17" s="201">
        <f>TE_Raw!D19</f>
        <v>561.20000000000005</v>
      </c>
      <c r="N17" s="203">
        <f>TE_Raw!E19</f>
        <v>3.2</v>
      </c>
      <c r="O17" s="200">
        <f>TE_Raw!F19</f>
        <v>0.8</v>
      </c>
      <c r="P17" s="10">
        <f t="shared" si="1"/>
        <v>101.77000000000001</v>
      </c>
      <c r="Q17" t="str">
        <f t="shared" ca="1" si="2"/>
        <v>Bench</v>
      </c>
      <c r="R17">
        <f t="shared" ca="1" si="3"/>
        <v>0</v>
      </c>
      <c r="S17">
        <f t="shared" ca="1" si="4"/>
        <v>10.939999999999998</v>
      </c>
      <c r="T17" s="174">
        <f t="shared" ca="1" si="5"/>
        <v>1.8048763187468215</v>
      </c>
      <c r="U17" s="174">
        <f ca="1">T17*Auction!$A$2</f>
        <v>1.8048763187468215</v>
      </c>
      <c r="V17" s="5" t="str">
        <f>IF(OR(INDEX(Auction!$H$13:$H$650,MATCH(B17,Auction!$A$13:$A$650,0))&gt;0,IFERROR(INDEX(CheatSheet!$D$37:$D$64,MATCH(B17,CheatSheet!$A$37:$A$64,0)),"")&lt;&gt;""),"Yes","No")</f>
        <v>No</v>
      </c>
      <c r="W17" s="175"/>
      <c r="Y17" s="77">
        <f t="shared" ca="1" si="6"/>
        <v>1</v>
      </c>
      <c r="Z17">
        <f t="shared" ca="1" si="8"/>
        <v>5.4699999999999989</v>
      </c>
      <c r="AA17" t="str">
        <f t="shared" ca="1" si="9"/>
        <v>TE6</v>
      </c>
      <c r="AB17" s="174">
        <f ca="1">Z17*LeagueInfo!$H$5</f>
        <v>1.76653746847294</v>
      </c>
      <c r="AC17" s="174">
        <f t="shared" ca="1" si="7"/>
        <v>0.91711650566973901</v>
      </c>
    </row>
    <row r="18" spans="1:29" x14ac:dyDescent="0.35">
      <c r="A18">
        <f t="shared" si="0"/>
        <v>16</v>
      </c>
      <c r="B18" t="str">
        <f>TE_Raw!A18</f>
        <v>Cole Kmet</v>
      </c>
      <c r="C18" t="s">
        <v>40</v>
      </c>
      <c r="D18">
        <f>_xlfn.IFNA(INDEX(BYEs!E:E,MATCH(B18,BYEs!D:D,0)),"N/A")</f>
        <v>25</v>
      </c>
      <c r="E18">
        <f>INDEX(BYEs!$B$2:$B$34,MATCH(F18,BYEs!$A$2:$A$34,0))</f>
        <v>7</v>
      </c>
      <c r="F18" t="str">
        <f>TE_Raw!B18</f>
        <v>CHI</v>
      </c>
      <c r="G18" s="198">
        <v>0</v>
      </c>
      <c r="H18" s="199">
        <v>0</v>
      </c>
      <c r="I18" s="200">
        <v>0</v>
      </c>
      <c r="J18" s="200">
        <v>0</v>
      </c>
      <c r="K18" s="200">
        <v>0</v>
      </c>
      <c r="L18" s="201">
        <f>TE_Raw!C18</f>
        <v>50.9</v>
      </c>
      <c r="M18" s="201">
        <f>TE_Raw!D18</f>
        <v>503.4</v>
      </c>
      <c r="N18" s="203">
        <f>TE_Raw!E18</f>
        <v>4.2</v>
      </c>
      <c r="O18" s="200">
        <f>TE_Raw!F18</f>
        <v>0.5</v>
      </c>
      <c r="P18" s="10">
        <f t="shared" si="1"/>
        <v>99.990000000000009</v>
      </c>
      <c r="Q18" t="str">
        <f t="shared" ca="1" si="2"/>
        <v>Bench</v>
      </c>
      <c r="R18">
        <f t="shared" ca="1" si="3"/>
        <v>0</v>
      </c>
      <c r="S18">
        <f t="shared" ca="1" si="4"/>
        <v>9.1599999999999966</v>
      </c>
      <c r="T18" s="174">
        <f t="shared" ca="1" si="5"/>
        <v>1.5112127129543769</v>
      </c>
      <c r="U18" s="174">
        <f ca="1">T18*Auction!$A$2</f>
        <v>1.5112127129543769</v>
      </c>
      <c r="V18" s="5" t="str">
        <f>IF(OR(INDEX(Auction!$H$13:$H$650,MATCH(B18,Auction!$A$13:$A$650,0))&gt;0,IFERROR(INDEX(CheatSheet!$D$37:$D$64,MATCH(B18,CheatSheet!$A$37:$A$64,0)),"")&lt;&gt;""),"Yes","No")</f>
        <v>No</v>
      </c>
      <c r="W18" s="175"/>
      <c r="Y18" s="77">
        <f t="shared" ca="1" si="6"/>
        <v>1</v>
      </c>
      <c r="Z18">
        <f t="shared" ca="1" si="8"/>
        <v>4.5799999999999983</v>
      </c>
      <c r="AA18" t="str">
        <f t="shared" ca="1" si="9"/>
        <v>TE6</v>
      </c>
      <c r="AB18" s="174">
        <f ca="1">Z18*LeagueInfo!$H$5</f>
        <v>1.4791118108969039</v>
      </c>
      <c r="AC18" s="174">
        <f t="shared" ca="1" si="7"/>
        <v>0.88350185231446376</v>
      </c>
    </row>
    <row r="19" spans="1:29" x14ac:dyDescent="0.35">
      <c r="A19">
        <f t="shared" si="0"/>
        <v>17</v>
      </c>
      <c r="B19" t="str">
        <f>TE_Raw!A17</f>
        <v>Hunter Henry</v>
      </c>
      <c r="C19" t="s">
        <v>40</v>
      </c>
      <c r="D19">
        <f>_xlfn.IFNA(INDEX(BYEs!E:E,MATCH(B19,BYEs!D:D,0)),"N/A")</f>
        <v>29</v>
      </c>
      <c r="E19">
        <f>INDEX(BYEs!$B$2:$B$34,MATCH(F19,BYEs!$A$2:$A$34,0))</f>
        <v>14</v>
      </c>
      <c r="F19" t="str">
        <f>TE_Raw!B17</f>
        <v>NE</v>
      </c>
      <c r="G19" s="198">
        <v>0</v>
      </c>
      <c r="H19" s="199">
        <v>0</v>
      </c>
      <c r="I19" s="200">
        <v>0</v>
      </c>
      <c r="J19" s="200">
        <v>0</v>
      </c>
      <c r="K19" s="200">
        <v>0</v>
      </c>
      <c r="L19" s="201">
        <f>TE_Raw!C17</f>
        <v>48.1</v>
      </c>
      <c r="M19" s="201">
        <f>TE_Raw!D17</f>
        <v>499.7</v>
      </c>
      <c r="N19" s="203">
        <f>TE_Raw!E17</f>
        <v>4.3</v>
      </c>
      <c r="O19" s="200">
        <f>TE_Raw!F17</f>
        <v>0.1</v>
      </c>
      <c r="P19" s="10">
        <f t="shared" si="1"/>
        <v>99.61999999999999</v>
      </c>
      <c r="Q19" t="str">
        <f t="shared" ca="1" si="2"/>
        <v>Bench</v>
      </c>
      <c r="R19">
        <f t="shared" ca="1" si="3"/>
        <v>0</v>
      </c>
      <c r="S19">
        <f t="shared" ca="1" si="4"/>
        <v>8.7899999999999778</v>
      </c>
      <c r="T19" s="174">
        <f t="shared" ca="1" si="5"/>
        <v>1.450170278042461</v>
      </c>
      <c r="U19" s="174">
        <f ca="1">T19*Auction!$A$2</f>
        <v>1.450170278042461</v>
      </c>
      <c r="V19" s="5" t="str">
        <f>IF(OR(INDEX(Auction!$H$13:$H$650,MATCH(B19,Auction!$A$13:$A$650,0))&gt;0,IFERROR(INDEX(CheatSheet!$D$37:$D$64,MATCH(B19,CheatSheet!$A$37:$A$64,0)),"")&lt;&gt;""),"Yes","No")</f>
        <v>No</v>
      </c>
      <c r="W19" s="175"/>
      <c r="Y19" s="77">
        <f t="shared" ca="1" si="6"/>
        <v>1</v>
      </c>
      <c r="Z19">
        <f t="shared" ca="1" si="8"/>
        <v>4.3949999999999889</v>
      </c>
      <c r="AA19" t="str">
        <f t="shared" ca="1" si="9"/>
        <v>TE6</v>
      </c>
      <c r="AB19" s="174">
        <f ca="1">Z19*LeagueInfo!$H$5</f>
        <v>1.4193660281423315</v>
      </c>
      <c r="AC19" s="174">
        <f t="shared" ca="1" si="7"/>
        <v>0.87651453672937818</v>
      </c>
    </row>
    <row r="20" spans="1:29" x14ac:dyDescent="0.35">
      <c r="A20">
        <f t="shared" si="0"/>
        <v>18</v>
      </c>
      <c r="B20" t="str">
        <f>TE_Raw!A20</f>
        <v>Tyler Conklin</v>
      </c>
      <c r="C20" t="s">
        <v>40</v>
      </c>
      <c r="D20">
        <f>_xlfn.IFNA(INDEX(BYEs!E:E,MATCH(B20,BYEs!D:D,0)),"N/A")</f>
        <v>29</v>
      </c>
      <c r="E20">
        <f>INDEX(BYEs!$B$2:$B$34,MATCH(F20,BYEs!$A$2:$A$34,0))</f>
        <v>12</v>
      </c>
      <c r="F20" t="str">
        <f>TE_Raw!B20</f>
        <v>NYJ</v>
      </c>
      <c r="G20" s="198">
        <v>0</v>
      </c>
      <c r="H20" s="199">
        <v>0</v>
      </c>
      <c r="I20" s="200">
        <v>0</v>
      </c>
      <c r="J20" s="200">
        <v>0</v>
      </c>
      <c r="K20" s="200">
        <v>0</v>
      </c>
      <c r="L20" s="201">
        <f>TE_Raw!C20</f>
        <v>53.3</v>
      </c>
      <c r="M20" s="201">
        <f>TE_Raw!D20</f>
        <v>532.4</v>
      </c>
      <c r="N20" s="203">
        <f>TE_Raw!E20</f>
        <v>3.3</v>
      </c>
      <c r="O20" s="200">
        <f>TE_Raw!F20</f>
        <v>0.1</v>
      </c>
      <c r="P20" s="10">
        <f t="shared" si="1"/>
        <v>99.49</v>
      </c>
      <c r="Q20" t="str">
        <f t="shared" ca="1" si="2"/>
        <v>Bench</v>
      </c>
      <c r="R20">
        <f t="shared" ca="1" si="3"/>
        <v>0</v>
      </c>
      <c r="S20">
        <f t="shared" ca="1" si="4"/>
        <v>8.6599999999999824</v>
      </c>
      <c r="T20" s="174">
        <f t="shared" ca="1" si="5"/>
        <v>1.4287229360463845</v>
      </c>
      <c r="U20" s="174">
        <f ca="1">T20*Auction!$A$2</f>
        <v>1.4287229360463845</v>
      </c>
      <c r="V20" s="5" t="str">
        <f>IF(OR(INDEX(Auction!$H$13:$H$650,MATCH(B20,Auction!$A$13:$A$650,0))&gt;0,IFERROR(INDEX(CheatSheet!$D$37:$D$64,MATCH(B20,CheatSheet!$A$37:$A$64,0)),"")&lt;&gt;""),"Yes","No")</f>
        <v>No</v>
      </c>
      <c r="W20" s="175"/>
      <c r="Y20" s="77">
        <f t="shared" ca="1" si="6"/>
        <v>1</v>
      </c>
      <c r="Z20">
        <f t="shared" ca="1" si="8"/>
        <v>4.3299999999999912</v>
      </c>
      <c r="AA20" t="str">
        <f t="shared" ca="1" si="9"/>
        <v>TE6</v>
      </c>
      <c r="AB20" s="174">
        <f ca="1">Z20*LeagueInfo!$H$5</f>
        <v>1.39837426663397</v>
      </c>
      <c r="AC20" s="174">
        <f t="shared" ca="1" si="7"/>
        <v>0.87405953395624014</v>
      </c>
    </row>
    <row r="21" spans="1:29" x14ac:dyDescent="0.35">
      <c r="A21">
        <f t="shared" si="0"/>
        <v>19</v>
      </c>
      <c r="B21" t="str">
        <f>TE_Raw!A21</f>
        <v>Cade Otton</v>
      </c>
      <c r="C21" t="s">
        <v>40</v>
      </c>
      <c r="D21">
        <f>_xlfn.IFNA(INDEX(BYEs!E:E,MATCH(B21,BYEs!D:D,0)),"N/A")</f>
        <v>25</v>
      </c>
      <c r="E21">
        <f>INDEX(BYEs!$B$2:$B$34,MATCH(F21,BYEs!$A$2:$A$34,0))</f>
        <v>11</v>
      </c>
      <c r="F21" t="str">
        <f>TE_Raw!B21</f>
        <v>TB</v>
      </c>
      <c r="G21" s="198">
        <v>0</v>
      </c>
      <c r="H21" s="199">
        <v>0</v>
      </c>
      <c r="I21" s="200">
        <v>0</v>
      </c>
      <c r="J21" s="200">
        <v>0</v>
      </c>
      <c r="K21" s="200">
        <v>0</v>
      </c>
      <c r="L21" s="201">
        <f>TE_Raw!C21</f>
        <v>49.2</v>
      </c>
      <c r="M21" s="201">
        <f>TE_Raw!D21</f>
        <v>489.7</v>
      </c>
      <c r="N21" s="203">
        <f>TE_Raw!E21</f>
        <v>3.7</v>
      </c>
      <c r="O21" s="200">
        <f>TE_Raw!F21</f>
        <v>0.4</v>
      </c>
      <c r="P21" s="10">
        <f t="shared" si="1"/>
        <v>94.97</v>
      </c>
      <c r="Q21" t="str">
        <f t="shared" ca="1" si="2"/>
        <v>Bench</v>
      </c>
      <c r="R21">
        <f t="shared" ca="1" si="3"/>
        <v>0</v>
      </c>
      <c r="S21">
        <f t="shared" ca="1" si="4"/>
        <v>4.1399999999999864</v>
      </c>
      <c r="T21" s="174">
        <f t="shared" ca="1" si="5"/>
        <v>0.68301535279815517</v>
      </c>
      <c r="U21" s="174">
        <f ca="1">T21*Auction!$A$2</f>
        <v>0.68301535279815517</v>
      </c>
      <c r="V21" s="5" t="str">
        <f>IF(OR(INDEX(Auction!$H$13:$H$650,MATCH(B21,Auction!$A$13:$A$650,0))&gt;0,IFERROR(INDEX(CheatSheet!$D$37:$D$64,MATCH(B21,CheatSheet!$A$37:$A$64,0)),"")&lt;&gt;""),"Yes","No")</f>
        <v>No</v>
      </c>
      <c r="W21" s="175"/>
      <c r="Y21" s="77">
        <f t="shared" ca="1" si="6"/>
        <v>1</v>
      </c>
      <c r="Z21">
        <f t="shared" ca="1" si="8"/>
        <v>2.0699999999999932</v>
      </c>
      <c r="AA21" t="str">
        <f t="shared" ca="1" si="9"/>
        <v>TE6</v>
      </c>
      <c r="AB21" s="174">
        <f ca="1">Z21*LeagueInfo!$H$5</f>
        <v>0.66850686649707036</v>
      </c>
      <c r="AC21" s="174">
        <f t="shared" ca="1" si="7"/>
        <v>0.78870097599790112</v>
      </c>
    </row>
    <row r="22" spans="1:29" x14ac:dyDescent="0.35">
      <c r="A22">
        <f t="shared" si="0"/>
        <v>20</v>
      </c>
      <c r="B22" t="str">
        <f>TE_Raw!A23</f>
        <v>Luke Musgrave</v>
      </c>
      <c r="C22" t="s">
        <v>40</v>
      </c>
      <c r="D22">
        <f>_xlfn.IFNA(INDEX(BYEs!E:E,MATCH(B22,BYEs!D:D,0)),"N/A")</f>
        <v>23</v>
      </c>
      <c r="E22">
        <f>INDEX(BYEs!$B$2:$B$34,MATCH(F22,BYEs!$A$2:$A$34,0))</f>
        <v>10</v>
      </c>
      <c r="F22" t="str">
        <f>TE_Raw!B23</f>
        <v>GB</v>
      </c>
      <c r="G22" s="198">
        <v>0</v>
      </c>
      <c r="H22" s="199">
        <v>0</v>
      </c>
      <c r="I22" s="200">
        <v>0</v>
      </c>
      <c r="J22" s="200">
        <v>0</v>
      </c>
      <c r="K22" s="200">
        <v>0</v>
      </c>
      <c r="L22" s="201">
        <f>TE_Raw!C23</f>
        <v>46.7</v>
      </c>
      <c r="M22" s="201">
        <f>TE_Raw!D23</f>
        <v>489.2</v>
      </c>
      <c r="N22" s="203">
        <f>TE_Raw!E23</f>
        <v>3.4</v>
      </c>
      <c r="O22" s="200">
        <f>TE_Raw!F23</f>
        <v>0.1</v>
      </c>
      <c r="P22" s="10">
        <f t="shared" si="1"/>
        <v>92.470000000000013</v>
      </c>
      <c r="Q22" t="str">
        <f t="shared" ca="1" si="2"/>
        <v>Bench</v>
      </c>
      <c r="R22">
        <f t="shared" ca="1" si="3"/>
        <v>0</v>
      </c>
      <c r="S22">
        <f t="shared" ca="1" si="4"/>
        <v>1.6400000000000006</v>
      </c>
      <c r="T22" s="174">
        <f t="shared" ca="1" si="5"/>
        <v>0.2705664682582074</v>
      </c>
      <c r="U22" s="174">
        <f ca="1">T22*Auction!$A$2</f>
        <v>0.2705664682582074</v>
      </c>
      <c r="V22" s="5" t="str">
        <f>IF(OR(INDEX(Auction!$H$13:$H$650,MATCH(B22,Auction!$A$13:$A$650,0))&gt;0,IFERROR(INDEX(CheatSheet!$D$37:$D$64,MATCH(B22,CheatSheet!$A$37:$A$64,0)),"")&lt;&gt;""),"Yes","No")</f>
        <v>No</v>
      </c>
      <c r="W22" s="175"/>
      <c r="Y22" s="77">
        <f t="shared" ca="1" si="6"/>
        <v>1</v>
      </c>
      <c r="Z22">
        <f t="shared" ca="1" si="8"/>
        <v>0.82000000000000028</v>
      </c>
      <c r="AA22" t="str">
        <f t="shared" ca="1" si="9"/>
        <v>TE6</v>
      </c>
      <c r="AB22" s="174">
        <f ca="1">Z22*LeagueInfo!$H$5</f>
        <v>0.26481914518241528</v>
      </c>
      <c r="AC22" s="174">
        <f t="shared" ca="1" si="7"/>
        <v>0.74148938420678456</v>
      </c>
    </row>
    <row r="23" spans="1:29" x14ac:dyDescent="0.35">
      <c r="A23">
        <f t="shared" si="0"/>
        <v>21</v>
      </c>
      <c r="B23" t="str">
        <f>TE_Raw!A25</f>
        <v>Chigoziem Okonkwo</v>
      </c>
      <c r="C23" t="s">
        <v>40</v>
      </c>
      <c r="D23">
        <f>_xlfn.IFNA(INDEX(BYEs!E:E,MATCH(B23,BYEs!D:D,0)),"N/A")</f>
        <v>24</v>
      </c>
      <c r="E23">
        <f>INDEX(BYEs!$B$2:$B$34,MATCH(F23,BYEs!$A$2:$A$34,0))</f>
        <v>5</v>
      </c>
      <c r="F23" t="str">
        <f>TE_Raw!B25</f>
        <v>TEN</v>
      </c>
      <c r="G23" s="198">
        <v>0</v>
      </c>
      <c r="H23" s="199">
        <v>0</v>
      </c>
      <c r="I23" s="200">
        <v>0</v>
      </c>
      <c r="J23" s="200">
        <v>0</v>
      </c>
      <c r="K23" s="200">
        <v>0</v>
      </c>
      <c r="L23" s="201">
        <f>TE_Raw!C25</f>
        <v>48.2</v>
      </c>
      <c r="M23" s="201">
        <f>TE_Raw!D25</f>
        <v>513.29999999999995</v>
      </c>
      <c r="N23" s="203">
        <f>TE_Raw!E25</f>
        <v>2.7</v>
      </c>
      <c r="O23" s="200">
        <f>TE_Raw!F25</f>
        <v>0.4</v>
      </c>
      <c r="P23" s="10">
        <f t="shared" si="1"/>
        <v>90.830000000000013</v>
      </c>
      <c r="Q23" t="str">
        <f t="shared" ca="1" si="2"/>
        <v>Bench</v>
      </c>
      <c r="R23">
        <f t="shared" ca="1" si="3"/>
        <v>0</v>
      </c>
      <c r="S23">
        <f t="shared" ca="1" si="4"/>
        <v>0</v>
      </c>
      <c r="T23" s="174">
        <f t="shared" ca="1" si="5"/>
        <v>0</v>
      </c>
      <c r="U23" s="174">
        <f ca="1">T23*Auction!$A$2</f>
        <v>0</v>
      </c>
      <c r="V23" s="5" t="str">
        <f>IF(OR(INDEX(Auction!$H$13:$H$650,MATCH(B23,Auction!$A$13:$A$650,0))&gt;0,IFERROR(INDEX(CheatSheet!$D$37:$D$64,MATCH(B23,CheatSheet!$A$37:$A$64,0)),"")&lt;&gt;""),"Yes","No")</f>
        <v>No</v>
      </c>
      <c r="W23" s="175"/>
      <c r="Y23" s="77">
        <f t="shared" ca="1" si="6"/>
        <v>1</v>
      </c>
      <c r="Z23">
        <f t="shared" ca="1" si="8"/>
        <v>0</v>
      </c>
      <c r="AA23" t="str">
        <f t="shared" ca="1" si="9"/>
        <v>TE6</v>
      </c>
      <c r="AB23" s="174">
        <f ca="1">Z23*LeagueInfo!$H$5</f>
        <v>0</v>
      </c>
      <c r="AC23" s="174">
        <f t="shared" ca="1" si="7"/>
        <v>0.71051857999181189</v>
      </c>
    </row>
    <row r="24" spans="1:29" x14ac:dyDescent="0.35">
      <c r="A24">
        <f t="shared" si="0"/>
        <v>22</v>
      </c>
      <c r="B24" t="str">
        <f>TE_Raw!A22</f>
        <v>Juwan Johnson</v>
      </c>
      <c r="C24" t="s">
        <v>40</v>
      </c>
      <c r="D24">
        <f>_xlfn.IFNA(INDEX(BYEs!E:E,MATCH(B24,BYEs!D:D,0)),"N/A")</f>
        <v>27</v>
      </c>
      <c r="E24">
        <f>INDEX(BYEs!$B$2:$B$34,MATCH(F24,BYEs!$A$2:$A$34,0))</f>
        <v>12</v>
      </c>
      <c r="F24" t="str">
        <f>TE_Raw!B22</f>
        <v>NO</v>
      </c>
      <c r="G24" s="198">
        <v>0</v>
      </c>
      <c r="H24" s="199">
        <v>0</v>
      </c>
      <c r="I24" s="200">
        <v>0</v>
      </c>
      <c r="J24" s="200">
        <v>0</v>
      </c>
      <c r="K24" s="200">
        <v>0</v>
      </c>
      <c r="L24" s="201">
        <f>TE_Raw!C22</f>
        <v>41.6</v>
      </c>
      <c r="M24" s="201">
        <f>TE_Raw!D22</f>
        <v>455.7</v>
      </c>
      <c r="N24" s="203">
        <f>TE_Raw!E22</f>
        <v>4.0999999999999996</v>
      </c>
      <c r="O24" s="200">
        <f>TE_Raw!F22</f>
        <v>0.1</v>
      </c>
      <c r="P24" s="10">
        <f t="shared" si="1"/>
        <v>90.77</v>
      </c>
      <c r="Q24" t="str">
        <f t="shared" ca="1" si="2"/>
        <v>Undrafted</v>
      </c>
      <c r="R24">
        <f t="shared" ca="1" si="3"/>
        <v>0</v>
      </c>
      <c r="S24">
        <f t="shared" ca="1" si="4"/>
        <v>-6.0000000000016485E-2</v>
      </c>
      <c r="T24" s="174">
        <f t="shared" ca="1" si="5"/>
        <v>-9.898773228961523E-3</v>
      </c>
      <c r="U24" s="174">
        <f ca="1">T24*Auction!$A$2</f>
        <v>-9.898773228961523E-3</v>
      </c>
      <c r="V24" s="5" t="str">
        <f>IF(OR(INDEX(Auction!$H$13:$H$650,MATCH(B24,Auction!$A$13:$A$650,0))&gt;0,IFERROR(INDEX(CheatSheet!$D$37:$D$64,MATCH(B24,CheatSheet!$A$37:$A$64,0)),"")&lt;&gt;""),"Yes","No")</f>
        <v>No</v>
      </c>
      <c r="W24" s="175"/>
      <c r="Y24" s="77">
        <f t="shared" ca="1" si="6"/>
        <v>1</v>
      </c>
      <c r="Z24">
        <f t="shared" ca="1" si="8"/>
        <v>-3.0000000000008242E-2</v>
      </c>
      <c r="AA24" t="str">
        <f t="shared" ca="1" si="9"/>
        <v>TE6</v>
      </c>
      <c r="AB24" s="174">
        <f ca="1">Z24*LeagueInfo!$H$5</f>
        <v>-9.6885053115544368E-3</v>
      </c>
      <c r="AC24" s="174">
        <f t="shared" ca="1" si="7"/>
        <v>0.70938550178882476</v>
      </c>
    </row>
    <row r="25" spans="1:29" x14ac:dyDescent="0.35">
      <c r="A25">
        <f t="shared" si="0"/>
        <v>23</v>
      </c>
      <c r="B25" t="str">
        <f>TE_Raw!A26</f>
        <v>Noah Fant</v>
      </c>
      <c r="C25" t="s">
        <v>40</v>
      </c>
      <c r="D25">
        <f>_xlfn.IFNA(INDEX(BYEs!E:E,MATCH(B25,BYEs!D:D,0)),"N/A")</f>
        <v>26</v>
      </c>
      <c r="E25">
        <f>INDEX(BYEs!$B$2:$B$34,MATCH(F25,BYEs!$A$2:$A$34,0))</f>
        <v>10</v>
      </c>
      <c r="F25" t="str">
        <f>TE_Raw!B26</f>
        <v>SEA</v>
      </c>
      <c r="G25" s="198">
        <v>0</v>
      </c>
      <c r="H25" s="199">
        <v>0</v>
      </c>
      <c r="I25" s="200">
        <v>0</v>
      </c>
      <c r="J25" s="200">
        <v>0</v>
      </c>
      <c r="K25" s="200">
        <v>0</v>
      </c>
      <c r="L25" s="201">
        <f>TE_Raw!C26</f>
        <v>45.9</v>
      </c>
      <c r="M25" s="201">
        <f>TE_Raw!D26</f>
        <v>489.8</v>
      </c>
      <c r="N25" s="203">
        <f>TE_Raw!E26</f>
        <v>2.8</v>
      </c>
      <c r="O25" s="200">
        <f>TE_Raw!F26</f>
        <v>0.1</v>
      </c>
      <c r="P25" s="10">
        <f t="shared" si="1"/>
        <v>88.53</v>
      </c>
      <c r="Q25" t="str">
        <f t="shared" ca="1" si="2"/>
        <v>Undrafted</v>
      </c>
      <c r="R25">
        <f t="shared" ca="1" si="3"/>
        <v>0</v>
      </c>
      <c r="S25">
        <f t="shared" ca="1" si="4"/>
        <v>-2.3000000000000114</v>
      </c>
      <c r="T25" s="174">
        <f t="shared" ca="1" si="5"/>
        <v>-0.37945297377675602</v>
      </c>
      <c r="U25" s="174">
        <f ca="1">T25*Auction!$A$2</f>
        <v>-0.37945297377675602</v>
      </c>
      <c r="V25" s="5" t="str">
        <f>IF(OR(INDEX(Auction!$H$13:$H$650,MATCH(B25,Auction!$A$13:$A$650,0))&gt;0,IFERROR(INDEX(CheatSheet!$D$37:$D$64,MATCH(B25,CheatSheet!$A$37:$A$64,0)),"")&lt;&gt;""),"Yes","No")</f>
        <v>No</v>
      </c>
      <c r="W25" s="175"/>
      <c r="Y25" s="77">
        <f t="shared" ca="1" si="6"/>
        <v>1</v>
      </c>
      <c r="Z25">
        <f t="shared" ca="1" si="8"/>
        <v>-1.1500000000000057</v>
      </c>
      <c r="AA25" t="str">
        <f t="shared" ca="1" si="9"/>
        <v>TE6</v>
      </c>
      <c r="AB25" s="174">
        <f ca="1">Z25*LeagueInfo!$H$5</f>
        <v>-0.37139270360948656</v>
      </c>
      <c r="AC25" s="174">
        <f t="shared" ca="1" si="7"/>
        <v>0.66708391554398427</v>
      </c>
    </row>
    <row r="26" spans="1:29" x14ac:dyDescent="0.35">
      <c r="A26">
        <f t="shared" si="0"/>
        <v>24</v>
      </c>
      <c r="B26" t="str">
        <f>TE_Raw!A24</f>
        <v>Isaiah Likely</v>
      </c>
      <c r="C26" t="s">
        <v>40</v>
      </c>
      <c r="D26">
        <f>_xlfn.IFNA(INDEX(BYEs!E:E,MATCH(B26,BYEs!D:D,0)),"N/A")</f>
        <v>24</v>
      </c>
      <c r="E26">
        <f>INDEX(BYEs!$B$2:$B$34,MATCH(F26,BYEs!$A$2:$A$34,0))</f>
        <v>14</v>
      </c>
      <c r="F26" t="str">
        <f>TE_Raw!B24</f>
        <v>BAL</v>
      </c>
      <c r="G26" s="198">
        <v>0</v>
      </c>
      <c r="H26" s="199">
        <v>0</v>
      </c>
      <c r="I26" s="200">
        <v>0</v>
      </c>
      <c r="J26" s="200">
        <v>0</v>
      </c>
      <c r="K26" s="200">
        <v>0</v>
      </c>
      <c r="L26" s="201">
        <f>TE_Raw!C24</f>
        <v>35.200000000000003</v>
      </c>
      <c r="M26" s="201">
        <f>TE_Raw!D24</f>
        <v>423.3</v>
      </c>
      <c r="N26" s="203">
        <f>TE_Raw!E24</f>
        <v>4.0999999999999996</v>
      </c>
      <c r="O26" s="200">
        <f>TE_Raw!F24</f>
        <v>0.1</v>
      </c>
      <c r="P26" s="10">
        <f t="shared" si="1"/>
        <v>84.33</v>
      </c>
      <c r="Q26" t="str">
        <f t="shared" ca="1" si="2"/>
        <v>Undrafted</v>
      </c>
      <c r="R26">
        <f t="shared" ca="1" si="3"/>
        <v>0</v>
      </c>
      <c r="S26">
        <f t="shared" ca="1" si="4"/>
        <v>-6.5000000000000142</v>
      </c>
      <c r="T26" s="174">
        <f t="shared" ca="1" si="5"/>
        <v>-1.0723670998038728</v>
      </c>
      <c r="U26" s="174">
        <f ca="1">T26*Auction!$A$2</f>
        <v>-1.0723670998038728</v>
      </c>
      <c r="V26" s="5" t="str">
        <f>IF(OR(INDEX(Auction!$H$13:$H$650,MATCH(B26,Auction!$A$13:$A$650,0))&gt;0,IFERROR(INDEX(CheatSheet!$D$37:$D$64,MATCH(B26,CheatSheet!$A$37:$A$64,0)),"")&lt;&gt;""),"Yes","No")</f>
        <v>No</v>
      </c>
      <c r="W26" s="175"/>
      <c r="Y26" s="77">
        <f t="shared" ca="1" si="6"/>
        <v>1</v>
      </c>
      <c r="Z26">
        <f t="shared" ca="1" si="8"/>
        <v>-3.2500000000000071</v>
      </c>
      <c r="AA26" t="str">
        <f t="shared" ca="1" si="9"/>
        <v>TE6</v>
      </c>
      <c r="AB26" s="174">
        <f ca="1">Z26*LeagueInfo!$H$5</f>
        <v>-1.0495880754181113</v>
      </c>
      <c r="AC26" s="174">
        <f t="shared" ca="1" si="7"/>
        <v>0.58776844133490802</v>
      </c>
    </row>
    <row r="27" spans="1:29" x14ac:dyDescent="0.35">
      <c r="A27">
        <f t="shared" si="0"/>
        <v>25</v>
      </c>
      <c r="B27" t="str">
        <f>TE_Raw!A27</f>
        <v>Jonnu Smith</v>
      </c>
      <c r="C27" t="s">
        <v>40</v>
      </c>
      <c r="D27">
        <f>_xlfn.IFNA(INDEX(BYEs!E:E,MATCH(B27,BYEs!D:D,0)),"N/A")</f>
        <v>28</v>
      </c>
      <c r="E27">
        <f>INDEX(BYEs!$B$2:$B$34,MATCH(F27,BYEs!$A$2:$A$34,0))</f>
        <v>6</v>
      </c>
      <c r="F27" t="str">
        <f>TE_Raw!B27</f>
        <v>MIA</v>
      </c>
      <c r="G27" s="198">
        <v>0</v>
      </c>
      <c r="H27" s="199">
        <v>0</v>
      </c>
      <c r="I27" s="200">
        <v>0</v>
      </c>
      <c r="J27" s="200">
        <v>0</v>
      </c>
      <c r="K27" s="200">
        <v>0</v>
      </c>
      <c r="L27" s="201">
        <f>TE_Raw!C27</f>
        <v>37.799999999999997</v>
      </c>
      <c r="M27" s="201">
        <f>TE_Raw!D27</f>
        <v>417.1</v>
      </c>
      <c r="N27" s="203">
        <f>TE_Raw!E27</f>
        <v>2.9</v>
      </c>
      <c r="O27" s="200">
        <f>TE_Raw!F27</f>
        <v>0.4</v>
      </c>
      <c r="P27" s="10">
        <f t="shared" si="1"/>
        <v>77.210000000000008</v>
      </c>
      <c r="Q27" t="str">
        <f t="shared" ca="1" si="2"/>
        <v>Undrafted</v>
      </c>
      <c r="R27">
        <f t="shared" ca="1" si="3"/>
        <v>0</v>
      </c>
      <c r="S27">
        <f t="shared" ca="1" si="4"/>
        <v>-13.620000000000005</v>
      </c>
      <c r="T27" s="174">
        <f t="shared" ca="1" si="5"/>
        <v>-2.247021522973649</v>
      </c>
      <c r="U27" s="174">
        <f ca="1">T27*Auction!$A$2</f>
        <v>-2.247021522973649</v>
      </c>
      <c r="V27" s="5" t="str">
        <f>IF(OR(INDEX(Auction!$H$13:$H$650,MATCH(B27,Auction!$A$13:$A$650,0))&gt;0,IFERROR(INDEX(CheatSheet!$D$37:$D$64,MATCH(B27,CheatSheet!$A$37:$A$64,0)),"")&lt;&gt;""),"Yes","No")</f>
        <v>No</v>
      </c>
      <c r="W27" s="175"/>
      <c r="Y27" s="77">
        <f t="shared" ca="1" si="6"/>
        <v>1</v>
      </c>
      <c r="Z27">
        <f t="shared" ca="1" si="8"/>
        <v>-6.8100000000000023</v>
      </c>
      <c r="AA27" t="str">
        <f t="shared" ca="1" si="9"/>
        <v>TE7</v>
      </c>
      <c r="AB27" s="174">
        <f ca="1">Z27*LeagueInfo!$H$5</f>
        <v>-2.1992907057222539</v>
      </c>
      <c r="AC27" s="174">
        <f t="shared" ca="1" si="7"/>
        <v>0.45330982791380753</v>
      </c>
    </row>
    <row r="28" spans="1:29" x14ac:dyDescent="0.35">
      <c r="A28">
        <f t="shared" si="0"/>
        <v>26</v>
      </c>
      <c r="B28" t="str">
        <f>TE_Raw!A28</f>
        <v>Hayden Hurst</v>
      </c>
      <c r="C28" t="s">
        <v>40</v>
      </c>
      <c r="D28">
        <f>_xlfn.IFNA(INDEX(BYEs!E:E,MATCH(B28,BYEs!D:D,0)),"N/A")</f>
        <v>30</v>
      </c>
      <c r="E28">
        <f>INDEX(BYEs!$B$2:$B$34,MATCH(F28,BYEs!$A$2:$A$34,0))</f>
        <v>5</v>
      </c>
      <c r="F28" t="str">
        <f>TE_Raw!B28</f>
        <v>LAC</v>
      </c>
      <c r="G28" s="198">
        <v>0</v>
      </c>
      <c r="H28" s="199">
        <v>0</v>
      </c>
      <c r="I28" s="200">
        <v>0</v>
      </c>
      <c r="J28" s="200">
        <v>0</v>
      </c>
      <c r="K28" s="200">
        <v>0</v>
      </c>
      <c r="L28" s="201">
        <f>TE_Raw!C28</f>
        <v>40.6</v>
      </c>
      <c r="M28" s="201">
        <f>TE_Raw!D28</f>
        <v>390.8</v>
      </c>
      <c r="N28" s="203">
        <f>TE_Raw!E28</f>
        <v>2.9</v>
      </c>
      <c r="O28" s="200">
        <f>TE_Raw!F28</f>
        <v>0.1</v>
      </c>
      <c r="P28" s="10">
        <f t="shared" si="1"/>
        <v>76.58</v>
      </c>
      <c r="Q28" t="str">
        <f t="shared" ca="1" si="2"/>
        <v>Undrafted</v>
      </c>
      <c r="R28">
        <f t="shared" ca="1" si="3"/>
        <v>0</v>
      </c>
      <c r="S28">
        <f t="shared" ca="1" si="4"/>
        <v>-14.250000000000014</v>
      </c>
      <c r="T28" s="174">
        <f t="shared" ca="1" si="5"/>
        <v>-2.3509586418777184</v>
      </c>
      <c r="U28" s="174">
        <f ca="1">T28*Auction!$A$2</f>
        <v>-2.3509586418777184</v>
      </c>
      <c r="V28" s="5" t="str">
        <f>IF(OR(INDEX(Auction!$H$13:$H$650,MATCH(B28,Auction!$A$13:$A$650,0))&gt;0,IFERROR(INDEX(CheatSheet!$D$37:$D$64,MATCH(B28,CheatSheet!$A$37:$A$64,0)),"")&lt;&gt;""),"Yes","No")</f>
        <v>No</v>
      </c>
      <c r="W28" s="175"/>
      <c r="Y28" s="77">
        <f t="shared" ca="1" si="6"/>
        <v>1</v>
      </c>
      <c r="Z28">
        <f t="shared" ca="1" si="8"/>
        <v>-7.1250000000000071</v>
      </c>
      <c r="AA28" t="str">
        <f t="shared" ca="1" si="9"/>
        <v>TE7</v>
      </c>
      <c r="AB28" s="174">
        <f ca="1">Z28*LeagueInfo!$H$5</f>
        <v>-2.3010200114935491</v>
      </c>
      <c r="AC28" s="174">
        <f t="shared" ca="1" si="7"/>
        <v>0.44141250678244592</v>
      </c>
    </row>
    <row r="29" spans="1:29" x14ac:dyDescent="0.35">
      <c r="A29">
        <f t="shared" si="0"/>
        <v>27</v>
      </c>
      <c r="B29" t="str">
        <f>TE_Raw!A29</f>
        <v>Mike Gesicki</v>
      </c>
      <c r="C29" t="s">
        <v>40</v>
      </c>
      <c r="D29">
        <f>_xlfn.IFNA(INDEX(BYEs!E:E,MATCH(B29,BYEs!D:D,0)),"N/A")</f>
        <v>28</v>
      </c>
      <c r="E29">
        <f>INDEX(BYEs!$B$2:$B$34,MATCH(F29,BYEs!$A$2:$A$34,0))</f>
        <v>12</v>
      </c>
      <c r="F29" t="str">
        <f>TE_Raw!B29</f>
        <v>CIN</v>
      </c>
      <c r="G29" s="198">
        <v>0</v>
      </c>
      <c r="H29" s="199">
        <v>0</v>
      </c>
      <c r="I29" s="200">
        <v>0</v>
      </c>
      <c r="J29" s="200">
        <v>0</v>
      </c>
      <c r="K29" s="200">
        <v>0</v>
      </c>
      <c r="L29" s="201">
        <f>TE_Raw!C29</f>
        <v>35.9</v>
      </c>
      <c r="M29" s="201">
        <f>TE_Raw!D29</f>
        <v>352.7</v>
      </c>
      <c r="N29" s="203">
        <f>TE_Raw!E29</f>
        <v>3.1</v>
      </c>
      <c r="O29" s="200">
        <f>TE_Raw!F29</f>
        <v>0.1</v>
      </c>
      <c r="P29" s="10">
        <f t="shared" si="1"/>
        <v>71.61999999999999</v>
      </c>
      <c r="Q29" t="str">
        <f t="shared" ca="1" si="2"/>
        <v>Undrafted</v>
      </c>
      <c r="R29">
        <f t="shared" ca="1" si="3"/>
        <v>0</v>
      </c>
      <c r="S29">
        <f t="shared" ca="1" si="4"/>
        <v>-19.210000000000022</v>
      </c>
      <c r="T29" s="174">
        <f t="shared" ca="1" si="5"/>
        <v>-3.1692572288049807</v>
      </c>
      <c r="U29" s="174">
        <f ca="1">T29*Auction!$A$2</f>
        <v>-3.1692572288049807</v>
      </c>
      <c r="V29" s="5" t="str">
        <f>IF(OR(INDEX(Auction!$H$13:$H$650,MATCH(B29,Auction!$A$13:$A$650,0))&gt;0,IFERROR(INDEX(CheatSheet!$D$37:$D$64,MATCH(B29,CheatSheet!$A$37:$A$64,0)),"")&lt;&gt;""),"Yes","No")</f>
        <v>No</v>
      </c>
      <c r="W29" s="175"/>
      <c r="Y29" s="77">
        <f t="shared" ca="1" si="6"/>
        <v>1</v>
      </c>
      <c r="Z29">
        <f t="shared" ca="1" si="8"/>
        <v>-9.6050000000000111</v>
      </c>
      <c r="AA29" t="str">
        <f t="shared" ca="1" si="9"/>
        <v>TE7</v>
      </c>
      <c r="AB29" s="174">
        <f ca="1">Z29*LeagueInfo!$H$5</f>
        <v>-3.1019364505818303</v>
      </c>
      <c r="AC29" s="174">
        <f t="shared" ca="1" si="7"/>
        <v>0.34774470866887008</v>
      </c>
    </row>
    <row r="30" spans="1:29" x14ac:dyDescent="0.35">
      <c r="A30">
        <f t="shared" si="0"/>
        <v>28</v>
      </c>
      <c r="B30" t="str">
        <f>TE_Raw!A31</f>
        <v>Zach Ertz</v>
      </c>
      <c r="C30" t="s">
        <v>40</v>
      </c>
      <c r="D30">
        <f>_xlfn.IFNA(INDEX(BYEs!E:E,MATCH(B30,BYEs!D:D,0)),"N/A")</f>
        <v>33</v>
      </c>
      <c r="E30">
        <f>INDEX(BYEs!$B$2:$B$34,MATCH(F30,BYEs!$A$2:$A$34,0))</f>
        <v>14</v>
      </c>
      <c r="F30" t="str">
        <f>TE_Raw!B31</f>
        <v>WAS</v>
      </c>
      <c r="G30" s="198">
        <v>0</v>
      </c>
      <c r="H30" s="199">
        <v>0</v>
      </c>
      <c r="I30" s="200">
        <v>0</v>
      </c>
      <c r="J30" s="200">
        <v>0</v>
      </c>
      <c r="K30" s="200">
        <v>0</v>
      </c>
      <c r="L30" s="201">
        <f>TE_Raw!C31</f>
        <v>37.9</v>
      </c>
      <c r="M30" s="201">
        <f>TE_Raw!D31</f>
        <v>349.2</v>
      </c>
      <c r="N30" s="203">
        <f>TE_Raw!E31</f>
        <v>2.7</v>
      </c>
      <c r="O30" s="200">
        <f>TE_Raw!F31</f>
        <v>0.1</v>
      </c>
      <c r="P30" s="10">
        <f t="shared" si="1"/>
        <v>69.87</v>
      </c>
      <c r="Q30" t="str">
        <f t="shared" ca="1" si="2"/>
        <v>Undrafted</v>
      </c>
      <c r="R30">
        <f t="shared" ca="1" si="3"/>
        <v>0</v>
      </c>
      <c r="S30">
        <f t="shared" ca="1" si="4"/>
        <v>-20.960000000000008</v>
      </c>
      <c r="T30" s="174">
        <f t="shared" ca="1" si="5"/>
        <v>-3.4579714479829433</v>
      </c>
      <c r="U30" s="174">
        <f ca="1">T30*Auction!$A$2</f>
        <v>-3.4579714479829433</v>
      </c>
      <c r="V30" s="5" t="str">
        <f>IF(OR(INDEX(Auction!$H$13:$H$650,MATCH(B30,Auction!$A$13:$A$650,0))&gt;0,IFERROR(INDEX(CheatSheet!$D$37:$D$64,MATCH(B30,CheatSheet!$A$37:$A$64,0)),"")&lt;&gt;""),"Yes","No")</f>
        <v>No</v>
      </c>
      <c r="W30" s="175"/>
      <c r="Y30" s="77">
        <f t="shared" ca="1" si="6"/>
        <v>1</v>
      </c>
      <c r="Z30">
        <f t="shared" ca="1" si="8"/>
        <v>-10.480000000000004</v>
      </c>
      <c r="AA30" t="str">
        <f t="shared" ca="1" si="9"/>
        <v>TE7</v>
      </c>
      <c r="AB30" s="174">
        <f ca="1">Z30*LeagueInfo!$H$5</f>
        <v>-3.3845178555020881</v>
      </c>
      <c r="AC30" s="174">
        <f t="shared" ca="1" si="7"/>
        <v>0.31469659441508857</v>
      </c>
    </row>
    <row r="31" spans="1:29" x14ac:dyDescent="0.35">
      <c r="A31">
        <f t="shared" si="0"/>
        <v>29</v>
      </c>
      <c r="B31" t="str">
        <f>TE_Raw!A30</f>
        <v>Ben Sinnott</v>
      </c>
      <c r="C31" t="s">
        <v>40</v>
      </c>
      <c r="D31">
        <f>_xlfn.IFNA(INDEX(BYEs!E:E,MATCH(B31,BYEs!D:D,0)),"N/A")</f>
        <v>22</v>
      </c>
      <c r="E31">
        <f>INDEX(BYEs!$B$2:$B$34,MATCH(F31,BYEs!$A$2:$A$34,0))</f>
        <v>14</v>
      </c>
      <c r="F31" t="str">
        <f>TE_Raw!B30</f>
        <v>WAS</v>
      </c>
      <c r="G31" s="198">
        <v>0</v>
      </c>
      <c r="H31" s="199">
        <v>0</v>
      </c>
      <c r="I31" s="200">
        <v>0</v>
      </c>
      <c r="J31" s="200">
        <v>0</v>
      </c>
      <c r="K31" s="200">
        <v>0</v>
      </c>
      <c r="L31" s="201">
        <f>TE_Raw!C30</f>
        <v>36.799999999999997</v>
      </c>
      <c r="M31" s="201">
        <f>TE_Raw!D30</f>
        <v>373.6</v>
      </c>
      <c r="N31" s="203">
        <f>TE_Raw!E30</f>
        <v>2.4</v>
      </c>
      <c r="O31" s="200">
        <f>TE_Raw!F30</f>
        <v>0.4</v>
      </c>
      <c r="P31" s="10">
        <f t="shared" si="1"/>
        <v>69.36</v>
      </c>
      <c r="Q31" t="str">
        <f t="shared" ca="1" si="2"/>
        <v>Undrafted</v>
      </c>
      <c r="R31">
        <f t="shared" ca="1" si="3"/>
        <v>0</v>
      </c>
      <c r="S31">
        <f t="shared" ca="1" si="4"/>
        <v>-21.470000000000013</v>
      </c>
      <c r="T31" s="174">
        <f t="shared" ca="1" si="5"/>
        <v>-3.5421110204290942</v>
      </c>
      <c r="U31" s="174">
        <f ca="1">T31*Auction!$A$2</f>
        <v>-3.5421110204290942</v>
      </c>
      <c r="V31" s="5" t="str">
        <f>IF(OR(INDEX(Auction!$H$13:$H$650,MATCH(B31,Auction!$A$13:$A$650,0))&gt;0,IFERROR(INDEX(CheatSheet!$D$37:$D$64,MATCH(B31,CheatSheet!$A$37:$A$64,0)),"")&lt;&gt;""),"Yes","No")</f>
        <v>No</v>
      </c>
      <c r="W31" s="175"/>
      <c r="Y31" s="77">
        <f t="shared" ca="1" si="6"/>
        <v>1</v>
      </c>
      <c r="Z31">
        <f t="shared" ca="1" si="8"/>
        <v>-10.735000000000007</v>
      </c>
      <c r="AA31" t="str">
        <f t="shared" ca="1" si="9"/>
        <v>TE7</v>
      </c>
      <c r="AB31" s="174">
        <f ca="1">Z31*LeagueInfo!$H$5</f>
        <v>-3.466870150650279</v>
      </c>
      <c r="AC31" s="174">
        <f t="shared" ca="1" si="7"/>
        <v>0.30506542968970068</v>
      </c>
    </row>
    <row r="32" spans="1:29" x14ac:dyDescent="0.35">
      <c r="A32">
        <f t="shared" si="0"/>
        <v>30</v>
      </c>
      <c r="B32" t="str">
        <f>TE_Raw!A32</f>
        <v>Tucker Kraft</v>
      </c>
      <c r="C32" t="s">
        <v>40</v>
      </c>
      <c r="D32">
        <f>_xlfn.IFNA(INDEX(BYEs!E:E,MATCH(B32,BYEs!D:D,0)),"N/A")</f>
        <v>23</v>
      </c>
      <c r="E32">
        <f>INDEX(BYEs!$B$2:$B$34,MATCH(F32,BYEs!$A$2:$A$34,0))</f>
        <v>10</v>
      </c>
      <c r="F32" t="str">
        <f>TE_Raw!B32</f>
        <v>GB</v>
      </c>
      <c r="G32" s="198">
        <v>0</v>
      </c>
      <c r="H32" s="199">
        <v>0</v>
      </c>
      <c r="I32" s="200">
        <v>0</v>
      </c>
      <c r="J32" s="200">
        <v>0</v>
      </c>
      <c r="K32" s="200">
        <v>0</v>
      </c>
      <c r="L32" s="201">
        <f>TE_Raw!C32</f>
        <v>33.5</v>
      </c>
      <c r="M32" s="201">
        <f>TE_Raw!D32</f>
        <v>349.7</v>
      </c>
      <c r="N32" s="203">
        <f>TE_Raw!E32</f>
        <v>2.5</v>
      </c>
      <c r="O32" s="200">
        <f>TE_Raw!F32</f>
        <v>0.1</v>
      </c>
      <c r="P32" s="10">
        <f t="shared" si="1"/>
        <v>66.52</v>
      </c>
      <c r="Q32" t="str">
        <f t="shared" ca="1" si="2"/>
        <v>Undrafted</v>
      </c>
      <c r="R32">
        <f t="shared" ca="1" si="3"/>
        <v>0</v>
      </c>
      <c r="S32">
        <f t="shared" ca="1" si="4"/>
        <v>-24.310000000000016</v>
      </c>
      <c r="T32" s="174">
        <f t="shared" ca="1" si="5"/>
        <v>-4.0106529532664776</v>
      </c>
      <c r="U32" s="174">
        <f ca="1">T32*Auction!$A$2</f>
        <v>-4.0106529532664776</v>
      </c>
      <c r="V32" s="5" t="str">
        <f>IF(OR(INDEX(Auction!$H$13:$H$650,MATCH(B32,Auction!$A$13:$A$650,0))&gt;0,IFERROR(INDEX(CheatSheet!$D$37:$D$64,MATCH(B32,CheatSheet!$A$37:$A$64,0)),"")&lt;&gt;""),"Yes","No")</f>
        <v>No</v>
      </c>
      <c r="W32" s="175"/>
      <c r="Y32" s="77">
        <f t="shared" ca="1" si="6"/>
        <v>1</v>
      </c>
      <c r="Z32">
        <f t="shared" ca="1" si="8"/>
        <v>-12.155000000000008</v>
      </c>
      <c r="AA32" t="str">
        <f t="shared" ca="1" si="9"/>
        <v>TE7</v>
      </c>
      <c r="AB32" s="174">
        <f ca="1">Z32*LeagueInfo!$H$5</f>
        <v>-3.9254594020637303</v>
      </c>
      <c r="AC32" s="174">
        <f t="shared" ca="1" si="7"/>
        <v>0.25143306141499194</v>
      </c>
    </row>
    <row r="33" spans="1:29" x14ac:dyDescent="0.35">
      <c r="A33">
        <f t="shared" si="0"/>
        <v>31</v>
      </c>
      <c r="B33" t="str">
        <f>TE_Raw!A34</f>
        <v>Greg Dulcich</v>
      </c>
      <c r="C33" t="s">
        <v>40</v>
      </c>
      <c r="D33">
        <f>_xlfn.IFNA(INDEX(BYEs!E:E,MATCH(B33,BYEs!D:D,0)),"N/A")</f>
        <v>24</v>
      </c>
      <c r="E33">
        <f>INDEX(BYEs!$B$2:$B$34,MATCH(F33,BYEs!$A$2:$A$34,0))</f>
        <v>14</v>
      </c>
      <c r="F33" t="str">
        <f>TE_Raw!B34</f>
        <v>DEN</v>
      </c>
      <c r="G33" s="198">
        <v>0</v>
      </c>
      <c r="H33" s="199">
        <v>0</v>
      </c>
      <c r="I33" s="200">
        <v>0</v>
      </c>
      <c r="J33" s="200">
        <v>0</v>
      </c>
      <c r="K33" s="200">
        <v>0</v>
      </c>
      <c r="L33" s="201">
        <f>TE_Raw!C34</f>
        <v>33.5</v>
      </c>
      <c r="M33" s="201">
        <f>TE_Raw!D34</f>
        <v>377</v>
      </c>
      <c r="N33" s="203">
        <f>TE_Raw!E34</f>
        <v>1.9</v>
      </c>
      <c r="O33" s="200">
        <f>TE_Raw!F34</f>
        <v>0.1</v>
      </c>
      <c r="P33" s="10">
        <f t="shared" si="1"/>
        <v>65.649999999999991</v>
      </c>
      <c r="Q33" t="str">
        <f t="shared" ca="1" si="2"/>
        <v>Undrafted</v>
      </c>
      <c r="R33">
        <f t="shared" ca="1" si="3"/>
        <v>0</v>
      </c>
      <c r="S33">
        <f t="shared" ca="1" si="4"/>
        <v>-25.180000000000021</v>
      </c>
      <c r="T33" s="174">
        <f t="shared" ca="1" si="5"/>
        <v>-4.154185165086381</v>
      </c>
      <c r="U33" s="174">
        <f ca="1">T33*Auction!$A$2</f>
        <v>-4.154185165086381</v>
      </c>
      <c r="V33" s="5" t="str">
        <f>IF(OR(INDEX(Auction!$H$13:$H$650,MATCH(B33,Auction!$A$13:$A$650,0))&gt;0,IFERROR(INDEX(CheatSheet!$D$37:$D$64,MATCH(B33,CheatSheet!$A$37:$A$64,0)),"")&lt;&gt;""),"Yes","No")</f>
        <v>No</v>
      </c>
      <c r="W33" s="175"/>
      <c r="Y33" s="77">
        <f t="shared" ca="1" si="6"/>
        <v>1</v>
      </c>
      <c r="Z33">
        <f t="shared" ca="1" si="8"/>
        <v>-12.590000000000011</v>
      </c>
      <c r="AA33" t="str">
        <f t="shared" ca="1" si="9"/>
        <v>TE7</v>
      </c>
      <c r="AB33" s="174">
        <f ca="1">Z33*LeagueInfo!$H$5</f>
        <v>-4.0659427290812316</v>
      </c>
      <c r="AC33" s="174">
        <f t="shared" ca="1" si="7"/>
        <v>0.23500342747168318</v>
      </c>
    </row>
    <row r="34" spans="1:29" x14ac:dyDescent="0.35">
      <c r="A34">
        <f t="shared" si="0"/>
        <v>32</v>
      </c>
      <c r="B34" t="str">
        <f>TE_Raw!A35</f>
        <v>Theo Johnson</v>
      </c>
      <c r="C34" t="s">
        <v>40</v>
      </c>
      <c r="D34">
        <f>_xlfn.IFNA(INDEX(BYEs!E:E,MATCH(B34,BYEs!D:D,0)),"N/A")</f>
        <v>23</v>
      </c>
      <c r="E34">
        <f>INDEX(BYEs!$B$2:$B$34,MATCH(F34,BYEs!$A$2:$A$34,0))</f>
        <v>11</v>
      </c>
      <c r="F34" t="str">
        <f>TE_Raw!B35</f>
        <v>NYG</v>
      </c>
      <c r="G34" s="198">
        <v>0</v>
      </c>
      <c r="H34" s="199">
        <v>0</v>
      </c>
      <c r="I34" s="200">
        <v>0</v>
      </c>
      <c r="J34" s="200">
        <v>0</v>
      </c>
      <c r="K34" s="200">
        <v>0</v>
      </c>
      <c r="L34" s="201">
        <f>TE_Raw!C35</f>
        <v>35.6</v>
      </c>
      <c r="M34" s="201">
        <f>TE_Raw!D35</f>
        <v>345.7</v>
      </c>
      <c r="N34" s="203">
        <f>TE_Raw!E35</f>
        <v>2.2999999999999998</v>
      </c>
      <c r="O34" s="200">
        <f>TE_Raw!F35</f>
        <v>0.6</v>
      </c>
      <c r="P34" s="10">
        <f t="shared" si="1"/>
        <v>64.97</v>
      </c>
      <c r="Q34" t="str">
        <f t="shared" ca="1" si="2"/>
        <v>Undrafted</v>
      </c>
      <c r="R34">
        <f t="shared" ca="1" si="3"/>
        <v>0</v>
      </c>
      <c r="S34">
        <f t="shared" ca="1" si="4"/>
        <v>-25.860000000000014</v>
      </c>
      <c r="T34" s="174">
        <f t="shared" ca="1" si="5"/>
        <v>-4.2663712616812468</v>
      </c>
      <c r="U34" s="174">
        <f ca="1">T34*Auction!$A$2</f>
        <v>-4.2663712616812468</v>
      </c>
      <c r="V34" s="5" t="str">
        <f>IF(OR(INDEX(Auction!$H$13:$H$650,MATCH(B34,Auction!$A$13:$A$650,0))&gt;0,IFERROR(INDEX(CheatSheet!$D$37:$D$64,MATCH(B34,CheatSheet!$A$37:$A$64,0)),"")&lt;&gt;""),"Yes","No")</f>
        <v>No</v>
      </c>
      <c r="W34" s="175"/>
      <c r="Y34" s="77">
        <f t="shared" ca="1" si="6"/>
        <v>1</v>
      </c>
      <c r="Z34">
        <f t="shared" ca="1" si="8"/>
        <v>-12.930000000000007</v>
      </c>
      <c r="AA34" t="str">
        <f t="shared" ca="1" si="9"/>
        <v>TE7</v>
      </c>
      <c r="AB34" s="174">
        <f ca="1">Z34*LeagueInfo!$H$5</f>
        <v>-4.1757457892788175</v>
      </c>
      <c r="AC34" s="174">
        <f t="shared" ca="1" si="7"/>
        <v>0.22216187450449956</v>
      </c>
    </row>
    <row r="35" spans="1:29" x14ac:dyDescent="0.35">
      <c r="A35">
        <f t="shared" ref="A35:A66" si="10">RANK(P35,P:P)</f>
        <v>33</v>
      </c>
      <c r="B35" t="str">
        <f>TE_Raw!A33</f>
        <v>Dawson Knox</v>
      </c>
      <c r="C35" t="s">
        <v>40</v>
      </c>
      <c r="D35">
        <f>_xlfn.IFNA(INDEX(BYEs!E:E,MATCH(B35,BYEs!D:D,0)),"N/A")</f>
        <v>27</v>
      </c>
      <c r="E35">
        <f>INDEX(BYEs!$B$2:$B$34,MATCH(F35,BYEs!$A$2:$A$34,0))</f>
        <v>12</v>
      </c>
      <c r="F35" t="str">
        <f>TE_Raw!B33</f>
        <v>BUF</v>
      </c>
      <c r="G35" s="198">
        <v>0</v>
      </c>
      <c r="H35" s="199">
        <v>0</v>
      </c>
      <c r="I35" s="200">
        <v>0</v>
      </c>
      <c r="J35" s="200">
        <v>0</v>
      </c>
      <c r="K35" s="200">
        <v>0</v>
      </c>
      <c r="L35" s="201">
        <f>TE_Raw!C33</f>
        <v>28.3</v>
      </c>
      <c r="M35" s="201">
        <f>TE_Raw!D33</f>
        <v>297.39999999999998</v>
      </c>
      <c r="N35" s="203">
        <f>TE_Raw!E33</f>
        <v>3.3</v>
      </c>
      <c r="O35" s="200">
        <f>TE_Raw!F33</f>
        <v>0.1</v>
      </c>
      <c r="P35" s="10">
        <f t="shared" ref="P35:P66" si="11">(J35*TERushYd)+(K35*TERushTD)+(L35*TERec)+(M35*TERecYd)+(N35*TERecTD)+(O35*TEFuml)+(I35*TERushAtt)</f>
        <v>63.489999999999995</v>
      </c>
      <c r="Q35" t="str">
        <f t="shared" ref="Q35:Q66" ca="1" si="12">IF(A35&lt;=TEStarters,"Starter",IF(A35&gt;TEStarters+TEBench,"Undrafted","Bench"))</f>
        <v>Undrafted</v>
      </c>
      <c r="R35">
        <f t="shared" ref="R35:R66" ca="1" si="13">IFERROR(MAX(P35-LARGE(TESheetCount,TEStarters),0),0)</f>
        <v>0</v>
      </c>
      <c r="S35">
        <f t="shared" ref="S35:S66" ca="1" si="14">IFERROR(IF(AllowNegative="Yes",P35-LARGE(TESheetCount,TECount),MAX(P35-LARGE(TESheetCount,TECount),0)),0)</f>
        <v>-27.340000000000018</v>
      </c>
      <c r="T35" s="174">
        <f t="shared" ref="T35:T66" ca="1" si="15">IF(TEStarters&gt;0,(S35-R35)*BenchPF+R35*StarterPF,0)</f>
        <v>-4.5105410013288978</v>
      </c>
      <c r="U35" s="174">
        <f ca="1">T35*Auction!$A$2</f>
        <v>-4.5105410013288978</v>
      </c>
      <c r="V35" s="5" t="str">
        <f>IF(OR(INDEX(Auction!$H$13:$H$650,MATCH(B35,Auction!$A$13:$A$650,0))&gt;0,IFERROR(INDEX(CheatSheet!$D$37:$D$64,MATCH(B35,CheatSheet!$A$37:$A$64,0)),"")&lt;&gt;""),"Yes","No")</f>
        <v>No</v>
      </c>
      <c r="W35" s="175"/>
      <c r="Y35" s="77">
        <f t="shared" ref="Y35:Y66" ca="1" si="16">IFERROR(SUMIFS(Z:Z,Z:Z,"&gt;0",V:V,"No")/SUMIF(Z:Z,"&gt;0"),0)</f>
        <v>1</v>
      </c>
      <c r="Z35">
        <f t="shared" ca="1" si="8"/>
        <v>-13.670000000000009</v>
      </c>
      <c r="AA35" t="str">
        <f t="shared" ca="1" si="9"/>
        <v>TE7</v>
      </c>
      <c r="AB35" s="174">
        <f ca="1">Z35*LeagueInfo!$H$5</f>
        <v>-4.4147289202970956</v>
      </c>
      <c r="AC35" s="174">
        <f t="shared" ref="AC35:AC66" ca="1" si="17">(Z35-AVERAGE(Z:Z))/_xlfn.STDEV.P(Z:Z)</f>
        <v>0.19421261216415833</v>
      </c>
    </row>
    <row r="36" spans="1:29" x14ac:dyDescent="0.35">
      <c r="A36">
        <f t="shared" si="10"/>
        <v>34</v>
      </c>
      <c r="B36" t="str">
        <f>TE_Raw!A38</f>
        <v>Gerald Everett</v>
      </c>
      <c r="C36" t="s">
        <v>40</v>
      </c>
      <c r="D36">
        <f>_xlfn.IFNA(INDEX(BYEs!E:E,MATCH(B36,BYEs!D:D,0)),"N/A")</f>
        <v>30</v>
      </c>
      <c r="E36">
        <f>INDEX(BYEs!$B$2:$B$34,MATCH(F36,BYEs!$A$2:$A$34,0))</f>
        <v>7</v>
      </c>
      <c r="F36" t="str">
        <f>TE_Raw!B38</f>
        <v>CHI</v>
      </c>
      <c r="G36" s="198">
        <v>0</v>
      </c>
      <c r="H36" s="199">
        <v>0</v>
      </c>
      <c r="I36" s="200">
        <v>0</v>
      </c>
      <c r="J36" s="200">
        <v>0</v>
      </c>
      <c r="K36" s="200">
        <v>0</v>
      </c>
      <c r="L36" s="201">
        <f>TE_Raw!C38</f>
        <v>32.5</v>
      </c>
      <c r="M36" s="201">
        <f>TE_Raw!D38</f>
        <v>302</v>
      </c>
      <c r="N36" s="203">
        <f>TE_Raw!E38</f>
        <v>2.6</v>
      </c>
      <c r="O36" s="200">
        <f>TE_Raw!F38</f>
        <v>0.1</v>
      </c>
      <c r="P36" s="10">
        <f t="shared" si="11"/>
        <v>61.85</v>
      </c>
      <c r="Q36" t="str">
        <f t="shared" ca="1" si="12"/>
        <v>Undrafted</v>
      </c>
      <c r="R36">
        <f t="shared" ca="1" si="13"/>
        <v>0</v>
      </c>
      <c r="S36">
        <f t="shared" ca="1" si="14"/>
        <v>-28.980000000000011</v>
      </c>
      <c r="T36" s="174">
        <f t="shared" ca="1" si="15"/>
        <v>-4.7811074695871039</v>
      </c>
      <c r="U36" s="174">
        <f ca="1">T36*Auction!$A$2</f>
        <v>-4.7811074695871039</v>
      </c>
      <c r="V36" s="5" t="str">
        <f>IF(OR(INDEX(Auction!$H$13:$H$650,MATCH(B36,Auction!$A$13:$A$650,0))&gt;0,IFERROR(INDEX(CheatSheet!$D$37:$D$64,MATCH(B36,CheatSheet!$A$37:$A$64,0)),"")&lt;&gt;""),"Yes","No")</f>
        <v>No</v>
      </c>
      <c r="W36" s="175"/>
      <c r="Y36" s="77">
        <f t="shared" ca="1" si="16"/>
        <v>1</v>
      </c>
      <c r="Z36">
        <f t="shared" ca="1" si="8"/>
        <v>-14.490000000000006</v>
      </c>
      <c r="AA36" t="str">
        <f t="shared" ca="1" si="9"/>
        <v>TE7</v>
      </c>
      <c r="AB36" s="174">
        <f ca="1">Z36*LeagueInfo!$H$5</f>
        <v>-4.6795480654795094</v>
      </c>
      <c r="AC36" s="174">
        <f t="shared" ca="1" si="17"/>
        <v>0.16324180794918586</v>
      </c>
    </row>
    <row r="37" spans="1:29" x14ac:dyDescent="0.35">
      <c r="A37">
        <f t="shared" si="10"/>
        <v>35</v>
      </c>
      <c r="B37" t="str">
        <f>TE_Raw!A36</f>
        <v>Kylen Granson</v>
      </c>
      <c r="C37" t="s">
        <v>40</v>
      </c>
      <c r="D37">
        <f>_xlfn.IFNA(INDEX(BYEs!E:E,MATCH(B37,BYEs!D:D,0)),"N/A")</f>
        <v>26</v>
      </c>
      <c r="E37">
        <f>INDEX(BYEs!$B$2:$B$34,MATCH(F37,BYEs!$A$2:$A$34,0))</f>
        <v>14</v>
      </c>
      <c r="F37" t="str">
        <f>TE_Raw!B36</f>
        <v>IND</v>
      </c>
      <c r="G37" s="198">
        <v>0</v>
      </c>
      <c r="H37" s="199">
        <v>0</v>
      </c>
      <c r="I37" s="200">
        <v>0</v>
      </c>
      <c r="J37" s="200">
        <v>0</v>
      </c>
      <c r="K37" s="200">
        <v>0</v>
      </c>
      <c r="L37" s="201">
        <f>TE_Raw!C36</f>
        <v>31</v>
      </c>
      <c r="M37" s="201">
        <f>TE_Raw!D36</f>
        <v>333.3</v>
      </c>
      <c r="N37" s="203">
        <f>TE_Raw!E36</f>
        <v>2.1</v>
      </c>
      <c r="O37" s="200">
        <f>TE_Raw!F36</f>
        <v>0.1</v>
      </c>
      <c r="P37" s="10">
        <f t="shared" si="11"/>
        <v>61.230000000000004</v>
      </c>
      <c r="Q37" t="str">
        <f t="shared" ca="1" si="12"/>
        <v>Undrafted</v>
      </c>
      <c r="R37">
        <f t="shared" ca="1" si="13"/>
        <v>0</v>
      </c>
      <c r="S37">
        <f t="shared" ca="1" si="14"/>
        <v>-29.600000000000009</v>
      </c>
      <c r="T37" s="174">
        <f t="shared" ca="1" si="15"/>
        <v>-4.8833947929530108</v>
      </c>
      <c r="U37" s="174">
        <f ca="1">T37*Auction!$A$2</f>
        <v>-4.8833947929530108</v>
      </c>
      <c r="V37" s="5" t="str">
        <f>IF(OR(INDEX(Auction!$H$13:$H$650,MATCH(B37,Auction!$A$13:$A$650,0))&gt;0,IFERROR(INDEX(CheatSheet!$D$37:$D$64,MATCH(B37,CheatSheet!$A$37:$A$64,0)),"")&lt;&gt;""),"Yes","No")</f>
        <v>No</v>
      </c>
      <c r="W37" s="175"/>
      <c r="Y37" s="77">
        <f t="shared" ca="1" si="16"/>
        <v>1</v>
      </c>
      <c r="Z37">
        <f t="shared" ca="1" si="8"/>
        <v>-14.800000000000004</v>
      </c>
      <c r="AA37" t="str">
        <f t="shared" ca="1" si="9"/>
        <v>TE7</v>
      </c>
      <c r="AB37" s="174">
        <f ca="1">Z37*LeagueInfo!$H$5</f>
        <v>-4.7796626203655439</v>
      </c>
      <c r="AC37" s="174">
        <f t="shared" ca="1" si="17"/>
        <v>0.15153333318498893</v>
      </c>
    </row>
    <row r="38" spans="1:29" x14ac:dyDescent="0.35">
      <c r="A38">
        <f t="shared" si="10"/>
        <v>36</v>
      </c>
      <c r="B38" t="str">
        <f>TE_Raw!A37</f>
        <v>Ja'Tavion Sanders</v>
      </c>
      <c r="C38" t="s">
        <v>40</v>
      </c>
      <c r="D38">
        <f>_xlfn.IFNA(INDEX(BYEs!E:E,MATCH(B38,BYEs!D:D,0)),"N/A")</f>
        <v>21</v>
      </c>
      <c r="E38">
        <f>INDEX(BYEs!$B$2:$B$34,MATCH(F38,BYEs!$A$2:$A$34,0))</f>
        <v>11</v>
      </c>
      <c r="F38" t="str">
        <f>TE_Raw!B37</f>
        <v>CAR</v>
      </c>
      <c r="G38" s="198">
        <v>0</v>
      </c>
      <c r="H38" s="199">
        <v>0</v>
      </c>
      <c r="I38" s="200">
        <v>0</v>
      </c>
      <c r="J38" s="200">
        <v>0</v>
      </c>
      <c r="K38" s="200">
        <v>0</v>
      </c>
      <c r="L38" s="201">
        <f>TE_Raw!C37</f>
        <v>30.8</v>
      </c>
      <c r="M38" s="201">
        <f>TE_Raw!D37</f>
        <v>320.7</v>
      </c>
      <c r="N38" s="203">
        <f>TE_Raw!E37</f>
        <v>2.4</v>
      </c>
      <c r="O38" s="200">
        <f>TE_Raw!F37</f>
        <v>0.4</v>
      </c>
      <c r="P38" s="10">
        <f t="shared" si="11"/>
        <v>61.07</v>
      </c>
      <c r="Q38" t="str">
        <f t="shared" ca="1" si="12"/>
        <v>Undrafted</v>
      </c>
      <c r="R38">
        <f t="shared" ca="1" si="13"/>
        <v>0</v>
      </c>
      <c r="S38">
        <f t="shared" ca="1" si="14"/>
        <v>-29.760000000000012</v>
      </c>
      <c r="T38" s="174">
        <f t="shared" ca="1" si="15"/>
        <v>-4.9097915215635686</v>
      </c>
      <c r="U38" s="174">
        <f ca="1">T38*Auction!$A$2</f>
        <v>-4.9097915215635686</v>
      </c>
      <c r="V38" s="5" t="str">
        <f>IF(OR(INDEX(Auction!$H$13:$H$650,MATCH(B38,Auction!$A$13:$A$650,0))&gt;0,IFERROR(INDEX(CheatSheet!$D$37:$D$64,MATCH(B38,CheatSheet!$A$37:$A$64,0)),"")&lt;&gt;""),"Yes","No")</f>
        <v>No</v>
      </c>
      <c r="W38" s="175"/>
      <c r="Y38" s="77">
        <f t="shared" ca="1" si="16"/>
        <v>1</v>
      </c>
      <c r="Z38">
        <f t="shared" ca="1" si="8"/>
        <v>-14.880000000000006</v>
      </c>
      <c r="AA38" t="str">
        <f t="shared" ca="1" si="9"/>
        <v>TE7</v>
      </c>
      <c r="AB38" s="174">
        <f ca="1">Z38*LeagueInfo!$H$5</f>
        <v>-4.8054986345296831</v>
      </c>
      <c r="AC38" s="174">
        <f t="shared" ca="1" si="17"/>
        <v>0.14851179131035738</v>
      </c>
    </row>
    <row r="39" spans="1:29" x14ac:dyDescent="0.35">
      <c r="A39">
        <f t="shared" si="10"/>
        <v>37</v>
      </c>
      <c r="B39" t="str">
        <f>TE_Raw!A39</f>
        <v>Tyler Higbee</v>
      </c>
      <c r="C39" t="s">
        <v>40</v>
      </c>
      <c r="D39">
        <f>_xlfn.IFNA(INDEX(BYEs!E:E,MATCH(B39,BYEs!D:D,0)),"N/A")</f>
        <v>31</v>
      </c>
      <c r="E39">
        <f>INDEX(BYEs!$B$2:$B$34,MATCH(F39,BYEs!$A$2:$A$34,0))</f>
        <v>6</v>
      </c>
      <c r="F39" t="str">
        <f>TE_Raw!B39</f>
        <v>LAR</v>
      </c>
      <c r="G39" s="198">
        <v>0</v>
      </c>
      <c r="H39" s="199">
        <v>0</v>
      </c>
      <c r="I39" s="200">
        <v>0</v>
      </c>
      <c r="J39" s="200">
        <v>0</v>
      </c>
      <c r="K39" s="200">
        <v>0</v>
      </c>
      <c r="L39" s="201">
        <f>TE_Raw!C39</f>
        <v>31.2</v>
      </c>
      <c r="M39" s="201">
        <f>TE_Raw!D39</f>
        <v>318.5</v>
      </c>
      <c r="N39" s="203">
        <f>TE_Raw!E39</f>
        <v>2</v>
      </c>
      <c r="O39" s="200">
        <f>TE_Raw!F39</f>
        <v>0.1</v>
      </c>
      <c r="P39" s="10">
        <f t="shared" si="11"/>
        <v>59.25</v>
      </c>
      <c r="Q39" t="str">
        <f t="shared" ca="1" si="12"/>
        <v>Undrafted</v>
      </c>
      <c r="R39">
        <f t="shared" ca="1" si="13"/>
        <v>0</v>
      </c>
      <c r="S39">
        <f t="shared" ca="1" si="14"/>
        <v>-31.580000000000013</v>
      </c>
      <c r="T39" s="174">
        <f t="shared" ca="1" si="15"/>
        <v>-5.210054309508652</v>
      </c>
      <c r="U39" s="174">
        <f ca="1">T39*Auction!$A$2</f>
        <v>-5.210054309508652</v>
      </c>
      <c r="V39" s="5" t="str">
        <f>IF(OR(INDEX(Auction!$H$13:$H$650,MATCH(B39,Auction!$A$13:$A$650,0))&gt;0,IFERROR(INDEX(CheatSheet!$D$37:$D$64,MATCH(B39,CheatSheet!$A$37:$A$64,0)),"")&lt;&gt;""),"Yes","No")</f>
        <v>No</v>
      </c>
      <c r="W39" s="175"/>
      <c r="Y39" s="77">
        <f t="shared" ca="1" si="16"/>
        <v>1</v>
      </c>
      <c r="Z39">
        <f t="shared" ca="1" si="8"/>
        <v>-15.790000000000006</v>
      </c>
      <c r="AA39" t="str">
        <f t="shared" ca="1" si="9"/>
        <v>TE7</v>
      </c>
      <c r="AB39" s="174">
        <f ca="1">Z39*LeagueInfo!$H$5</f>
        <v>-5.0993832956467529</v>
      </c>
      <c r="AC39" s="174">
        <f t="shared" ca="1" si="17"/>
        <v>0.11414175248642436</v>
      </c>
    </row>
    <row r="40" spans="1:29" x14ac:dyDescent="0.35">
      <c r="A40">
        <f t="shared" si="10"/>
        <v>38</v>
      </c>
      <c r="B40" t="str">
        <f>TE_Raw!A40</f>
        <v>Michael Mayer</v>
      </c>
      <c r="C40" t="s">
        <v>40</v>
      </c>
      <c r="D40">
        <f>_xlfn.IFNA(INDEX(BYEs!E:E,MATCH(B40,BYEs!D:D,0)),"N/A")</f>
        <v>23</v>
      </c>
      <c r="E40">
        <f>INDEX(BYEs!$B$2:$B$34,MATCH(F40,BYEs!$A$2:$A$34,0))</f>
        <v>10</v>
      </c>
      <c r="F40" t="str">
        <f>TE_Raw!B40</f>
        <v>LV</v>
      </c>
      <c r="G40" s="198">
        <v>0</v>
      </c>
      <c r="H40" s="199">
        <v>0</v>
      </c>
      <c r="I40" s="200">
        <v>0</v>
      </c>
      <c r="J40" s="200">
        <v>0</v>
      </c>
      <c r="K40" s="200">
        <v>0</v>
      </c>
      <c r="L40" s="201">
        <f>TE_Raw!C40</f>
        <v>29.1</v>
      </c>
      <c r="M40" s="201">
        <f>TE_Raw!D40</f>
        <v>313.2</v>
      </c>
      <c r="N40" s="203">
        <f>TE_Raw!E40</f>
        <v>2</v>
      </c>
      <c r="O40" s="200">
        <f>TE_Raw!F40</f>
        <v>0.1</v>
      </c>
      <c r="P40" s="10">
        <f t="shared" si="11"/>
        <v>57.67</v>
      </c>
      <c r="Q40" t="str">
        <f t="shared" ca="1" si="12"/>
        <v>Undrafted</v>
      </c>
      <c r="R40">
        <f t="shared" ca="1" si="13"/>
        <v>0</v>
      </c>
      <c r="S40">
        <f t="shared" ca="1" si="14"/>
        <v>-33.160000000000011</v>
      </c>
      <c r="T40" s="174">
        <f t="shared" ca="1" si="15"/>
        <v>-5.470722004537901</v>
      </c>
      <c r="U40" s="174">
        <f ca="1">T40*Auction!$A$2</f>
        <v>-5.470722004537901</v>
      </c>
      <c r="V40" s="5" t="str">
        <f>IF(OR(INDEX(Auction!$H$13:$H$650,MATCH(B40,Auction!$A$13:$A$650,0))&gt;0,IFERROR(INDEX(CheatSheet!$D$37:$D$64,MATCH(B40,CheatSheet!$A$37:$A$64,0)),"")&lt;&gt;""),"Yes","No")</f>
        <v>No</v>
      </c>
      <c r="W40" s="175"/>
      <c r="Y40" s="77">
        <f t="shared" ca="1" si="16"/>
        <v>1</v>
      </c>
      <c r="Z40">
        <f t="shared" ca="1" si="8"/>
        <v>-16.580000000000005</v>
      </c>
      <c r="AA40" t="str">
        <f t="shared" ca="1" si="9"/>
        <v>TE7</v>
      </c>
      <c r="AB40" s="174">
        <f ca="1">Z40*LeagueInfo!$H$5</f>
        <v>-5.3545139355176161</v>
      </c>
      <c r="AC40" s="174">
        <f t="shared" ca="1" si="17"/>
        <v>8.4304026474438576E-2</v>
      </c>
    </row>
    <row r="41" spans="1:29" x14ac:dyDescent="0.35">
      <c r="A41">
        <f t="shared" si="10"/>
        <v>39</v>
      </c>
      <c r="B41" t="str">
        <f>TE_Raw!A43</f>
        <v>Daniel Bellinger</v>
      </c>
      <c r="C41" t="s">
        <v>40</v>
      </c>
      <c r="D41">
        <f>_xlfn.IFNA(INDEX(BYEs!E:E,MATCH(B41,BYEs!D:D,0)),"N/A")</f>
        <v>23</v>
      </c>
      <c r="E41">
        <f>INDEX(BYEs!$B$2:$B$34,MATCH(F41,BYEs!$A$2:$A$34,0))</f>
        <v>11</v>
      </c>
      <c r="F41" t="str">
        <f>TE_Raw!B43</f>
        <v>NYG</v>
      </c>
      <c r="G41" s="198">
        <v>0</v>
      </c>
      <c r="H41" s="199">
        <v>0</v>
      </c>
      <c r="I41" s="200">
        <v>0</v>
      </c>
      <c r="J41" s="200">
        <v>0</v>
      </c>
      <c r="K41" s="200">
        <v>0</v>
      </c>
      <c r="L41" s="201">
        <f>TE_Raw!C43</f>
        <v>31.4</v>
      </c>
      <c r="M41" s="201">
        <f>TE_Raw!D43</f>
        <v>297.5</v>
      </c>
      <c r="N41" s="203">
        <f>TE_Raw!E43</f>
        <v>1.8</v>
      </c>
      <c r="O41" s="200">
        <f>TE_Raw!F43</f>
        <v>0.1</v>
      </c>
      <c r="P41" s="10">
        <f t="shared" si="11"/>
        <v>56.05</v>
      </c>
      <c r="Q41" t="str">
        <f t="shared" ca="1" si="12"/>
        <v>Undrafted</v>
      </c>
      <c r="R41">
        <f t="shared" ca="1" si="13"/>
        <v>0</v>
      </c>
      <c r="S41">
        <f t="shared" ca="1" si="14"/>
        <v>-34.780000000000015</v>
      </c>
      <c r="T41" s="174">
        <f t="shared" ca="1" si="15"/>
        <v>-5.7379888817197893</v>
      </c>
      <c r="U41" s="174">
        <f ca="1">T41*Auction!$A$2</f>
        <v>-5.7379888817197893</v>
      </c>
      <c r="V41" s="5" t="str">
        <f>IF(OR(INDEX(Auction!$H$13:$H$650,MATCH(B41,Auction!$A$13:$A$650,0))&gt;0,IFERROR(INDEX(CheatSheet!$D$37:$D$64,MATCH(B41,CheatSheet!$A$37:$A$64,0)),"")&lt;&gt;""),"Yes","No")</f>
        <v>No</v>
      </c>
      <c r="W41" s="175"/>
      <c r="Y41" s="77">
        <f t="shared" ca="1" si="16"/>
        <v>1</v>
      </c>
      <c r="Z41">
        <f t="shared" ca="1" si="8"/>
        <v>-17.390000000000008</v>
      </c>
      <c r="AA41" t="str">
        <f t="shared" ca="1" si="9"/>
        <v>TE7</v>
      </c>
      <c r="AB41" s="174">
        <f ca="1">Z41*LeagueInfo!$H$5</f>
        <v>-5.6161035789295148</v>
      </c>
      <c r="AC41" s="174">
        <f t="shared" ca="1" si="17"/>
        <v>5.3710914993794809E-2</v>
      </c>
    </row>
    <row r="42" spans="1:29" x14ac:dyDescent="0.35">
      <c r="A42">
        <f t="shared" si="10"/>
        <v>40</v>
      </c>
      <c r="B42" t="str">
        <f>TE_Raw!A41</f>
        <v>Colby Parkinson</v>
      </c>
      <c r="C42" t="s">
        <v>40</v>
      </c>
      <c r="D42">
        <f>_xlfn.IFNA(INDEX(BYEs!E:E,MATCH(B42,BYEs!D:D,0)),"N/A")</f>
        <v>25</v>
      </c>
      <c r="E42">
        <f>INDEX(BYEs!$B$2:$B$34,MATCH(F42,BYEs!$A$2:$A$34,0))</f>
        <v>6</v>
      </c>
      <c r="F42" t="str">
        <f>TE_Raw!B41</f>
        <v>LAR</v>
      </c>
      <c r="G42" s="198">
        <v>0</v>
      </c>
      <c r="H42" s="199">
        <v>0</v>
      </c>
      <c r="I42" s="200">
        <v>0</v>
      </c>
      <c r="J42" s="200">
        <v>0</v>
      </c>
      <c r="K42" s="200">
        <v>0</v>
      </c>
      <c r="L42" s="201">
        <f>TE_Raw!C41</f>
        <v>27.2</v>
      </c>
      <c r="M42" s="201">
        <f>TE_Raw!D41</f>
        <v>287.3</v>
      </c>
      <c r="N42" s="203">
        <f>TE_Raw!E41</f>
        <v>2.2000000000000002</v>
      </c>
      <c r="O42" s="200">
        <f>TE_Raw!F41</f>
        <v>0.1</v>
      </c>
      <c r="P42" s="10">
        <f t="shared" si="11"/>
        <v>55.330000000000005</v>
      </c>
      <c r="Q42" t="str">
        <f t="shared" ca="1" si="12"/>
        <v>Undrafted</v>
      </c>
      <c r="R42">
        <f t="shared" ca="1" si="13"/>
        <v>0</v>
      </c>
      <c r="S42">
        <f t="shared" ca="1" si="14"/>
        <v>-35.500000000000007</v>
      </c>
      <c r="T42" s="174">
        <f t="shared" ca="1" si="15"/>
        <v>-5.8567741604672934</v>
      </c>
      <c r="U42" s="174">
        <f ca="1">T42*Auction!$A$2</f>
        <v>-5.8567741604672934</v>
      </c>
      <c r="V42" s="5" t="str">
        <f>IF(OR(INDEX(Auction!$H$13:$H$650,MATCH(B42,Auction!$A$13:$A$650,0))&gt;0,IFERROR(INDEX(CheatSheet!$D$37:$D$64,MATCH(B42,CheatSheet!$A$37:$A$64,0)),"")&lt;&gt;""),"Yes","No")</f>
        <v>No</v>
      </c>
      <c r="W42" s="175"/>
      <c r="Y42" s="77">
        <f t="shared" ca="1" si="16"/>
        <v>1</v>
      </c>
      <c r="Z42">
        <f t="shared" ca="1" si="8"/>
        <v>-17.750000000000004</v>
      </c>
      <c r="AA42" t="str">
        <f t="shared" ca="1" si="9"/>
        <v>TE7</v>
      </c>
      <c r="AB42" s="174">
        <f ca="1">Z42*LeagueInfo!$H$5</f>
        <v>-5.7323656426681353</v>
      </c>
      <c r="AC42" s="174">
        <f t="shared" ca="1" si="17"/>
        <v>4.0113976557953332E-2</v>
      </c>
    </row>
    <row r="43" spans="1:29" x14ac:dyDescent="0.35">
      <c r="A43">
        <f t="shared" si="10"/>
        <v>41</v>
      </c>
      <c r="B43" t="str">
        <f>TE_Raw!A42</f>
        <v>Tommy Tremble</v>
      </c>
      <c r="C43" t="s">
        <v>40</v>
      </c>
      <c r="D43">
        <f>_xlfn.IFNA(INDEX(BYEs!E:E,MATCH(B43,BYEs!D:D,0)),"N/A")</f>
        <v>24</v>
      </c>
      <c r="E43">
        <f>INDEX(BYEs!$B$2:$B$34,MATCH(F43,BYEs!$A$2:$A$34,0))</f>
        <v>11</v>
      </c>
      <c r="F43" t="str">
        <f>TE_Raw!B42</f>
        <v>CAR</v>
      </c>
      <c r="G43" s="198">
        <v>0</v>
      </c>
      <c r="H43" s="199">
        <v>0</v>
      </c>
      <c r="I43" s="200">
        <v>0</v>
      </c>
      <c r="J43" s="200">
        <v>0</v>
      </c>
      <c r="K43" s="200">
        <v>0</v>
      </c>
      <c r="L43" s="201">
        <f>TE_Raw!C42</f>
        <v>27.5</v>
      </c>
      <c r="M43" s="201">
        <f>TE_Raw!D42</f>
        <v>261.5</v>
      </c>
      <c r="N43" s="203">
        <f>TE_Raw!E42</f>
        <v>2.5</v>
      </c>
      <c r="O43" s="200">
        <f>TE_Raw!F42</f>
        <v>0.1</v>
      </c>
      <c r="P43" s="10">
        <f t="shared" si="11"/>
        <v>54.7</v>
      </c>
      <c r="Q43" t="str">
        <f t="shared" ca="1" si="12"/>
        <v>Undrafted</v>
      </c>
      <c r="R43">
        <f t="shared" ca="1" si="13"/>
        <v>0</v>
      </c>
      <c r="S43">
        <f t="shared" ca="1" si="14"/>
        <v>-36.13000000000001</v>
      </c>
      <c r="T43" s="174">
        <f t="shared" ca="1" si="15"/>
        <v>-5.9607112793713615</v>
      </c>
      <c r="U43" s="174">
        <f ca="1">T43*Auction!$A$2</f>
        <v>-5.9607112793713615</v>
      </c>
      <c r="V43" s="5" t="str">
        <f>IF(OR(INDEX(Auction!$H$13:$H$650,MATCH(B43,Auction!$A$13:$A$650,0))&gt;0,IFERROR(INDEX(CheatSheet!$D$37:$D$64,MATCH(B43,CheatSheet!$A$37:$A$64,0)),"")&lt;&gt;""),"Yes","No")</f>
        <v>No</v>
      </c>
      <c r="W43" s="175"/>
      <c r="Y43" s="77">
        <f t="shared" ca="1" si="16"/>
        <v>1</v>
      </c>
      <c r="Z43">
        <f t="shared" ca="1" si="8"/>
        <v>-18.065000000000005</v>
      </c>
      <c r="AA43" t="str">
        <f t="shared" ca="1" si="9"/>
        <v>TE7</v>
      </c>
      <c r="AB43" s="174">
        <f ca="1">Z43*LeagueInfo!$H$5</f>
        <v>-5.8340949484394287</v>
      </c>
      <c r="AC43" s="174">
        <f t="shared" ca="1" si="17"/>
        <v>2.8216655426591849E-2</v>
      </c>
    </row>
    <row r="44" spans="1:29" x14ac:dyDescent="0.35">
      <c r="A44">
        <f t="shared" si="10"/>
        <v>42</v>
      </c>
      <c r="B44" t="str">
        <f>TE_Raw!A15</f>
        <v>Taysom Hill</v>
      </c>
      <c r="C44" t="s">
        <v>40</v>
      </c>
      <c r="D44">
        <f>_xlfn.IFNA(INDEX(BYEs!E:E,MATCH(B44,BYEs!D:D,0)),"N/A")</f>
        <v>33</v>
      </c>
      <c r="E44">
        <f>INDEX(BYEs!$B$2:$B$34,MATCH(F44,BYEs!$A$2:$A$34,0))</f>
        <v>12</v>
      </c>
      <c r="F44" t="str">
        <f>TE_Raw!B15</f>
        <v>NO</v>
      </c>
      <c r="G44" s="198">
        <v>0</v>
      </c>
      <c r="H44" s="199">
        <v>0</v>
      </c>
      <c r="I44" s="200">
        <v>0</v>
      </c>
      <c r="J44" s="200">
        <v>0</v>
      </c>
      <c r="K44" s="200">
        <v>0</v>
      </c>
      <c r="L44" s="201">
        <f>TE_Raw!C15</f>
        <v>28.7</v>
      </c>
      <c r="M44" s="201">
        <f>TE_Raw!D15</f>
        <v>273.7</v>
      </c>
      <c r="N44" s="203">
        <f>TE_Raw!E15</f>
        <v>2.1</v>
      </c>
      <c r="O44" s="200">
        <f>TE_Raw!F15</f>
        <v>0.4</v>
      </c>
      <c r="P44" s="10">
        <f t="shared" si="11"/>
        <v>53.52</v>
      </c>
      <c r="Q44" t="str">
        <f t="shared" ca="1" si="12"/>
        <v>Undrafted</v>
      </c>
      <c r="R44">
        <f t="shared" ca="1" si="13"/>
        <v>0</v>
      </c>
      <c r="S44">
        <f t="shared" ca="1" si="14"/>
        <v>-37.310000000000009</v>
      </c>
      <c r="T44" s="174">
        <f t="shared" ca="1" si="15"/>
        <v>-6.1553871528742174</v>
      </c>
      <c r="U44" s="174">
        <f ca="1">T44*Auction!$A$2</f>
        <v>-6.1553871528742174</v>
      </c>
      <c r="V44" s="5" t="str">
        <f>IF(OR(INDEX(Auction!$H$13:$H$650,MATCH(B44,Auction!$A$13:$A$650,0))&gt;0,IFERROR(INDEX(CheatSheet!$D$37:$D$64,MATCH(B44,CheatSheet!$A$37:$A$64,0)),"")&lt;&gt;""),"Yes","No")</f>
        <v>No</v>
      </c>
      <c r="W44" s="175"/>
      <c r="Y44" s="77">
        <f t="shared" ca="1" si="16"/>
        <v>1</v>
      </c>
      <c r="Z44">
        <f t="shared" ca="1" si="8"/>
        <v>-18.655000000000005</v>
      </c>
      <c r="AA44" t="str">
        <f t="shared" ca="1" si="9"/>
        <v>TE7</v>
      </c>
      <c r="AB44" s="174">
        <f ca="1">Z44*LeagueInfo!$H$5</f>
        <v>-6.0246355528999471</v>
      </c>
      <c r="AC44" s="174">
        <f t="shared" ca="1" si="17"/>
        <v>5.9327841011847298E-3</v>
      </c>
    </row>
    <row r="45" spans="1:29" x14ac:dyDescent="0.35">
      <c r="A45">
        <f t="shared" si="10"/>
        <v>43</v>
      </c>
      <c r="B45" t="str">
        <f>TE_Raw!A45</f>
        <v>Will Dissly</v>
      </c>
      <c r="C45" t="s">
        <v>40</v>
      </c>
      <c r="D45">
        <f>_xlfn.IFNA(INDEX(BYEs!E:E,MATCH(B45,BYEs!D:D,0)),"N/A")</f>
        <v>28</v>
      </c>
      <c r="E45">
        <f>INDEX(BYEs!$B$2:$B$34,MATCH(F45,BYEs!$A$2:$A$34,0))</f>
        <v>5</v>
      </c>
      <c r="F45" t="str">
        <f>TE_Raw!B45</f>
        <v>LAC</v>
      </c>
      <c r="G45" s="198">
        <v>0</v>
      </c>
      <c r="H45" s="199">
        <v>0</v>
      </c>
      <c r="I45" s="200">
        <v>0</v>
      </c>
      <c r="J45" s="200">
        <v>0</v>
      </c>
      <c r="K45" s="200">
        <v>0</v>
      </c>
      <c r="L45" s="201">
        <f>TE_Raw!C45</f>
        <v>24.6</v>
      </c>
      <c r="M45" s="201">
        <f>TE_Raw!D45</f>
        <v>238.8</v>
      </c>
      <c r="N45" s="203">
        <f>TE_Raw!E45</f>
        <v>1.6</v>
      </c>
      <c r="O45" s="200">
        <f>TE_Raw!F45</f>
        <v>0.1</v>
      </c>
      <c r="P45" s="10">
        <f t="shared" si="11"/>
        <v>45.580000000000005</v>
      </c>
      <c r="Q45" t="str">
        <f t="shared" ca="1" si="12"/>
        <v>Undrafted</v>
      </c>
      <c r="R45">
        <f t="shared" ca="1" si="13"/>
        <v>0</v>
      </c>
      <c r="S45">
        <f t="shared" ca="1" si="14"/>
        <v>-45.250000000000007</v>
      </c>
      <c r="T45" s="174">
        <f t="shared" ca="1" si="15"/>
        <v>-7.4653248101730991</v>
      </c>
      <c r="U45" s="174">
        <f ca="1">T45*Auction!$A$2</f>
        <v>-7.4653248101730991</v>
      </c>
      <c r="V45" s="5" t="str">
        <f>IF(OR(INDEX(Auction!$H$13:$H$650,MATCH(B45,Auction!$A$13:$A$650,0))&gt;0,IFERROR(INDEX(CheatSheet!$D$37:$D$64,MATCH(B45,CheatSheet!$A$37:$A$64,0)),"")&lt;&gt;""),"Yes","No")</f>
        <v>No</v>
      </c>
      <c r="W45" s="175"/>
      <c r="Y45" s="77">
        <f t="shared" ca="1" si="16"/>
        <v>1</v>
      </c>
      <c r="Z45">
        <f t="shared" ca="1" si="8"/>
        <v>-22.625000000000004</v>
      </c>
      <c r="AA45" t="str">
        <f t="shared" ca="1" si="9"/>
        <v>TE8</v>
      </c>
      <c r="AB45" s="174">
        <f ca="1">Z45*LeagueInfo!$H$5</f>
        <v>-7.3067477557952989</v>
      </c>
      <c r="AC45" s="174">
        <f t="shared" ca="1" si="17"/>
        <v>-0.14401123142740216</v>
      </c>
    </row>
    <row r="46" spans="1:29" x14ac:dyDescent="0.35">
      <c r="A46">
        <f t="shared" si="10"/>
        <v>44</v>
      </c>
      <c r="B46" t="str">
        <f>TE_Raw!A44</f>
        <v>Noah Gray</v>
      </c>
      <c r="C46" t="s">
        <v>40</v>
      </c>
      <c r="D46">
        <f>_xlfn.IFNA(INDEX(BYEs!E:E,MATCH(B46,BYEs!D:D,0)),"N/A")</f>
        <v>25</v>
      </c>
      <c r="E46">
        <f>INDEX(BYEs!$B$2:$B$34,MATCH(F46,BYEs!$A$2:$A$34,0))</f>
        <v>6</v>
      </c>
      <c r="F46" t="str">
        <f>TE_Raw!B44</f>
        <v>KC</v>
      </c>
      <c r="G46" s="198">
        <v>0</v>
      </c>
      <c r="H46" s="199">
        <v>0</v>
      </c>
      <c r="I46" s="200">
        <v>0</v>
      </c>
      <c r="J46" s="200">
        <v>0</v>
      </c>
      <c r="K46" s="200">
        <v>0</v>
      </c>
      <c r="L46" s="201">
        <f>TE_Raw!C44</f>
        <v>22.6</v>
      </c>
      <c r="M46" s="201">
        <f>TE_Raw!D44</f>
        <v>237.5</v>
      </c>
      <c r="N46" s="203">
        <f>TE_Raw!E44</f>
        <v>1.7</v>
      </c>
      <c r="O46" s="200">
        <f>TE_Raw!F44</f>
        <v>0.1</v>
      </c>
      <c r="P46" s="10">
        <f t="shared" si="11"/>
        <v>45.05</v>
      </c>
      <c r="Q46" t="str">
        <f t="shared" ca="1" si="12"/>
        <v>Undrafted</v>
      </c>
      <c r="R46">
        <f t="shared" ca="1" si="13"/>
        <v>0</v>
      </c>
      <c r="S46">
        <f t="shared" ca="1" si="14"/>
        <v>-45.780000000000015</v>
      </c>
      <c r="T46" s="174">
        <f t="shared" ca="1" si="15"/>
        <v>-7.5527639736955701</v>
      </c>
      <c r="U46" s="174">
        <f ca="1">T46*Auction!$A$2</f>
        <v>-7.5527639736955701</v>
      </c>
      <c r="V46" s="5" t="str">
        <f>IF(OR(INDEX(Auction!$H$13:$H$650,MATCH(B46,Auction!$A$13:$A$650,0))&gt;0,IFERROR(INDEX(CheatSheet!$D$37:$D$64,MATCH(B46,CheatSheet!$A$37:$A$64,0)),"")&lt;&gt;""),"Yes","No")</f>
        <v>No</v>
      </c>
      <c r="W46" s="175"/>
      <c r="Y46" s="77">
        <f t="shared" ca="1" si="16"/>
        <v>1</v>
      </c>
      <c r="Z46">
        <f t="shared" ca="1" si="8"/>
        <v>-22.890000000000008</v>
      </c>
      <c r="AA46" t="str">
        <f t="shared" ca="1" si="9"/>
        <v>TE8</v>
      </c>
      <c r="AB46" s="174">
        <f ca="1">Z46*LeagueInfo!$H$5</f>
        <v>-7.3923295527140072</v>
      </c>
      <c r="AC46" s="174">
        <f t="shared" ca="1" si="17"/>
        <v>-0.15402008888711907</v>
      </c>
    </row>
    <row r="47" spans="1:29" x14ac:dyDescent="0.35">
      <c r="A47">
        <f t="shared" si="10"/>
        <v>45</v>
      </c>
      <c r="B47" t="str">
        <f>TE_Raw!A46</f>
        <v>Mo Alie-Cox</v>
      </c>
      <c r="C47" t="s">
        <v>40</v>
      </c>
      <c r="D47" t="str">
        <f>_xlfn.IFNA(INDEX(BYEs!E:E,MATCH(B47,BYEs!D:D,0)),"N/A")</f>
        <v>N/A</v>
      </c>
      <c r="E47">
        <f>INDEX(BYEs!$B$2:$B$34,MATCH(F47,BYEs!$A$2:$A$34,0))</f>
        <v>14</v>
      </c>
      <c r="F47" t="str">
        <f>TE_Raw!B46</f>
        <v>IND</v>
      </c>
      <c r="G47" s="198">
        <v>0</v>
      </c>
      <c r="H47" s="199">
        <v>0</v>
      </c>
      <c r="I47" s="200">
        <v>0</v>
      </c>
      <c r="J47" s="200">
        <v>0</v>
      </c>
      <c r="K47" s="200">
        <v>0</v>
      </c>
      <c r="L47" s="201">
        <f>TE_Raw!C46</f>
        <v>17.2</v>
      </c>
      <c r="M47" s="201">
        <f>TE_Raw!D46</f>
        <v>194</v>
      </c>
      <c r="N47" s="203">
        <f>TE_Raw!E46</f>
        <v>2</v>
      </c>
      <c r="O47" s="200">
        <f>TE_Raw!F46</f>
        <v>0</v>
      </c>
      <c r="P47" s="10">
        <f t="shared" si="11"/>
        <v>40</v>
      </c>
      <c r="Q47" t="str">
        <f t="shared" ca="1" si="12"/>
        <v>Undrafted</v>
      </c>
      <c r="R47">
        <f t="shared" ca="1" si="13"/>
        <v>0</v>
      </c>
      <c r="S47">
        <f t="shared" ca="1" si="14"/>
        <v>-50.830000000000013</v>
      </c>
      <c r="T47" s="174">
        <f t="shared" ca="1" si="15"/>
        <v>-8.3859107204662688</v>
      </c>
      <c r="U47" s="174">
        <f ca="1">T47*Auction!$A$2</f>
        <v>-8.3859107204662688</v>
      </c>
      <c r="V47" s="5" t="str">
        <f>IF(OR(INDEX(Auction!$H$13:$H$650,MATCH(B47,Auction!$A$13:$A$650,0))&gt;0,IFERROR(INDEX(CheatSheet!$D$37:$D$64,MATCH(B47,CheatSheet!$A$37:$A$64,0)),"")&lt;&gt;""),"Yes","No")</f>
        <v>No</v>
      </c>
      <c r="W47" s="175"/>
      <c r="Y47" s="77">
        <f t="shared" ca="1" si="16"/>
        <v>1</v>
      </c>
      <c r="Z47">
        <f t="shared" ca="1" si="8"/>
        <v>-25.415000000000006</v>
      </c>
      <c r="AA47" t="str">
        <f t="shared" ca="1" si="9"/>
        <v>TE8</v>
      </c>
      <c r="AB47" s="174">
        <f ca="1">Z47*LeagueInfo!$H$5</f>
        <v>-8.2077787497696146</v>
      </c>
      <c r="AC47" s="174">
        <f t="shared" ca="1" si="17"/>
        <v>-0.24938750430517495</v>
      </c>
    </row>
    <row r="48" spans="1:29" x14ac:dyDescent="0.35">
      <c r="A48">
        <f t="shared" si="10"/>
        <v>46</v>
      </c>
      <c r="B48" t="str">
        <f>TE_Raw!A49</f>
        <v>Durham Smythe</v>
      </c>
      <c r="C48" t="s">
        <v>40</v>
      </c>
      <c r="D48">
        <f>_xlfn.IFNA(INDEX(BYEs!E:E,MATCH(B48,BYEs!D:D,0)),"N/A")</f>
        <v>28</v>
      </c>
      <c r="E48">
        <f>INDEX(BYEs!$B$2:$B$34,MATCH(F48,BYEs!$A$2:$A$34,0))</f>
        <v>6</v>
      </c>
      <c r="F48" t="str">
        <f>TE_Raw!B49</f>
        <v>MIA</v>
      </c>
      <c r="G48" s="198">
        <v>0</v>
      </c>
      <c r="H48" s="199">
        <v>0</v>
      </c>
      <c r="I48" s="200">
        <v>0</v>
      </c>
      <c r="J48" s="200">
        <v>0</v>
      </c>
      <c r="K48" s="200">
        <v>0</v>
      </c>
      <c r="L48" s="201">
        <f>TE_Raw!C49</f>
        <v>19.600000000000001</v>
      </c>
      <c r="M48" s="201">
        <f>TE_Raw!D49</f>
        <v>191.4</v>
      </c>
      <c r="N48" s="203">
        <f>TE_Raw!E49</f>
        <v>1.3</v>
      </c>
      <c r="O48" s="200">
        <f>TE_Raw!F49</f>
        <v>0</v>
      </c>
      <c r="P48" s="10">
        <f t="shared" si="11"/>
        <v>36.74</v>
      </c>
      <c r="Q48" t="str">
        <f t="shared" ca="1" si="12"/>
        <v>Undrafted</v>
      </c>
      <c r="R48">
        <f t="shared" ca="1" si="13"/>
        <v>0</v>
      </c>
      <c r="S48">
        <f t="shared" ca="1" si="14"/>
        <v>-54.090000000000011</v>
      </c>
      <c r="T48" s="174">
        <f t="shared" ca="1" si="15"/>
        <v>-8.923744065906364</v>
      </c>
      <c r="U48" s="174">
        <f ca="1">T48*Auction!$A$2</f>
        <v>-8.923744065906364</v>
      </c>
      <c r="V48" s="5" t="str">
        <f>IF(OR(INDEX(Auction!$H$13:$H$650,MATCH(B48,Auction!$A$13:$A$650,0))&gt;0,IFERROR(INDEX(CheatSheet!$D$37:$D$64,MATCH(B48,CheatSheet!$A$37:$A$64,0)),"")&lt;&gt;""),"Yes","No")</f>
        <v>No</v>
      </c>
      <c r="W48" s="175"/>
      <c r="Y48" s="77">
        <f t="shared" ca="1" si="16"/>
        <v>1</v>
      </c>
      <c r="Z48">
        <f t="shared" ca="1" si="8"/>
        <v>-27.045000000000005</v>
      </c>
      <c r="AA48" t="str">
        <f t="shared" ca="1" si="9"/>
        <v>TE8</v>
      </c>
      <c r="AB48" s="174">
        <f ca="1">Z48*LeagueInfo!$H$5</f>
        <v>-8.734187538363928</v>
      </c>
      <c r="AC48" s="174">
        <f t="shared" ca="1" si="17"/>
        <v>-0.31095142000079118</v>
      </c>
    </row>
    <row r="49" spans="1:29" x14ac:dyDescent="0.35">
      <c r="A49">
        <f t="shared" si="10"/>
        <v>47</v>
      </c>
      <c r="B49" t="str">
        <f>TE_Raw!A48</f>
        <v>Josh Oliver</v>
      </c>
      <c r="C49" t="s">
        <v>40</v>
      </c>
      <c r="D49">
        <f>_xlfn.IFNA(INDEX(BYEs!E:E,MATCH(B49,BYEs!D:D,0)),"N/A")</f>
        <v>27</v>
      </c>
      <c r="E49">
        <f>INDEX(BYEs!$B$2:$B$34,MATCH(F49,BYEs!$A$2:$A$34,0))</f>
        <v>6</v>
      </c>
      <c r="F49" t="str">
        <f>TE_Raw!B48</f>
        <v>MIN</v>
      </c>
      <c r="G49" s="198">
        <v>0</v>
      </c>
      <c r="H49" s="199">
        <v>0</v>
      </c>
      <c r="I49" s="200">
        <v>0</v>
      </c>
      <c r="J49" s="200">
        <v>0</v>
      </c>
      <c r="K49" s="200">
        <v>0</v>
      </c>
      <c r="L49" s="201">
        <f>TE_Raw!C48</f>
        <v>19.7</v>
      </c>
      <c r="M49" s="201">
        <f>TE_Raw!D48</f>
        <v>190.5</v>
      </c>
      <c r="N49" s="203">
        <f>TE_Raw!E48</f>
        <v>1.4</v>
      </c>
      <c r="O49" s="200">
        <f>TE_Raw!F48</f>
        <v>0.4</v>
      </c>
      <c r="P49" s="10">
        <f t="shared" si="11"/>
        <v>36.5</v>
      </c>
      <c r="Q49" t="str">
        <f t="shared" ca="1" si="12"/>
        <v>Undrafted</v>
      </c>
      <c r="R49">
        <f t="shared" ca="1" si="13"/>
        <v>0</v>
      </c>
      <c r="S49">
        <f t="shared" ca="1" si="14"/>
        <v>-54.330000000000013</v>
      </c>
      <c r="T49" s="174">
        <f t="shared" ca="1" si="15"/>
        <v>-8.9633391588221993</v>
      </c>
      <c r="U49" s="174">
        <f ca="1">T49*Auction!$A$2</f>
        <v>-8.9633391588221993</v>
      </c>
      <c r="V49" s="5" t="str">
        <f>IF(OR(INDEX(Auction!$H$13:$H$650,MATCH(B49,Auction!$A$13:$A$650,0))&gt;0,IFERROR(INDEX(CheatSheet!$D$37:$D$64,MATCH(B49,CheatSheet!$A$37:$A$64,0)),"")&lt;&gt;""),"Yes","No")</f>
        <v>No</v>
      </c>
      <c r="W49" s="175"/>
      <c r="Y49" s="77">
        <f t="shared" ca="1" si="16"/>
        <v>1</v>
      </c>
      <c r="Z49">
        <f t="shared" ca="1" si="8"/>
        <v>-27.165000000000006</v>
      </c>
      <c r="AA49" t="str">
        <f t="shared" ca="1" si="9"/>
        <v>TE8</v>
      </c>
      <c r="AB49" s="174">
        <f ca="1">Z49*LeagueInfo!$H$5</f>
        <v>-8.7729415596101354</v>
      </c>
      <c r="AC49" s="174">
        <f t="shared" ca="1" si="17"/>
        <v>-0.31548373281273845</v>
      </c>
    </row>
    <row r="50" spans="1:29" x14ac:dyDescent="0.35">
      <c r="A50">
        <f t="shared" si="10"/>
        <v>48</v>
      </c>
      <c r="B50" t="str">
        <f>TE_Raw!A47</f>
        <v>Brevin Jordan</v>
      </c>
      <c r="C50" t="s">
        <v>40</v>
      </c>
      <c r="D50">
        <f>_xlfn.IFNA(INDEX(BYEs!E:E,MATCH(B50,BYEs!D:D,0)),"N/A")</f>
        <v>24</v>
      </c>
      <c r="E50">
        <f>INDEX(BYEs!$B$2:$B$34,MATCH(F50,BYEs!$A$2:$A$34,0))</f>
        <v>14</v>
      </c>
      <c r="F50" t="str">
        <f>TE_Raw!B47</f>
        <v>HOU</v>
      </c>
      <c r="G50" s="198">
        <v>0</v>
      </c>
      <c r="H50" s="199">
        <v>0</v>
      </c>
      <c r="I50" s="200">
        <v>0</v>
      </c>
      <c r="J50" s="200">
        <v>0</v>
      </c>
      <c r="K50" s="200">
        <v>0</v>
      </c>
      <c r="L50" s="201">
        <f>TE_Raw!C47</f>
        <v>14.6</v>
      </c>
      <c r="M50" s="201">
        <f>TE_Raw!D47</f>
        <v>183.8</v>
      </c>
      <c r="N50" s="203">
        <f>TE_Raw!E47</f>
        <v>1.7</v>
      </c>
      <c r="O50" s="200">
        <f>TE_Raw!F47</f>
        <v>0</v>
      </c>
      <c r="P50" s="10">
        <f t="shared" si="11"/>
        <v>35.880000000000003</v>
      </c>
      <c r="Q50" t="str">
        <f t="shared" ca="1" si="12"/>
        <v>Undrafted</v>
      </c>
      <c r="R50">
        <f t="shared" ca="1" si="13"/>
        <v>0</v>
      </c>
      <c r="S50">
        <f t="shared" ca="1" si="14"/>
        <v>-54.95000000000001</v>
      </c>
      <c r="T50" s="174">
        <f t="shared" ca="1" si="15"/>
        <v>-9.0656264821881063</v>
      </c>
      <c r="U50" s="174">
        <f ca="1">T50*Auction!$A$2</f>
        <v>-9.0656264821881063</v>
      </c>
      <c r="V50" s="5" t="str">
        <f>IF(OR(INDEX(Auction!$H$13:$H$650,MATCH(B50,Auction!$A$13:$A$650,0))&gt;0,IFERROR(INDEX(CheatSheet!$D$37:$D$64,MATCH(B50,CheatSheet!$A$37:$A$64,0)),"")&lt;&gt;""),"Yes","No")</f>
        <v>No</v>
      </c>
      <c r="W50" s="175"/>
      <c r="Y50" s="77">
        <f t="shared" ca="1" si="16"/>
        <v>1</v>
      </c>
      <c r="Z50">
        <f t="shared" ca="1" si="8"/>
        <v>-27.475000000000005</v>
      </c>
      <c r="AA50" t="str">
        <f t="shared" ca="1" si="9"/>
        <v>TE8</v>
      </c>
      <c r="AB50" s="174">
        <f ca="1">Z50*LeagueInfo!$H$5</f>
        <v>-8.873056114496169</v>
      </c>
      <c r="AC50" s="174">
        <f t="shared" ca="1" si="17"/>
        <v>-0.32719220757693535</v>
      </c>
    </row>
    <row r="51" spans="1:29" x14ac:dyDescent="0.35">
      <c r="A51">
        <f t="shared" si="10"/>
        <v>49</v>
      </c>
      <c r="B51" t="str">
        <f>TE_Raw!A51</f>
        <v>Adam Trautman</v>
      </c>
      <c r="C51" t="s">
        <v>40</v>
      </c>
      <c r="D51">
        <f>_xlfn.IFNA(INDEX(BYEs!E:E,MATCH(B51,BYEs!D:D,0)),"N/A")</f>
        <v>27</v>
      </c>
      <c r="E51">
        <f>INDEX(BYEs!$B$2:$B$34,MATCH(F51,BYEs!$A$2:$A$34,0))</f>
        <v>14</v>
      </c>
      <c r="F51" t="str">
        <f>TE_Raw!B51</f>
        <v>DEN</v>
      </c>
      <c r="G51" s="198">
        <v>0</v>
      </c>
      <c r="H51" s="199">
        <v>0</v>
      </c>
      <c r="I51" s="200">
        <v>0</v>
      </c>
      <c r="J51" s="200">
        <v>0</v>
      </c>
      <c r="K51" s="200">
        <v>0</v>
      </c>
      <c r="L51" s="201">
        <f>TE_Raw!C51</f>
        <v>17.3</v>
      </c>
      <c r="M51" s="201">
        <f>TE_Raw!D51</f>
        <v>168.4</v>
      </c>
      <c r="N51" s="203">
        <f>TE_Raw!E51</f>
        <v>1.5</v>
      </c>
      <c r="O51" s="200">
        <f>TE_Raw!F51</f>
        <v>0</v>
      </c>
      <c r="P51" s="10">
        <f t="shared" si="11"/>
        <v>34.49</v>
      </c>
      <c r="Q51" t="str">
        <f t="shared" ca="1" si="12"/>
        <v>Undrafted</v>
      </c>
      <c r="R51">
        <f t="shared" ca="1" si="13"/>
        <v>0</v>
      </c>
      <c r="S51">
        <f t="shared" ca="1" si="14"/>
        <v>-56.340000000000011</v>
      </c>
      <c r="T51" s="174">
        <f t="shared" ca="1" si="15"/>
        <v>-9.2949480619923186</v>
      </c>
      <c r="U51" s="174">
        <f ca="1">T51*Auction!$A$2</f>
        <v>-9.2949480619923186</v>
      </c>
      <c r="V51" s="5" t="str">
        <f>IF(OR(INDEX(Auction!$H$13:$H$650,MATCH(B51,Auction!$A$13:$A$650,0))&gt;0,IFERROR(INDEX(CheatSheet!$D$37:$D$64,MATCH(B51,CheatSheet!$A$37:$A$64,0)),"")&lt;&gt;""),"Yes","No")</f>
        <v>No</v>
      </c>
      <c r="W51" s="175"/>
      <c r="Y51" s="77">
        <f t="shared" ca="1" si="16"/>
        <v>1</v>
      </c>
      <c r="Z51">
        <f t="shared" ca="1" si="8"/>
        <v>-28.170000000000005</v>
      </c>
      <c r="AA51" t="str">
        <f t="shared" ca="1" si="9"/>
        <v>TE8</v>
      </c>
      <c r="AB51" s="174">
        <f ca="1">Z51*LeagueInfo!$H$5</f>
        <v>-9.0975064875471183</v>
      </c>
      <c r="AC51" s="174">
        <f t="shared" ca="1" si="17"/>
        <v>-0.35344185261279631</v>
      </c>
    </row>
    <row r="52" spans="1:29" x14ac:dyDescent="0.35">
      <c r="A52">
        <f t="shared" si="10"/>
        <v>50</v>
      </c>
      <c r="B52" t="str">
        <f>TE_Raw!A50</f>
        <v>Jaheim Bell</v>
      </c>
      <c r="C52" t="s">
        <v>40</v>
      </c>
      <c r="D52">
        <f>_xlfn.IFNA(INDEX(BYEs!E:E,MATCH(B52,BYEs!D:D,0)),"N/A")</f>
        <v>23</v>
      </c>
      <c r="E52">
        <f>INDEX(BYEs!$B$2:$B$34,MATCH(F52,BYEs!$A$2:$A$34,0))</f>
        <v>14</v>
      </c>
      <c r="F52" t="str">
        <f>TE_Raw!B50</f>
        <v>NE</v>
      </c>
      <c r="G52" s="198">
        <v>0</v>
      </c>
      <c r="H52" s="199">
        <v>0</v>
      </c>
      <c r="I52" s="200">
        <v>0</v>
      </c>
      <c r="J52" s="200">
        <v>0</v>
      </c>
      <c r="K52" s="200">
        <v>0</v>
      </c>
      <c r="L52" s="201">
        <f>TE_Raw!C50</f>
        <v>16.5</v>
      </c>
      <c r="M52" s="201">
        <f>TE_Raw!D50</f>
        <v>172</v>
      </c>
      <c r="N52" s="203">
        <f>TE_Raw!E50</f>
        <v>1.5</v>
      </c>
      <c r="O52" s="200">
        <f>TE_Raw!F50</f>
        <v>0</v>
      </c>
      <c r="P52" s="10">
        <f t="shared" si="11"/>
        <v>34.450000000000003</v>
      </c>
      <c r="Q52" t="str">
        <f t="shared" ca="1" si="12"/>
        <v>Undrafted</v>
      </c>
      <c r="R52">
        <f t="shared" ca="1" si="13"/>
        <v>0</v>
      </c>
      <c r="S52">
        <f t="shared" ca="1" si="14"/>
        <v>-56.38000000000001</v>
      </c>
      <c r="T52" s="174">
        <f t="shared" ca="1" si="15"/>
        <v>-9.3015472441449578</v>
      </c>
      <c r="U52" s="174">
        <f ca="1">T52*Auction!$A$2</f>
        <v>-9.3015472441449578</v>
      </c>
      <c r="V52" s="5" t="str">
        <f>IF(OR(INDEX(Auction!$H$13:$H$650,MATCH(B52,Auction!$A$13:$A$650,0))&gt;0,IFERROR(INDEX(CheatSheet!$D$37:$D$64,MATCH(B52,CheatSheet!$A$37:$A$64,0)),"")&lt;&gt;""),"Yes","No")</f>
        <v>No</v>
      </c>
      <c r="W52" s="175"/>
      <c r="Y52" s="77">
        <f t="shared" ca="1" si="16"/>
        <v>1</v>
      </c>
      <c r="Z52">
        <f t="shared" ca="1" si="8"/>
        <v>-28.190000000000005</v>
      </c>
      <c r="AA52" t="str">
        <f t="shared" ca="1" si="9"/>
        <v>TE8</v>
      </c>
      <c r="AB52" s="174">
        <f ca="1">Z52*LeagueInfo!$H$5</f>
        <v>-9.1039654910881538</v>
      </c>
      <c r="AC52" s="174">
        <f t="shared" ca="1" si="17"/>
        <v>-0.35419723808145415</v>
      </c>
    </row>
    <row r="53" spans="1:29" x14ac:dyDescent="0.35">
      <c r="A53">
        <f t="shared" si="10"/>
        <v>51</v>
      </c>
      <c r="B53" t="str">
        <f>TE_Raw!A53</f>
        <v>Tanner Hudson</v>
      </c>
      <c r="C53" t="s">
        <v>40</v>
      </c>
      <c r="D53">
        <f>_xlfn.IFNA(INDEX(BYEs!E:E,MATCH(B53,BYEs!D:D,0)),"N/A")</f>
        <v>29</v>
      </c>
      <c r="E53">
        <f>INDEX(BYEs!$B$2:$B$34,MATCH(F53,BYEs!$A$2:$A$34,0))</f>
        <v>12</v>
      </c>
      <c r="F53" t="str">
        <f>TE_Raw!B53</f>
        <v>CIN</v>
      </c>
      <c r="G53" s="198">
        <v>0</v>
      </c>
      <c r="H53" s="199">
        <v>0</v>
      </c>
      <c r="I53" s="200">
        <v>0</v>
      </c>
      <c r="J53" s="200">
        <v>0</v>
      </c>
      <c r="K53" s="200">
        <v>0</v>
      </c>
      <c r="L53" s="201">
        <f>TE_Raw!C53</f>
        <v>17.8</v>
      </c>
      <c r="M53" s="201">
        <f>TE_Raw!D53</f>
        <v>171.4</v>
      </c>
      <c r="N53" s="203">
        <f>TE_Raw!E53</f>
        <v>1.4</v>
      </c>
      <c r="O53" s="200">
        <f>TE_Raw!F53</f>
        <v>0</v>
      </c>
      <c r="P53" s="10">
        <f t="shared" si="11"/>
        <v>34.44</v>
      </c>
      <c r="Q53" t="str">
        <f t="shared" ca="1" si="12"/>
        <v>Undrafted</v>
      </c>
      <c r="R53">
        <f t="shared" ca="1" si="13"/>
        <v>0</v>
      </c>
      <c r="S53">
        <f t="shared" ca="1" si="14"/>
        <v>-56.390000000000015</v>
      </c>
      <c r="T53" s="174">
        <f t="shared" ca="1" si="15"/>
        <v>-9.3031970396831181</v>
      </c>
      <c r="U53" s="174">
        <f ca="1">T53*Auction!$A$2</f>
        <v>-9.3031970396831181</v>
      </c>
      <c r="V53" s="5" t="str">
        <f>IF(OR(INDEX(Auction!$H$13:$H$650,MATCH(B53,Auction!$A$13:$A$650,0))&gt;0,IFERROR(INDEX(CheatSheet!$D$37:$D$64,MATCH(B53,CheatSheet!$A$37:$A$64,0)),"")&lt;&gt;""),"Yes","No")</f>
        <v>No</v>
      </c>
      <c r="W53" s="175"/>
      <c r="Y53" s="77">
        <f t="shared" ca="1" si="16"/>
        <v>1</v>
      </c>
      <c r="Z53">
        <f t="shared" ca="1" si="8"/>
        <v>-28.195000000000007</v>
      </c>
      <c r="AA53" t="str">
        <f t="shared" ca="1" si="9"/>
        <v>TE8</v>
      </c>
      <c r="AB53" s="174">
        <f ca="1">Z53*LeagueInfo!$H$5</f>
        <v>-9.1055802419734135</v>
      </c>
      <c r="AC53" s="174">
        <f t="shared" ca="1" si="17"/>
        <v>-0.35438608444861874</v>
      </c>
    </row>
    <row r="54" spans="1:29" x14ac:dyDescent="0.35">
      <c r="A54">
        <f t="shared" si="10"/>
        <v>52</v>
      </c>
      <c r="B54" t="str">
        <f>TE_Raw!A52</f>
        <v>Brock Wright</v>
      </c>
      <c r="C54" t="s">
        <v>40</v>
      </c>
      <c r="D54">
        <f>_xlfn.IFNA(INDEX(BYEs!E:E,MATCH(B54,BYEs!D:D,0)),"N/A")</f>
        <v>25</v>
      </c>
      <c r="E54">
        <f>INDEX(BYEs!$B$2:$B$34,MATCH(F54,BYEs!$A$2:$A$34,0))</f>
        <v>5</v>
      </c>
      <c r="F54" t="str">
        <f>TE_Raw!B52</f>
        <v>DET</v>
      </c>
      <c r="G54" s="198">
        <v>0</v>
      </c>
      <c r="H54" s="199">
        <v>0</v>
      </c>
      <c r="I54" s="200">
        <v>0</v>
      </c>
      <c r="J54" s="200">
        <v>0</v>
      </c>
      <c r="K54" s="200">
        <v>0</v>
      </c>
      <c r="L54" s="201">
        <f>TE_Raw!C52</f>
        <v>17.100000000000001</v>
      </c>
      <c r="M54" s="201">
        <f>TE_Raw!D52</f>
        <v>163.19999999999999</v>
      </c>
      <c r="N54" s="203">
        <f>TE_Raw!E52</f>
        <v>1.6</v>
      </c>
      <c r="O54" s="200">
        <f>TE_Raw!F52</f>
        <v>0.1</v>
      </c>
      <c r="P54" s="10">
        <f t="shared" si="11"/>
        <v>34.269999999999996</v>
      </c>
      <c r="Q54" t="str">
        <f t="shared" ca="1" si="12"/>
        <v>Undrafted</v>
      </c>
      <c r="R54">
        <f t="shared" ca="1" si="13"/>
        <v>0</v>
      </c>
      <c r="S54">
        <f t="shared" ca="1" si="14"/>
        <v>-56.560000000000016</v>
      </c>
      <c r="T54" s="174">
        <f t="shared" ca="1" si="15"/>
        <v>-9.3312435638318352</v>
      </c>
      <c r="U54" s="174">
        <f ca="1">T54*Auction!$A$2</f>
        <v>-9.3312435638318352</v>
      </c>
      <c r="V54" s="5" t="str">
        <f>IF(OR(INDEX(Auction!$H$13:$H$650,MATCH(B54,Auction!$A$13:$A$650,0))&gt;0,IFERROR(INDEX(CheatSheet!$D$37:$D$64,MATCH(B54,CheatSheet!$A$37:$A$64,0)),"")&lt;&gt;""),"Yes","No")</f>
        <v>No</v>
      </c>
      <c r="W54" s="175"/>
      <c r="Y54" s="77">
        <f t="shared" ca="1" si="16"/>
        <v>1</v>
      </c>
      <c r="Z54">
        <f t="shared" ca="1" si="8"/>
        <v>-28.280000000000008</v>
      </c>
      <c r="AA54" t="str">
        <f t="shared" ca="1" si="9"/>
        <v>TE8</v>
      </c>
      <c r="AB54" s="174">
        <f ca="1">Z54*LeagueInfo!$H$5</f>
        <v>-9.1330310070228098</v>
      </c>
      <c r="AC54" s="174">
        <f t="shared" ca="1" si="17"/>
        <v>-0.35759647269041472</v>
      </c>
    </row>
    <row r="55" spans="1:29" x14ac:dyDescent="0.35">
      <c r="A55">
        <f t="shared" si="10"/>
        <v>53</v>
      </c>
      <c r="B55" t="str">
        <f>TE_Raw!A56</f>
        <v>Austin Hooper</v>
      </c>
      <c r="C55" t="s">
        <v>40</v>
      </c>
      <c r="D55" t="str">
        <f>_xlfn.IFNA(INDEX(BYEs!E:E,MATCH(B55,BYEs!D:D,0)),"N/A")</f>
        <v>N/A</v>
      </c>
      <c r="E55">
        <f>INDEX(BYEs!$B$2:$B$34,MATCH(F55,BYEs!$A$2:$A$34,0))</f>
        <v>14</v>
      </c>
      <c r="F55" t="str">
        <f>TE_Raw!B56</f>
        <v>NE</v>
      </c>
      <c r="G55" s="198">
        <v>0</v>
      </c>
      <c r="H55" s="199">
        <v>0</v>
      </c>
      <c r="I55" s="200">
        <v>0</v>
      </c>
      <c r="J55" s="200">
        <v>0</v>
      </c>
      <c r="K55" s="200">
        <v>0</v>
      </c>
      <c r="L55" s="201">
        <f>TE_Raw!C56</f>
        <v>19.2</v>
      </c>
      <c r="M55" s="201">
        <f>TE_Raw!D56</f>
        <v>182.2</v>
      </c>
      <c r="N55" s="203">
        <f>TE_Raw!E56</f>
        <v>0.9</v>
      </c>
      <c r="O55" s="200">
        <f>TE_Raw!F56</f>
        <v>0</v>
      </c>
      <c r="P55" s="10">
        <f t="shared" si="11"/>
        <v>33.22</v>
      </c>
      <c r="Q55" t="str">
        <f t="shared" ca="1" si="12"/>
        <v>Undrafted</v>
      </c>
      <c r="R55">
        <f t="shared" ca="1" si="13"/>
        <v>0</v>
      </c>
      <c r="S55">
        <f t="shared" ca="1" si="14"/>
        <v>-57.610000000000014</v>
      </c>
      <c r="T55" s="174">
        <f t="shared" ca="1" si="15"/>
        <v>-9.5044720953386133</v>
      </c>
      <c r="U55" s="174">
        <f ca="1">T55*Auction!$A$2</f>
        <v>-9.5044720953386133</v>
      </c>
      <c r="V55" s="5" t="str">
        <f>IF(OR(INDEX(Auction!$H$13:$H$650,MATCH(B55,Auction!$A$13:$A$650,0))&gt;0,IFERROR(INDEX(CheatSheet!$D$37:$D$64,MATCH(B55,CheatSheet!$A$37:$A$64,0)),"")&lt;&gt;""),"Yes","No")</f>
        <v>No</v>
      </c>
      <c r="W55" s="175"/>
      <c r="Y55" s="77">
        <f t="shared" ca="1" si="16"/>
        <v>1</v>
      </c>
      <c r="Z55">
        <f t="shared" ca="1" si="8"/>
        <v>-28.805000000000007</v>
      </c>
      <c r="AA55" t="str">
        <f t="shared" ca="1" si="9"/>
        <v>TE8</v>
      </c>
      <c r="AB55" s="174">
        <f ca="1">Z55*LeagueInfo!$H$5</f>
        <v>-9.3025798499749648</v>
      </c>
      <c r="AC55" s="174">
        <f t="shared" ca="1" si="17"/>
        <v>-0.37742534124268373</v>
      </c>
    </row>
    <row r="56" spans="1:29" x14ac:dyDescent="0.35">
      <c r="A56">
        <f t="shared" si="10"/>
        <v>54</v>
      </c>
      <c r="B56" t="str">
        <f>TE_Raw!A58</f>
        <v>Johnny Mundt</v>
      </c>
      <c r="C56" t="s">
        <v>40</v>
      </c>
      <c r="D56">
        <f>_xlfn.IFNA(INDEX(BYEs!E:E,MATCH(B56,BYEs!D:D,0)),"N/A")</f>
        <v>29</v>
      </c>
      <c r="E56">
        <f>INDEX(BYEs!$B$2:$B$34,MATCH(F56,BYEs!$A$2:$A$34,0))</f>
        <v>6</v>
      </c>
      <c r="F56" t="str">
        <f>TE_Raw!B58</f>
        <v>MIN</v>
      </c>
      <c r="G56" s="198">
        <v>0</v>
      </c>
      <c r="H56" s="199">
        <v>0</v>
      </c>
      <c r="I56" s="200">
        <v>0</v>
      </c>
      <c r="J56" s="200">
        <v>0</v>
      </c>
      <c r="K56" s="200">
        <v>0</v>
      </c>
      <c r="L56" s="201">
        <f>TE_Raw!C58</f>
        <v>18.399999999999999</v>
      </c>
      <c r="M56" s="201">
        <f>TE_Raw!D58</f>
        <v>174.1</v>
      </c>
      <c r="N56" s="203">
        <f>TE_Raw!E58</f>
        <v>1</v>
      </c>
      <c r="O56" s="200">
        <f>TE_Raw!F58</f>
        <v>0.1</v>
      </c>
      <c r="P56" s="10">
        <f t="shared" si="11"/>
        <v>32.409999999999997</v>
      </c>
      <c r="Q56" t="str">
        <f t="shared" ca="1" si="12"/>
        <v>Undrafted</v>
      </c>
      <c r="R56">
        <f t="shared" ca="1" si="13"/>
        <v>0</v>
      </c>
      <c r="S56">
        <f t="shared" ca="1" si="14"/>
        <v>-58.420000000000016</v>
      </c>
      <c r="T56" s="174">
        <f t="shared" ca="1" si="15"/>
        <v>-9.6381055339295578</v>
      </c>
      <c r="U56" s="174">
        <f ca="1">T56*Auction!$A$2</f>
        <v>-9.6381055339295578</v>
      </c>
      <c r="V56" s="5" t="str">
        <f>IF(OR(INDEX(Auction!$H$13:$H$650,MATCH(B56,Auction!$A$13:$A$650,0))&gt;0,IFERROR(INDEX(CheatSheet!$D$37:$D$64,MATCH(B56,CheatSheet!$A$37:$A$64,0)),"")&lt;&gt;""),"Yes","No")</f>
        <v>No</v>
      </c>
      <c r="W56" s="175"/>
      <c r="Y56" s="77">
        <f t="shared" ca="1" si="16"/>
        <v>1</v>
      </c>
      <c r="Z56">
        <f t="shared" ca="1" si="8"/>
        <v>-29.210000000000008</v>
      </c>
      <c r="AA56" t="str">
        <f t="shared" ca="1" si="9"/>
        <v>TE8</v>
      </c>
      <c r="AB56" s="174">
        <f ca="1">Z56*LeagueInfo!$H$5</f>
        <v>-9.4333746716809141</v>
      </c>
      <c r="AC56" s="174">
        <f t="shared" ca="1" si="17"/>
        <v>-0.39272189698300558</v>
      </c>
    </row>
    <row r="57" spans="1:29" x14ac:dyDescent="0.35">
      <c r="A57">
        <f t="shared" si="10"/>
        <v>55</v>
      </c>
      <c r="B57" t="str">
        <f>TE_Raw!A54</f>
        <v>Jeremy Ruckert</v>
      </c>
      <c r="C57" t="s">
        <v>40</v>
      </c>
      <c r="D57">
        <f>_xlfn.IFNA(INDEX(BYEs!E:E,MATCH(B57,BYEs!D:D,0)),"N/A")</f>
        <v>23</v>
      </c>
      <c r="E57">
        <f>INDEX(BYEs!$B$2:$B$34,MATCH(F57,BYEs!$A$2:$A$34,0))</f>
        <v>12</v>
      </c>
      <c r="F57" t="str">
        <f>TE_Raw!B54</f>
        <v>NYJ</v>
      </c>
      <c r="G57" s="198">
        <v>0</v>
      </c>
      <c r="H57" s="199">
        <v>0</v>
      </c>
      <c r="I57" s="200">
        <v>0</v>
      </c>
      <c r="J57" s="200">
        <v>0</v>
      </c>
      <c r="K57" s="200">
        <v>0</v>
      </c>
      <c r="L57" s="201">
        <f>TE_Raw!C54</f>
        <v>16.7</v>
      </c>
      <c r="M57" s="201">
        <f>TE_Raw!D54</f>
        <v>165.7</v>
      </c>
      <c r="N57" s="203">
        <f>TE_Raw!E54</f>
        <v>1.2</v>
      </c>
      <c r="O57" s="200">
        <f>TE_Raw!F54</f>
        <v>0.1</v>
      </c>
      <c r="P57" s="10">
        <f t="shared" si="11"/>
        <v>31.920000000000005</v>
      </c>
      <c r="Q57" t="str">
        <f t="shared" ca="1" si="12"/>
        <v>Undrafted</v>
      </c>
      <c r="R57">
        <f t="shared" ca="1" si="13"/>
        <v>0</v>
      </c>
      <c r="S57">
        <f t="shared" ca="1" si="14"/>
        <v>-58.910000000000011</v>
      </c>
      <c r="T57" s="174">
        <f t="shared" ca="1" si="15"/>
        <v>-9.7189455152993869</v>
      </c>
      <c r="U57" s="174">
        <f ca="1">T57*Auction!$A$2</f>
        <v>-9.7189455152993869</v>
      </c>
      <c r="V57" s="5" t="str">
        <f>IF(OR(INDEX(Auction!$H$13:$H$650,MATCH(B57,Auction!$A$13:$A$650,0))&gt;0,IFERROR(INDEX(CheatSheet!$D$37:$D$64,MATCH(B57,CheatSheet!$A$37:$A$64,0)),"")&lt;&gt;""),"Yes","No")</f>
        <v>No</v>
      </c>
      <c r="W57" s="175"/>
      <c r="Y57" s="77">
        <f t="shared" ca="1" si="16"/>
        <v>1</v>
      </c>
      <c r="Z57">
        <f t="shared" ca="1" si="8"/>
        <v>-29.455000000000005</v>
      </c>
      <c r="AA57" t="str">
        <f t="shared" ca="1" si="9"/>
        <v>TE8</v>
      </c>
      <c r="AB57" s="174">
        <f ca="1">Z57*LeagueInfo!$H$5</f>
        <v>-9.512497465058587</v>
      </c>
      <c r="AC57" s="174">
        <f t="shared" ca="1" si="17"/>
        <v>-0.40197536897406438</v>
      </c>
    </row>
    <row r="58" spans="1:29" x14ac:dyDescent="0.35">
      <c r="A58">
        <f t="shared" si="10"/>
        <v>56</v>
      </c>
      <c r="B58" t="str">
        <f>TE_Raw!A57</f>
        <v>Elijah Higgins</v>
      </c>
      <c r="C58" t="s">
        <v>40</v>
      </c>
      <c r="D58">
        <f>_xlfn.IFNA(INDEX(BYEs!E:E,MATCH(B58,BYEs!D:D,0)),"N/A")</f>
        <v>23</v>
      </c>
      <c r="E58">
        <f>INDEX(BYEs!$B$2:$B$34,MATCH(F58,BYEs!$A$2:$A$34,0))</f>
        <v>11</v>
      </c>
      <c r="F58" t="str">
        <f>TE_Raw!B57</f>
        <v>ARI</v>
      </c>
      <c r="G58" s="198">
        <v>0</v>
      </c>
      <c r="H58" s="199">
        <v>0</v>
      </c>
      <c r="I58" s="200">
        <v>0</v>
      </c>
      <c r="J58" s="200">
        <v>0</v>
      </c>
      <c r="K58" s="200">
        <v>0</v>
      </c>
      <c r="L58" s="201">
        <f>TE_Raw!C57</f>
        <v>16.3</v>
      </c>
      <c r="M58" s="201">
        <f>TE_Raw!D57</f>
        <v>177.6</v>
      </c>
      <c r="N58" s="203">
        <f>TE_Raw!E57</f>
        <v>1</v>
      </c>
      <c r="O58" s="200">
        <f>TE_Raw!F57</f>
        <v>0</v>
      </c>
      <c r="P58" s="10">
        <f t="shared" si="11"/>
        <v>31.910000000000004</v>
      </c>
      <c r="Q58" t="str">
        <f t="shared" ca="1" si="12"/>
        <v>Undrafted</v>
      </c>
      <c r="R58">
        <f t="shared" ca="1" si="13"/>
        <v>0</v>
      </c>
      <c r="S58">
        <f t="shared" ca="1" si="14"/>
        <v>-58.920000000000009</v>
      </c>
      <c r="T58" s="174">
        <f t="shared" ca="1" si="15"/>
        <v>-9.7205953108375471</v>
      </c>
      <c r="U58" s="174">
        <f ca="1">T58*Auction!$A$2</f>
        <v>-9.7205953108375471</v>
      </c>
      <c r="V58" s="5" t="str">
        <f>IF(OR(INDEX(Auction!$H$13:$H$650,MATCH(B58,Auction!$A$13:$A$650,0))&gt;0,IFERROR(INDEX(CheatSheet!$D$37:$D$64,MATCH(B58,CheatSheet!$A$37:$A$64,0)),"")&lt;&gt;""),"Yes","No")</f>
        <v>No</v>
      </c>
      <c r="W58" s="175"/>
      <c r="Y58" s="77">
        <f t="shared" ca="1" si="16"/>
        <v>1</v>
      </c>
      <c r="Z58">
        <f t="shared" ca="1" si="8"/>
        <v>-29.460000000000004</v>
      </c>
      <c r="AA58" t="str">
        <f t="shared" ca="1" si="9"/>
        <v>TE8</v>
      </c>
      <c r="AB58" s="174">
        <f ca="1">Z58*LeagueInfo!$H$5</f>
        <v>-9.5141122159438449</v>
      </c>
      <c r="AC58" s="174">
        <f t="shared" ca="1" si="17"/>
        <v>-0.40216421534122881</v>
      </c>
    </row>
    <row r="59" spans="1:29" x14ac:dyDescent="0.35">
      <c r="A59">
        <f t="shared" si="10"/>
        <v>57</v>
      </c>
      <c r="B59" t="str">
        <f>TE_Raw!A55</f>
        <v>Donald Parham Jr.</v>
      </c>
      <c r="C59" t="s">
        <v>40</v>
      </c>
      <c r="D59">
        <f>_xlfn.IFNA(INDEX(BYEs!E:E,MATCH(B59,BYEs!D:D,0)),"N/A")</f>
        <v>26</v>
      </c>
      <c r="E59">
        <f>INDEX(BYEs!$B$2:$B$34,MATCH(F59,BYEs!$A$2:$A$34,0))</f>
        <v>14</v>
      </c>
      <c r="F59" t="str">
        <f>TE_Raw!B55</f>
        <v>DEN</v>
      </c>
      <c r="G59" s="198">
        <v>0</v>
      </c>
      <c r="H59" s="199">
        <v>0</v>
      </c>
      <c r="I59" s="200">
        <v>0</v>
      </c>
      <c r="J59" s="200">
        <v>0</v>
      </c>
      <c r="K59" s="200">
        <v>0</v>
      </c>
      <c r="L59" s="201">
        <f>TE_Raw!C55</f>
        <v>14.4</v>
      </c>
      <c r="M59" s="201">
        <f>TE_Raw!D55</f>
        <v>150.6</v>
      </c>
      <c r="N59" s="203">
        <f>TE_Raw!E55</f>
        <v>1.4</v>
      </c>
      <c r="O59" s="200">
        <f>TE_Raw!F55</f>
        <v>0</v>
      </c>
      <c r="P59" s="10">
        <f t="shared" si="11"/>
        <v>30.66</v>
      </c>
      <c r="Q59" t="str">
        <f t="shared" ca="1" si="12"/>
        <v>Undrafted</v>
      </c>
      <c r="R59">
        <f t="shared" ca="1" si="13"/>
        <v>0</v>
      </c>
      <c r="S59">
        <f t="shared" ca="1" si="14"/>
        <v>-60.170000000000016</v>
      </c>
      <c r="T59" s="174">
        <f t="shared" ca="1" si="15"/>
        <v>-9.9268197531075231</v>
      </c>
      <c r="U59" s="174">
        <f ca="1">T59*Auction!$A$2</f>
        <v>-9.9268197531075231</v>
      </c>
      <c r="V59" s="5" t="str">
        <f>IF(OR(INDEX(Auction!$H$13:$H$650,MATCH(B59,Auction!$A$13:$A$650,0))&gt;0,IFERROR(INDEX(CheatSheet!$D$37:$D$64,MATCH(B59,CheatSheet!$A$37:$A$64,0)),"")&lt;&gt;""),"Yes","No")</f>
        <v>No</v>
      </c>
      <c r="W59" s="175"/>
      <c r="Y59" s="77">
        <f t="shared" ca="1" si="16"/>
        <v>1</v>
      </c>
      <c r="Z59">
        <f t="shared" ca="1" si="8"/>
        <v>-30.085000000000008</v>
      </c>
      <c r="AA59" t="str">
        <f t="shared" ca="1" si="9"/>
        <v>TE8</v>
      </c>
      <c r="AB59" s="174">
        <f ca="1">Z59*LeagueInfo!$H$5</f>
        <v>-9.7159560766011754</v>
      </c>
      <c r="AC59" s="174">
        <f t="shared" ca="1" si="17"/>
        <v>-0.42577001123678737</v>
      </c>
    </row>
    <row r="60" spans="1:29" x14ac:dyDescent="0.35">
      <c r="A60">
        <f t="shared" si="10"/>
        <v>58</v>
      </c>
      <c r="B60" t="str">
        <f>TE_Raw!A59</f>
        <v>Robert Tonyan</v>
      </c>
      <c r="C60" t="s">
        <v>40</v>
      </c>
      <c r="D60" t="str">
        <f>_xlfn.IFNA(INDEX(BYEs!E:E,MATCH(B60,BYEs!D:D,0)),"N/A")</f>
        <v>N/A</v>
      </c>
      <c r="E60">
        <f>INDEX(BYEs!$B$2:$B$34,MATCH(F60,BYEs!$A$2:$A$34,0))</f>
        <v>6</v>
      </c>
      <c r="F60" t="str">
        <f>TE_Raw!B59</f>
        <v>MIN</v>
      </c>
      <c r="G60" s="198">
        <v>0</v>
      </c>
      <c r="H60" s="199">
        <v>0</v>
      </c>
      <c r="I60" s="200">
        <v>0</v>
      </c>
      <c r="J60" s="200">
        <v>0</v>
      </c>
      <c r="K60" s="200">
        <v>0</v>
      </c>
      <c r="L60" s="201">
        <f>TE_Raw!C59</f>
        <v>15</v>
      </c>
      <c r="M60" s="201">
        <f>TE_Raw!D59</f>
        <v>153</v>
      </c>
      <c r="N60" s="203">
        <f>TE_Raw!E59</f>
        <v>1</v>
      </c>
      <c r="O60" s="200">
        <f>TE_Raw!F59</f>
        <v>0</v>
      </c>
      <c r="P60" s="10">
        <f t="shared" si="11"/>
        <v>28.8</v>
      </c>
      <c r="Q60" t="str">
        <f t="shared" ca="1" si="12"/>
        <v>Undrafted</v>
      </c>
      <c r="R60">
        <f t="shared" ca="1" si="13"/>
        <v>0</v>
      </c>
      <c r="S60">
        <f t="shared" ca="1" si="14"/>
        <v>-62.030000000000015</v>
      </c>
      <c r="T60" s="174">
        <f t="shared" ca="1" si="15"/>
        <v>-10.233681723205246</v>
      </c>
      <c r="U60" s="174">
        <f ca="1">T60*Auction!$A$2</f>
        <v>-10.233681723205246</v>
      </c>
      <c r="V60" s="5" t="str">
        <f>IF(OR(INDEX(Auction!$H$13:$H$650,MATCH(B60,Auction!$A$13:$A$650,0))&gt;0,IFERROR(INDEX(CheatSheet!$D$37:$D$64,MATCH(B60,CheatSheet!$A$37:$A$64,0)),"")&lt;&gt;""),"Yes","No")</f>
        <v>No</v>
      </c>
      <c r="W60" s="175"/>
      <c r="Y60" s="77">
        <f t="shared" ca="1" si="16"/>
        <v>1</v>
      </c>
      <c r="Z60">
        <f t="shared" ca="1" si="8"/>
        <v>-31.015000000000008</v>
      </c>
      <c r="AA60" t="str">
        <f t="shared" ca="1" si="9"/>
        <v>TE8</v>
      </c>
      <c r="AB60" s="174">
        <f ca="1">Z60*LeagueInfo!$H$5</f>
        <v>-10.01629974125928</v>
      </c>
      <c r="AC60" s="174">
        <f t="shared" ca="1" si="17"/>
        <v>-0.46089543552937823</v>
      </c>
    </row>
    <row r="61" spans="1:29" x14ac:dyDescent="0.35">
      <c r="A61">
        <f t="shared" si="10"/>
        <v>59</v>
      </c>
      <c r="B61" t="str">
        <f>TE_Raw!A60</f>
        <v>Darnell Washington</v>
      </c>
      <c r="C61" t="s">
        <v>40</v>
      </c>
      <c r="D61">
        <f>_xlfn.IFNA(INDEX(BYEs!E:E,MATCH(B61,BYEs!D:D,0)),"N/A")</f>
        <v>22</v>
      </c>
      <c r="E61">
        <f>INDEX(BYEs!$B$2:$B$34,MATCH(F61,BYEs!$A$2:$A$34,0))</f>
        <v>9</v>
      </c>
      <c r="F61" t="str">
        <f>TE_Raw!B60</f>
        <v>PIT</v>
      </c>
      <c r="G61" s="198">
        <v>0</v>
      </c>
      <c r="H61" s="199">
        <v>0</v>
      </c>
      <c r="I61" s="200">
        <v>0</v>
      </c>
      <c r="J61" s="200">
        <v>0</v>
      </c>
      <c r="K61" s="200">
        <v>0</v>
      </c>
      <c r="L61" s="201">
        <f>TE_Raw!C60</f>
        <v>15.5</v>
      </c>
      <c r="M61" s="201">
        <f>TE_Raw!D60</f>
        <v>151.6</v>
      </c>
      <c r="N61" s="203">
        <f>TE_Raw!E60</f>
        <v>0.9</v>
      </c>
      <c r="O61" s="200">
        <f>TE_Raw!F60</f>
        <v>0</v>
      </c>
      <c r="P61" s="10">
        <f t="shared" si="11"/>
        <v>28.310000000000002</v>
      </c>
      <c r="Q61" t="str">
        <f t="shared" ca="1" si="12"/>
        <v>Undrafted</v>
      </c>
      <c r="R61">
        <f t="shared" ca="1" si="13"/>
        <v>0</v>
      </c>
      <c r="S61">
        <f t="shared" ca="1" si="14"/>
        <v>-62.52000000000001</v>
      </c>
      <c r="T61" s="174">
        <f t="shared" ca="1" si="15"/>
        <v>-10.314521704575075</v>
      </c>
      <c r="U61" s="174">
        <f ca="1">T61*Auction!$A$2</f>
        <v>-10.314521704575075</v>
      </c>
      <c r="V61" s="5" t="str">
        <f>IF(OR(INDEX(Auction!$H$13:$H$650,MATCH(B61,Auction!$A$13:$A$650,0))&gt;0,IFERROR(INDEX(CheatSheet!$D$37:$D$64,MATCH(B61,CheatSheet!$A$37:$A$64,0)),"")&lt;&gt;""),"Yes","No")</f>
        <v>No</v>
      </c>
      <c r="W61" s="175"/>
      <c r="Y61" s="77">
        <f t="shared" ca="1" si="16"/>
        <v>1</v>
      </c>
      <c r="Z61">
        <f t="shared" ca="1" si="8"/>
        <v>-31.260000000000005</v>
      </c>
      <c r="AA61" t="str">
        <f t="shared" ca="1" si="9"/>
        <v>TE8</v>
      </c>
      <c r="AB61" s="174">
        <f ca="1">Z61*LeagueInfo!$H$5</f>
        <v>-10.095422534636953</v>
      </c>
      <c r="AC61" s="174">
        <f t="shared" ca="1" si="17"/>
        <v>-0.47014890752043703</v>
      </c>
    </row>
    <row r="62" spans="1:29" x14ac:dyDescent="0.35">
      <c r="A62">
        <f t="shared" si="10"/>
        <v>60</v>
      </c>
      <c r="B62" t="str">
        <f>TE_Raw!A61</f>
        <v>Luke Schoonmaker</v>
      </c>
      <c r="C62" t="s">
        <v>40</v>
      </c>
      <c r="D62">
        <f>_xlfn.IFNA(INDEX(BYEs!E:E,MATCH(B62,BYEs!D:D,0)),"N/A")</f>
        <v>25</v>
      </c>
      <c r="E62">
        <f>INDEX(BYEs!$B$2:$B$34,MATCH(F62,BYEs!$A$2:$A$34,0))</f>
        <v>7</v>
      </c>
      <c r="F62" t="str">
        <f>TE_Raw!B61</f>
        <v>DAL</v>
      </c>
      <c r="G62" s="198">
        <v>0</v>
      </c>
      <c r="H62" s="199">
        <v>0</v>
      </c>
      <c r="I62" s="200">
        <v>0</v>
      </c>
      <c r="J62" s="200">
        <v>0</v>
      </c>
      <c r="K62" s="200">
        <v>0</v>
      </c>
      <c r="L62" s="201">
        <f>TE_Raw!C61</f>
        <v>12.4</v>
      </c>
      <c r="M62" s="201">
        <f>TE_Raw!D61</f>
        <v>123.9</v>
      </c>
      <c r="N62" s="203">
        <f>TE_Raw!E61</f>
        <v>1.3</v>
      </c>
      <c r="O62" s="200">
        <f>TE_Raw!F61</f>
        <v>0</v>
      </c>
      <c r="P62" s="10">
        <f t="shared" si="11"/>
        <v>26.39</v>
      </c>
      <c r="Q62" t="str">
        <f t="shared" ca="1" si="12"/>
        <v>Undrafted</v>
      </c>
      <c r="R62">
        <f t="shared" ca="1" si="13"/>
        <v>0</v>
      </c>
      <c r="S62">
        <f t="shared" ca="1" si="14"/>
        <v>-64.440000000000012</v>
      </c>
      <c r="T62" s="174">
        <f t="shared" ca="1" si="15"/>
        <v>-10.631282447901757</v>
      </c>
      <c r="U62" s="174">
        <f ca="1">T62*Auction!$A$2</f>
        <v>-10.631282447901757</v>
      </c>
      <c r="V62" s="5" t="str">
        <f>IF(OR(INDEX(Auction!$H$13:$H$650,MATCH(B62,Auction!$A$13:$A$650,0))&gt;0,IFERROR(INDEX(CheatSheet!$D$37:$D$64,MATCH(B62,CheatSheet!$A$37:$A$64,0)),"")&lt;&gt;""),"Yes","No")</f>
        <v>No</v>
      </c>
      <c r="W62" s="175"/>
      <c r="Y62" s="77">
        <f t="shared" ca="1" si="16"/>
        <v>1</v>
      </c>
      <c r="Z62">
        <f t="shared" ca="1" si="8"/>
        <v>-32.220000000000006</v>
      </c>
      <c r="AA62" t="str">
        <f t="shared" ca="1" si="9"/>
        <v>TE8</v>
      </c>
      <c r="AB62" s="174">
        <f ca="1">Z62*LeagueInfo!$H$5</f>
        <v>-10.405454704606608</v>
      </c>
      <c r="AC62" s="174">
        <f t="shared" ca="1" si="17"/>
        <v>-0.50640741001601475</v>
      </c>
    </row>
    <row r="63" spans="1:29" x14ac:dyDescent="0.35">
      <c r="A63">
        <f t="shared" si="10"/>
        <v>61</v>
      </c>
      <c r="B63" t="str">
        <f>TE_Raw!A62</f>
        <v>Josh Whyle</v>
      </c>
      <c r="C63" t="s">
        <v>40</v>
      </c>
      <c r="D63" t="str">
        <f>_xlfn.IFNA(INDEX(BYEs!E:E,MATCH(B63,BYEs!D:D,0)),"N/A")</f>
        <v>N/A</v>
      </c>
      <c r="E63">
        <f>INDEX(BYEs!$B$2:$B$34,MATCH(F63,BYEs!$A$2:$A$34,0))</f>
        <v>5</v>
      </c>
      <c r="F63" t="str">
        <f>TE_Raw!B62</f>
        <v>TEN</v>
      </c>
      <c r="G63" s="198">
        <v>0</v>
      </c>
      <c r="H63" s="199">
        <v>0</v>
      </c>
      <c r="I63" s="200">
        <v>0</v>
      </c>
      <c r="J63" s="200">
        <v>0</v>
      </c>
      <c r="K63" s="200">
        <v>0</v>
      </c>
      <c r="L63" s="201">
        <f>TE_Raw!C62</f>
        <v>12.5</v>
      </c>
      <c r="M63" s="201">
        <f>TE_Raw!D62</f>
        <v>127.7</v>
      </c>
      <c r="N63" s="203">
        <f>TE_Raw!E62</f>
        <v>1.1000000000000001</v>
      </c>
      <c r="O63" s="200">
        <f>TE_Raw!F62</f>
        <v>0</v>
      </c>
      <c r="P63" s="10">
        <f t="shared" si="11"/>
        <v>25.620000000000005</v>
      </c>
      <c r="Q63" t="str">
        <f t="shared" ca="1" si="12"/>
        <v>Undrafted</v>
      </c>
      <c r="R63">
        <f t="shared" ca="1" si="13"/>
        <v>0</v>
      </c>
      <c r="S63">
        <f t="shared" ca="1" si="14"/>
        <v>-65.210000000000008</v>
      </c>
      <c r="T63" s="174">
        <f t="shared" ca="1" si="15"/>
        <v>-10.758316704340061</v>
      </c>
      <c r="U63" s="174">
        <f ca="1">T63*Auction!$A$2</f>
        <v>-10.758316704340061</v>
      </c>
      <c r="V63" s="5" t="str">
        <f>IF(OR(INDEX(Auction!$H$13:$H$650,MATCH(B63,Auction!$A$13:$A$650,0))&gt;0,IFERROR(INDEX(CheatSheet!$D$37:$D$64,MATCH(B63,CheatSheet!$A$37:$A$64,0)),"")&lt;&gt;""),"Yes","No")</f>
        <v>No</v>
      </c>
      <c r="W63" s="175"/>
      <c r="Y63" s="77">
        <f t="shared" ca="1" si="16"/>
        <v>1</v>
      </c>
      <c r="Z63">
        <f t="shared" ca="1" si="8"/>
        <v>-32.605000000000004</v>
      </c>
      <c r="AA63" t="str">
        <f t="shared" ca="1" si="9"/>
        <v>TE8</v>
      </c>
      <c r="AB63" s="174">
        <f ca="1">Z63*LeagueInfo!$H$5</f>
        <v>-10.529790522771522</v>
      </c>
      <c r="AC63" s="174">
        <f t="shared" ca="1" si="17"/>
        <v>-0.52094858028767865</v>
      </c>
    </row>
    <row r="64" spans="1:29" x14ac:dyDescent="0.35">
      <c r="A64">
        <f t="shared" si="10"/>
        <v>62</v>
      </c>
      <c r="B64" t="str">
        <f>TE_Raw!A63</f>
        <v>Foster Moreau</v>
      </c>
      <c r="C64" t="s">
        <v>40</v>
      </c>
      <c r="D64">
        <f>_xlfn.IFNA(INDEX(BYEs!E:E,MATCH(B64,BYEs!D:D,0)),"N/A")</f>
        <v>27</v>
      </c>
      <c r="E64">
        <f>INDEX(BYEs!$B$2:$B$34,MATCH(F64,BYEs!$A$2:$A$34,0))</f>
        <v>12</v>
      </c>
      <c r="F64" t="str">
        <f>TE_Raw!B63</f>
        <v>NO</v>
      </c>
      <c r="G64" s="198">
        <v>0</v>
      </c>
      <c r="H64" s="199">
        <v>0</v>
      </c>
      <c r="I64" s="200">
        <v>0</v>
      </c>
      <c r="J64" s="200">
        <v>0</v>
      </c>
      <c r="K64" s="200">
        <v>0</v>
      </c>
      <c r="L64" s="201">
        <f>TE_Raw!C63</f>
        <v>11.6</v>
      </c>
      <c r="M64" s="201">
        <f>TE_Raw!D63</f>
        <v>129</v>
      </c>
      <c r="N64" s="203">
        <f>TE_Raw!E63</f>
        <v>1</v>
      </c>
      <c r="O64" s="200">
        <f>TE_Raw!F63</f>
        <v>0</v>
      </c>
      <c r="P64" s="10">
        <f t="shared" si="11"/>
        <v>24.7</v>
      </c>
      <c r="Q64" t="str">
        <f t="shared" ca="1" si="12"/>
        <v>Undrafted</v>
      </c>
      <c r="R64">
        <f t="shared" ca="1" si="13"/>
        <v>0</v>
      </c>
      <c r="S64">
        <f t="shared" ca="1" si="14"/>
        <v>-66.13000000000001</v>
      </c>
      <c r="T64" s="174">
        <f t="shared" ca="1" si="15"/>
        <v>-10.910097893850763</v>
      </c>
      <c r="U64" s="174">
        <f ca="1">T64*Auction!$A$2</f>
        <v>-10.910097893850763</v>
      </c>
      <c r="V64" s="5" t="str">
        <f>IF(OR(INDEX(Auction!$H$13:$H$650,MATCH(B64,Auction!$A$13:$A$650,0))&gt;0,IFERROR(INDEX(CheatSheet!$D$37:$D$64,MATCH(B64,CheatSheet!$A$37:$A$64,0)),"")&lt;&gt;""),"Yes","No")</f>
        <v>No</v>
      </c>
      <c r="W64" s="175"/>
      <c r="Y64" s="77">
        <f t="shared" ca="1" si="16"/>
        <v>1</v>
      </c>
      <c r="Z64">
        <f t="shared" ca="1" si="8"/>
        <v>-33.065000000000005</v>
      </c>
      <c r="AA64" t="str">
        <f t="shared" ca="1" si="9"/>
        <v>TE8</v>
      </c>
      <c r="AB64" s="174">
        <f ca="1">Z64*LeagueInfo!$H$5</f>
        <v>-10.678347604215316</v>
      </c>
      <c r="AC64" s="174">
        <f t="shared" ca="1" si="17"/>
        <v>-0.53832244606680968</v>
      </c>
    </row>
    <row r="65" spans="1:29" x14ac:dyDescent="0.35">
      <c r="A65">
        <f t="shared" si="10"/>
        <v>63</v>
      </c>
      <c r="B65" t="str">
        <f>TE_Raw!A72</f>
        <v>Connor Heyward</v>
      </c>
      <c r="C65" t="s">
        <v>40</v>
      </c>
      <c r="D65">
        <f>_xlfn.IFNA(INDEX(BYEs!E:E,MATCH(B65,BYEs!D:D,0)),"N/A")</f>
        <v>25</v>
      </c>
      <c r="E65">
        <f>INDEX(BYEs!$B$2:$B$34,MATCH(F65,BYEs!$A$2:$A$34,0))</f>
        <v>9</v>
      </c>
      <c r="F65" t="str">
        <f>TE_Raw!B72</f>
        <v>PIT</v>
      </c>
      <c r="G65" s="198">
        <v>0</v>
      </c>
      <c r="H65" s="199">
        <v>0</v>
      </c>
      <c r="I65" s="200">
        <v>0</v>
      </c>
      <c r="J65" s="200">
        <v>0</v>
      </c>
      <c r="K65" s="200">
        <v>0</v>
      </c>
      <c r="L65" s="201">
        <f>TE_Raw!C72</f>
        <v>14.6</v>
      </c>
      <c r="M65" s="201">
        <f>TE_Raw!D72</f>
        <v>130.6</v>
      </c>
      <c r="N65" s="203">
        <f>TE_Raw!E72</f>
        <v>0.7</v>
      </c>
      <c r="O65" s="200">
        <f>TE_Raw!F72</f>
        <v>0</v>
      </c>
      <c r="P65" s="10">
        <f t="shared" si="11"/>
        <v>24.56</v>
      </c>
      <c r="Q65" t="str">
        <f t="shared" ca="1" si="12"/>
        <v>Undrafted</v>
      </c>
      <c r="R65">
        <f t="shared" ca="1" si="13"/>
        <v>0</v>
      </c>
      <c r="S65">
        <f t="shared" ca="1" si="14"/>
        <v>-66.27000000000001</v>
      </c>
      <c r="T65" s="174">
        <f t="shared" ca="1" si="15"/>
        <v>-10.933195031385001</v>
      </c>
      <c r="U65" s="174">
        <f ca="1">T65*Auction!$A$2</f>
        <v>-10.933195031385001</v>
      </c>
      <c r="V65" s="5" t="str">
        <f>IF(OR(INDEX(Auction!$H$13:$H$650,MATCH(B65,Auction!$A$13:$A$650,0))&gt;0,IFERROR(INDEX(CheatSheet!$D$37:$D$64,MATCH(B65,CheatSheet!$A$37:$A$64,0)),"")&lt;&gt;""),"Yes","No")</f>
        <v>No</v>
      </c>
      <c r="W65" s="175"/>
      <c r="Y65" s="77">
        <f t="shared" ca="1" si="16"/>
        <v>1</v>
      </c>
      <c r="Z65">
        <f t="shared" ca="1" si="8"/>
        <v>-33.135000000000005</v>
      </c>
      <c r="AA65" t="str">
        <f t="shared" ca="1" si="9"/>
        <v>TE8</v>
      </c>
      <c r="AB65" s="174">
        <f ca="1">Z65*LeagueInfo!$H$5</f>
        <v>-10.700954116608937</v>
      </c>
      <c r="AC65" s="174">
        <f t="shared" ca="1" si="17"/>
        <v>-0.54096629520711226</v>
      </c>
    </row>
    <row r="66" spans="1:29" x14ac:dyDescent="0.35">
      <c r="A66">
        <f t="shared" si="10"/>
        <v>64</v>
      </c>
      <c r="B66" t="str">
        <f>TE_Raw!A64</f>
        <v>Jordan Akins</v>
      </c>
      <c r="C66" t="s">
        <v>40</v>
      </c>
      <c r="D66" t="str">
        <f>_xlfn.IFNA(INDEX(BYEs!E:E,MATCH(B66,BYEs!D:D,0)),"N/A")</f>
        <v>N/A</v>
      </c>
      <c r="E66">
        <f>INDEX(BYEs!$B$2:$B$34,MATCH(F66,BYEs!$A$2:$A$34,0))</f>
        <v>10</v>
      </c>
      <c r="F66" t="str">
        <f>TE_Raw!B64</f>
        <v>CLE</v>
      </c>
      <c r="G66" s="198">
        <v>0</v>
      </c>
      <c r="H66" s="199">
        <v>0</v>
      </c>
      <c r="I66" s="200">
        <v>0</v>
      </c>
      <c r="J66" s="200">
        <v>0</v>
      </c>
      <c r="K66" s="200">
        <v>0</v>
      </c>
      <c r="L66" s="201">
        <f>TE_Raw!C64</f>
        <v>12.5</v>
      </c>
      <c r="M66" s="201">
        <f>TE_Raw!D64</f>
        <v>124.7</v>
      </c>
      <c r="N66" s="203">
        <f>TE_Raw!E64</f>
        <v>1</v>
      </c>
      <c r="O66" s="200">
        <f>TE_Raw!F64</f>
        <v>0.1</v>
      </c>
      <c r="P66" s="10">
        <f t="shared" si="11"/>
        <v>24.52</v>
      </c>
      <c r="Q66" t="str">
        <f t="shared" ca="1" si="12"/>
        <v>Undrafted</v>
      </c>
      <c r="R66">
        <f t="shared" ca="1" si="13"/>
        <v>0</v>
      </c>
      <c r="S66">
        <f t="shared" ca="1" si="14"/>
        <v>-66.310000000000016</v>
      </c>
      <c r="T66" s="174">
        <f t="shared" ca="1" si="15"/>
        <v>-10.93979421353764</v>
      </c>
      <c r="U66" s="174">
        <f ca="1">T66*Auction!$A$2</f>
        <v>-10.93979421353764</v>
      </c>
      <c r="V66" s="5" t="str">
        <f>IF(OR(INDEX(Auction!$H$13:$H$650,MATCH(B66,Auction!$A$13:$A$650,0))&gt;0,IFERROR(INDEX(CheatSheet!$D$37:$D$64,MATCH(B66,CheatSheet!$A$37:$A$64,0)),"")&lt;&gt;""),"Yes","No")</f>
        <v>No</v>
      </c>
      <c r="W66" s="175"/>
      <c r="Y66" s="77">
        <f t="shared" ca="1" si="16"/>
        <v>1</v>
      </c>
      <c r="Z66">
        <f t="shared" ca="1" si="8"/>
        <v>-33.155000000000008</v>
      </c>
      <c r="AA66" t="str">
        <f t="shared" ca="1" si="9"/>
        <v>TE8</v>
      </c>
      <c r="AB66" s="174">
        <f ca="1">Z66*LeagueInfo!$H$5</f>
        <v>-10.707413120149972</v>
      </c>
      <c r="AC66" s="174">
        <f t="shared" ca="1" si="17"/>
        <v>-0.5417216806757702</v>
      </c>
    </row>
    <row r="67" spans="1:29" x14ac:dyDescent="0.35">
      <c r="A67">
        <f t="shared" ref="A67:A98" si="18">RANK(P67,P:P)</f>
        <v>65</v>
      </c>
      <c r="B67" t="str">
        <f>TE_Raw!A65</f>
        <v>Devin Culp</v>
      </c>
      <c r="C67" t="s">
        <v>40</v>
      </c>
      <c r="D67" t="str">
        <f>_xlfn.IFNA(INDEX(BYEs!E:E,MATCH(B67,BYEs!D:D,0)),"N/A")</f>
        <v>N/A</v>
      </c>
      <c r="E67">
        <f>INDEX(BYEs!$B$2:$B$34,MATCH(F67,BYEs!$A$2:$A$34,0))</f>
        <v>11</v>
      </c>
      <c r="F67" t="str">
        <f>TE_Raw!B65</f>
        <v>TB</v>
      </c>
      <c r="G67" s="198">
        <v>0</v>
      </c>
      <c r="H67" s="199">
        <v>0</v>
      </c>
      <c r="I67" s="200">
        <v>0</v>
      </c>
      <c r="J67" s="200">
        <v>0</v>
      </c>
      <c r="K67" s="200">
        <v>0</v>
      </c>
      <c r="L67" s="201">
        <f>TE_Raw!C65</f>
        <v>12</v>
      </c>
      <c r="M67" s="201">
        <f>TE_Raw!D65</f>
        <v>124</v>
      </c>
      <c r="N67" s="203">
        <f>TE_Raw!E65</f>
        <v>1</v>
      </c>
      <c r="O67" s="200">
        <f>TE_Raw!F65</f>
        <v>0</v>
      </c>
      <c r="P67" s="10">
        <f t="shared" ref="P67:P98" si="19">(J67*TERushYd)+(K67*TERushTD)+(L67*TERec)+(M67*TERecYd)+(N67*TERecTD)+(O67*TEFuml)+(I67*TERushAtt)</f>
        <v>24.4</v>
      </c>
      <c r="Q67" t="str">
        <f t="shared" ref="Q67:Q98" ca="1" si="20">IF(A67&lt;=TEStarters,"Starter",IF(A67&gt;TEStarters+TEBench,"Undrafted","Bench"))</f>
        <v>Undrafted</v>
      </c>
      <c r="R67">
        <f t="shared" ref="R67:R98" ca="1" si="21">IFERROR(MAX(P67-LARGE(TESheetCount,TEStarters),0),0)</f>
        <v>0</v>
      </c>
      <c r="S67">
        <f t="shared" ref="S67:S98" ca="1" si="22">IFERROR(IF(AllowNegative="Yes",P67-LARGE(TESheetCount,TECount),MAX(P67-LARGE(TESheetCount,TECount),0)),0)</f>
        <v>-66.430000000000007</v>
      </c>
      <c r="T67" s="174">
        <f t="shared" ref="T67:T98" ca="1" si="23">IF(TEStarters&gt;0,(S67-R67)*BenchPF+R67*StarterPF,0)</f>
        <v>-10.959591759995556</v>
      </c>
      <c r="U67" s="174">
        <f ca="1">T67*Auction!$A$2</f>
        <v>-10.959591759995556</v>
      </c>
      <c r="V67" s="5" t="str">
        <f>IF(OR(INDEX(Auction!$H$13:$H$650,MATCH(B67,Auction!$A$13:$A$650,0))&gt;0,IFERROR(INDEX(CheatSheet!$D$37:$D$64,MATCH(B67,CheatSheet!$A$37:$A$64,0)),"")&lt;&gt;""),"Yes","No")</f>
        <v>No</v>
      </c>
      <c r="W67" s="175"/>
      <c r="Y67" s="77">
        <f t="shared" ref="Y67:Y98" ca="1" si="24">IFERROR(SUMIFS(Z:Z,Z:Z,"&gt;0",V:V,"No")/SUMIF(Z:Z,"&gt;0"),0)</f>
        <v>1</v>
      </c>
      <c r="Z67">
        <f t="shared" ca="1" si="8"/>
        <v>-33.215000000000003</v>
      </c>
      <c r="AA67" t="str">
        <f t="shared" ca="1" si="9"/>
        <v>TE8</v>
      </c>
      <c r="AB67" s="174">
        <f ca="1">Z67*LeagueInfo!$H$5</f>
        <v>-10.726790130773075</v>
      </c>
      <c r="AC67" s="174">
        <f t="shared" ref="AC67:AC98" ca="1" si="25">(Z67-AVERAGE(Z:Z))/_xlfn.STDEV.P(Z:Z)</f>
        <v>-0.54398783708174359</v>
      </c>
    </row>
    <row r="68" spans="1:29" x14ac:dyDescent="0.35">
      <c r="A68">
        <f t="shared" si="18"/>
        <v>66</v>
      </c>
      <c r="B68" t="str">
        <f>TE_Raw!A66</f>
        <v>Tanner McLachlan</v>
      </c>
      <c r="C68" t="s">
        <v>40</v>
      </c>
      <c r="D68">
        <f>_xlfn.IFNA(INDEX(BYEs!E:E,MATCH(B68,BYEs!D:D,0)),"N/A")</f>
        <v>25</v>
      </c>
      <c r="E68">
        <f>INDEX(BYEs!$B$2:$B$34,MATCH(F68,BYEs!$A$2:$A$34,0))</f>
        <v>12</v>
      </c>
      <c r="F68" t="str">
        <f>TE_Raw!B66</f>
        <v>CIN</v>
      </c>
      <c r="G68" s="198">
        <v>0</v>
      </c>
      <c r="H68" s="199">
        <v>0</v>
      </c>
      <c r="I68" s="200">
        <v>0</v>
      </c>
      <c r="J68" s="200">
        <v>0</v>
      </c>
      <c r="K68" s="200">
        <v>0</v>
      </c>
      <c r="L68" s="201">
        <f>TE_Raw!C66</f>
        <v>12</v>
      </c>
      <c r="M68" s="201">
        <f>TE_Raw!D66</f>
        <v>122.5</v>
      </c>
      <c r="N68" s="203">
        <f>TE_Raw!E66</f>
        <v>1</v>
      </c>
      <c r="O68" s="200">
        <f>TE_Raw!F66</f>
        <v>0</v>
      </c>
      <c r="P68" s="10">
        <f t="shared" si="19"/>
        <v>24.25</v>
      </c>
      <c r="Q68" t="str">
        <f t="shared" ca="1" si="20"/>
        <v>Undrafted</v>
      </c>
      <c r="R68">
        <f t="shared" ca="1" si="21"/>
        <v>0</v>
      </c>
      <c r="S68">
        <f t="shared" ca="1" si="22"/>
        <v>-66.580000000000013</v>
      </c>
      <c r="T68" s="174">
        <f t="shared" ca="1" si="23"/>
        <v>-10.984338693067954</v>
      </c>
      <c r="U68" s="174">
        <f ca="1">T68*Auction!$A$2</f>
        <v>-10.984338693067954</v>
      </c>
      <c r="V68" s="5" t="str">
        <f>IF(OR(INDEX(Auction!$H$13:$H$650,MATCH(B68,Auction!$A$13:$A$650,0))&gt;0,IFERROR(INDEX(CheatSheet!$D$37:$D$64,MATCH(B68,CheatSheet!$A$37:$A$64,0)),"")&lt;&gt;""),"Yes","No")</f>
        <v>No</v>
      </c>
      <c r="W68" s="175"/>
      <c r="Y68" s="77">
        <f t="shared" ca="1" si="24"/>
        <v>1</v>
      </c>
      <c r="Z68">
        <f t="shared" ref="Z68:Z112" ca="1" si="26">AVERAGE(R68:S68)</f>
        <v>-33.290000000000006</v>
      </c>
      <c r="AA68" t="str">
        <f t="shared" ref="AA68:AA114" ca="1" si="27">IF(AC68&gt;3,"TE1",IF(AC68&gt;2.5,"TE2",IF(AC68&gt;2,"TE3",IF(AC68&gt;1.5,"TE4",IF(AC68&gt;1,"TE5",IF(AC68&gt;0.5,"TE6",IF(AC68&gt;0,"TE7","TE8")))))))</f>
        <v>TE8</v>
      </c>
      <c r="AB68" s="174">
        <f ca="1">Z68*LeagueInfo!$H$5</f>
        <v>-10.751011394051956</v>
      </c>
      <c r="AC68" s="174">
        <f t="shared" ca="1" si="25"/>
        <v>-0.54682053258921071</v>
      </c>
    </row>
    <row r="69" spans="1:29" x14ac:dyDescent="0.35">
      <c r="A69">
        <f t="shared" si="18"/>
        <v>67</v>
      </c>
      <c r="B69" t="str">
        <f>TE_Raw!A68</f>
        <v>Will Mallory</v>
      </c>
      <c r="C69" t="s">
        <v>40</v>
      </c>
      <c r="D69">
        <f>_xlfn.IFNA(INDEX(BYEs!E:E,MATCH(B69,BYEs!D:D,0)),"N/A")</f>
        <v>25</v>
      </c>
      <c r="E69">
        <f>INDEX(BYEs!$B$2:$B$34,MATCH(F69,BYEs!$A$2:$A$34,0))</f>
        <v>14</v>
      </c>
      <c r="F69" t="str">
        <f>TE_Raw!B68</f>
        <v>IND</v>
      </c>
      <c r="G69" s="198">
        <v>0</v>
      </c>
      <c r="H69" s="199">
        <v>0</v>
      </c>
      <c r="I69" s="200">
        <v>0</v>
      </c>
      <c r="J69" s="200">
        <v>0</v>
      </c>
      <c r="K69" s="200">
        <v>0</v>
      </c>
      <c r="L69" s="201">
        <f>TE_Raw!C68</f>
        <v>12.1</v>
      </c>
      <c r="M69" s="201">
        <f>TE_Raw!D68</f>
        <v>126.7</v>
      </c>
      <c r="N69" s="203">
        <f>TE_Raw!E68</f>
        <v>0.9</v>
      </c>
      <c r="O69" s="200">
        <f>TE_Raw!F68</f>
        <v>0</v>
      </c>
      <c r="P69" s="10">
        <f t="shared" si="19"/>
        <v>24.120000000000005</v>
      </c>
      <c r="Q69" t="str">
        <f t="shared" ca="1" si="20"/>
        <v>Undrafted</v>
      </c>
      <c r="R69">
        <f t="shared" ca="1" si="21"/>
        <v>0</v>
      </c>
      <c r="S69">
        <f t="shared" ca="1" si="22"/>
        <v>-66.710000000000008</v>
      </c>
      <c r="T69" s="174">
        <f t="shared" ca="1" si="23"/>
        <v>-11.00578603506403</v>
      </c>
      <c r="U69" s="174">
        <f ca="1">T69*Auction!$A$2</f>
        <v>-11.00578603506403</v>
      </c>
      <c r="V69" s="5" t="str">
        <f>IF(OR(INDEX(Auction!$H$13:$H$650,MATCH(B69,Auction!$A$13:$A$650,0))&gt;0,IFERROR(INDEX(CheatSheet!$D$37:$D$64,MATCH(B69,CheatSheet!$A$37:$A$64,0)),"")&lt;&gt;""),"Yes","No")</f>
        <v>No</v>
      </c>
      <c r="W69" s="175"/>
      <c r="Y69" s="77">
        <f t="shared" ca="1" si="24"/>
        <v>1</v>
      </c>
      <c r="Z69">
        <f t="shared" ca="1" si="26"/>
        <v>-33.355000000000004</v>
      </c>
      <c r="AA69" t="str">
        <f t="shared" ca="1" si="27"/>
        <v>TE8</v>
      </c>
      <c r="AB69" s="174">
        <f ca="1">Z69*LeagueInfo!$H$5</f>
        <v>-10.772003155560316</v>
      </c>
      <c r="AC69" s="174">
        <f t="shared" ca="1" si="25"/>
        <v>-0.54927553536234874</v>
      </c>
    </row>
    <row r="70" spans="1:29" x14ac:dyDescent="0.35">
      <c r="A70">
        <f t="shared" si="18"/>
        <v>68</v>
      </c>
      <c r="B70" t="str">
        <f>TE_Raw!A67</f>
        <v>Pharaoh Brown</v>
      </c>
      <c r="C70" t="s">
        <v>40</v>
      </c>
      <c r="D70">
        <f>_xlfn.IFNA(INDEX(BYEs!E:E,MATCH(B70,BYEs!D:D,0)),"N/A")</f>
        <v>30</v>
      </c>
      <c r="E70">
        <f>INDEX(BYEs!$B$2:$B$34,MATCH(F70,BYEs!$A$2:$A$34,0))</f>
        <v>10</v>
      </c>
      <c r="F70" t="str">
        <f>TE_Raw!B67</f>
        <v>SEA</v>
      </c>
      <c r="G70" s="198">
        <v>0</v>
      </c>
      <c r="H70" s="199">
        <v>0</v>
      </c>
      <c r="I70" s="200">
        <v>0</v>
      </c>
      <c r="J70" s="200">
        <v>0</v>
      </c>
      <c r="K70" s="200">
        <v>0</v>
      </c>
      <c r="L70" s="201">
        <f>TE_Raw!C67</f>
        <v>11.5</v>
      </c>
      <c r="M70" s="201">
        <f>TE_Raw!D67</f>
        <v>126.9</v>
      </c>
      <c r="N70" s="203">
        <f>TE_Raw!E67</f>
        <v>0.9</v>
      </c>
      <c r="O70" s="200">
        <f>TE_Raw!F67</f>
        <v>0</v>
      </c>
      <c r="P70" s="10">
        <f t="shared" si="19"/>
        <v>23.840000000000003</v>
      </c>
      <c r="Q70" t="str">
        <f t="shared" ca="1" si="20"/>
        <v>Undrafted</v>
      </c>
      <c r="R70">
        <f t="shared" ca="1" si="21"/>
        <v>0</v>
      </c>
      <c r="S70">
        <f t="shared" ca="1" si="22"/>
        <v>-66.990000000000009</v>
      </c>
      <c r="T70" s="174">
        <f t="shared" ca="1" si="23"/>
        <v>-11.051980310132507</v>
      </c>
      <c r="U70" s="174">
        <f ca="1">T70*Auction!$A$2</f>
        <v>-11.051980310132507</v>
      </c>
      <c r="V70" s="5" t="str">
        <f>IF(OR(INDEX(Auction!$H$13:$H$650,MATCH(B70,Auction!$A$13:$A$650,0))&gt;0,IFERROR(INDEX(CheatSheet!$D$37:$D$64,MATCH(B70,CheatSheet!$A$37:$A$64,0)),"")&lt;&gt;""),"Yes","No")</f>
        <v>No</v>
      </c>
      <c r="W70" s="175"/>
      <c r="Y70" s="77">
        <f t="shared" ca="1" si="24"/>
        <v>1</v>
      </c>
      <c r="Z70">
        <f t="shared" ca="1" si="26"/>
        <v>-33.495000000000005</v>
      </c>
      <c r="AA70" t="str">
        <f t="shared" ca="1" si="27"/>
        <v>TE8</v>
      </c>
      <c r="AB70" s="174">
        <f ca="1">Z70*LeagueInfo!$H$5</f>
        <v>-10.817216180347559</v>
      </c>
      <c r="AC70" s="174">
        <f t="shared" ca="1" si="25"/>
        <v>-0.55456323364295379</v>
      </c>
    </row>
    <row r="71" spans="1:29" x14ac:dyDescent="0.35">
      <c r="A71">
        <f t="shared" si="18"/>
        <v>69</v>
      </c>
      <c r="B71" t="str">
        <f>TE_Raw!A69</f>
        <v>Davis Allen</v>
      </c>
      <c r="C71" t="s">
        <v>40</v>
      </c>
      <c r="D71">
        <f>_xlfn.IFNA(INDEX(BYEs!E:E,MATCH(B71,BYEs!D:D,0)),"N/A")</f>
        <v>23</v>
      </c>
      <c r="E71">
        <f>INDEX(BYEs!$B$2:$B$34,MATCH(F71,BYEs!$A$2:$A$34,0))</f>
        <v>6</v>
      </c>
      <c r="F71" t="str">
        <f>TE_Raw!B69</f>
        <v>LAR</v>
      </c>
      <c r="G71" s="198">
        <v>0</v>
      </c>
      <c r="H71" s="199">
        <v>0</v>
      </c>
      <c r="I71" s="200">
        <v>0</v>
      </c>
      <c r="J71" s="200">
        <v>0</v>
      </c>
      <c r="K71" s="200">
        <v>0</v>
      </c>
      <c r="L71" s="201">
        <f>TE_Raw!C69</f>
        <v>11.8</v>
      </c>
      <c r="M71" s="201">
        <f>TE_Raw!D69</f>
        <v>120.5</v>
      </c>
      <c r="N71" s="203">
        <f>TE_Raw!E69</f>
        <v>0.9</v>
      </c>
      <c r="O71" s="200">
        <f>TE_Raw!F69</f>
        <v>0</v>
      </c>
      <c r="P71" s="10">
        <f t="shared" si="19"/>
        <v>23.35</v>
      </c>
      <c r="Q71" t="str">
        <f t="shared" ca="1" si="20"/>
        <v>Undrafted</v>
      </c>
      <c r="R71">
        <f t="shared" ca="1" si="21"/>
        <v>0</v>
      </c>
      <c r="S71">
        <f t="shared" ca="1" si="22"/>
        <v>-67.480000000000018</v>
      </c>
      <c r="T71" s="174">
        <f t="shared" ca="1" si="23"/>
        <v>-11.132820291502338</v>
      </c>
      <c r="U71" s="174">
        <f ca="1">T71*Auction!$A$2</f>
        <v>-11.132820291502338</v>
      </c>
      <c r="V71" s="5" t="str">
        <f>IF(OR(INDEX(Auction!$H$13:$H$650,MATCH(B71,Auction!$A$13:$A$650,0))&gt;0,IFERROR(INDEX(CheatSheet!$D$37:$D$64,MATCH(B71,CheatSheet!$A$37:$A$64,0)),"")&lt;&gt;""),"Yes","No")</f>
        <v>No</v>
      </c>
      <c r="W71" s="175"/>
      <c r="Y71" s="77">
        <f t="shared" ca="1" si="24"/>
        <v>1</v>
      </c>
      <c r="Z71">
        <f t="shared" ca="1" si="26"/>
        <v>-33.740000000000009</v>
      </c>
      <c r="AA71" t="str">
        <f t="shared" ca="1" si="27"/>
        <v>TE8</v>
      </c>
      <c r="AB71" s="174">
        <f ca="1">Z71*LeagueInfo!$H$5</f>
        <v>-10.896338973725234</v>
      </c>
      <c r="AC71" s="174">
        <f t="shared" ca="1" si="25"/>
        <v>-0.56381670563401287</v>
      </c>
    </row>
    <row r="72" spans="1:29" x14ac:dyDescent="0.35">
      <c r="A72">
        <f t="shared" si="18"/>
        <v>70</v>
      </c>
      <c r="B72" t="str">
        <f>TE_Raw!A70</f>
        <v>AJ Barner</v>
      </c>
      <c r="C72" t="s">
        <v>40</v>
      </c>
      <c r="D72">
        <f>_xlfn.IFNA(INDEX(BYEs!E:E,MATCH(B72,BYEs!D:D,0)),"N/A")</f>
        <v>22</v>
      </c>
      <c r="E72">
        <f>INDEX(BYEs!$B$2:$B$34,MATCH(F72,BYEs!$A$2:$A$34,0))</f>
        <v>10</v>
      </c>
      <c r="F72" t="str">
        <f>TE_Raw!B70</f>
        <v>SEA</v>
      </c>
      <c r="G72" s="198">
        <v>0</v>
      </c>
      <c r="H72" s="199">
        <v>0</v>
      </c>
      <c r="I72" s="200">
        <v>0</v>
      </c>
      <c r="J72" s="200">
        <v>0</v>
      </c>
      <c r="K72" s="200">
        <v>0</v>
      </c>
      <c r="L72" s="201">
        <f>TE_Raw!C70</f>
        <v>11.6</v>
      </c>
      <c r="M72" s="201">
        <f>TE_Raw!D70</f>
        <v>118.5</v>
      </c>
      <c r="N72" s="203">
        <f>TE_Raw!E70</f>
        <v>0.9</v>
      </c>
      <c r="O72" s="200">
        <f>TE_Raw!F70</f>
        <v>0</v>
      </c>
      <c r="P72" s="10">
        <f t="shared" si="19"/>
        <v>23.050000000000004</v>
      </c>
      <c r="Q72" t="str">
        <f t="shared" ca="1" si="20"/>
        <v>Undrafted</v>
      </c>
      <c r="R72">
        <f t="shared" ca="1" si="21"/>
        <v>0</v>
      </c>
      <c r="S72">
        <f t="shared" ca="1" si="22"/>
        <v>-67.78</v>
      </c>
      <c r="T72" s="174">
        <f t="shared" ca="1" si="23"/>
        <v>-11.182314157647129</v>
      </c>
      <c r="U72" s="174">
        <f ca="1">T72*Auction!$A$2</f>
        <v>-11.182314157647129</v>
      </c>
      <c r="V72" s="5" t="str">
        <f>IF(OR(INDEX(Auction!$H$13:$H$650,MATCH(B72,Auction!$A$13:$A$650,0))&gt;0,IFERROR(INDEX(CheatSheet!$D$37:$D$64,MATCH(B72,CheatSheet!$A$37:$A$64,0)),"")&lt;&gt;""),"Yes","No")</f>
        <v>No</v>
      </c>
      <c r="W72" s="175"/>
      <c r="Y72" s="77">
        <f t="shared" ca="1" si="24"/>
        <v>1</v>
      </c>
      <c r="Z72">
        <f t="shared" ca="1" si="26"/>
        <v>-33.89</v>
      </c>
      <c r="AA72" t="str">
        <f t="shared" ca="1" si="27"/>
        <v>TE8</v>
      </c>
      <c r="AB72" s="174">
        <f ca="1">Z72*LeagueInfo!$H$5</f>
        <v>-10.944781500282989</v>
      </c>
      <c r="AC72" s="174">
        <f t="shared" ca="1" si="25"/>
        <v>-0.56948209664894656</v>
      </c>
    </row>
    <row r="73" spans="1:29" x14ac:dyDescent="0.35">
      <c r="A73">
        <f t="shared" si="18"/>
        <v>71</v>
      </c>
      <c r="B73" t="str">
        <f>TE_Raw!A76</f>
        <v>Ian Thomas</v>
      </c>
      <c r="C73" t="s">
        <v>40</v>
      </c>
      <c r="D73">
        <f>_xlfn.IFNA(INDEX(BYEs!E:E,MATCH(B73,BYEs!D:D,0)),"N/A")</f>
        <v>27</v>
      </c>
      <c r="E73">
        <f>INDEX(BYEs!$B$2:$B$34,MATCH(F73,BYEs!$A$2:$A$34,0))</f>
        <v>11</v>
      </c>
      <c r="F73" t="str">
        <f>TE_Raw!B76</f>
        <v>CAR</v>
      </c>
      <c r="G73" s="198">
        <v>0</v>
      </c>
      <c r="H73" s="199">
        <v>0</v>
      </c>
      <c r="I73" s="200">
        <v>0</v>
      </c>
      <c r="J73" s="200">
        <v>0</v>
      </c>
      <c r="K73" s="200">
        <v>0</v>
      </c>
      <c r="L73" s="201">
        <f>TE_Raw!C76</f>
        <v>12.7</v>
      </c>
      <c r="M73" s="201">
        <f>TE_Raw!D76</f>
        <v>129.69999999999999</v>
      </c>
      <c r="N73" s="203">
        <f>TE_Raw!E76</f>
        <v>0.6</v>
      </c>
      <c r="O73" s="200">
        <f>TE_Raw!F76</f>
        <v>0</v>
      </c>
      <c r="P73" s="10">
        <f t="shared" si="19"/>
        <v>22.92</v>
      </c>
      <c r="Q73" t="str">
        <f t="shared" ca="1" si="20"/>
        <v>Undrafted</v>
      </c>
      <c r="R73">
        <f t="shared" ca="1" si="21"/>
        <v>0</v>
      </c>
      <c r="S73">
        <f t="shared" ca="1" si="22"/>
        <v>-67.910000000000011</v>
      </c>
      <c r="T73" s="174">
        <f t="shared" ca="1" si="23"/>
        <v>-11.203761499643209</v>
      </c>
      <c r="U73" s="174">
        <f ca="1">T73*Auction!$A$2</f>
        <v>-11.203761499643209</v>
      </c>
      <c r="V73" s="5" t="str">
        <f>IF(OR(INDEX(Auction!$H$13:$H$650,MATCH(B73,Auction!$A$13:$A$650,0))&gt;0,IFERROR(INDEX(CheatSheet!$D$37:$D$64,MATCH(B73,CheatSheet!$A$37:$A$64,0)),"")&lt;&gt;""),"Yes","No")</f>
        <v>No</v>
      </c>
      <c r="W73" s="175"/>
      <c r="Y73" s="77">
        <f t="shared" ca="1" si="24"/>
        <v>1</v>
      </c>
      <c r="Z73">
        <f t="shared" ca="1" si="26"/>
        <v>-33.955000000000005</v>
      </c>
      <c r="AA73" t="str">
        <f t="shared" ca="1" si="27"/>
        <v>TE8</v>
      </c>
      <c r="AB73" s="174">
        <f ca="1">Z73*LeagueInfo!$H$5</f>
        <v>-10.965773261791353</v>
      </c>
      <c r="AC73" s="174">
        <f t="shared" ca="1" si="25"/>
        <v>-0.57193709942208482</v>
      </c>
    </row>
    <row r="74" spans="1:29" x14ac:dyDescent="0.35">
      <c r="A74">
        <f t="shared" si="18"/>
        <v>72</v>
      </c>
      <c r="B74" t="str">
        <f>TE_Raw!A71</f>
        <v>Stone Smartt</v>
      </c>
      <c r="C74" t="s">
        <v>40</v>
      </c>
      <c r="D74" t="str">
        <f>_xlfn.IFNA(INDEX(BYEs!E:E,MATCH(B74,BYEs!D:D,0)),"N/A")</f>
        <v>N/A</v>
      </c>
      <c r="E74">
        <f>INDEX(BYEs!$B$2:$B$34,MATCH(F74,BYEs!$A$2:$A$34,0))</f>
        <v>5</v>
      </c>
      <c r="F74" t="str">
        <f>TE_Raw!B71</f>
        <v>LAC</v>
      </c>
      <c r="G74" s="198">
        <v>0</v>
      </c>
      <c r="H74" s="199">
        <v>0</v>
      </c>
      <c r="I74" s="200">
        <v>0</v>
      </c>
      <c r="J74" s="200">
        <v>0</v>
      </c>
      <c r="K74" s="200">
        <v>0</v>
      </c>
      <c r="L74" s="201">
        <f>TE_Raw!C71</f>
        <v>10.4</v>
      </c>
      <c r="M74" s="201">
        <f>TE_Raw!D71</f>
        <v>117.9</v>
      </c>
      <c r="N74" s="203">
        <f>TE_Raw!E71</f>
        <v>0.9</v>
      </c>
      <c r="O74" s="200">
        <f>TE_Raw!F71</f>
        <v>0</v>
      </c>
      <c r="P74" s="10">
        <f t="shared" si="19"/>
        <v>22.39</v>
      </c>
      <c r="Q74" t="str">
        <f t="shared" ca="1" si="20"/>
        <v>Undrafted</v>
      </c>
      <c r="R74">
        <f t="shared" ca="1" si="21"/>
        <v>0</v>
      </c>
      <c r="S74">
        <f t="shared" ca="1" si="22"/>
        <v>-68.440000000000012</v>
      </c>
      <c r="T74" s="174">
        <f t="shared" ca="1" si="23"/>
        <v>-11.291200663165677</v>
      </c>
      <c r="U74" s="174">
        <f ca="1">T74*Auction!$A$2</f>
        <v>-11.291200663165677</v>
      </c>
      <c r="V74" s="5" t="str">
        <f>IF(OR(INDEX(Auction!$H$13:$H$650,MATCH(B74,Auction!$A$13:$A$650,0))&gt;0,IFERROR(INDEX(CheatSheet!$D$37:$D$64,MATCH(B74,CheatSheet!$A$37:$A$64,0)),"")&lt;&gt;""),"Yes","No")</f>
        <v>No</v>
      </c>
      <c r="W74" s="175"/>
      <c r="Y74" s="77">
        <f t="shared" ca="1" si="24"/>
        <v>1</v>
      </c>
      <c r="Z74">
        <f t="shared" ca="1" si="26"/>
        <v>-34.220000000000006</v>
      </c>
      <c r="AA74" t="str">
        <f t="shared" ca="1" si="27"/>
        <v>TE8</v>
      </c>
      <c r="AB74" s="174">
        <f ca="1">Z74*LeagueInfo!$H$5</f>
        <v>-11.05135505871006</v>
      </c>
      <c r="AC74" s="174">
        <f t="shared" ca="1" si="25"/>
        <v>-0.58194595688180162</v>
      </c>
    </row>
    <row r="75" spans="1:29" x14ac:dyDescent="0.35">
      <c r="A75">
        <f t="shared" si="18"/>
        <v>73</v>
      </c>
      <c r="B75" t="str">
        <f>TE_Raw!A73</f>
        <v>Jared Wiley</v>
      </c>
      <c r="C75" t="s">
        <v>40</v>
      </c>
      <c r="D75">
        <f>_xlfn.IFNA(INDEX(BYEs!E:E,MATCH(B75,BYEs!D:D,0)),"N/A")</f>
        <v>23</v>
      </c>
      <c r="E75">
        <f>INDEX(BYEs!$B$2:$B$34,MATCH(F75,BYEs!$A$2:$A$34,0))</f>
        <v>6</v>
      </c>
      <c r="F75" t="str">
        <f>TE_Raw!B73</f>
        <v>KC</v>
      </c>
      <c r="G75" s="198">
        <v>0</v>
      </c>
      <c r="H75" s="199">
        <v>0</v>
      </c>
      <c r="I75" s="200">
        <v>0</v>
      </c>
      <c r="J75" s="200">
        <v>0</v>
      </c>
      <c r="K75" s="200">
        <v>0</v>
      </c>
      <c r="L75" s="201">
        <f>TE_Raw!C73</f>
        <v>11</v>
      </c>
      <c r="M75" s="201">
        <f>TE_Raw!D73</f>
        <v>112.5</v>
      </c>
      <c r="N75" s="203">
        <f>TE_Raw!E73</f>
        <v>0.9</v>
      </c>
      <c r="O75" s="200">
        <f>TE_Raw!F73</f>
        <v>0</v>
      </c>
      <c r="P75" s="10">
        <f t="shared" si="19"/>
        <v>22.15</v>
      </c>
      <c r="Q75" t="str">
        <f t="shared" ca="1" si="20"/>
        <v>Undrafted</v>
      </c>
      <c r="R75">
        <f t="shared" ca="1" si="21"/>
        <v>0</v>
      </c>
      <c r="S75">
        <f t="shared" ca="1" si="22"/>
        <v>-68.680000000000007</v>
      </c>
      <c r="T75" s="174">
        <f t="shared" ca="1" si="23"/>
        <v>-11.330795756081512</v>
      </c>
      <c r="U75" s="174">
        <f ca="1">T75*Auction!$A$2</f>
        <v>-11.330795756081512</v>
      </c>
      <c r="V75" s="5" t="str">
        <f>IF(OR(INDEX(Auction!$H$13:$H$650,MATCH(B75,Auction!$A$13:$A$650,0))&gt;0,IFERROR(INDEX(CheatSheet!$D$37:$D$64,MATCH(B75,CheatSheet!$A$37:$A$64,0)),"")&lt;&gt;""),"Yes","No")</f>
        <v>No</v>
      </c>
      <c r="W75" s="175"/>
      <c r="Y75" s="77">
        <f t="shared" ca="1" si="24"/>
        <v>1</v>
      </c>
      <c r="Z75">
        <f t="shared" ca="1" si="26"/>
        <v>-34.340000000000003</v>
      </c>
      <c r="AA75" t="str">
        <f t="shared" ca="1" si="27"/>
        <v>TE8</v>
      </c>
      <c r="AB75" s="174">
        <f ca="1">Z75*LeagueInfo!$H$5</f>
        <v>-11.090109079956267</v>
      </c>
      <c r="AC75" s="174">
        <f t="shared" ca="1" si="25"/>
        <v>-0.58647826969374872</v>
      </c>
    </row>
    <row r="76" spans="1:29" x14ac:dyDescent="0.35">
      <c r="A76">
        <f t="shared" si="18"/>
        <v>74</v>
      </c>
      <c r="B76" t="str">
        <f>TE_Raw!A75</f>
        <v>Brenden Bates</v>
      </c>
      <c r="C76" t="s">
        <v>40</v>
      </c>
      <c r="D76" t="str">
        <f>_xlfn.IFNA(INDEX(BYEs!E:E,MATCH(B76,BYEs!D:D,0)),"N/A")</f>
        <v>N/A</v>
      </c>
      <c r="E76">
        <f>INDEX(BYEs!$B$2:$B$34,MATCH(F76,BYEs!$A$2:$A$34,0))</f>
        <v>12</v>
      </c>
      <c r="F76" t="str">
        <f>TE_Raw!B75</f>
        <v>NYJ</v>
      </c>
      <c r="G76" s="198">
        <v>0</v>
      </c>
      <c r="H76" s="199">
        <v>0</v>
      </c>
      <c r="I76" s="200">
        <v>0</v>
      </c>
      <c r="J76" s="200">
        <v>0</v>
      </c>
      <c r="K76" s="200">
        <v>0</v>
      </c>
      <c r="L76" s="201">
        <f>TE_Raw!C75</f>
        <v>11</v>
      </c>
      <c r="M76" s="201">
        <f>TE_Raw!D75</f>
        <v>104</v>
      </c>
      <c r="N76" s="203">
        <f>TE_Raw!E75</f>
        <v>1</v>
      </c>
      <c r="O76" s="200">
        <f>TE_Raw!F75</f>
        <v>0</v>
      </c>
      <c r="P76" s="10">
        <f t="shared" si="19"/>
        <v>21.9</v>
      </c>
      <c r="Q76" t="str">
        <f t="shared" ca="1" si="20"/>
        <v>Undrafted</v>
      </c>
      <c r="R76">
        <f t="shared" ca="1" si="21"/>
        <v>0</v>
      </c>
      <c r="S76">
        <f t="shared" ca="1" si="22"/>
        <v>-68.930000000000007</v>
      </c>
      <c r="T76" s="174">
        <f t="shared" ca="1" si="23"/>
        <v>-11.372040644535506</v>
      </c>
      <c r="U76" s="174">
        <f ca="1">T76*Auction!$A$2</f>
        <v>-11.372040644535506</v>
      </c>
      <c r="V76" s="5" t="str">
        <f>IF(OR(INDEX(Auction!$H$13:$H$650,MATCH(B76,Auction!$A$13:$A$650,0))&gt;0,IFERROR(INDEX(CheatSheet!$D$37:$D$64,MATCH(B76,CheatSheet!$A$37:$A$64,0)),"")&lt;&gt;""),"Yes","No")</f>
        <v>No</v>
      </c>
      <c r="W76" s="175"/>
      <c r="Y76" s="77">
        <f t="shared" ca="1" si="24"/>
        <v>1</v>
      </c>
      <c r="Z76">
        <f t="shared" ca="1" si="26"/>
        <v>-34.465000000000003</v>
      </c>
      <c r="AA76" t="str">
        <f t="shared" ca="1" si="27"/>
        <v>TE8</v>
      </c>
      <c r="AB76" s="174">
        <f ca="1">Z76*LeagueInfo!$H$5</f>
        <v>-11.130477852087733</v>
      </c>
      <c r="AC76" s="174">
        <f t="shared" ca="1" si="25"/>
        <v>-0.59119942887286037</v>
      </c>
    </row>
    <row r="77" spans="1:29" x14ac:dyDescent="0.35">
      <c r="A77">
        <f t="shared" si="18"/>
        <v>75</v>
      </c>
      <c r="B77" t="str">
        <f>TE_Raw!A77</f>
        <v>Travis Vokolek</v>
      </c>
      <c r="C77" t="s">
        <v>40</v>
      </c>
      <c r="D77" t="str">
        <f>_xlfn.IFNA(INDEX(BYEs!E:E,MATCH(B77,BYEs!D:D,0)),"N/A")</f>
        <v>N/A</v>
      </c>
      <c r="E77">
        <f>INDEX(BYEs!$B$2:$B$34,MATCH(F77,BYEs!$A$2:$A$34,0))</f>
        <v>11</v>
      </c>
      <c r="F77" t="str">
        <f>TE_Raw!B77</f>
        <v>ARI</v>
      </c>
      <c r="G77" s="198">
        <v>0</v>
      </c>
      <c r="H77" s="199">
        <v>0</v>
      </c>
      <c r="I77" s="200">
        <v>0</v>
      </c>
      <c r="J77" s="200">
        <v>0</v>
      </c>
      <c r="K77" s="200">
        <v>0</v>
      </c>
      <c r="L77" s="201">
        <f>TE_Raw!C77</f>
        <v>11</v>
      </c>
      <c r="M77" s="201">
        <f>TE_Raw!D77</f>
        <v>102</v>
      </c>
      <c r="N77" s="203">
        <f>TE_Raw!E77</f>
        <v>1</v>
      </c>
      <c r="O77" s="200">
        <f>TE_Raw!F77</f>
        <v>0</v>
      </c>
      <c r="P77" s="10">
        <f t="shared" si="19"/>
        <v>21.700000000000003</v>
      </c>
      <c r="Q77" t="str">
        <f t="shared" ca="1" si="20"/>
        <v>Undrafted</v>
      </c>
      <c r="R77">
        <f t="shared" ca="1" si="21"/>
        <v>0</v>
      </c>
      <c r="S77">
        <f t="shared" ca="1" si="22"/>
        <v>-69.13000000000001</v>
      </c>
      <c r="T77" s="174">
        <f t="shared" ca="1" si="23"/>
        <v>-11.405036555298704</v>
      </c>
      <c r="U77" s="174">
        <f ca="1">T77*Auction!$A$2</f>
        <v>-11.405036555298704</v>
      </c>
      <c r="V77" s="5" t="str">
        <f>IF(OR(INDEX(Auction!$H$13:$H$650,MATCH(B77,Auction!$A$13:$A$650,0))&gt;0,IFERROR(INDEX(CheatSheet!$D$37:$D$64,MATCH(B77,CheatSheet!$A$37:$A$64,0)),"")&lt;&gt;""),"Yes","No")</f>
        <v>No</v>
      </c>
      <c r="W77" s="175"/>
      <c r="Y77" s="77">
        <f t="shared" ca="1" si="24"/>
        <v>1</v>
      </c>
      <c r="Z77">
        <f t="shared" ca="1" si="26"/>
        <v>-34.565000000000005</v>
      </c>
      <c r="AA77" t="str">
        <f t="shared" ca="1" si="27"/>
        <v>TE8</v>
      </c>
      <c r="AB77" s="174">
        <f ca="1">Z77*LeagueInfo!$H$5</f>
        <v>-11.162772869792905</v>
      </c>
      <c r="AC77" s="174">
        <f t="shared" ca="1" si="25"/>
        <v>-0.59497635621614986</v>
      </c>
    </row>
    <row r="78" spans="1:29" x14ac:dyDescent="0.35">
      <c r="A78">
        <f t="shared" si="18"/>
        <v>76</v>
      </c>
      <c r="B78" t="str">
        <f>TE_Raw!A82</f>
        <v>Cameron Latu</v>
      </c>
      <c r="C78" t="s">
        <v>40</v>
      </c>
      <c r="D78" t="str">
        <f>_xlfn.IFNA(INDEX(BYEs!E:E,MATCH(B78,BYEs!D:D,0)),"N/A")</f>
        <v>N/A</v>
      </c>
      <c r="E78">
        <f>INDEX(BYEs!$B$2:$B$34,MATCH(F78,BYEs!$A$2:$A$34,0))</f>
        <v>10</v>
      </c>
      <c r="F78" t="str">
        <f>TE_Raw!B82</f>
        <v>CLE</v>
      </c>
      <c r="G78" s="198">
        <v>0</v>
      </c>
      <c r="H78" s="199">
        <v>0</v>
      </c>
      <c r="I78" s="200">
        <v>0</v>
      </c>
      <c r="J78" s="200">
        <v>0</v>
      </c>
      <c r="K78" s="200">
        <v>0</v>
      </c>
      <c r="L78" s="201">
        <f>TE_Raw!C82</f>
        <v>13</v>
      </c>
      <c r="M78" s="201">
        <f>TE_Raw!D82</f>
        <v>88</v>
      </c>
      <c r="N78" s="203">
        <f>TE_Raw!E82</f>
        <v>1</v>
      </c>
      <c r="O78" s="200">
        <f>TE_Raw!F82</f>
        <v>0</v>
      </c>
      <c r="P78" s="10">
        <f t="shared" si="19"/>
        <v>21.3</v>
      </c>
      <c r="Q78" t="str">
        <f t="shared" ca="1" si="20"/>
        <v>Undrafted</v>
      </c>
      <c r="R78">
        <f t="shared" ca="1" si="21"/>
        <v>0</v>
      </c>
      <c r="S78">
        <f t="shared" ca="1" si="22"/>
        <v>-69.530000000000015</v>
      </c>
      <c r="T78" s="174">
        <f t="shared" ca="1" si="23"/>
        <v>-11.471028376825096</v>
      </c>
      <c r="U78" s="174">
        <f ca="1">T78*Auction!$A$2</f>
        <v>-11.471028376825096</v>
      </c>
      <c r="V78" s="5" t="str">
        <f>IF(OR(INDEX(Auction!$H$13:$H$650,MATCH(B78,Auction!$A$13:$A$650,0))&gt;0,IFERROR(INDEX(CheatSheet!$D$37:$D$64,MATCH(B78,CheatSheet!$A$37:$A$64,0)),"")&lt;&gt;""),"Yes","No")</f>
        <v>No</v>
      </c>
      <c r="W78" s="175"/>
      <c r="Y78" s="77">
        <f t="shared" ca="1" si="24"/>
        <v>1</v>
      </c>
      <c r="Z78">
        <f t="shared" ca="1" si="26"/>
        <v>-34.765000000000008</v>
      </c>
      <c r="AA78" t="str">
        <f t="shared" ca="1" si="27"/>
        <v>TE8</v>
      </c>
      <c r="AB78" s="174">
        <f ca="1">Z78*LeagueInfo!$H$5</f>
        <v>-11.227362905203252</v>
      </c>
      <c r="AC78" s="174">
        <f t="shared" ca="1" si="25"/>
        <v>-0.60253021090272862</v>
      </c>
    </row>
    <row r="79" spans="1:29" x14ac:dyDescent="0.35">
      <c r="A79">
        <f t="shared" si="18"/>
        <v>77</v>
      </c>
      <c r="B79" t="str">
        <f>TE_Raw!A74</f>
        <v>Drew Ogletree</v>
      </c>
      <c r="C79" t="s">
        <v>40</v>
      </c>
      <c r="D79" t="str">
        <f>_xlfn.IFNA(INDEX(BYEs!E:E,MATCH(B79,BYEs!D:D,0)),"N/A")</f>
        <v>N/A</v>
      </c>
      <c r="E79">
        <f>INDEX(BYEs!$B$2:$B$34,MATCH(F79,BYEs!$A$2:$A$34,0))</f>
        <v>14</v>
      </c>
      <c r="F79" t="str">
        <f>TE_Raw!B74</f>
        <v>IND</v>
      </c>
      <c r="G79" s="198">
        <v>0</v>
      </c>
      <c r="H79" s="199">
        <v>0</v>
      </c>
      <c r="I79" s="200">
        <v>0</v>
      </c>
      <c r="J79" s="200">
        <v>0</v>
      </c>
      <c r="K79" s="200">
        <v>0</v>
      </c>
      <c r="L79" s="201">
        <f>TE_Raw!C74</f>
        <v>9.5</v>
      </c>
      <c r="M79" s="201">
        <f>TE_Raw!D74</f>
        <v>114.4</v>
      </c>
      <c r="N79" s="203">
        <f>TE_Raw!E74</f>
        <v>0.8</v>
      </c>
      <c r="O79" s="200">
        <f>TE_Raw!F74</f>
        <v>0</v>
      </c>
      <c r="P79" s="10">
        <f t="shared" si="19"/>
        <v>20.990000000000002</v>
      </c>
      <c r="Q79" t="str">
        <f t="shared" ca="1" si="20"/>
        <v>Undrafted</v>
      </c>
      <c r="R79">
        <f t="shared" ca="1" si="21"/>
        <v>0</v>
      </c>
      <c r="S79">
        <f t="shared" ca="1" si="22"/>
        <v>-69.84</v>
      </c>
      <c r="T79" s="174">
        <f t="shared" ca="1" si="23"/>
        <v>-11.522172038508048</v>
      </c>
      <c r="U79" s="174">
        <f ca="1">T79*Auction!$A$2</f>
        <v>-11.522172038508048</v>
      </c>
      <c r="V79" s="5" t="str">
        <f>IF(OR(INDEX(Auction!$H$13:$H$650,MATCH(B79,Auction!$A$13:$A$650,0))&gt;0,IFERROR(INDEX(CheatSheet!$D$37:$D$64,MATCH(B79,CheatSheet!$A$37:$A$64,0)),"")&lt;&gt;""),"Yes","No")</f>
        <v>No</v>
      </c>
      <c r="W79" s="175"/>
      <c r="Y79" s="77">
        <f t="shared" ca="1" si="24"/>
        <v>1</v>
      </c>
      <c r="Z79">
        <f t="shared" ca="1" si="26"/>
        <v>-34.92</v>
      </c>
      <c r="AA79" t="str">
        <f t="shared" ca="1" si="27"/>
        <v>TE8</v>
      </c>
      <c r="AB79" s="174">
        <f ca="1">Z79*LeagueInfo!$H$5</f>
        <v>-11.277420182646267</v>
      </c>
      <c r="AC79" s="174">
        <f t="shared" ca="1" si="25"/>
        <v>-0.60838444828482685</v>
      </c>
    </row>
    <row r="80" spans="1:29" x14ac:dyDescent="0.35">
      <c r="A80">
        <f t="shared" si="18"/>
        <v>78</v>
      </c>
      <c r="B80" t="str">
        <f>TE_Raw!A80</f>
        <v>Cade Stover</v>
      </c>
      <c r="C80" t="s">
        <v>40</v>
      </c>
      <c r="D80">
        <f>_xlfn.IFNA(INDEX(BYEs!E:E,MATCH(B80,BYEs!D:D,0)),"N/A")</f>
        <v>24</v>
      </c>
      <c r="E80">
        <f>INDEX(BYEs!$B$2:$B$34,MATCH(F80,BYEs!$A$2:$A$34,0))</f>
        <v>14</v>
      </c>
      <c r="F80" t="str">
        <f>TE_Raw!B80</f>
        <v>HOU</v>
      </c>
      <c r="G80" s="198">
        <v>0</v>
      </c>
      <c r="H80" s="199">
        <v>0</v>
      </c>
      <c r="I80" s="200">
        <v>0</v>
      </c>
      <c r="J80" s="200">
        <v>0</v>
      </c>
      <c r="K80" s="200">
        <v>0</v>
      </c>
      <c r="L80" s="201">
        <f>TE_Raw!C80</f>
        <v>10</v>
      </c>
      <c r="M80" s="201">
        <f>TE_Raw!D80</f>
        <v>105.8</v>
      </c>
      <c r="N80" s="203">
        <f>TE_Raw!E80</f>
        <v>0.8</v>
      </c>
      <c r="O80" s="200">
        <f>TE_Raw!F80</f>
        <v>0</v>
      </c>
      <c r="P80" s="10">
        <f t="shared" si="19"/>
        <v>20.380000000000003</v>
      </c>
      <c r="Q80" t="str">
        <f t="shared" ca="1" si="20"/>
        <v>Undrafted</v>
      </c>
      <c r="R80">
        <f t="shared" ca="1" si="21"/>
        <v>0</v>
      </c>
      <c r="S80">
        <f t="shared" ca="1" si="22"/>
        <v>-70.450000000000017</v>
      </c>
      <c r="T80" s="174">
        <f t="shared" ca="1" si="23"/>
        <v>-11.622809566335798</v>
      </c>
      <c r="U80" s="174">
        <f ca="1">T80*Auction!$A$2</f>
        <v>-11.622809566335798</v>
      </c>
      <c r="V80" s="5" t="str">
        <f>IF(OR(INDEX(Auction!$H$13:$H$650,MATCH(B80,Auction!$A$13:$A$650,0))&gt;0,IFERROR(INDEX(CheatSheet!$D$37:$D$64,MATCH(B80,CheatSheet!$A$37:$A$64,0)),"")&lt;&gt;""),"Yes","No")</f>
        <v>No</v>
      </c>
      <c r="W80" s="175"/>
      <c r="Y80" s="77">
        <f t="shared" ca="1" si="24"/>
        <v>1</v>
      </c>
      <c r="Z80">
        <f t="shared" ca="1" si="26"/>
        <v>-35.225000000000009</v>
      </c>
      <c r="AA80" t="str">
        <f t="shared" ca="1" si="27"/>
        <v>TE8</v>
      </c>
      <c r="AB80" s="174">
        <f ca="1">Z80*LeagueInfo!$H$5</f>
        <v>-11.375919986647046</v>
      </c>
      <c r="AC80" s="174">
        <f t="shared" ca="1" si="25"/>
        <v>-0.61990407668185965</v>
      </c>
    </row>
    <row r="81" spans="1:29" x14ac:dyDescent="0.35">
      <c r="A81">
        <f t="shared" si="18"/>
        <v>79</v>
      </c>
      <c r="B81" t="str">
        <f>TE_Raw!A81</f>
        <v>Erick All Jr.</v>
      </c>
      <c r="C81" t="s">
        <v>40</v>
      </c>
      <c r="D81">
        <f>_xlfn.IFNA(INDEX(BYEs!E:E,MATCH(B81,BYEs!D:D,0)),"N/A")</f>
        <v>23</v>
      </c>
      <c r="E81">
        <f>INDEX(BYEs!$B$2:$B$34,MATCH(F81,BYEs!$A$2:$A$34,0))</f>
        <v>12</v>
      </c>
      <c r="F81" t="str">
        <f>TE_Raw!B81</f>
        <v>CIN</v>
      </c>
      <c r="G81" s="198">
        <v>0</v>
      </c>
      <c r="H81" s="199">
        <v>0</v>
      </c>
      <c r="I81" s="200">
        <v>0</v>
      </c>
      <c r="J81" s="200">
        <v>0</v>
      </c>
      <c r="K81" s="200">
        <v>0</v>
      </c>
      <c r="L81" s="201">
        <f>TE_Raw!C81</f>
        <v>10.3</v>
      </c>
      <c r="M81" s="201">
        <f>TE_Raw!D81</f>
        <v>103</v>
      </c>
      <c r="N81" s="203">
        <f>TE_Raw!E81</f>
        <v>0.8</v>
      </c>
      <c r="O81" s="200">
        <f>TE_Raw!F81</f>
        <v>0</v>
      </c>
      <c r="P81" s="10">
        <f t="shared" si="19"/>
        <v>20.25</v>
      </c>
      <c r="Q81" t="str">
        <f t="shared" ca="1" si="20"/>
        <v>Undrafted</v>
      </c>
      <c r="R81">
        <f t="shared" ca="1" si="21"/>
        <v>0</v>
      </c>
      <c r="S81">
        <f t="shared" ca="1" si="22"/>
        <v>-70.580000000000013</v>
      </c>
      <c r="T81" s="174">
        <f t="shared" ca="1" si="23"/>
        <v>-11.644256908331874</v>
      </c>
      <c r="U81" s="174">
        <f ca="1">T81*Auction!$A$2</f>
        <v>-11.644256908331874</v>
      </c>
      <c r="V81" s="5" t="str">
        <f>IF(OR(INDEX(Auction!$H$13:$H$650,MATCH(B81,Auction!$A$13:$A$650,0))&gt;0,IFERROR(INDEX(CheatSheet!$D$37:$D$64,MATCH(B81,CheatSheet!$A$37:$A$64,0)),"")&lt;&gt;""),"Yes","No")</f>
        <v>No</v>
      </c>
      <c r="W81" s="175"/>
      <c r="Y81" s="77">
        <f t="shared" ca="1" si="24"/>
        <v>1</v>
      </c>
      <c r="Z81">
        <f t="shared" ca="1" si="26"/>
        <v>-35.290000000000006</v>
      </c>
      <c r="AA81" t="str">
        <f t="shared" ca="1" si="27"/>
        <v>TE8</v>
      </c>
      <c r="AB81" s="174">
        <f ca="1">Z81*LeagueInfo!$H$5</f>
        <v>-11.396911748155407</v>
      </c>
      <c r="AC81" s="174">
        <f t="shared" ca="1" si="25"/>
        <v>-0.62235907945499758</v>
      </c>
    </row>
    <row r="82" spans="1:29" x14ac:dyDescent="0.35">
      <c r="A82">
        <f t="shared" si="18"/>
        <v>80</v>
      </c>
      <c r="B82" t="str">
        <f>TE_Raw!A79</f>
        <v>Brenton Strange</v>
      </c>
      <c r="C82" t="s">
        <v>40</v>
      </c>
      <c r="D82">
        <f>_xlfn.IFNA(INDEX(BYEs!E:E,MATCH(B82,BYEs!D:D,0)),"N/A")</f>
        <v>23</v>
      </c>
      <c r="E82">
        <f>INDEX(BYEs!$B$2:$B$34,MATCH(F82,BYEs!$A$2:$A$34,0))</f>
        <v>12</v>
      </c>
      <c r="F82" t="str">
        <f>TE_Raw!B79</f>
        <v>JAC</v>
      </c>
      <c r="G82" s="198">
        <v>0</v>
      </c>
      <c r="H82" s="199">
        <v>0</v>
      </c>
      <c r="I82" s="200">
        <v>0</v>
      </c>
      <c r="J82" s="200">
        <v>0</v>
      </c>
      <c r="K82" s="200">
        <v>0</v>
      </c>
      <c r="L82" s="201">
        <f>TE_Raw!C79</f>
        <v>9.6999999999999993</v>
      </c>
      <c r="M82" s="201">
        <f>TE_Raw!D79</f>
        <v>92.1</v>
      </c>
      <c r="N82" s="203">
        <f>TE_Raw!E79</f>
        <v>1</v>
      </c>
      <c r="O82" s="200">
        <f>TE_Raw!F79</f>
        <v>0</v>
      </c>
      <c r="P82" s="10">
        <f t="shared" si="19"/>
        <v>20.059999999999999</v>
      </c>
      <c r="Q82" t="str">
        <f t="shared" ca="1" si="20"/>
        <v>Undrafted</v>
      </c>
      <c r="R82">
        <f t="shared" ca="1" si="21"/>
        <v>0</v>
      </c>
      <c r="S82">
        <f t="shared" ca="1" si="22"/>
        <v>-70.77000000000001</v>
      </c>
      <c r="T82" s="174">
        <f t="shared" ca="1" si="23"/>
        <v>-11.67560302355691</v>
      </c>
      <c r="U82" s="174">
        <f ca="1">T82*Auction!$A$2</f>
        <v>-11.67560302355691</v>
      </c>
      <c r="V82" s="5" t="str">
        <f>IF(OR(INDEX(Auction!$H$13:$H$650,MATCH(B82,Auction!$A$13:$A$650,0))&gt;0,IFERROR(INDEX(CheatSheet!$D$37:$D$64,MATCH(B82,CheatSheet!$A$37:$A$64,0)),"")&lt;&gt;""),"Yes","No")</f>
        <v>No</v>
      </c>
      <c r="W82" s="175"/>
      <c r="Y82" s="77">
        <f t="shared" ca="1" si="24"/>
        <v>1</v>
      </c>
      <c r="Z82">
        <f t="shared" ca="1" si="26"/>
        <v>-35.385000000000005</v>
      </c>
      <c r="AA82" t="str">
        <f t="shared" ca="1" si="27"/>
        <v>TE8</v>
      </c>
      <c r="AB82" s="174">
        <f ca="1">Z82*LeagueInfo!$H$5</f>
        <v>-11.427592014975321</v>
      </c>
      <c r="AC82" s="174">
        <f t="shared" ca="1" si="25"/>
        <v>-0.62594716043112242</v>
      </c>
    </row>
    <row r="83" spans="1:29" x14ac:dyDescent="0.35">
      <c r="A83">
        <f t="shared" si="18"/>
        <v>81</v>
      </c>
      <c r="B83" t="str">
        <f>TE_Raw!A78</f>
        <v>Jack Stoll</v>
      </c>
      <c r="C83" t="s">
        <v>40</v>
      </c>
      <c r="D83" t="str">
        <f>_xlfn.IFNA(INDEX(BYEs!E:E,MATCH(B83,BYEs!D:D,0)),"N/A")</f>
        <v>N/A</v>
      </c>
      <c r="E83">
        <f>INDEX(BYEs!$B$2:$B$34,MATCH(F83,BYEs!$A$2:$A$34,0))</f>
        <v>5</v>
      </c>
      <c r="F83" t="str">
        <f>TE_Raw!B78</f>
        <v>PHI</v>
      </c>
      <c r="G83" s="198">
        <v>0</v>
      </c>
      <c r="H83" s="199">
        <v>0</v>
      </c>
      <c r="I83" s="200">
        <v>0</v>
      </c>
      <c r="J83" s="200">
        <v>0</v>
      </c>
      <c r="K83" s="200">
        <v>0</v>
      </c>
      <c r="L83" s="201">
        <f>TE_Raw!C78</f>
        <v>9</v>
      </c>
      <c r="M83" s="201">
        <f>TE_Raw!D78</f>
        <v>95</v>
      </c>
      <c r="N83" s="203">
        <f>TE_Raw!E78</f>
        <v>1</v>
      </c>
      <c r="O83" s="200">
        <f>TE_Raw!F78</f>
        <v>0</v>
      </c>
      <c r="P83" s="10">
        <f t="shared" si="19"/>
        <v>20</v>
      </c>
      <c r="Q83" t="str">
        <f t="shared" ca="1" si="20"/>
        <v>Undrafted</v>
      </c>
      <c r="R83">
        <f t="shared" ca="1" si="21"/>
        <v>0</v>
      </c>
      <c r="S83">
        <f t="shared" ca="1" si="22"/>
        <v>-70.830000000000013</v>
      </c>
      <c r="T83" s="174">
        <f t="shared" ca="1" si="23"/>
        <v>-11.68550179678587</v>
      </c>
      <c r="U83" s="174">
        <f ca="1">T83*Auction!$A$2</f>
        <v>-11.68550179678587</v>
      </c>
      <c r="V83" s="5" t="str">
        <f>IF(OR(INDEX(Auction!$H$13:$H$650,MATCH(B83,Auction!$A$13:$A$650,0))&gt;0,IFERROR(INDEX(CheatSheet!$D$37:$D$64,MATCH(B83,CheatSheet!$A$37:$A$64,0)),"")&lt;&gt;""),"Yes","No")</f>
        <v>No</v>
      </c>
      <c r="W83" s="175"/>
      <c r="Y83" s="77">
        <f t="shared" ca="1" si="24"/>
        <v>1</v>
      </c>
      <c r="Z83">
        <f t="shared" ca="1" si="26"/>
        <v>-35.415000000000006</v>
      </c>
      <c r="AA83" t="str">
        <f t="shared" ca="1" si="27"/>
        <v>TE8</v>
      </c>
      <c r="AB83" s="174">
        <f ca="1">Z83*LeagueInfo!$H$5</f>
        <v>-11.437280520286873</v>
      </c>
      <c r="AC83" s="174">
        <f t="shared" ca="1" si="25"/>
        <v>-0.62708023863410933</v>
      </c>
    </row>
    <row r="84" spans="1:29" x14ac:dyDescent="0.35">
      <c r="A84">
        <f t="shared" si="18"/>
        <v>82</v>
      </c>
      <c r="B84" t="str">
        <f>TE_Raw!A83</f>
        <v>Tip Reiman</v>
      </c>
      <c r="C84" t="s">
        <v>40</v>
      </c>
      <c r="D84">
        <f>_xlfn.IFNA(INDEX(BYEs!E:E,MATCH(B84,BYEs!D:D,0)),"N/A")</f>
        <v>22</v>
      </c>
      <c r="E84">
        <f>INDEX(BYEs!$B$2:$B$34,MATCH(F84,BYEs!$A$2:$A$34,0))</f>
        <v>11</v>
      </c>
      <c r="F84" t="str">
        <f>TE_Raw!B83</f>
        <v>ARI</v>
      </c>
      <c r="G84" s="198">
        <v>0</v>
      </c>
      <c r="H84" s="199">
        <v>0</v>
      </c>
      <c r="I84" s="200">
        <v>0</v>
      </c>
      <c r="J84" s="200">
        <v>0</v>
      </c>
      <c r="K84" s="200">
        <v>0</v>
      </c>
      <c r="L84" s="201">
        <f>TE_Raw!C83</f>
        <v>10.199999999999999</v>
      </c>
      <c r="M84" s="201">
        <f>TE_Raw!D83</f>
        <v>99.1</v>
      </c>
      <c r="N84" s="203">
        <f>TE_Raw!E83</f>
        <v>0.8</v>
      </c>
      <c r="O84" s="200">
        <f>TE_Raw!F83</f>
        <v>0</v>
      </c>
      <c r="P84" s="10">
        <f t="shared" si="19"/>
        <v>19.810000000000002</v>
      </c>
      <c r="Q84" t="str">
        <f t="shared" ca="1" si="20"/>
        <v>Undrafted</v>
      </c>
      <c r="R84">
        <f t="shared" ca="1" si="21"/>
        <v>0</v>
      </c>
      <c r="S84">
        <f t="shared" ca="1" si="22"/>
        <v>-71.02000000000001</v>
      </c>
      <c r="T84" s="174">
        <f t="shared" ca="1" si="23"/>
        <v>-11.716847912010905</v>
      </c>
      <c r="U84" s="174">
        <f ca="1">T84*Auction!$A$2</f>
        <v>-11.716847912010905</v>
      </c>
      <c r="V84" s="5" t="str">
        <f>IF(OR(INDEX(Auction!$H$13:$H$650,MATCH(B84,Auction!$A$13:$A$650,0))&gt;0,IFERROR(INDEX(CheatSheet!$D$37:$D$64,MATCH(B84,CheatSheet!$A$37:$A$64,0)),"")&lt;&gt;""),"Yes","No")</f>
        <v>No</v>
      </c>
      <c r="W84" s="175"/>
      <c r="Y84" s="77">
        <f t="shared" ca="1" si="24"/>
        <v>1</v>
      </c>
      <c r="Z84">
        <f t="shared" ca="1" si="26"/>
        <v>-35.510000000000005</v>
      </c>
      <c r="AA84" t="str">
        <f t="shared" ca="1" si="27"/>
        <v>TE8</v>
      </c>
      <c r="AB84" s="174">
        <f ca="1">Z84*LeagueInfo!$H$5</f>
        <v>-11.467960787106787</v>
      </c>
      <c r="AC84" s="174">
        <f t="shared" ca="1" si="25"/>
        <v>-0.63066831961023417</v>
      </c>
    </row>
    <row r="85" spans="1:29" x14ac:dyDescent="0.35">
      <c r="A85">
        <f t="shared" si="18"/>
        <v>83</v>
      </c>
      <c r="B85" t="str">
        <f>TE_Raw!A88</f>
        <v>Drew Sample</v>
      </c>
      <c r="C85" t="s">
        <v>40</v>
      </c>
      <c r="D85" t="str">
        <f>_xlfn.IFNA(INDEX(BYEs!E:E,MATCH(B85,BYEs!D:D,0)),"N/A")</f>
        <v>N/A</v>
      </c>
      <c r="E85">
        <f>INDEX(BYEs!$B$2:$B$34,MATCH(F85,BYEs!$A$2:$A$34,0))</f>
        <v>12</v>
      </c>
      <c r="F85" t="str">
        <f>TE_Raw!B88</f>
        <v>CIN</v>
      </c>
      <c r="G85" s="198">
        <v>0</v>
      </c>
      <c r="H85" s="199">
        <v>0</v>
      </c>
      <c r="I85" s="200">
        <v>0</v>
      </c>
      <c r="J85" s="200">
        <v>0</v>
      </c>
      <c r="K85" s="200">
        <v>0</v>
      </c>
      <c r="L85" s="201">
        <f>TE_Raw!C88</f>
        <v>10.5</v>
      </c>
      <c r="M85" s="201">
        <f>TE_Raw!D88</f>
        <v>94.3</v>
      </c>
      <c r="N85" s="203">
        <f>TE_Raw!E88</f>
        <v>0.8</v>
      </c>
      <c r="O85" s="200">
        <f>TE_Raw!F88</f>
        <v>0</v>
      </c>
      <c r="P85" s="10">
        <f t="shared" si="19"/>
        <v>19.48</v>
      </c>
      <c r="Q85" t="str">
        <f t="shared" ca="1" si="20"/>
        <v>Undrafted</v>
      </c>
      <c r="R85">
        <f t="shared" ca="1" si="21"/>
        <v>0</v>
      </c>
      <c r="S85">
        <f t="shared" ca="1" si="22"/>
        <v>-71.350000000000009</v>
      </c>
      <c r="T85" s="174">
        <f t="shared" ca="1" si="23"/>
        <v>-11.771291164770179</v>
      </c>
      <c r="U85" s="174">
        <f ca="1">T85*Auction!$A$2</f>
        <v>-11.771291164770179</v>
      </c>
      <c r="V85" s="5" t="str">
        <f>IF(OR(INDEX(Auction!$H$13:$H$650,MATCH(B85,Auction!$A$13:$A$650,0))&gt;0,IFERROR(INDEX(CheatSheet!$D$37:$D$64,MATCH(B85,CheatSheet!$A$37:$A$64,0)),"")&lt;&gt;""),"Yes","No")</f>
        <v>No</v>
      </c>
      <c r="W85" s="175"/>
      <c r="Y85" s="77">
        <f t="shared" ca="1" si="24"/>
        <v>1</v>
      </c>
      <c r="Z85">
        <f t="shared" ca="1" si="26"/>
        <v>-35.675000000000004</v>
      </c>
      <c r="AA85" t="str">
        <f t="shared" ca="1" si="27"/>
        <v>TE8</v>
      </c>
      <c r="AB85" s="174">
        <f ca="1">Z85*LeagueInfo!$H$5</f>
        <v>-11.521247566320321</v>
      </c>
      <c r="AC85" s="174">
        <f t="shared" ca="1" si="25"/>
        <v>-0.63690024972666148</v>
      </c>
    </row>
    <row r="86" spans="1:29" x14ac:dyDescent="0.35">
      <c r="A86">
        <f t="shared" si="18"/>
        <v>84</v>
      </c>
      <c r="B86" t="str">
        <f>TE_Raw!A84</f>
        <v>Lucas Krull</v>
      </c>
      <c r="C86" t="s">
        <v>40</v>
      </c>
      <c r="D86">
        <f>_xlfn.IFNA(INDEX(BYEs!E:E,MATCH(B86,BYEs!D:D,0)),"N/A")</f>
        <v>26</v>
      </c>
      <c r="E86">
        <f>INDEX(BYEs!$B$2:$B$34,MATCH(F86,BYEs!$A$2:$A$34,0))</f>
        <v>14</v>
      </c>
      <c r="F86" t="str">
        <f>TE_Raw!B84</f>
        <v>DEN</v>
      </c>
      <c r="G86" s="198">
        <v>0</v>
      </c>
      <c r="H86" s="199">
        <v>0</v>
      </c>
      <c r="I86" s="200">
        <v>0</v>
      </c>
      <c r="J86" s="200">
        <v>0</v>
      </c>
      <c r="K86" s="200">
        <v>0</v>
      </c>
      <c r="L86" s="201">
        <f>TE_Raw!C84</f>
        <v>9.6</v>
      </c>
      <c r="M86" s="201">
        <f>TE_Raw!D84</f>
        <v>103.5</v>
      </c>
      <c r="N86" s="203">
        <f>TE_Raw!E84</f>
        <v>0.7</v>
      </c>
      <c r="O86" s="200">
        <f>TE_Raw!F84</f>
        <v>0</v>
      </c>
      <c r="P86" s="10">
        <f t="shared" si="19"/>
        <v>19.350000000000001</v>
      </c>
      <c r="Q86" t="str">
        <f t="shared" ca="1" si="20"/>
        <v>Undrafted</v>
      </c>
      <c r="R86">
        <f t="shared" ca="1" si="21"/>
        <v>0</v>
      </c>
      <c r="S86">
        <f t="shared" ca="1" si="22"/>
        <v>-71.480000000000018</v>
      </c>
      <c r="T86" s="174">
        <f t="shared" ca="1" si="23"/>
        <v>-11.792738506766257</v>
      </c>
      <c r="U86" s="174">
        <f ca="1">T86*Auction!$A$2</f>
        <v>-11.792738506766257</v>
      </c>
      <c r="V86" s="5" t="str">
        <f>IF(OR(INDEX(Auction!$H$13:$H$650,MATCH(B86,Auction!$A$13:$A$650,0))&gt;0,IFERROR(INDEX(CheatSheet!$D$37:$D$64,MATCH(B86,CheatSheet!$A$37:$A$64,0)),"")&lt;&gt;""),"Yes","No")</f>
        <v>No</v>
      </c>
      <c r="W86" s="175"/>
      <c r="Y86" s="77">
        <f t="shared" ca="1" si="24"/>
        <v>1</v>
      </c>
      <c r="Z86">
        <f t="shared" ca="1" si="26"/>
        <v>-35.740000000000009</v>
      </c>
      <c r="AA86" t="str">
        <f t="shared" ca="1" si="27"/>
        <v>TE8</v>
      </c>
      <c r="AB86" s="174">
        <f ca="1">Z86*LeagueInfo!$H$5</f>
        <v>-11.542239327828685</v>
      </c>
      <c r="AC86" s="174">
        <f t="shared" ca="1" si="25"/>
        <v>-0.63935525249979974</v>
      </c>
    </row>
    <row r="87" spans="1:29" x14ac:dyDescent="0.35">
      <c r="A87">
        <f t="shared" si="18"/>
        <v>85</v>
      </c>
      <c r="B87" t="str">
        <f>TE_Raw!A86</f>
        <v>Dallin Holker</v>
      </c>
      <c r="C87" t="s">
        <v>40</v>
      </c>
      <c r="D87">
        <f>_xlfn.IFNA(INDEX(BYEs!E:E,MATCH(B87,BYEs!D:D,0)),"N/A")</f>
        <v>24</v>
      </c>
      <c r="E87">
        <f>INDEX(BYEs!$B$2:$B$34,MATCH(F87,BYEs!$A$2:$A$34,0))</f>
        <v>12</v>
      </c>
      <c r="F87" t="str">
        <f>TE_Raw!B86</f>
        <v>NO</v>
      </c>
      <c r="G87" s="198">
        <v>0</v>
      </c>
      <c r="H87" s="199">
        <v>0</v>
      </c>
      <c r="I87" s="200">
        <v>0</v>
      </c>
      <c r="J87" s="200">
        <v>0</v>
      </c>
      <c r="K87" s="200">
        <v>0</v>
      </c>
      <c r="L87" s="201">
        <f>TE_Raw!C86</f>
        <v>9.3000000000000007</v>
      </c>
      <c r="M87" s="201">
        <f>TE_Raw!D86</f>
        <v>95.4</v>
      </c>
      <c r="N87" s="203">
        <f>TE_Raw!E86</f>
        <v>0.8</v>
      </c>
      <c r="O87" s="200">
        <f>TE_Raw!F86</f>
        <v>0</v>
      </c>
      <c r="P87" s="10">
        <f t="shared" si="19"/>
        <v>18.990000000000002</v>
      </c>
      <c r="Q87" t="str">
        <f t="shared" ca="1" si="20"/>
        <v>Undrafted</v>
      </c>
      <c r="R87">
        <f t="shared" ca="1" si="21"/>
        <v>0</v>
      </c>
      <c r="S87">
        <f t="shared" ca="1" si="22"/>
        <v>-71.84</v>
      </c>
      <c r="T87" s="174">
        <f t="shared" ca="1" si="23"/>
        <v>-11.852131146140009</v>
      </c>
      <c r="U87" s="174">
        <f ca="1">T87*Auction!$A$2</f>
        <v>-11.852131146140009</v>
      </c>
      <c r="V87" s="5" t="str">
        <f>IF(OR(INDEX(Auction!$H$13:$H$650,MATCH(B87,Auction!$A$13:$A$650,0))&gt;0,IFERROR(INDEX(CheatSheet!$D$37:$D$64,MATCH(B87,CheatSheet!$A$37:$A$64,0)),"")&lt;&gt;""),"Yes","No")</f>
        <v>No</v>
      </c>
      <c r="W87" s="175"/>
      <c r="Y87" s="77">
        <f t="shared" ca="1" si="24"/>
        <v>1</v>
      </c>
      <c r="Z87">
        <f t="shared" ca="1" si="26"/>
        <v>-35.92</v>
      </c>
      <c r="AA87" t="str">
        <f t="shared" ca="1" si="27"/>
        <v>TE8</v>
      </c>
      <c r="AB87" s="174">
        <f ca="1">Z87*LeagueInfo!$H$5</f>
        <v>-11.600370359697994</v>
      </c>
      <c r="AC87" s="174">
        <f t="shared" ca="1" si="25"/>
        <v>-0.64615372171772034</v>
      </c>
    </row>
    <row r="88" spans="1:29" x14ac:dyDescent="0.35">
      <c r="A88">
        <f t="shared" si="18"/>
        <v>86</v>
      </c>
      <c r="B88" t="str">
        <f>TE_Raw!A87</f>
        <v>Payne Durham</v>
      </c>
      <c r="C88" t="s">
        <v>40</v>
      </c>
      <c r="D88" t="str">
        <f>_xlfn.IFNA(INDEX(BYEs!E:E,MATCH(B88,BYEs!D:D,0)),"N/A")</f>
        <v>N/A</v>
      </c>
      <c r="E88">
        <f>INDEX(BYEs!$B$2:$B$34,MATCH(F88,BYEs!$A$2:$A$34,0))</f>
        <v>11</v>
      </c>
      <c r="F88" t="str">
        <f>TE_Raw!B87</f>
        <v>TB</v>
      </c>
      <c r="G88" s="198">
        <v>0</v>
      </c>
      <c r="H88" s="199">
        <v>0</v>
      </c>
      <c r="I88" s="200">
        <v>0</v>
      </c>
      <c r="J88" s="200">
        <v>0</v>
      </c>
      <c r="K88" s="200">
        <v>0</v>
      </c>
      <c r="L88" s="201">
        <f>TE_Raw!C87</f>
        <v>9.1999999999999993</v>
      </c>
      <c r="M88" s="201">
        <f>TE_Raw!D87</f>
        <v>96.7</v>
      </c>
      <c r="N88" s="203">
        <f>TE_Raw!E87</f>
        <v>0.7</v>
      </c>
      <c r="O88" s="200">
        <f>TE_Raw!F87</f>
        <v>0</v>
      </c>
      <c r="P88" s="10">
        <f t="shared" si="19"/>
        <v>18.47</v>
      </c>
      <c r="Q88" t="str">
        <f t="shared" ca="1" si="20"/>
        <v>Undrafted</v>
      </c>
      <c r="R88">
        <f t="shared" ca="1" si="21"/>
        <v>0</v>
      </c>
      <c r="S88">
        <f t="shared" ca="1" si="22"/>
        <v>-72.360000000000014</v>
      </c>
      <c r="T88" s="174">
        <f t="shared" ca="1" si="23"/>
        <v>-11.93792051412432</v>
      </c>
      <c r="U88" s="174">
        <f ca="1">T88*Auction!$A$2</f>
        <v>-11.93792051412432</v>
      </c>
      <c r="V88" s="5" t="str">
        <f>IF(OR(INDEX(Auction!$H$13:$H$650,MATCH(B88,Auction!$A$13:$A$650,0))&gt;0,IFERROR(INDEX(CheatSheet!$D$37:$D$64,MATCH(B88,CheatSheet!$A$37:$A$64,0)),"")&lt;&gt;""),"Yes","No")</f>
        <v>No</v>
      </c>
      <c r="W88" s="175"/>
      <c r="Y88" s="77">
        <f t="shared" ca="1" si="24"/>
        <v>1</v>
      </c>
      <c r="Z88">
        <f t="shared" ca="1" si="26"/>
        <v>-36.180000000000007</v>
      </c>
      <c r="AA88" t="str">
        <f t="shared" ca="1" si="27"/>
        <v>TE8</v>
      </c>
      <c r="AB88" s="174">
        <f ca="1">Z88*LeagueInfo!$H$5</f>
        <v>-11.684337405731444</v>
      </c>
      <c r="AC88" s="174">
        <f t="shared" ca="1" si="25"/>
        <v>-0.65597373281027282</v>
      </c>
    </row>
    <row r="89" spans="1:29" x14ac:dyDescent="0.35">
      <c r="A89">
        <f t="shared" si="18"/>
        <v>87</v>
      </c>
      <c r="B89" t="str">
        <f>TE_Raw!A85</f>
        <v>Albert Okwuegbunam Jr.</v>
      </c>
      <c r="C89" t="s">
        <v>40</v>
      </c>
      <c r="D89" t="str">
        <f>_xlfn.IFNA(INDEX(BYEs!E:E,MATCH(B89,BYEs!D:D,0)),"N/A")</f>
        <v>N/A</v>
      </c>
      <c r="E89">
        <f>INDEX(BYEs!$B$2:$B$34,MATCH(F89,BYEs!$A$2:$A$34,0))</f>
        <v>5</v>
      </c>
      <c r="F89" t="str">
        <f>TE_Raw!B85</f>
        <v>PHI</v>
      </c>
      <c r="G89" s="198">
        <v>0</v>
      </c>
      <c r="H89" s="199">
        <v>0</v>
      </c>
      <c r="I89" s="200">
        <v>0</v>
      </c>
      <c r="J89" s="200">
        <v>0</v>
      </c>
      <c r="K89" s="200">
        <v>0</v>
      </c>
      <c r="L89" s="201">
        <f>TE_Raw!C85</f>
        <v>8</v>
      </c>
      <c r="M89" s="201">
        <f>TE_Raw!D85</f>
        <v>82</v>
      </c>
      <c r="N89" s="203">
        <f>TE_Raw!E85</f>
        <v>1</v>
      </c>
      <c r="O89" s="200">
        <f>TE_Raw!F85</f>
        <v>0</v>
      </c>
      <c r="P89" s="10">
        <f t="shared" si="19"/>
        <v>18.200000000000003</v>
      </c>
      <c r="Q89" t="str">
        <f t="shared" ca="1" si="20"/>
        <v>Undrafted</v>
      </c>
      <c r="R89">
        <f t="shared" ca="1" si="21"/>
        <v>0</v>
      </c>
      <c r="S89">
        <f t="shared" ca="1" si="22"/>
        <v>-72.63000000000001</v>
      </c>
      <c r="T89" s="174">
        <f t="shared" ca="1" si="23"/>
        <v>-11.982464993654634</v>
      </c>
      <c r="U89" s="174">
        <f ca="1">T89*Auction!$A$2</f>
        <v>-11.982464993654634</v>
      </c>
      <c r="V89" s="5" t="str">
        <f>IF(OR(INDEX(Auction!$H$13:$H$650,MATCH(B89,Auction!$A$13:$A$650,0))&gt;0,IFERROR(INDEX(CheatSheet!$D$37:$D$64,MATCH(B89,CheatSheet!$A$37:$A$64,0)),"")&lt;&gt;""),"Yes","No")</f>
        <v>No</v>
      </c>
      <c r="W89" s="175"/>
      <c r="Y89" s="77">
        <f t="shared" ca="1" si="24"/>
        <v>1</v>
      </c>
      <c r="Z89">
        <f t="shared" ca="1" si="26"/>
        <v>-36.315000000000005</v>
      </c>
      <c r="AA89" t="str">
        <f t="shared" ca="1" si="27"/>
        <v>TE8</v>
      </c>
      <c r="AB89" s="174">
        <f ca="1">Z89*LeagueInfo!$H$5</f>
        <v>-11.727935679633426</v>
      </c>
      <c r="AC89" s="174">
        <f t="shared" ca="1" si="25"/>
        <v>-0.66107258472371333</v>
      </c>
    </row>
    <row r="90" spans="1:29" x14ac:dyDescent="0.35">
      <c r="A90">
        <f t="shared" si="18"/>
        <v>88</v>
      </c>
      <c r="B90" t="str">
        <f>TE_Raw!A90</f>
        <v>Grant Calcaterra</v>
      </c>
      <c r="C90" t="s">
        <v>40</v>
      </c>
      <c r="D90" t="str">
        <f>_xlfn.IFNA(INDEX(BYEs!E:E,MATCH(B90,BYEs!D:D,0)),"N/A")</f>
        <v>N/A</v>
      </c>
      <c r="E90">
        <f>INDEX(BYEs!$B$2:$B$34,MATCH(F90,BYEs!$A$2:$A$34,0))</f>
        <v>5</v>
      </c>
      <c r="F90" t="str">
        <f>TE_Raw!B90</f>
        <v>PHI</v>
      </c>
      <c r="G90" s="198">
        <v>0</v>
      </c>
      <c r="H90" s="199">
        <v>0</v>
      </c>
      <c r="I90" s="200">
        <v>0</v>
      </c>
      <c r="J90" s="200">
        <v>0</v>
      </c>
      <c r="K90" s="200">
        <v>0</v>
      </c>
      <c r="L90" s="201">
        <f>TE_Raw!C90</f>
        <v>8.5</v>
      </c>
      <c r="M90" s="201">
        <f>TE_Raw!D90</f>
        <v>85.8</v>
      </c>
      <c r="N90" s="203">
        <f>TE_Raw!E90</f>
        <v>0.7</v>
      </c>
      <c r="O90" s="200">
        <f>TE_Raw!F90</f>
        <v>0</v>
      </c>
      <c r="P90" s="10">
        <f t="shared" si="19"/>
        <v>17.03</v>
      </c>
      <c r="Q90" t="str">
        <f t="shared" ca="1" si="20"/>
        <v>Undrafted</v>
      </c>
      <c r="R90">
        <f t="shared" ca="1" si="21"/>
        <v>0</v>
      </c>
      <c r="S90">
        <f t="shared" ca="1" si="22"/>
        <v>-73.800000000000011</v>
      </c>
      <c r="T90" s="174">
        <f t="shared" ca="1" si="23"/>
        <v>-12.17549107161933</v>
      </c>
      <c r="U90" s="174">
        <f ca="1">T90*Auction!$A$2</f>
        <v>-12.17549107161933</v>
      </c>
      <c r="V90" s="5" t="str">
        <f>IF(OR(INDEX(Auction!$H$13:$H$650,MATCH(B90,Auction!$A$13:$A$650,0))&gt;0,IFERROR(INDEX(CheatSheet!$D$37:$D$64,MATCH(B90,CheatSheet!$A$37:$A$64,0)),"")&lt;&gt;""),"Yes","No")</f>
        <v>No</v>
      </c>
      <c r="W90" s="175"/>
      <c r="Y90" s="77">
        <f t="shared" ca="1" si="24"/>
        <v>1</v>
      </c>
      <c r="Z90">
        <f t="shared" ca="1" si="26"/>
        <v>-36.900000000000006</v>
      </c>
      <c r="AA90" t="str">
        <f t="shared" ca="1" si="27"/>
        <v>TE8</v>
      </c>
      <c r="AB90" s="174">
        <f ca="1">Z90*LeagueInfo!$H$5</f>
        <v>-11.916861533208685</v>
      </c>
      <c r="AC90" s="174">
        <f t="shared" ca="1" si="25"/>
        <v>-0.683167609681956</v>
      </c>
    </row>
    <row r="91" spans="1:29" x14ac:dyDescent="0.35">
      <c r="A91">
        <f t="shared" si="18"/>
        <v>89</v>
      </c>
      <c r="B91" t="str">
        <f>TE_Raw!A91</f>
        <v>Luke Farrell</v>
      </c>
      <c r="C91" t="s">
        <v>40</v>
      </c>
      <c r="D91" t="str">
        <f>_xlfn.IFNA(INDEX(BYEs!E:E,MATCH(B91,BYEs!D:D,0)),"N/A")</f>
        <v>N/A</v>
      </c>
      <c r="E91">
        <f>INDEX(BYEs!$B$2:$B$34,MATCH(F91,BYEs!$A$2:$A$34,0))</f>
        <v>12</v>
      </c>
      <c r="F91" t="str">
        <f>TE_Raw!B91</f>
        <v>JAC</v>
      </c>
      <c r="G91" s="198">
        <v>0</v>
      </c>
      <c r="H91" s="199">
        <v>0</v>
      </c>
      <c r="I91" s="200">
        <v>0</v>
      </c>
      <c r="J91" s="200">
        <v>0</v>
      </c>
      <c r="K91" s="200">
        <v>0</v>
      </c>
      <c r="L91" s="201">
        <f>TE_Raw!C91</f>
        <v>8.6999999999999993</v>
      </c>
      <c r="M91" s="201">
        <f>TE_Raw!D91</f>
        <v>87.5</v>
      </c>
      <c r="N91" s="203">
        <f>TE_Raw!E91</f>
        <v>0.6</v>
      </c>
      <c r="O91" s="200">
        <f>TE_Raw!F91</f>
        <v>0</v>
      </c>
      <c r="P91" s="10">
        <f t="shared" si="19"/>
        <v>16.7</v>
      </c>
      <c r="Q91" t="str">
        <f t="shared" ca="1" si="20"/>
        <v>Undrafted</v>
      </c>
      <c r="R91">
        <f t="shared" ca="1" si="21"/>
        <v>0</v>
      </c>
      <c r="S91">
        <f t="shared" ca="1" si="22"/>
        <v>-74.13000000000001</v>
      </c>
      <c r="T91" s="174">
        <f t="shared" ca="1" si="23"/>
        <v>-12.229934324378604</v>
      </c>
      <c r="U91" s="174">
        <f ca="1">T91*Auction!$A$2</f>
        <v>-12.229934324378604</v>
      </c>
      <c r="V91" s="5" t="str">
        <f>IF(OR(INDEX(Auction!$H$13:$H$650,MATCH(B91,Auction!$A$13:$A$650,0))&gt;0,IFERROR(INDEX(CheatSheet!$D$37:$D$64,MATCH(B91,CheatSheet!$A$37:$A$64,0)),"")&lt;&gt;""),"Yes","No")</f>
        <v>No</v>
      </c>
      <c r="W91" s="175"/>
      <c r="Y91" s="77">
        <f t="shared" ca="1" si="24"/>
        <v>1</v>
      </c>
      <c r="Z91">
        <f t="shared" ca="1" si="26"/>
        <v>-37.065000000000005</v>
      </c>
      <c r="AA91" t="str">
        <f t="shared" ca="1" si="27"/>
        <v>TE8</v>
      </c>
      <c r="AB91" s="174">
        <f ca="1">Z91*LeagueInfo!$H$5</f>
        <v>-11.97014831242222</v>
      </c>
      <c r="AC91" s="174">
        <f t="shared" ca="1" si="25"/>
        <v>-0.68939953979838342</v>
      </c>
    </row>
    <row r="92" spans="1:29" x14ac:dyDescent="0.35">
      <c r="A92">
        <f t="shared" si="18"/>
        <v>90</v>
      </c>
      <c r="B92" t="str">
        <f>TE_Raw!A92</f>
        <v>John Stephens Jr.</v>
      </c>
      <c r="C92" t="s">
        <v>40</v>
      </c>
      <c r="D92" t="str">
        <f>_xlfn.IFNA(INDEX(BYEs!E:E,MATCH(B92,BYEs!D:D,0)),"N/A")</f>
        <v>N/A</v>
      </c>
      <c r="E92">
        <f>INDEX(BYEs!$B$2:$B$34,MATCH(F92,BYEs!$A$2:$A$34,0))</f>
        <v>7</v>
      </c>
      <c r="F92" t="str">
        <f>TE_Raw!B92</f>
        <v>DAL</v>
      </c>
      <c r="G92" s="198">
        <v>0</v>
      </c>
      <c r="H92" s="199">
        <v>0</v>
      </c>
      <c r="I92" s="200">
        <v>0</v>
      </c>
      <c r="J92" s="200">
        <v>0</v>
      </c>
      <c r="K92" s="200">
        <v>0</v>
      </c>
      <c r="L92" s="201">
        <f>TE_Raw!C92</f>
        <v>8.1999999999999993</v>
      </c>
      <c r="M92" s="201">
        <f>TE_Raw!D92</f>
        <v>84.6</v>
      </c>
      <c r="N92" s="203">
        <f>TE_Raw!E92</f>
        <v>0.7</v>
      </c>
      <c r="O92" s="200">
        <f>TE_Raw!F92</f>
        <v>0.1</v>
      </c>
      <c r="P92" s="10">
        <f t="shared" si="19"/>
        <v>16.559999999999999</v>
      </c>
      <c r="Q92" t="str">
        <f t="shared" ca="1" si="20"/>
        <v>Undrafted</v>
      </c>
      <c r="R92">
        <f t="shared" ca="1" si="21"/>
        <v>0</v>
      </c>
      <c r="S92">
        <f t="shared" ca="1" si="22"/>
        <v>-74.27000000000001</v>
      </c>
      <c r="T92" s="174">
        <f t="shared" ca="1" si="23"/>
        <v>-12.25303146191284</v>
      </c>
      <c r="U92" s="174">
        <f ca="1">T92*Auction!$A$2</f>
        <v>-12.25303146191284</v>
      </c>
      <c r="V92" s="5" t="str">
        <f>IF(OR(INDEX(Auction!$H$13:$H$650,MATCH(B92,Auction!$A$13:$A$650,0))&gt;0,IFERROR(INDEX(CheatSheet!$D$37:$D$64,MATCH(B92,CheatSheet!$A$37:$A$64,0)),"")&lt;&gt;""),"Yes","No")</f>
        <v>No</v>
      </c>
      <c r="W92" s="175"/>
      <c r="Y92" s="77">
        <f t="shared" ca="1" si="24"/>
        <v>1</v>
      </c>
      <c r="Z92">
        <f t="shared" ca="1" si="26"/>
        <v>-37.135000000000005</v>
      </c>
      <c r="AA92" t="str">
        <f t="shared" ca="1" si="27"/>
        <v>TE8</v>
      </c>
      <c r="AB92" s="174">
        <f ca="1">Z92*LeagueInfo!$H$5</f>
        <v>-11.992754824815842</v>
      </c>
      <c r="AC92" s="174">
        <f t="shared" ca="1" si="25"/>
        <v>-0.692043388938686</v>
      </c>
    </row>
    <row r="93" spans="1:29" x14ac:dyDescent="0.35">
      <c r="A93">
        <f t="shared" si="18"/>
        <v>91</v>
      </c>
      <c r="B93" t="str">
        <f>TE_Raw!A89</f>
        <v>MyCole Pruitt</v>
      </c>
      <c r="C93" t="s">
        <v>40</v>
      </c>
      <c r="D93" t="str">
        <f>_xlfn.IFNA(INDEX(BYEs!E:E,MATCH(B93,BYEs!D:D,0)),"N/A")</f>
        <v>N/A</v>
      </c>
      <c r="E93">
        <f>INDEX(BYEs!$B$2:$B$34,MATCH(F93,BYEs!$A$2:$A$34,0))</f>
        <v>9</v>
      </c>
      <c r="F93" t="str">
        <f>TE_Raw!B89</f>
        <v>PIT</v>
      </c>
      <c r="G93" s="198">
        <v>0</v>
      </c>
      <c r="H93" s="199">
        <v>0</v>
      </c>
      <c r="I93" s="200">
        <v>0</v>
      </c>
      <c r="J93" s="200">
        <v>0</v>
      </c>
      <c r="K93" s="200">
        <v>0</v>
      </c>
      <c r="L93" s="201">
        <f>TE_Raw!C89</f>
        <v>6.5</v>
      </c>
      <c r="M93" s="201">
        <f>TE_Raw!D89</f>
        <v>67.400000000000006</v>
      </c>
      <c r="N93" s="203">
        <f>TE_Raw!E89</f>
        <v>1</v>
      </c>
      <c r="O93" s="200">
        <f>TE_Raw!F89</f>
        <v>0</v>
      </c>
      <c r="P93" s="10">
        <f t="shared" si="19"/>
        <v>15.990000000000002</v>
      </c>
      <c r="Q93" t="str">
        <f t="shared" ca="1" si="20"/>
        <v>Undrafted</v>
      </c>
      <c r="R93">
        <f t="shared" ca="1" si="21"/>
        <v>0</v>
      </c>
      <c r="S93">
        <f t="shared" ca="1" si="22"/>
        <v>-74.84</v>
      </c>
      <c r="T93" s="174">
        <f t="shared" ca="1" si="23"/>
        <v>-12.347069807587948</v>
      </c>
      <c r="U93" s="174">
        <f ca="1">T93*Auction!$A$2</f>
        <v>-12.347069807587948</v>
      </c>
      <c r="V93" s="5" t="str">
        <f>IF(OR(INDEX(Auction!$H$13:$H$650,MATCH(B93,Auction!$A$13:$A$650,0))&gt;0,IFERROR(INDEX(CheatSheet!$D$37:$D$64,MATCH(B93,CheatSheet!$A$37:$A$64,0)),"")&lt;&gt;""),"Yes","No")</f>
        <v>No</v>
      </c>
      <c r="W93" s="175"/>
      <c r="Y93" s="77">
        <f t="shared" ca="1" si="24"/>
        <v>1</v>
      </c>
      <c r="Z93">
        <f t="shared" ca="1" si="26"/>
        <v>-37.42</v>
      </c>
      <c r="AA93" t="str">
        <f t="shared" ca="1" si="27"/>
        <v>TE8</v>
      </c>
      <c r="AB93" s="174">
        <f ca="1">Z93*LeagueInfo!$H$5</f>
        <v>-12.084795625275582</v>
      </c>
      <c r="AC93" s="174">
        <f t="shared" ca="1" si="25"/>
        <v>-0.70280763186706041</v>
      </c>
    </row>
    <row r="94" spans="1:29" x14ac:dyDescent="0.35">
      <c r="A94">
        <f t="shared" si="18"/>
        <v>92</v>
      </c>
      <c r="B94" t="str">
        <f>TE_Raw!A95</f>
        <v>Peyton Hendershot</v>
      </c>
      <c r="C94" t="s">
        <v>40</v>
      </c>
      <c r="D94">
        <f>_xlfn.IFNA(INDEX(BYEs!E:E,MATCH(B94,BYEs!D:D,0)),"N/A")</f>
        <v>25</v>
      </c>
      <c r="E94">
        <f>INDEX(BYEs!$B$2:$B$34,MATCH(F94,BYEs!$A$2:$A$34,0))</f>
        <v>6</v>
      </c>
      <c r="F94" t="str">
        <f>TE_Raw!B95</f>
        <v>KC</v>
      </c>
      <c r="G94" s="198">
        <v>0</v>
      </c>
      <c r="H94" s="199">
        <v>0</v>
      </c>
      <c r="I94" s="200">
        <v>0</v>
      </c>
      <c r="J94" s="200">
        <v>0</v>
      </c>
      <c r="K94" s="200">
        <v>0</v>
      </c>
      <c r="L94" s="201">
        <f>TE_Raw!C95</f>
        <v>7.8</v>
      </c>
      <c r="M94" s="201">
        <f>TE_Raw!D95</f>
        <v>77.599999999999994</v>
      </c>
      <c r="N94" s="203">
        <f>TE_Raw!E95</f>
        <v>0.7</v>
      </c>
      <c r="O94" s="200">
        <f>TE_Raw!F95</f>
        <v>0</v>
      </c>
      <c r="P94" s="10">
        <f t="shared" si="19"/>
        <v>15.86</v>
      </c>
      <c r="Q94" t="str">
        <f t="shared" ca="1" si="20"/>
        <v>Undrafted</v>
      </c>
      <c r="R94">
        <f t="shared" ca="1" si="21"/>
        <v>0</v>
      </c>
      <c r="S94">
        <f t="shared" ca="1" si="22"/>
        <v>-74.970000000000013</v>
      </c>
      <c r="T94" s="174">
        <f t="shared" ca="1" si="23"/>
        <v>-12.368517149584028</v>
      </c>
      <c r="U94" s="174">
        <f ca="1">T94*Auction!$A$2</f>
        <v>-12.368517149584028</v>
      </c>
      <c r="V94" s="5" t="str">
        <f>IF(OR(INDEX(Auction!$H$13:$H$650,MATCH(B94,Auction!$A$13:$A$650,0))&gt;0,IFERROR(INDEX(CheatSheet!$D$37:$D$64,MATCH(B94,CheatSheet!$A$37:$A$64,0)),"")&lt;&gt;""),"Yes","No")</f>
        <v>No</v>
      </c>
      <c r="W94" s="175"/>
      <c r="Y94" s="77">
        <f t="shared" ca="1" si="24"/>
        <v>1</v>
      </c>
      <c r="Z94">
        <f t="shared" ca="1" si="26"/>
        <v>-37.485000000000007</v>
      </c>
      <c r="AA94" t="str">
        <f t="shared" ca="1" si="27"/>
        <v>TE8</v>
      </c>
      <c r="AB94" s="174">
        <f ca="1">Z94*LeagueInfo!$H$5</f>
        <v>-12.105787386783947</v>
      </c>
      <c r="AC94" s="174">
        <f t="shared" ca="1" si="25"/>
        <v>-0.70526263464019867</v>
      </c>
    </row>
    <row r="95" spans="1:29" x14ac:dyDescent="0.35">
      <c r="A95">
        <f t="shared" si="18"/>
        <v>93</v>
      </c>
      <c r="B95" t="str">
        <f>TE_Raw!A93</f>
        <v>Ross Dwelley</v>
      </c>
      <c r="C95" t="s">
        <v>40</v>
      </c>
      <c r="D95" t="str">
        <f>_xlfn.IFNA(INDEX(BYEs!E:E,MATCH(B95,BYEs!D:D,0)),"N/A")</f>
        <v>N/A</v>
      </c>
      <c r="E95">
        <f>INDEX(BYEs!$B$2:$B$34,MATCH(F95,BYEs!$A$2:$A$34,0))</f>
        <v>12</v>
      </c>
      <c r="F95" t="str">
        <f>TE_Raw!B93</f>
        <v>ATL</v>
      </c>
      <c r="G95" s="198">
        <v>0</v>
      </c>
      <c r="H95" s="199">
        <v>0</v>
      </c>
      <c r="I95" s="200">
        <v>0</v>
      </c>
      <c r="J95" s="200">
        <v>0</v>
      </c>
      <c r="K95" s="200">
        <v>0</v>
      </c>
      <c r="L95" s="201">
        <f>TE_Raw!C93</f>
        <v>6</v>
      </c>
      <c r="M95" s="201">
        <f>TE_Raw!D93</f>
        <v>83.6</v>
      </c>
      <c r="N95" s="203">
        <f>TE_Raw!E93</f>
        <v>0.7</v>
      </c>
      <c r="O95" s="200">
        <f>TE_Raw!F93</f>
        <v>0</v>
      </c>
      <c r="P95" s="10">
        <f t="shared" si="19"/>
        <v>15.559999999999999</v>
      </c>
      <c r="Q95" t="str">
        <f t="shared" ca="1" si="20"/>
        <v>Undrafted</v>
      </c>
      <c r="R95">
        <f t="shared" ca="1" si="21"/>
        <v>0</v>
      </c>
      <c r="S95">
        <f t="shared" ca="1" si="22"/>
        <v>-75.27000000000001</v>
      </c>
      <c r="T95" s="174">
        <f t="shared" ca="1" si="23"/>
        <v>-12.418011015728821</v>
      </c>
      <c r="U95" s="174">
        <f ca="1">T95*Auction!$A$2</f>
        <v>-12.418011015728821</v>
      </c>
      <c r="V95" s="5" t="str">
        <f>IF(OR(INDEX(Auction!$H$13:$H$650,MATCH(B95,Auction!$A$13:$A$650,0))&gt;0,IFERROR(INDEX(CheatSheet!$D$37:$D$64,MATCH(B95,CheatSheet!$A$37:$A$64,0)),"")&lt;&gt;""),"Yes","No")</f>
        <v>No</v>
      </c>
      <c r="W95" s="175"/>
      <c r="Y95" s="77">
        <f t="shared" ca="1" si="24"/>
        <v>1</v>
      </c>
      <c r="Z95">
        <f t="shared" ca="1" si="26"/>
        <v>-37.635000000000005</v>
      </c>
      <c r="AA95" t="str">
        <f t="shared" ca="1" si="27"/>
        <v>TE8</v>
      </c>
      <c r="AB95" s="174">
        <f ca="1">Z95*LeagueInfo!$H$5</f>
        <v>-12.154229913341704</v>
      </c>
      <c r="AC95" s="174">
        <f t="shared" ca="1" si="25"/>
        <v>-0.71092802565513269</v>
      </c>
    </row>
    <row r="96" spans="1:29" x14ac:dyDescent="0.35">
      <c r="A96">
        <f t="shared" si="18"/>
        <v>94</v>
      </c>
      <c r="B96" t="str">
        <f>TE_Raw!A96</f>
        <v>Harrison Bryant</v>
      </c>
      <c r="C96" t="s">
        <v>40</v>
      </c>
      <c r="D96">
        <f>_xlfn.IFNA(INDEX(BYEs!E:E,MATCH(B96,BYEs!D:D,0)),"N/A")</f>
        <v>26</v>
      </c>
      <c r="E96">
        <f>INDEX(BYEs!$B$2:$B$34,MATCH(F96,BYEs!$A$2:$A$34,0))</f>
        <v>10</v>
      </c>
      <c r="F96" t="str">
        <f>TE_Raw!B96</f>
        <v>LV</v>
      </c>
      <c r="G96" s="198">
        <v>0</v>
      </c>
      <c r="H96" s="199">
        <v>0</v>
      </c>
      <c r="I96" s="200">
        <v>0</v>
      </c>
      <c r="J96" s="200">
        <v>0</v>
      </c>
      <c r="K96" s="200">
        <v>0</v>
      </c>
      <c r="L96" s="201">
        <f>TE_Raw!C96</f>
        <v>7.8</v>
      </c>
      <c r="M96" s="201">
        <f>TE_Raw!D96</f>
        <v>74</v>
      </c>
      <c r="N96" s="203">
        <f>TE_Raw!E96</f>
        <v>0.7</v>
      </c>
      <c r="O96" s="200">
        <f>TE_Raw!F96</f>
        <v>0</v>
      </c>
      <c r="P96" s="10">
        <f t="shared" si="19"/>
        <v>15.5</v>
      </c>
      <c r="Q96" t="str">
        <f t="shared" ca="1" si="20"/>
        <v>Undrafted</v>
      </c>
      <c r="R96">
        <f t="shared" ca="1" si="21"/>
        <v>0</v>
      </c>
      <c r="S96">
        <f t="shared" ca="1" si="22"/>
        <v>-75.330000000000013</v>
      </c>
      <c r="T96" s="174">
        <f t="shared" ca="1" si="23"/>
        <v>-12.427909788957781</v>
      </c>
      <c r="U96" s="174">
        <f ca="1">T96*Auction!$A$2</f>
        <v>-12.427909788957781</v>
      </c>
      <c r="V96" s="5" t="str">
        <f>IF(OR(INDEX(Auction!$H$13:$H$650,MATCH(B96,Auction!$A$13:$A$650,0))&gt;0,IFERROR(INDEX(CheatSheet!$D$37:$D$64,MATCH(B96,CheatSheet!$A$37:$A$64,0)),"")&lt;&gt;""),"Yes","No")</f>
        <v>No</v>
      </c>
      <c r="W96" s="175"/>
      <c r="Y96" s="77">
        <f t="shared" ca="1" si="24"/>
        <v>1</v>
      </c>
      <c r="Z96">
        <f t="shared" ca="1" si="26"/>
        <v>-37.665000000000006</v>
      </c>
      <c r="AA96" t="str">
        <f t="shared" ca="1" si="27"/>
        <v>TE8</v>
      </c>
      <c r="AB96" s="174">
        <f ca="1">Z96*LeagueInfo!$H$5</f>
        <v>-12.163918418653257</v>
      </c>
      <c r="AC96" s="174">
        <f t="shared" ca="1" si="25"/>
        <v>-0.71206110385811949</v>
      </c>
    </row>
    <row r="97" spans="1:29" x14ac:dyDescent="0.35">
      <c r="A97">
        <f t="shared" si="18"/>
        <v>95</v>
      </c>
      <c r="B97" t="str">
        <f>TE_Raw!A94</f>
        <v>Quintin Morris</v>
      </c>
      <c r="C97" t="s">
        <v>40</v>
      </c>
      <c r="D97" t="str">
        <f>_xlfn.IFNA(INDEX(BYEs!E:E,MATCH(B97,BYEs!D:D,0)),"N/A")</f>
        <v>N/A</v>
      </c>
      <c r="E97">
        <f>INDEX(BYEs!$B$2:$B$34,MATCH(F97,BYEs!$A$2:$A$34,0))</f>
        <v>12</v>
      </c>
      <c r="F97" t="str">
        <f>TE_Raw!B94</f>
        <v>BUF</v>
      </c>
      <c r="G97" s="198">
        <v>0</v>
      </c>
      <c r="H97" s="199">
        <v>0</v>
      </c>
      <c r="I97" s="200">
        <v>0</v>
      </c>
      <c r="J97" s="200">
        <v>0</v>
      </c>
      <c r="K97" s="200">
        <v>0</v>
      </c>
      <c r="L97" s="201">
        <f>TE_Raw!C94</f>
        <v>6.2</v>
      </c>
      <c r="M97" s="201">
        <f>TE_Raw!D94</f>
        <v>65.3</v>
      </c>
      <c r="N97" s="203">
        <f>TE_Raw!E94</f>
        <v>0.9</v>
      </c>
      <c r="O97" s="200">
        <f>TE_Raw!F94</f>
        <v>0</v>
      </c>
      <c r="P97" s="10">
        <f t="shared" si="19"/>
        <v>15.030000000000001</v>
      </c>
      <c r="Q97" t="str">
        <f t="shared" ca="1" si="20"/>
        <v>Undrafted</v>
      </c>
      <c r="R97">
        <f t="shared" ca="1" si="21"/>
        <v>0</v>
      </c>
      <c r="S97">
        <f t="shared" ca="1" si="22"/>
        <v>-75.800000000000011</v>
      </c>
      <c r="T97" s="174">
        <f t="shared" ca="1" si="23"/>
        <v>-12.505450179251291</v>
      </c>
      <c r="U97" s="174">
        <f ca="1">T97*Auction!$A$2</f>
        <v>-12.505450179251291</v>
      </c>
      <c r="V97" s="5" t="str">
        <f>IF(OR(INDEX(Auction!$H$13:$H$650,MATCH(B97,Auction!$A$13:$A$650,0))&gt;0,IFERROR(INDEX(CheatSheet!$D$37:$D$64,MATCH(B97,CheatSheet!$A$37:$A$64,0)),"")&lt;&gt;""),"Yes","No")</f>
        <v>No</v>
      </c>
      <c r="W97" s="175"/>
      <c r="Y97" s="77">
        <f t="shared" ca="1" si="24"/>
        <v>1</v>
      </c>
      <c r="Z97">
        <f t="shared" ca="1" si="26"/>
        <v>-37.900000000000006</v>
      </c>
      <c r="AA97" t="str">
        <f t="shared" ca="1" si="27"/>
        <v>TE8</v>
      </c>
      <c r="AB97" s="174">
        <f ca="1">Z97*LeagueInfo!$H$5</f>
        <v>-12.239811710260412</v>
      </c>
      <c r="AC97" s="174">
        <f t="shared" ca="1" si="25"/>
        <v>-0.72093688311484949</v>
      </c>
    </row>
    <row r="98" spans="1:29" x14ac:dyDescent="0.35">
      <c r="A98">
        <f t="shared" si="18"/>
        <v>96</v>
      </c>
      <c r="B98" t="str">
        <f>TE_Raw!A98</f>
        <v>John Bates</v>
      </c>
      <c r="C98" t="s">
        <v>40</v>
      </c>
      <c r="D98">
        <f>_xlfn.IFNA(INDEX(BYEs!E:E,MATCH(B98,BYEs!D:D,0)),"N/A")</f>
        <v>26</v>
      </c>
      <c r="E98">
        <f>INDEX(BYEs!$B$2:$B$34,MATCH(F98,BYEs!$A$2:$A$34,0))</f>
        <v>14</v>
      </c>
      <c r="F98" t="str">
        <f>TE_Raw!B98</f>
        <v>WAS</v>
      </c>
      <c r="G98" s="198">
        <v>0</v>
      </c>
      <c r="H98" s="199">
        <v>0</v>
      </c>
      <c r="I98" s="200">
        <v>0</v>
      </c>
      <c r="J98" s="200">
        <v>0</v>
      </c>
      <c r="K98" s="200">
        <v>0</v>
      </c>
      <c r="L98" s="201">
        <f>TE_Raw!C98</f>
        <v>8.1</v>
      </c>
      <c r="M98" s="201">
        <f>TE_Raw!D98</f>
        <v>76.2</v>
      </c>
      <c r="N98" s="203">
        <f>TE_Raw!E98</f>
        <v>0.4</v>
      </c>
      <c r="O98" s="200">
        <f>TE_Raw!F98</f>
        <v>0</v>
      </c>
      <c r="P98" s="10">
        <f t="shared" si="19"/>
        <v>14.070000000000002</v>
      </c>
      <c r="Q98" t="str">
        <f t="shared" ca="1" si="20"/>
        <v>Undrafted</v>
      </c>
      <c r="R98">
        <f t="shared" ca="1" si="21"/>
        <v>0</v>
      </c>
      <c r="S98">
        <f t="shared" ca="1" si="22"/>
        <v>-76.760000000000005</v>
      </c>
      <c r="T98" s="174">
        <f t="shared" ca="1" si="23"/>
        <v>-12.66383055091463</v>
      </c>
      <c r="U98" s="174">
        <f ca="1">T98*Auction!$A$2</f>
        <v>-12.66383055091463</v>
      </c>
      <c r="V98" s="5" t="str">
        <f>IF(OR(INDEX(Auction!$H$13:$H$650,MATCH(B98,Auction!$A$13:$A$650,0))&gt;0,IFERROR(INDEX(CheatSheet!$D$37:$D$64,MATCH(B98,CheatSheet!$A$37:$A$64,0)),"")&lt;&gt;""),"Yes","No")</f>
        <v>No</v>
      </c>
      <c r="W98" s="175"/>
      <c r="Y98" s="77">
        <f t="shared" ca="1" si="24"/>
        <v>1</v>
      </c>
      <c r="Z98">
        <f t="shared" ca="1" si="26"/>
        <v>-38.380000000000003</v>
      </c>
      <c r="AA98" t="str">
        <f t="shared" ca="1" si="27"/>
        <v>TE8</v>
      </c>
      <c r="AB98" s="174">
        <f ca="1">Z98*LeagueInfo!$H$5</f>
        <v>-12.39482779524524</v>
      </c>
      <c r="AC98" s="174">
        <f t="shared" ca="1" si="25"/>
        <v>-0.73906613436263813</v>
      </c>
    </row>
    <row r="99" spans="1:29" x14ac:dyDescent="0.35">
      <c r="A99">
        <f t="shared" ref="A99:A115" si="28">RANK(P99,P:P)</f>
        <v>97</v>
      </c>
      <c r="B99" t="str">
        <f>TE_Raw!A97</f>
        <v>Hunter Long</v>
      </c>
      <c r="C99" t="s">
        <v>40</v>
      </c>
      <c r="D99" t="str">
        <f>_xlfn.IFNA(INDEX(BYEs!E:E,MATCH(B99,BYEs!D:D,0)),"N/A")</f>
        <v>N/A</v>
      </c>
      <c r="E99">
        <f>INDEX(BYEs!$B$2:$B$34,MATCH(F99,BYEs!$A$2:$A$34,0))</f>
        <v>6</v>
      </c>
      <c r="F99" t="str">
        <f>TE_Raw!B97</f>
        <v>LAR</v>
      </c>
      <c r="G99" s="198">
        <v>0</v>
      </c>
      <c r="H99" s="199">
        <v>0</v>
      </c>
      <c r="I99" s="200">
        <v>0</v>
      </c>
      <c r="J99" s="200">
        <v>0</v>
      </c>
      <c r="K99" s="200">
        <v>0</v>
      </c>
      <c r="L99" s="201">
        <f>TE_Raw!C97</f>
        <v>6.4</v>
      </c>
      <c r="M99" s="201">
        <f>TE_Raw!D97</f>
        <v>64.7</v>
      </c>
      <c r="N99" s="203">
        <f>TE_Raw!E97</f>
        <v>0.7</v>
      </c>
      <c r="O99" s="200">
        <f>TE_Raw!F97</f>
        <v>0</v>
      </c>
      <c r="P99" s="10">
        <f t="shared" ref="P99:P130" si="29">(J99*TERushYd)+(K99*TERushTD)+(L99*TERec)+(M99*TERecYd)+(N99*TERecTD)+(O99*TEFuml)+(I99*TERushAtt)</f>
        <v>13.870000000000001</v>
      </c>
      <c r="Q99" t="str">
        <f t="shared" ref="Q99:Q115" ca="1" si="30">IF(A99&lt;=TEStarters,"Starter",IF(A99&gt;TEStarters+TEBench,"Undrafted","Bench"))</f>
        <v>Undrafted</v>
      </c>
      <c r="R99">
        <f t="shared" ref="R99:R115" ca="1" si="31">IFERROR(MAX(P99-LARGE(TESheetCount,TEStarters),0),0)</f>
        <v>0</v>
      </c>
      <c r="S99">
        <f t="shared" ref="S99:S115" ca="1" si="32">IFERROR(IF(AllowNegative="Yes",P99-LARGE(TESheetCount,TECount),MAX(P99-LARGE(TESheetCount,TECount),0)),0)</f>
        <v>-76.960000000000008</v>
      </c>
      <c r="T99" s="174">
        <f t="shared" ref="T99:T130" ca="1" si="33">IF(TEStarters&gt;0,(S99-R99)*BenchPF+R99*StarterPF,0)</f>
        <v>-12.696826461677826</v>
      </c>
      <c r="U99" s="174">
        <f ca="1">T99*Auction!$A$2</f>
        <v>-12.696826461677826</v>
      </c>
      <c r="V99" s="5" t="str">
        <f>IF(OR(INDEX(Auction!$H$13:$H$650,MATCH(B99,Auction!$A$13:$A$650,0))&gt;0,IFERROR(INDEX(CheatSheet!$D$37:$D$64,MATCH(B99,CheatSheet!$A$37:$A$64,0)),"")&lt;&gt;""),"Yes","No")</f>
        <v>No</v>
      </c>
      <c r="W99" s="175"/>
      <c r="Y99" s="77">
        <f t="shared" ref="Y99:Y115" ca="1" si="34">IFERROR(SUMIFS(Z:Z,Z:Z,"&gt;0",V:V,"No")/SUMIF(Z:Z,"&gt;0"),0)</f>
        <v>1</v>
      </c>
      <c r="Z99">
        <f t="shared" ca="1" si="26"/>
        <v>-38.480000000000004</v>
      </c>
      <c r="AA99" t="str">
        <f t="shared" ca="1" si="27"/>
        <v>TE8</v>
      </c>
      <c r="AB99" s="174">
        <f ca="1">Z99*LeagueInfo!$H$5</f>
        <v>-12.427122812950412</v>
      </c>
      <c r="AC99" s="174">
        <f t="shared" ref="AC99:AC115" ca="1" si="35">(Z99-AVERAGE(Z:Z))/_xlfn.STDEV.P(Z:Z)</f>
        <v>-0.74284306170592762</v>
      </c>
    </row>
    <row r="100" spans="1:29" x14ac:dyDescent="0.35">
      <c r="A100">
        <f t="shared" si="28"/>
        <v>98</v>
      </c>
      <c r="B100" t="str">
        <f>TE_Raw!A99</f>
        <v>Marcedes Lewis</v>
      </c>
      <c r="C100" t="s">
        <v>40</v>
      </c>
      <c r="D100" t="str">
        <f>_xlfn.IFNA(INDEX(BYEs!E:E,MATCH(B100,BYEs!D:D,0)),"N/A")</f>
        <v>N/A</v>
      </c>
      <c r="E100">
        <f>INDEX(BYEs!$B$2:$B$34,MATCH(F100,BYEs!$A$2:$A$34,0))</f>
        <v>7</v>
      </c>
      <c r="F100" t="str">
        <f>TE_Raw!B99</f>
        <v>CHI</v>
      </c>
      <c r="G100" s="198">
        <v>0</v>
      </c>
      <c r="H100" s="199">
        <v>0</v>
      </c>
      <c r="I100" s="200">
        <v>0</v>
      </c>
      <c r="J100" s="200">
        <v>0</v>
      </c>
      <c r="K100" s="200">
        <v>0</v>
      </c>
      <c r="L100" s="201">
        <f>TE_Raw!C99</f>
        <v>6.9</v>
      </c>
      <c r="M100" s="201">
        <f>TE_Raw!D99</f>
        <v>59.2</v>
      </c>
      <c r="N100" s="203">
        <f>TE_Raw!E99</f>
        <v>0.7</v>
      </c>
      <c r="O100" s="200">
        <f>TE_Raw!F99</f>
        <v>0</v>
      </c>
      <c r="P100" s="10">
        <f t="shared" si="29"/>
        <v>13.57</v>
      </c>
      <c r="Q100" t="str">
        <f t="shared" ca="1" si="30"/>
        <v>Undrafted</v>
      </c>
      <c r="R100">
        <f t="shared" ca="1" si="31"/>
        <v>0</v>
      </c>
      <c r="S100">
        <f t="shared" ca="1" si="32"/>
        <v>-77.260000000000019</v>
      </c>
      <c r="T100" s="174">
        <f t="shared" ca="1" si="33"/>
        <v>-12.746320327822623</v>
      </c>
      <c r="U100" s="174">
        <f ca="1">T100*Auction!$A$2</f>
        <v>-12.746320327822623</v>
      </c>
      <c r="V100" s="5" t="str">
        <f>IF(OR(INDEX(Auction!$H$13:$H$650,MATCH(B100,Auction!$A$13:$A$650,0))&gt;0,IFERROR(INDEX(CheatSheet!$D$37:$D$64,MATCH(B100,CheatSheet!$A$37:$A$64,0)),"")&lt;&gt;""),"Yes","No")</f>
        <v>No</v>
      </c>
      <c r="W100" s="175"/>
      <c r="Y100" s="77">
        <f t="shared" ca="1" si="34"/>
        <v>1</v>
      </c>
      <c r="Z100">
        <f t="shared" ca="1" si="26"/>
        <v>-38.63000000000001</v>
      </c>
      <c r="AA100" t="str">
        <f t="shared" ca="1" si="27"/>
        <v>TE8</v>
      </c>
      <c r="AB100" s="174">
        <f ca="1">Z100*LeagueInfo!$H$5</f>
        <v>-12.475565339508172</v>
      </c>
      <c r="AC100" s="174">
        <f t="shared" ca="1" si="35"/>
        <v>-0.74850845272086186</v>
      </c>
    </row>
    <row r="101" spans="1:29" x14ac:dyDescent="0.35">
      <c r="A101">
        <f t="shared" si="28"/>
        <v>99</v>
      </c>
      <c r="B101" t="str">
        <f>TE_Raw!A100</f>
        <v>Ben Sims</v>
      </c>
      <c r="C101" t="s">
        <v>40</v>
      </c>
      <c r="D101" t="str">
        <f>_xlfn.IFNA(INDEX(BYEs!E:E,MATCH(B101,BYEs!D:D,0)),"N/A")</f>
        <v>N/A</v>
      </c>
      <c r="E101">
        <f>INDEX(BYEs!$B$2:$B$34,MATCH(F101,BYEs!$A$2:$A$34,0))</f>
        <v>10</v>
      </c>
      <c r="F101" t="str">
        <f>TE_Raw!B100</f>
        <v>GB</v>
      </c>
      <c r="G101" s="198">
        <v>0</v>
      </c>
      <c r="H101" s="199">
        <v>0</v>
      </c>
      <c r="I101" s="200">
        <v>0</v>
      </c>
      <c r="J101" s="200">
        <v>0</v>
      </c>
      <c r="K101" s="200">
        <v>0</v>
      </c>
      <c r="L101" s="201">
        <f>TE_Raw!C100</f>
        <v>5.6</v>
      </c>
      <c r="M101" s="201">
        <f>TE_Raw!D100</f>
        <v>49.5</v>
      </c>
      <c r="N101" s="203">
        <f>TE_Raw!E100</f>
        <v>0.8</v>
      </c>
      <c r="O101" s="200">
        <f>TE_Raw!F100</f>
        <v>0</v>
      </c>
      <c r="P101" s="10">
        <f t="shared" si="29"/>
        <v>12.55</v>
      </c>
      <c r="Q101" t="str">
        <f t="shared" ca="1" si="30"/>
        <v>Undrafted</v>
      </c>
      <c r="R101">
        <f t="shared" ca="1" si="31"/>
        <v>0</v>
      </c>
      <c r="S101">
        <f t="shared" ca="1" si="32"/>
        <v>-78.280000000000015</v>
      </c>
      <c r="T101" s="174">
        <f t="shared" ca="1" si="33"/>
        <v>-12.914599472714922</v>
      </c>
      <c r="U101" s="174">
        <f ca="1">T101*Auction!$A$2</f>
        <v>-12.914599472714922</v>
      </c>
      <c r="V101" s="5" t="str">
        <f>IF(OR(INDEX(Auction!$H$13:$H$650,MATCH(B101,Auction!$A$13:$A$650,0))&gt;0,IFERROR(INDEX(CheatSheet!$D$37:$D$64,MATCH(B101,CheatSheet!$A$37:$A$64,0)),"")&lt;&gt;""),"Yes","No")</f>
        <v>No</v>
      </c>
      <c r="W101" s="175"/>
      <c r="Y101" s="77">
        <f t="shared" ca="1" si="34"/>
        <v>1</v>
      </c>
      <c r="Z101">
        <f t="shared" ca="1" si="26"/>
        <v>-39.140000000000008</v>
      </c>
      <c r="AA101" t="str">
        <f t="shared" ca="1" si="27"/>
        <v>TE8</v>
      </c>
      <c r="AB101" s="174">
        <f ca="1">Z101*LeagueInfo!$H$5</f>
        <v>-12.640269929804552</v>
      </c>
      <c r="AC101" s="174">
        <f t="shared" ca="1" si="35"/>
        <v>-0.76777078217163741</v>
      </c>
    </row>
    <row r="102" spans="1:29" x14ac:dyDescent="0.35">
      <c r="A102">
        <f t="shared" si="28"/>
        <v>100</v>
      </c>
      <c r="B102" t="str">
        <f>TE_Raw!A101</f>
        <v>Charlie Kolar</v>
      </c>
      <c r="C102" t="s">
        <v>40</v>
      </c>
      <c r="D102">
        <f>_xlfn.IFNA(INDEX(BYEs!E:E,MATCH(B102,BYEs!D:D,0)),"N/A")</f>
        <v>25</v>
      </c>
      <c r="E102">
        <f>INDEX(BYEs!$B$2:$B$34,MATCH(F102,BYEs!$A$2:$A$34,0))</f>
        <v>14</v>
      </c>
      <c r="F102" t="str">
        <f>TE_Raw!B101</f>
        <v>BAL</v>
      </c>
      <c r="G102" s="198">
        <v>0</v>
      </c>
      <c r="H102" s="199">
        <v>0</v>
      </c>
      <c r="I102" s="200">
        <v>0</v>
      </c>
      <c r="J102" s="200">
        <v>0</v>
      </c>
      <c r="K102" s="200">
        <v>0</v>
      </c>
      <c r="L102" s="201">
        <f>TE_Raw!C101</f>
        <v>5.8</v>
      </c>
      <c r="M102" s="201">
        <f>TE_Raw!D101</f>
        <v>63.5</v>
      </c>
      <c r="N102" s="203">
        <f>TE_Raw!E101</f>
        <v>0.4</v>
      </c>
      <c r="O102" s="200">
        <f>TE_Raw!F101</f>
        <v>0</v>
      </c>
      <c r="P102" s="10">
        <f t="shared" si="29"/>
        <v>11.65</v>
      </c>
      <c r="Q102" t="str">
        <f t="shared" ca="1" si="30"/>
        <v>Undrafted</v>
      </c>
      <c r="R102">
        <f t="shared" ca="1" si="31"/>
        <v>0</v>
      </c>
      <c r="S102">
        <f t="shared" ca="1" si="32"/>
        <v>-79.180000000000007</v>
      </c>
      <c r="T102" s="174">
        <f t="shared" ca="1" si="33"/>
        <v>-13.063081071149302</v>
      </c>
      <c r="U102" s="174">
        <f ca="1">T102*Auction!$A$2</f>
        <v>-13.063081071149302</v>
      </c>
      <c r="V102" s="5" t="str">
        <f>IF(OR(INDEX(Auction!$H$13:$H$650,MATCH(B102,Auction!$A$13:$A$650,0))&gt;0,IFERROR(INDEX(CheatSheet!$D$37:$D$64,MATCH(B102,CheatSheet!$A$37:$A$64,0)),"")&lt;&gt;""),"Yes","No")</f>
        <v>No</v>
      </c>
      <c r="W102" s="175"/>
      <c r="Y102" s="77">
        <f t="shared" ca="1" si="34"/>
        <v>1</v>
      </c>
      <c r="Z102">
        <f t="shared" ca="1" si="26"/>
        <v>-39.590000000000003</v>
      </c>
      <c r="AA102" t="str">
        <f t="shared" ca="1" si="27"/>
        <v>TE8</v>
      </c>
      <c r="AB102" s="174">
        <f ca="1">Z102*LeagueInfo!$H$5</f>
        <v>-12.785597509477828</v>
      </c>
      <c r="AC102" s="174">
        <f t="shared" ca="1" si="35"/>
        <v>-0.78476695521643924</v>
      </c>
    </row>
    <row r="103" spans="1:29" x14ac:dyDescent="0.35">
      <c r="A103">
        <f t="shared" si="28"/>
        <v>101</v>
      </c>
      <c r="B103" t="str">
        <f>TE_Raw!A105</f>
        <v>Julian Hill</v>
      </c>
      <c r="C103" t="s">
        <v>40</v>
      </c>
      <c r="D103" t="str">
        <f>_xlfn.IFNA(INDEX(BYEs!E:E,MATCH(B103,BYEs!D:D,0)),"N/A")</f>
        <v>N/A</v>
      </c>
      <c r="E103">
        <f>INDEX(BYEs!$B$2:$B$34,MATCH(F103,BYEs!$A$2:$A$34,0))</f>
        <v>6</v>
      </c>
      <c r="F103" t="str">
        <f>TE_Raw!B105</f>
        <v>MIA</v>
      </c>
      <c r="G103" s="198">
        <v>0</v>
      </c>
      <c r="H103" s="199">
        <v>0</v>
      </c>
      <c r="I103" s="200">
        <v>0</v>
      </c>
      <c r="J103" s="200">
        <v>0</v>
      </c>
      <c r="K103" s="200">
        <v>0</v>
      </c>
      <c r="L103" s="201">
        <f>TE_Raw!C105</f>
        <v>6.8</v>
      </c>
      <c r="M103" s="201">
        <f>TE_Raw!D105</f>
        <v>63.9</v>
      </c>
      <c r="N103" s="203">
        <f>TE_Raw!E105</f>
        <v>0.6</v>
      </c>
      <c r="O103" s="200">
        <f>TE_Raw!F105</f>
        <v>1</v>
      </c>
      <c r="P103" s="10">
        <f t="shared" si="29"/>
        <v>11.39</v>
      </c>
      <c r="Q103" t="str">
        <f t="shared" ca="1" si="30"/>
        <v>Undrafted</v>
      </c>
      <c r="R103">
        <f t="shared" ca="1" si="31"/>
        <v>0</v>
      </c>
      <c r="S103">
        <f t="shared" ca="1" si="32"/>
        <v>-79.440000000000012</v>
      </c>
      <c r="T103" s="174">
        <f t="shared" ca="1" si="33"/>
        <v>-13.105975755141458</v>
      </c>
      <c r="U103" s="174">
        <f ca="1">T103*Auction!$A$2</f>
        <v>-13.105975755141458</v>
      </c>
      <c r="V103" s="5" t="str">
        <f>IF(OR(INDEX(Auction!$H$13:$H$650,MATCH(B103,Auction!$A$13:$A$650,0))&gt;0,IFERROR(INDEX(CheatSheet!$D$37:$D$64,MATCH(B103,CheatSheet!$A$37:$A$64,0)),"")&lt;&gt;""),"Yes","No")</f>
        <v>No</v>
      </c>
      <c r="W103" s="175"/>
      <c r="Y103" s="77">
        <f t="shared" ca="1" si="34"/>
        <v>1</v>
      </c>
      <c r="Z103">
        <f t="shared" ca="1" si="26"/>
        <v>-39.720000000000006</v>
      </c>
      <c r="AA103" t="str">
        <f t="shared" ca="1" si="27"/>
        <v>TE8</v>
      </c>
      <c r="AB103" s="174">
        <f ca="1">Z103*LeagueInfo!$H$5</f>
        <v>-12.827581032494553</v>
      </c>
      <c r="AC103" s="174">
        <f t="shared" ca="1" si="35"/>
        <v>-0.78967696076271554</v>
      </c>
    </row>
    <row r="104" spans="1:29" x14ac:dyDescent="0.35">
      <c r="A104">
        <f t="shared" si="28"/>
        <v>102</v>
      </c>
      <c r="B104" t="str">
        <f>TE_Raw!A107</f>
        <v>Charlie Woerner</v>
      </c>
      <c r="C104" t="s">
        <v>40</v>
      </c>
      <c r="D104" t="str">
        <f>_xlfn.IFNA(INDEX(BYEs!E:E,MATCH(B104,BYEs!D:D,0)),"N/A")</f>
        <v>N/A</v>
      </c>
      <c r="E104">
        <f>INDEX(BYEs!$B$2:$B$34,MATCH(F104,BYEs!$A$2:$A$34,0))</f>
        <v>12</v>
      </c>
      <c r="F104" t="str">
        <f>TE_Raw!B107</f>
        <v>ATL</v>
      </c>
      <c r="G104" s="198">
        <v>0</v>
      </c>
      <c r="H104" s="199">
        <v>0</v>
      </c>
      <c r="I104" s="200">
        <v>0</v>
      </c>
      <c r="J104" s="200">
        <v>0</v>
      </c>
      <c r="K104" s="200">
        <v>0</v>
      </c>
      <c r="L104" s="201">
        <f>TE_Raw!C107</f>
        <v>7.3</v>
      </c>
      <c r="M104" s="201">
        <f>TE_Raw!D107</f>
        <v>58.5</v>
      </c>
      <c r="N104" s="203">
        <f>TE_Raw!E107</f>
        <v>0.3</v>
      </c>
      <c r="O104" s="200">
        <f>TE_Raw!F107</f>
        <v>0</v>
      </c>
      <c r="P104" s="10">
        <f t="shared" si="29"/>
        <v>11.3</v>
      </c>
      <c r="Q104" t="str">
        <f t="shared" ca="1" si="30"/>
        <v>Undrafted</v>
      </c>
      <c r="R104">
        <f t="shared" ca="1" si="31"/>
        <v>0</v>
      </c>
      <c r="S104">
        <f t="shared" ca="1" si="32"/>
        <v>-79.530000000000015</v>
      </c>
      <c r="T104" s="174">
        <f t="shared" ca="1" si="33"/>
        <v>-13.120823914984896</v>
      </c>
      <c r="U104" s="174">
        <f ca="1">T104*Auction!$A$2</f>
        <v>-13.120823914984896</v>
      </c>
      <c r="V104" s="5" t="str">
        <f>IF(OR(INDEX(Auction!$H$13:$H$650,MATCH(B104,Auction!$A$13:$A$650,0))&gt;0,IFERROR(INDEX(CheatSheet!$D$37:$D$64,MATCH(B104,CheatSheet!$A$37:$A$64,0)),"")&lt;&gt;""),"Yes","No")</f>
        <v>No</v>
      </c>
      <c r="W104" s="175"/>
      <c r="Y104" s="77">
        <f t="shared" ca="1" si="34"/>
        <v>1</v>
      </c>
      <c r="Z104">
        <f t="shared" ca="1" si="26"/>
        <v>-39.765000000000008</v>
      </c>
      <c r="AA104" t="str">
        <f t="shared" ca="1" si="27"/>
        <v>TE8</v>
      </c>
      <c r="AB104" s="174">
        <f ca="1">Z104*LeagueInfo!$H$5</f>
        <v>-12.84211379046188</v>
      </c>
      <c r="AC104" s="174">
        <f t="shared" ca="1" si="35"/>
        <v>-0.79137657806719575</v>
      </c>
    </row>
    <row r="105" spans="1:29" x14ac:dyDescent="0.35">
      <c r="A105">
        <f t="shared" si="28"/>
        <v>103</v>
      </c>
      <c r="B105" t="str">
        <f>TE_Raw!A104</f>
        <v>Nate Adkins</v>
      </c>
      <c r="C105" t="s">
        <v>40</v>
      </c>
      <c r="D105" t="str">
        <f>_xlfn.IFNA(INDEX(BYEs!E:E,MATCH(B105,BYEs!D:D,0)),"N/A")</f>
        <v>N/A</v>
      </c>
      <c r="E105">
        <f>INDEX(BYEs!$B$2:$B$34,MATCH(F105,BYEs!$A$2:$A$34,0))</f>
        <v>14</v>
      </c>
      <c r="F105" t="str">
        <f>TE_Raw!B104</f>
        <v>DEN</v>
      </c>
      <c r="G105" s="198">
        <v>0</v>
      </c>
      <c r="H105" s="199">
        <v>0</v>
      </c>
      <c r="I105" s="200">
        <v>0</v>
      </c>
      <c r="J105" s="200">
        <v>0</v>
      </c>
      <c r="K105" s="200">
        <v>0</v>
      </c>
      <c r="L105" s="201">
        <f>TE_Raw!C104</f>
        <v>5.4</v>
      </c>
      <c r="M105" s="201">
        <f>TE_Raw!D104</f>
        <v>47.6</v>
      </c>
      <c r="N105" s="203">
        <f>TE_Raw!E104</f>
        <v>0.6</v>
      </c>
      <c r="O105" s="200">
        <f>TE_Raw!F104</f>
        <v>0</v>
      </c>
      <c r="P105" s="10">
        <f t="shared" si="29"/>
        <v>11.06</v>
      </c>
      <c r="Q105" t="str">
        <f t="shared" ca="1" si="30"/>
        <v>Undrafted</v>
      </c>
      <c r="R105">
        <f t="shared" ca="1" si="31"/>
        <v>0</v>
      </c>
      <c r="S105">
        <f t="shared" ca="1" si="32"/>
        <v>-79.77000000000001</v>
      </c>
      <c r="T105" s="174">
        <f t="shared" ca="1" si="33"/>
        <v>-13.160419007900732</v>
      </c>
      <c r="U105" s="174">
        <f ca="1">T105*Auction!$A$2</f>
        <v>-13.160419007900732</v>
      </c>
      <c r="V105" s="5" t="str">
        <f>IF(OR(INDEX(Auction!$H$13:$H$650,MATCH(B105,Auction!$A$13:$A$650,0))&gt;0,IFERROR(INDEX(CheatSheet!$D$37:$D$64,MATCH(B105,CheatSheet!$A$37:$A$64,0)),"")&lt;&gt;""),"Yes","No")</f>
        <v>No</v>
      </c>
      <c r="W105" s="175"/>
      <c r="Y105" s="77">
        <f t="shared" ca="1" si="34"/>
        <v>1</v>
      </c>
      <c r="Z105">
        <f t="shared" ca="1" si="26"/>
        <v>-39.885000000000005</v>
      </c>
      <c r="AA105" t="str">
        <f t="shared" ca="1" si="27"/>
        <v>TE8</v>
      </c>
      <c r="AB105" s="174">
        <f ca="1">Z105*LeagueInfo!$H$5</f>
        <v>-12.880867811708088</v>
      </c>
      <c r="AC105" s="174">
        <f t="shared" ca="1" si="35"/>
        <v>-0.79590889087914285</v>
      </c>
    </row>
    <row r="106" spans="1:29" x14ac:dyDescent="0.35">
      <c r="A106">
        <f t="shared" si="28"/>
        <v>104</v>
      </c>
      <c r="B106" t="str">
        <f>TE_Raw!A102</f>
        <v>Brady Russell</v>
      </c>
      <c r="C106" t="s">
        <v>40</v>
      </c>
      <c r="D106" t="str">
        <f>_xlfn.IFNA(INDEX(BYEs!E:E,MATCH(B106,BYEs!D:D,0)),"N/A")</f>
        <v>N/A</v>
      </c>
      <c r="E106">
        <f>INDEX(BYEs!$B$2:$B$34,MATCH(F106,BYEs!$A$2:$A$34,0))</f>
        <v>10</v>
      </c>
      <c r="F106" t="str">
        <f>TE_Raw!B102</f>
        <v>SEA</v>
      </c>
      <c r="G106" s="198">
        <v>0</v>
      </c>
      <c r="H106" s="199">
        <v>0</v>
      </c>
      <c r="I106" s="200">
        <v>0</v>
      </c>
      <c r="J106" s="200">
        <v>0</v>
      </c>
      <c r="K106" s="200">
        <v>0</v>
      </c>
      <c r="L106" s="201">
        <f>TE_Raw!C102</f>
        <v>5</v>
      </c>
      <c r="M106" s="201">
        <f>TE_Raw!D102</f>
        <v>49</v>
      </c>
      <c r="N106" s="203">
        <f>TE_Raw!E102</f>
        <v>0.6</v>
      </c>
      <c r="O106" s="200">
        <f>TE_Raw!F102</f>
        <v>0</v>
      </c>
      <c r="P106" s="10">
        <f t="shared" si="29"/>
        <v>11</v>
      </c>
      <c r="Q106" t="str">
        <f t="shared" ca="1" si="30"/>
        <v>Undrafted</v>
      </c>
      <c r="R106">
        <f t="shared" ca="1" si="31"/>
        <v>0</v>
      </c>
      <c r="S106">
        <f t="shared" ca="1" si="32"/>
        <v>-79.830000000000013</v>
      </c>
      <c r="T106" s="174">
        <f t="shared" ca="1" si="33"/>
        <v>-13.17031778112969</v>
      </c>
      <c r="U106" s="174">
        <f ca="1">T106*Auction!$A$2</f>
        <v>-13.17031778112969</v>
      </c>
      <c r="V106" s="5" t="str">
        <f>IF(OR(INDEX(Auction!$H$13:$H$650,MATCH(B106,Auction!$A$13:$A$650,0))&gt;0,IFERROR(INDEX(CheatSheet!$D$37:$D$64,MATCH(B106,CheatSheet!$A$37:$A$64,0)),"")&lt;&gt;""),"Yes","No")</f>
        <v>No</v>
      </c>
      <c r="W106" s="175"/>
      <c r="Y106" s="77">
        <f t="shared" ca="1" si="34"/>
        <v>1</v>
      </c>
      <c r="Z106">
        <f t="shared" ca="1" si="26"/>
        <v>-39.915000000000006</v>
      </c>
      <c r="AA106" t="str">
        <f t="shared" ca="1" si="27"/>
        <v>TE8</v>
      </c>
      <c r="AB106" s="174">
        <f ca="1">Z106*LeagueInfo!$H$5</f>
        <v>-12.890556317019639</v>
      </c>
      <c r="AC106" s="174">
        <f t="shared" ca="1" si="35"/>
        <v>-0.79704196908212976</v>
      </c>
    </row>
    <row r="107" spans="1:29" x14ac:dyDescent="0.35">
      <c r="A107">
        <f t="shared" si="28"/>
        <v>105</v>
      </c>
      <c r="B107" t="str">
        <f>TE_Raw!A103</f>
        <v>Ko Kieft</v>
      </c>
      <c r="C107" t="s">
        <v>40</v>
      </c>
      <c r="D107" t="str">
        <f>_xlfn.IFNA(INDEX(BYEs!E:E,MATCH(B107,BYEs!D:D,0)),"N/A")</f>
        <v>N/A</v>
      </c>
      <c r="E107">
        <f>INDEX(BYEs!$B$2:$B$34,MATCH(F107,BYEs!$A$2:$A$34,0))</f>
        <v>11</v>
      </c>
      <c r="F107" t="str">
        <f>TE_Raw!B103</f>
        <v>TB</v>
      </c>
      <c r="G107" s="198">
        <v>0</v>
      </c>
      <c r="H107" s="199">
        <v>0</v>
      </c>
      <c r="I107" s="200">
        <v>0</v>
      </c>
      <c r="J107" s="200">
        <v>0</v>
      </c>
      <c r="K107" s="200">
        <v>0</v>
      </c>
      <c r="L107" s="201">
        <f>TE_Raw!C103</f>
        <v>4.8</v>
      </c>
      <c r="M107" s="201">
        <f>TE_Raw!D103</f>
        <v>46</v>
      </c>
      <c r="N107" s="203">
        <f>TE_Raw!E103</f>
        <v>0.6</v>
      </c>
      <c r="O107" s="200">
        <f>TE_Raw!F103</f>
        <v>0</v>
      </c>
      <c r="P107" s="10">
        <f t="shared" si="29"/>
        <v>10.6</v>
      </c>
      <c r="Q107" t="str">
        <f t="shared" ca="1" si="30"/>
        <v>Undrafted</v>
      </c>
      <c r="R107">
        <f t="shared" ca="1" si="31"/>
        <v>0</v>
      </c>
      <c r="S107">
        <f t="shared" ca="1" si="32"/>
        <v>-80.230000000000018</v>
      </c>
      <c r="T107" s="174">
        <f t="shared" ca="1" si="33"/>
        <v>-13.236309602656084</v>
      </c>
      <c r="U107" s="174">
        <f ca="1">T107*Auction!$A$2</f>
        <v>-13.236309602656084</v>
      </c>
      <c r="V107" s="5" t="str">
        <f>IF(OR(INDEX(Auction!$H$13:$H$650,MATCH(B107,Auction!$A$13:$A$650,0))&gt;0,IFERROR(INDEX(CheatSheet!$D$37:$D$64,MATCH(B107,CheatSheet!$A$37:$A$64,0)),"")&lt;&gt;""),"Yes","No")</f>
        <v>No</v>
      </c>
      <c r="W107" s="175"/>
      <c r="Y107" s="77">
        <f t="shared" ca="1" si="34"/>
        <v>1</v>
      </c>
      <c r="Z107">
        <f t="shared" ca="1" si="26"/>
        <v>-40.115000000000009</v>
      </c>
      <c r="AA107" t="str">
        <f t="shared" ca="1" si="27"/>
        <v>TE8</v>
      </c>
      <c r="AB107" s="174">
        <f ca="1">Z107*LeagueInfo!$H$5</f>
        <v>-12.955146352429985</v>
      </c>
      <c r="AC107" s="174">
        <f t="shared" ca="1" si="35"/>
        <v>-0.80459582376870853</v>
      </c>
    </row>
    <row r="108" spans="1:29" x14ac:dyDescent="0.35">
      <c r="A108">
        <f t="shared" si="28"/>
        <v>106</v>
      </c>
      <c r="B108" t="str">
        <f>TE_Raw!A106</f>
        <v>Jake Tonges</v>
      </c>
      <c r="C108" t="s">
        <v>40</v>
      </c>
      <c r="D108" t="str">
        <f>_xlfn.IFNA(INDEX(BYEs!E:E,MATCH(B108,BYEs!D:D,0)),"N/A")</f>
        <v>N/A</v>
      </c>
      <c r="E108">
        <f>INDEX(BYEs!$B$2:$B$34,MATCH(F108,BYEs!$A$2:$A$34,0))</f>
        <v>9</v>
      </c>
      <c r="F108" t="str">
        <f>TE_Raw!B106</f>
        <v>SF</v>
      </c>
      <c r="G108" s="198">
        <v>0</v>
      </c>
      <c r="H108" s="199">
        <v>0</v>
      </c>
      <c r="I108" s="200">
        <v>0</v>
      </c>
      <c r="J108" s="200">
        <v>0</v>
      </c>
      <c r="K108" s="200">
        <v>0</v>
      </c>
      <c r="L108" s="201">
        <f>TE_Raw!C106</f>
        <v>5.2</v>
      </c>
      <c r="M108" s="201">
        <f>TE_Raw!D106</f>
        <v>53.2</v>
      </c>
      <c r="N108" s="203">
        <f>TE_Raw!E106</f>
        <v>0.4</v>
      </c>
      <c r="O108" s="200">
        <f>TE_Raw!F106</f>
        <v>0.1</v>
      </c>
      <c r="P108" s="10">
        <f t="shared" si="29"/>
        <v>10.120000000000001</v>
      </c>
      <c r="Q108" t="str">
        <f t="shared" ca="1" si="30"/>
        <v>Undrafted</v>
      </c>
      <c r="R108">
        <f t="shared" ca="1" si="31"/>
        <v>0</v>
      </c>
      <c r="S108">
        <f t="shared" ca="1" si="32"/>
        <v>-80.710000000000008</v>
      </c>
      <c r="T108" s="174">
        <f t="shared" ca="1" si="33"/>
        <v>-13.315499788487752</v>
      </c>
      <c r="U108" s="174">
        <f ca="1">T108*Auction!$A$2</f>
        <v>-13.315499788487752</v>
      </c>
      <c r="V108" s="5" t="str">
        <f>IF(OR(INDEX(Auction!$H$13:$H$650,MATCH(B108,Auction!$A$13:$A$650,0))&gt;0,IFERROR(INDEX(CheatSheet!$D$37:$D$64,MATCH(B108,CheatSheet!$A$37:$A$64,0)),"")&lt;&gt;""),"Yes","No")</f>
        <v>No</v>
      </c>
      <c r="W108" s="175"/>
      <c r="Y108" s="77">
        <f t="shared" ca="1" si="34"/>
        <v>1</v>
      </c>
      <c r="Z108">
        <f t="shared" ca="1" si="26"/>
        <v>-40.355000000000004</v>
      </c>
      <c r="AA108" t="str">
        <f t="shared" ca="1" si="27"/>
        <v>TE8</v>
      </c>
      <c r="AB108" s="174">
        <f ca="1">Z108*LeagueInfo!$H$5</f>
        <v>-13.032654394922398</v>
      </c>
      <c r="AC108" s="174">
        <f t="shared" ca="1" si="35"/>
        <v>-0.81366044939260274</v>
      </c>
    </row>
    <row r="109" spans="1:29" x14ac:dyDescent="0.35">
      <c r="A109">
        <f t="shared" si="28"/>
        <v>107</v>
      </c>
      <c r="B109" t="str">
        <f>TE_Raw!A113</f>
        <v>Eric Saubert</v>
      </c>
      <c r="C109" t="s">
        <v>40</v>
      </c>
      <c r="D109" t="str">
        <f>_xlfn.IFNA(INDEX(BYEs!E:E,MATCH(B109,BYEs!D:D,0)),"N/A")</f>
        <v>N/A</v>
      </c>
      <c r="E109">
        <f>INDEX(BYEs!$B$2:$B$34,MATCH(F109,BYEs!$A$2:$A$34,0))</f>
        <v>9</v>
      </c>
      <c r="F109" t="str">
        <f>TE_Raw!B113</f>
        <v>SF</v>
      </c>
      <c r="G109" s="198">
        <v>0</v>
      </c>
      <c r="H109" s="199">
        <v>0</v>
      </c>
      <c r="I109" s="200">
        <v>0</v>
      </c>
      <c r="J109" s="200">
        <v>0</v>
      </c>
      <c r="K109" s="200">
        <v>0</v>
      </c>
      <c r="L109" s="201">
        <f>TE_Raw!C113</f>
        <v>7</v>
      </c>
      <c r="M109" s="201">
        <f>TE_Raw!D113</f>
        <v>47</v>
      </c>
      <c r="N109" s="203">
        <f>TE_Raw!E113</f>
        <v>0</v>
      </c>
      <c r="O109" s="200">
        <f>TE_Raw!F113</f>
        <v>0</v>
      </c>
      <c r="P109" s="10">
        <f t="shared" si="29"/>
        <v>8.1999999999999993</v>
      </c>
      <c r="Q109" t="str">
        <f t="shared" ca="1" si="30"/>
        <v>Undrafted</v>
      </c>
      <c r="R109">
        <f t="shared" ca="1" si="31"/>
        <v>0</v>
      </c>
      <c r="S109">
        <f t="shared" ca="1" si="32"/>
        <v>-82.63000000000001</v>
      </c>
      <c r="T109" s="174">
        <f t="shared" ca="1" si="33"/>
        <v>-13.632260531814435</v>
      </c>
      <c r="U109" s="174">
        <f ca="1">T109*Auction!$A$2</f>
        <v>-13.632260531814435</v>
      </c>
      <c r="V109" s="5" t="str">
        <f>IF(OR(INDEX(Auction!$H$13:$H$650,MATCH(B109,Auction!$A$13:$A$650,0))&gt;0,IFERROR(INDEX(CheatSheet!$D$37:$D$64,MATCH(B109,CheatSheet!$A$37:$A$64,0)),"")&lt;&gt;""),"Yes","No")</f>
        <v>No</v>
      </c>
      <c r="W109" s="175"/>
      <c r="Y109" s="77">
        <f t="shared" ca="1" si="34"/>
        <v>1</v>
      </c>
      <c r="Z109">
        <f t="shared" ca="1" si="26"/>
        <v>-41.315000000000005</v>
      </c>
      <c r="AA109" t="str">
        <f t="shared" ca="1" si="27"/>
        <v>TE8</v>
      </c>
      <c r="AB109" s="174">
        <f ca="1">Z109*LeagueInfo!$H$5</f>
        <v>-13.342686564892055</v>
      </c>
      <c r="AC109" s="174">
        <f t="shared" ca="1" si="35"/>
        <v>-0.84991895188818045</v>
      </c>
    </row>
    <row r="110" spans="1:29" x14ac:dyDescent="0.35">
      <c r="A110">
        <f t="shared" si="28"/>
        <v>108</v>
      </c>
      <c r="B110" t="str">
        <f>TE_Raw!A108</f>
        <v>Anthony Firkser</v>
      </c>
      <c r="C110" t="s">
        <v>40</v>
      </c>
      <c r="D110" t="str">
        <f>_xlfn.IFNA(INDEX(BYEs!E:E,MATCH(B110,BYEs!D:D,0)),"N/A")</f>
        <v>N/A</v>
      </c>
      <c r="E110">
        <f>INDEX(BYEs!$B$2:$B$34,MATCH(F110,BYEs!$A$2:$A$34,0))</f>
        <v>12</v>
      </c>
      <c r="F110" t="str">
        <f>TE_Raw!B108</f>
        <v>NYJ</v>
      </c>
      <c r="G110" s="198">
        <v>0</v>
      </c>
      <c r="H110" s="199">
        <v>0</v>
      </c>
      <c r="I110" s="200">
        <v>0</v>
      </c>
      <c r="J110" s="200">
        <v>0</v>
      </c>
      <c r="K110" s="200">
        <v>0</v>
      </c>
      <c r="L110" s="201">
        <f>TE_Raw!C108</f>
        <v>4.4000000000000004</v>
      </c>
      <c r="M110" s="201">
        <f>TE_Raw!D108</f>
        <v>41.4</v>
      </c>
      <c r="N110" s="203">
        <f>TE_Raw!E108</f>
        <v>0.3</v>
      </c>
      <c r="O110" s="200">
        <f>TE_Raw!F108</f>
        <v>0</v>
      </c>
      <c r="P110" s="10">
        <f t="shared" si="29"/>
        <v>8.14</v>
      </c>
      <c r="Q110" t="str">
        <f t="shared" ca="1" si="30"/>
        <v>Undrafted</v>
      </c>
      <c r="R110">
        <f t="shared" ca="1" si="31"/>
        <v>0</v>
      </c>
      <c r="S110">
        <f t="shared" ca="1" si="32"/>
        <v>-82.690000000000012</v>
      </c>
      <c r="T110" s="174">
        <f t="shared" ca="1" si="33"/>
        <v>-13.642159305043393</v>
      </c>
      <c r="U110" s="174">
        <f ca="1">T110*Auction!$A$2</f>
        <v>-13.642159305043393</v>
      </c>
      <c r="V110" s="5" t="str">
        <f>IF(OR(INDEX(Auction!$H$13:$H$650,MATCH(B110,Auction!$A$13:$A$650,0))&gt;0,IFERROR(INDEX(CheatSheet!$D$37:$D$64,MATCH(B110,CheatSheet!$A$37:$A$64,0)),"")&lt;&gt;""),"Yes","No")</f>
        <v>No</v>
      </c>
      <c r="W110" s="175"/>
      <c r="Y110" s="77">
        <f t="shared" ca="1" si="34"/>
        <v>1</v>
      </c>
      <c r="Z110">
        <f t="shared" ca="1" si="26"/>
        <v>-41.345000000000006</v>
      </c>
      <c r="AA110" t="str">
        <f t="shared" ca="1" si="27"/>
        <v>TE8</v>
      </c>
      <c r="AB110" s="174">
        <f ca="1">Z110*LeagueInfo!$H$5</f>
        <v>-13.352375070203607</v>
      </c>
      <c r="AC110" s="174">
        <f t="shared" ca="1" si="35"/>
        <v>-0.85105203009116737</v>
      </c>
    </row>
    <row r="111" spans="1:29" x14ac:dyDescent="0.35">
      <c r="A111">
        <f t="shared" si="28"/>
        <v>109</v>
      </c>
      <c r="B111" t="str">
        <f>TE_Raw!A112</f>
        <v>Chris Manhertz</v>
      </c>
      <c r="C111" t="s">
        <v>40</v>
      </c>
      <c r="D111" t="str">
        <f>_xlfn.IFNA(INDEX(BYEs!E:E,MATCH(B111,BYEs!D:D,0)),"N/A")</f>
        <v>N/A</v>
      </c>
      <c r="E111">
        <f>INDEX(BYEs!$B$2:$B$34,MATCH(F111,BYEs!$A$2:$A$34,0))</f>
        <v>11</v>
      </c>
      <c r="F111" t="str">
        <f>TE_Raw!B112</f>
        <v>NYG</v>
      </c>
      <c r="G111" s="198">
        <v>0</v>
      </c>
      <c r="H111" s="199">
        <v>0</v>
      </c>
      <c r="I111" s="200">
        <v>0</v>
      </c>
      <c r="J111" s="200">
        <v>0</v>
      </c>
      <c r="K111" s="200">
        <v>0</v>
      </c>
      <c r="L111" s="201">
        <f>TE_Raw!C112</f>
        <v>5.4</v>
      </c>
      <c r="M111" s="201">
        <f>TE_Raw!D112</f>
        <v>46.8</v>
      </c>
      <c r="N111" s="203">
        <f>TE_Raw!E112</f>
        <v>0.1</v>
      </c>
      <c r="O111" s="200">
        <f>TE_Raw!F112</f>
        <v>0</v>
      </c>
      <c r="P111" s="10">
        <f t="shared" si="29"/>
        <v>7.98</v>
      </c>
      <c r="Q111" t="str">
        <f t="shared" ca="1" si="30"/>
        <v>Undrafted</v>
      </c>
      <c r="R111">
        <f t="shared" ca="1" si="31"/>
        <v>0</v>
      </c>
      <c r="S111">
        <f t="shared" ca="1" si="32"/>
        <v>-82.850000000000009</v>
      </c>
      <c r="T111" s="174">
        <f t="shared" ca="1" si="33"/>
        <v>-13.66855603365395</v>
      </c>
      <c r="U111" s="174">
        <f ca="1">T111*Auction!$A$2</f>
        <v>-13.66855603365395</v>
      </c>
      <c r="V111" s="5" t="str">
        <f>IF(OR(INDEX(Auction!$H$13:$H$650,MATCH(B111,Auction!$A$13:$A$650,0))&gt;0,IFERROR(INDEX(CheatSheet!$D$37:$D$64,MATCH(B111,CheatSheet!$A$37:$A$64,0)),"")&lt;&gt;""),"Yes","No")</f>
        <v>No</v>
      </c>
      <c r="W111" s="175"/>
      <c r="Y111" s="77">
        <f t="shared" ca="1" si="34"/>
        <v>1</v>
      </c>
      <c r="Z111">
        <f t="shared" ca="1" si="26"/>
        <v>-41.425000000000004</v>
      </c>
      <c r="AA111" t="str">
        <f t="shared" ca="1" si="27"/>
        <v>TE8</v>
      </c>
      <c r="AB111" s="174">
        <f ca="1">Z111*LeagueInfo!$H$5</f>
        <v>-13.378211084367745</v>
      </c>
      <c r="AC111" s="174">
        <f t="shared" ca="1" si="35"/>
        <v>-0.85407357196579881</v>
      </c>
    </row>
    <row r="112" spans="1:29" x14ac:dyDescent="0.35">
      <c r="A112">
        <f t="shared" si="28"/>
        <v>110</v>
      </c>
      <c r="B112" t="str">
        <f>TE_Raw!A110</f>
        <v>Josiah Deguara</v>
      </c>
      <c r="C112" t="s">
        <v>40</v>
      </c>
      <c r="D112" t="str">
        <f>_xlfn.IFNA(INDEX(BYEs!E:E,MATCH(B112,BYEs!D:D,0)),"N/A")</f>
        <v>N/A</v>
      </c>
      <c r="E112">
        <f>INDEX(BYEs!$B$2:$B$34,MATCH(F112,BYEs!$A$2:$A$34,0))</f>
        <v>12</v>
      </c>
      <c r="F112" t="str">
        <f>TE_Raw!B110</f>
        <v>JAC</v>
      </c>
      <c r="G112" s="198">
        <v>0</v>
      </c>
      <c r="H112" s="199">
        <v>0</v>
      </c>
      <c r="I112" s="200">
        <v>0</v>
      </c>
      <c r="J112" s="200">
        <v>0</v>
      </c>
      <c r="K112" s="200">
        <v>0</v>
      </c>
      <c r="L112" s="201">
        <f>TE_Raw!C110</f>
        <v>5</v>
      </c>
      <c r="M112" s="201">
        <f>TE_Raw!D110</f>
        <v>51</v>
      </c>
      <c r="N112" s="203">
        <f>TE_Raw!E110</f>
        <v>0</v>
      </c>
      <c r="O112" s="200">
        <f>TE_Raw!F110</f>
        <v>0</v>
      </c>
      <c r="P112" s="10">
        <f t="shared" si="29"/>
        <v>7.6000000000000005</v>
      </c>
      <c r="Q112" t="str">
        <f t="shared" ca="1" si="30"/>
        <v>Undrafted</v>
      </c>
      <c r="R112">
        <f t="shared" ca="1" si="31"/>
        <v>0</v>
      </c>
      <c r="S112">
        <f t="shared" ca="1" si="32"/>
        <v>-83.230000000000018</v>
      </c>
      <c r="T112" s="174">
        <f t="shared" ca="1" si="33"/>
        <v>-13.731248264104023</v>
      </c>
      <c r="U112" s="174">
        <f ca="1">T112*Auction!$A$2</f>
        <v>-13.731248264104023</v>
      </c>
      <c r="V112" s="5" t="str">
        <f>IF(OR(INDEX(Auction!$H$13:$H$650,MATCH(B112,Auction!$A$13:$A$650,0))&gt;0,IFERROR(INDEX(CheatSheet!$D$37:$D$64,MATCH(B112,CheatSheet!$A$37:$A$64,0)),"")&lt;&gt;""),"Yes","No")</f>
        <v>No</v>
      </c>
      <c r="W112" s="175"/>
      <c r="Y112" s="77">
        <f t="shared" ca="1" si="34"/>
        <v>1</v>
      </c>
      <c r="Z112">
        <f t="shared" ca="1" si="26"/>
        <v>-41.615000000000009</v>
      </c>
      <c r="AA112" t="str">
        <f t="shared" ca="1" si="27"/>
        <v>TE8</v>
      </c>
      <c r="AB112" s="174">
        <f ca="1">Z112*LeagueInfo!$H$5</f>
        <v>-13.439571618007575</v>
      </c>
      <c r="AC112" s="174">
        <f t="shared" ca="1" si="35"/>
        <v>-0.86124973391804871</v>
      </c>
    </row>
    <row r="113" spans="1:29" x14ac:dyDescent="0.35">
      <c r="A113">
        <f t="shared" si="28"/>
        <v>111</v>
      </c>
      <c r="B113" t="str">
        <f>TE_Raw!A109</f>
        <v>Parker Hesse</v>
      </c>
      <c r="C113" t="s">
        <v>40</v>
      </c>
      <c r="D113" t="str">
        <f>_xlfn.IFNA(INDEX(BYEs!E:E,MATCH(B113,BYEs!D:D,0)),"N/A")</f>
        <v>N/A</v>
      </c>
      <c r="E113">
        <f>INDEX(BYEs!$B$2:$B$34,MATCH(F113,BYEs!$A$2:$A$34,0))</f>
        <v>5</v>
      </c>
      <c r="F113" t="str">
        <f>TE_Raw!B109</f>
        <v>DET</v>
      </c>
      <c r="G113" s="198">
        <v>0</v>
      </c>
      <c r="H113" s="199">
        <v>0</v>
      </c>
      <c r="I113" s="200">
        <v>0</v>
      </c>
      <c r="J113" s="200">
        <v>0</v>
      </c>
      <c r="K113" s="200">
        <v>0</v>
      </c>
      <c r="L113" s="201">
        <f>TE_Raw!C109</f>
        <v>3.7</v>
      </c>
      <c r="M113" s="201">
        <f>TE_Raw!D109</f>
        <v>36.799999999999997</v>
      </c>
      <c r="N113" s="203">
        <f>TE_Raw!E109</f>
        <v>0.3</v>
      </c>
      <c r="O113" s="200">
        <f>TE_Raw!F109</f>
        <v>0</v>
      </c>
      <c r="P113" s="10">
        <f t="shared" si="29"/>
        <v>7.3299999999999992</v>
      </c>
      <c r="Q113" t="str">
        <f t="shared" ca="1" si="30"/>
        <v>Undrafted</v>
      </c>
      <c r="R113">
        <f t="shared" ca="1" si="31"/>
        <v>0</v>
      </c>
      <c r="S113">
        <f t="shared" ca="1" si="32"/>
        <v>-83.500000000000014</v>
      </c>
      <c r="T113" s="174">
        <f t="shared" ca="1" si="33"/>
        <v>-13.775792743634337</v>
      </c>
      <c r="U113" s="174">
        <f ca="1">T113*Auction!$A$2</f>
        <v>-13.775792743634337</v>
      </c>
      <c r="V113" s="5" t="str">
        <f>IF(OR(INDEX(Auction!$H$13:$H$650,MATCH(B113,Auction!$A$13:$A$650,0))&gt;0,IFERROR(INDEX(CheatSheet!$D$37:$D$64,MATCH(B113,CheatSheet!$A$37:$A$64,0)),"")&lt;&gt;""),"Yes","No")</f>
        <v>No</v>
      </c>
      <c r="W113" s="175"/>
      <c r="Y113" s="77">
        <f t="shared" ca="1" si="34"/>
        <v>1</v>
      </c>
      <c r="Z113">
        <f t="shared" ref="Z113:Z114" ca="1" si="36">AVERAGE(R113:S113)</f>
        <v>-41.750000000000007</v>
      </c>
      <c r="AA113" t="str">
        <f t="shared" ca="1" si="27"/>
        <v>TE8</v>
      </c>
      <c r="AB113" s="174">
        <f ca="1">Z113*LeagueInfo!$H$5</f>
        <v>-13.483169891909556</v>
      </c>
      <c r="AC113" s="174">
        <f t="shared" ca="1" si="35"/>
        <v>-0.86634858583148922</v>
      </c>
    </row>
    <row r="114" spans="1:29" x14ac:dyDescent="0.35">
      <c r="A114">
        <f t="shared" si="28"/>
        <v>112</v>
      </c>
      <c r="B114" t="str">
        <f>TE_Raw!A111</f>
        <v>Nick Muse</v>
      </c>
      <c r="C114" t="s">
        <v>40</v>
      </c>
      <c r="D114" t="str">
        <f>_xlfn.IFNA(INDEX(BYEs!E:E,MATCH(B114,BYEs!D:D,0)),"N/A")</f>
        <v>N/A</v>
      </c>
      <c r="E114">
        <f>INDEX(BYEs!$B$2:$B$34,MATCH(F114,BYEs!$A$2:$A$34,0))</f>
        <v>6</v>
      </c>
      <c r="F114" t="str">
        <f>TE_Raw!B111</f>
        <v>MIN</v>
      </c>
      <c r="G114" s="198">
        <v>0</v>
      </c>
      <c r="H114" s="199">
        <v>0</v>
      </c>
      <c r="I114" s="200">
        <v>0</v>
      </c>
      <c r="J114" s="200">
        <v>0</v>
      </c>
      <c r="K114" s="200">
        <v>0</v>
      </c>
      <c r="L114" s="201">
        <f>TE_Raw!C111</f>
        <v>3.7</v>
      </c>
      <c r="M114" s="201">
        <f>TE_Raw!D111</f>
        <v>35.799999999999997</v>
      </c>
      <c r="N114" s="203">
        <f>TE_Raw!E111</f>
        <v>0.3</v>
      </c>
      <c r="O114" s="200">
        <f>TE_Raw!F111</f>
        <v>0</v>
      </c>
      <c r="P114" s="10">
        <f t="shared" si="29"/>
        <v>7.2299999999999995</v>
      </c>
      <c r="Q114" t="str">
        <f t="shared" ca="1" si="30"/>
        <v>Undrafted</v>
      </c>
      <c r="R114">
        <f t="shared" ca="1" si="31"/>
        <v>0</v>
      </c>
      <c r="S114">
        <f t="shared" ca="1" si="32"/>
        <v>-83.600000000000009</v>
      </c>
      <c r="T114" s="174">
        <f t="shared" ca="1" si="33"/>
        <v>-13.792290699015934</v>
      </c>
      <c r="U114" s="174">
        <f ca="1">T114*Auction!$A$2</f>
        <v>-13.792290699015934</v>
      </c>
      <c r="V114" s="5" t="str">
        <f>IF(OR(INDEX(Auction!$H$13:$H$650,MATCH(B114,Auction!$A$13:$A$650,0))&gt;0,IFERROR(INDEX(CheatSheet!$D$37:$D$64,MATCH(B114,CheatSheet!$A$37:$A$64,0)),"")&lt;&gt;""),"Yes","No")</f>
        <v>No</v>
      </c>
      <c r="W114" s="175"/>
      <c r="Y114" s="77">
        <f t="shared" ca="1" si="34"/>
        <v>1</v>
      </c>
      <c r="Z114">
        <f t="shared" ca="1" si="36"/>
        <v>-41.800000000000004</v>
      </c>
      <c r="AA114" t="str">
        <f t="shared" ca="1" si="27"/>
        <v>TE8</v>
      </c>
      <c r="AB114" s="174">
        <f ca="1">Z114*LeagueInfo!$H$5</f>
        <v>-13.499317400762141</v>
      </c>
      <c r="AC114" s="174">
        <f t="shared" ca="1" si="35"/>
        <v>-0.86823704950313374</v>
      </c>
    </row>
    <row r="115" spans="1:29" x14ac:dyDescent="0.35">
      <c r="A115">
        <f t="shared" si="28"/>
        <v>113</v>
      </c>
      <c r="B115" t="str">
        <f>TE_Raw!A118</f>
        <v>Mitchell Wilcox</v>
      </c>
      <c r="C115" t="s">
        <v>40</v>
      </c>
      <c r="D115" t="str">
        <f>_xlfn.IFNA(INDEX(BYEs!E:E,MATCH(B115,BYEs!D:D,0)),"N/A")</f>
        <v>N/A</v>
      </c>
      <c r="E115">
        <f>INDEX(BYEs!$B$2:$B$34,MATCH(F115,BYEs!$A$2:$A$34,0))</f>
        <v>14</v>
      </c>
      <c r="F115" t="str">
        <f>TE_Raw!B118</f>
        <v>NE</v>
      </c>
      <c r="G115" s="198">
        <v>0</v>
      </c>
      <c r="H115" s="199">
        <v>0</v>
      </c>
      <c r="I115" s="200">
        <v>0</v>
      </c>
      <c r="J115" s="200">
        <v>0</v>
      </c>
      <c r="K115" s="200">
        <v>0</v>
      </c>
      <c r="L115" s="201">
        <f>TE_Raw!C118</f>
        <v>3.4</v>
      </c>
      <c r="M115" s="201">
        <f>TE_Raw!D118</f>
        <v>24.4</v>
      </c>
      <c r="N115" s="203">
        <f>TE_Raw!E118</f>
        <v>0</v>
      </c>
      <c r="O115" s="200">
        <f>TE_Raw!F118</f>
        <v>0</v>
      </c>
      <c r="P115" s="10">
        <f t="shared" si="29"/>
        <v>4.1399999999999997</v>
      </c>
      <c r="Q115" t="str">
        <f t="shared" ca="1" si="30"/>
        <v>Undrafted</v>
      </c>
      <c r="R115">
        <f t="shared" ca="1" si="31"/>
        <v>0</v>
      </c>
      <c r="S115">
        <f t="shared" ca="1" si="32"/>
        <v>-86.690000000000012</v>
      </c>
      <c r="T115" s="174">
        <f t="shared" ca="1" si="33"/>
        <v>-14.302077520307314</v>
      </c>
      <c r="U115" s="174">
        <f ca="1">T115*Auction!$A$2</f>
        <v>-14.302077520307314</v>
      </c>
      <c r="V115" s="5" t="str">
        <f>IF(OR(INDEX(Auction!$H$13:$H$650,MATCH(B115,Auction!$A$13:$A$650,0))&gt;0,IFERROR(INDEX(CheatSheet!$D$37:$D$64,MATCH(B115,CheatSheet!$A$37:$A$64,0)),"")&lt;&gt;""),"Yes","No")</f>
        <v>No</v>
      </c>
      <c r="W115" s="175"/>
      <c r="Y115" s="77">
        <f t="shared" ca="1" si="34"/>
        <v>1</v>
      </c>
      <c r="Z115">
        <f t="shared" ref="Z115" ca="1" si="37">AVERAGE(R115:S115)</f>
        <v>-43.345000000000006</v>
      </c>
      <c r="AA115" t="str">
        <f t="shared" ref="AA115" ca="1" si="38">IF(AC115&gt;3,"TE1",IF(AC115&gt;2.5,"TE2",IF(AC115&gt;2,"TE3",IF(AC115&gt;1.5,"TE4",IF(AC115&gt;1,"TE5",IF(AC115&gt;0.5,"TE6",IF(AC115&gt;0,"TE7","TE8")))))))</f>
        <v>TE8</v>
      </c>
      <c r="AB115" s="174">
        <f ca="1">Z115*LeagueInfo!$H$5</f>
        <v>-13.998275424307058</v>
      </c>
      <c r="AC115" s="174">
        <f t="shared" ca="1" si="35"/>
        <v>-0.92659057695695424</v>
      </c>
    </row>
  </sheetData>
  <autoFilter ref="A2:W115" xr:uid="{00000000-0001-0000-0C00-000000000000}">
    <sortState xmlns:xlrd2="http://schemas.microsoft.com/office/spreadsheetml/2017/richdata2" ref="A3:W115">
      <sortCondition ref="A5:A115"/>
    </sortState>
  </autoFilter>
  <sortState xmlns:xlrd2="http://schemas.microsoft.com/office/spreadsheetml/2017/richdata2" ref="A3:V118">
    <sortCondition ref="A2:A160"/>
  </sortState>
  <mergeCells count="3">
    <mergeCell ref="G1:H1"/>
    <mergeCell ref="I1:K1"/>
    <mergeCell ref="L1:N1"/>
  </mergeCells>
  <conditionalFormatting sqref="P3:U3 P98:P109 Q4:Q109 A116:F153 P115:V115 P110:Q114 V3:V114 R4:U114 A3:O115">
    <cfRule type="expression" dxfId="70" priority="26">
      <formula>$V3="Yes"</formula>
    </cfRule>
  </conditionalFormatting>
  <conditionalFormatting sqref="G116:O153">
    <cfRule type="expression" dxfId="69" priority="19">
      <formula>$V116="Yes"</formula>
    </cfRule>
  </conditionalFormatting>
  <conditionalFormatting sqref="P47:P97">
    <cfRule type="expression" dxfId="68" priority="16">
      <formula>$V47="Yes"</formula>
    </cfRule>
  </conditionalFormatting>
  <conditionalFormatting sqref="P4:P46">
    <cfRule type="expression" dxfId="67" priority="13">
      <formula>$V4="Yes"</formula>
    </cfRule>
  </conditionalFormatting>
  <conditionalFormatting sqref="D2">
    <cfRule type="expression" dxfId="66" priority="5">
      <formula>#REF!="Yes"</formula>
    </cfRule>
  </conditionalFormatting>
  <conditionalFormatting sqref="D3:D115">
    <cfRule type="colorScale" priority="349">
      <colorScale>
        <cfvo type="min"/>
        <cfvo type="percentile" val="50"/>
        <cfvo type="max"/>
        <color rgb="FF63BE7B"/>
        <color rgb="FFFFEB84"/>
        <color rgb="FFF8696B"/>
      </colorScale>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LeagueInfo!$H$97:$H$100</xm:f>
          </x14:formula1>
          <xm:sqref>W3:W115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0"/>
  <dimension ref="A1:G118"/>
  <sheetViews>
    <sheetView topLeftCell="A94" workbookViewId="0">
      <selection activeCell="G119" sqref="G119"/>
    </sheetView>
  </sheetViews>
  <sheetFormatPr defaultColWidth="8.90625" defaultRowHeight="14.5" x14ac:dyDescent="0.35"/>
  <cols>
    <col min="1" max="1" width="22.1796875" bestFit="1" customWidth="1"/>
    <col min="2" max="2" width="7.90625" bestFit="1" customWidth="1"/>
    <col min="3" max="3" width="16.08984375" bestFit="1" customWidth="1"/>
    <col min="4" max="4" width="16.1796875" bestFit="1" customWidth="1"/>
    <col min="5" max="5" width="16.08984375" bestFit="1" customWidth="1"/>
    <col min="6" max="6" width="9.81640625" bestFit="1" customWidth="1"/>
    <col min="7" max="7" width="12" bestFit="1" customWidth="1"/>
  </cols>
  <sheetData>
    <row r="1" spans="1:7" x14ac:dyDescent="0.35">
      <c r="A1" t="s">
        <v>82</v>
      </c>
      <c r="B1" t="s">
        <v>272</v>
      </c>
      <c r="C1" t="s">
        <v>391</v>
      </c>
      <c r="D1" t="s">
        <v>392</v>
      </c>
      <c r="E1" t="s">
        <v>393</v>
      </c>
      <c r="F1" t="s">
        <v>389</v>
      </c>
      <c r="G1" t="s">
        <v>390</v>
      </c>
    </row>
    <row r="2" spans="1:7" x14ac:dyDescent="0.35">
      <c r="A2" t="s">
        <v>99</v>
      </c>
      <c r="B2" t="s">
        <v>210</v>
      </c>
      <c r="C2">
        <v>89</v>
      </c>
      <c r="D2">
        <v>960.9</v>
      </c>
      <c r="E2">
        <v>7.5</v>
      </c>
      <c r="F2">
        <v>0.8</v>
      </c>
      <c r="G2">
        <v>140.5</v>
      </c>
    </row>
    <row r="3" spans="1:7" x14ac:dyDescent="0.35">
      <c r="A3" t="s">
        <v>725</v>
      </c>
      <c r="B3" t="s">
        <v>201</v>
      </c>
      <c r="C3">
        <v>86.3</v>
      </c>
      <c r="D3">
        <v>891.3</v>
      </c>
      <c r="E3">
        <v>7.7</v>
      </c>
      <c r="F3">
        <v>0.4</v>
      </c>
      <c r="G3">
        <v>134.6</v>
      </c>
    </row>
    <row r="4" spans="1:7" x14ac:dyDescent="0.35">
      <c r="A4" t="s">
        <v>371</v>
      </c>
      <c r="B4" t="s">
        <v>209</v>
      </c>
      <c r="C4">
        <v>71.900000000000006</v>
      </c>
      <c r="D4">
        <v>869.4</v>
      </c>
      <c r="E4">
        <v>7.9</v>
      </c>
      <c r="F4">
        <v>0.5</v>
      </c>
      <c r="G4">
        <v>133.30000000000001</v>
      </c>
    </row>
    <row r="5" spans="1:7" x14ac:dyDescent="0.35">
      <c r="A5" t="s">
        <v>257</v>
      </c>
      <c r="B5" t="s">
        <v>214</v>
      </c>
      <c r="C5">
        <v>65.400000000000006</v>
      </c>
      <c r="D5">
        <v>882.1</v>
      </c>
      <c r="E5">
        <v>6</v>
      </c>
      <c r="F5">
        <v>0.4</v>
      </c>
      <c r="G5">
        <v>123.4</v>
      </c>
    </row>
    <row r="6" spans="1:7" x14ac:dyDescent="0.35">
      <c r="A6" t="s">
        <v>567</v>
      </c>
      <c r="B6" t="s">
        <v>192</v>
      </c>
      <c r="C6">
        <v>67.8</v>
      </c>
      <c r="D6">
        <v>874.6</v>
      </c>
      <c r="E6">
        <v>5.2</v>
      </c>
      <c r="F6">
        <v>0.4</v>
      </c>
      <c r="G6">
        <v>117.6</v>
      </c>
    </row>
    <row r="7" spans="1:7" x14ac:dyDescent="0.35">
      <c r="A7" t="s">
        <v>634</v>
      </c>
      <c r="B7" t="s">
        <v>208</v>
      </c>
      <c r="C7">
        <v>86</v>
      </c>
      <c r="D7">
        <v>880.4</v>
      </c>
      <c r="E7">
        <v>5.0999999999999996</v>
      </c>
      <c r="F7">
        <v>0.5</v>
      </c>
      <c r="G7">
        <v>117.4</v>
      </c>
    </row>
    <row r="8" spans="1:7" x14ac:dyDescent="0.35">
      <c r="A8" t="s">
        <v>712</v>
      </c>
      <c r="B8" t="s">
        <v>203</v>
      </c>
      <c r="C8">
        <v>82.3</v>
      </c>
      <c r="D8">
        <v>821.9</v>
      </c>
      <c r="E8">
        <v>5.4</v>
      </c>
      <c r="F8">
        <v>0.8</v>
      </c>
      <c r="G8">
        <v>112.9</v>
      </c>
    </row>
    <row r="9" spans="1:7" x14ac:dyDescent="0.35">
      <c r="A9" t="s">
        <v>638</v>
      </c>
      <c r="B9" t="s">
        <v>199</v>
      </c>
      <c r="C9">
        <v>70.7</v>
      </c>
      <c r="D9">
        <v>736.5</v>
      </c>
      <c r="E9">
        <v>5.9</v>
      </c>
      <c r="F9">
        <v>0.4</v>
      </c>
      <c r="G9">
        <v>108.1</v>
      </c>
    </row>
    <row r="10" spans="1:7" x14ac:dyDescent="0.35">
      <c r="A10" t="s">
        <v>142</v>
      </c>
      <c r="B10" t="s">
        <v>220</v>
      </c>
      <c r="C10">
        <v>69.8</v>
      </c>
      <c r="D10">
        <v>772.8</v>
      </c>
      <c r="E10">
        <v>5.5</v>
      </c>
      <c r="F10">
        <v>1.2</v>
      </c>
      <c r="G10">
        <v>107.7</v>
      </c>
    </row>
    <row r="11" spans="1:7" x14ac:dyDescent="0.35">
      <c r="A11" t="s">
        <v>145</v>
      </c>
      <c r="B11" t="s">
        <v>205</v>
      </c>
      <c r="C11">
        <v>85.4</v>
      </c>
      <c r="D11">
        <v>786.5</v>
      </c>
      <c r="E11">
        <v>4.4000000000000004</v>
      </c>
      <c r="F11">
        <v>0.9</v>
      </c>
      <c r="G11">
        <v>103</v>
      </c>
    </row>
    <row r="12" spans="1:7" x14ac:dyDescent="0.35">
      <c r="A12" t="s">
        <v>936</v>
      </c>
      <c r="B12" t="s">
        <v>478</v>
      </c>
      <c r="C12">
        <v>62.6</v>
      </c>
      <c r="D12">
        <v>696.6</v>
      </c>
      <c r="E12">
        <v>4.5999999999999996</v>
      </c>
      <c r="F12">
        <v>1.1000000000000001</v>
      </c>
      <c r="G12">
        <v>95</v>
      </c>
    </row>
    <row r="13" spans="1:7" x14ac:dyDescent="0.35">
      <c r="A13" t="s">
        <v>370</v>
      </c>
      <c r="B13" t="s">
        <v>207</v>
      </c>
      <c r="C13">
        <v>65.5</v>
      </c>
      <c r="D13">
        <v>690.6</v>
      </c>
      <c r="E13">
        <v>4</v>
      </c>
      <c r="F13">
        <v>0.5</v>
      </c>
      <c r="G13">
        <v>92.2</v>
      </c>
    </row>
    <row r="14" spans="1:7" x14ac:dyDescent="0.35">
      <c r="A14" t="s">
        <v>376</v>
      </c>
      <c r="B14" t="s">
        <v>219</v>
      </c>
      <c r="C14">
        <v>56.9</v>
      </c>
      <c r="D14">
        <v>607.70000000000005</v>
      </c>
      <c r="E14">
        <v>4.9000000000000004</v>
      </c>
      <c r="F14">
        <v>0.8</v>
      </c>
      <c r="G14">
        <v>88.4</v>
      </c>
    </row>
    <row r="15" spans="1:7" x14ac:dyDescent="0.35">
      <c r="A15" t="s">
        <v>350</v>
      </c>
      <c r="B15" t="s">
        <v>191</v>
      </c>
      <c r="C15">
        <v>28.7</v>
      </c>
      <c r="D15">
        <v>273.7</v>
      </c>
      <c r="E15">
        <v>2.1</v>
      </c>
      <c r="F15">
        <v>0.4</v>
      </c>
      <c r="G15">
        <v>84.2</v>
      </c>
    </row>
    <row r="16" spans="1:7" x14ac:dyDescent="0.35">
      <c r="A16" t="s">
        <v>569</v>
      </c>
      <c r="B16" t="s">
        <v>202</v>
      </c>
      <c r="C16">
        <v>54.8</v>
      </c>
      <c r="D16">
        <v>572.29999999999995</v>
      </c>
      <c r="E16">
        <v>4.0999999999999996</v>
      </c>
      <c r="F16">
        <v>0.5</v>
      </c>
      <c r="G16">
        <v>81.2</v>
      </c>
    </row>
    <row r="17" spans="1:7" x14ac:dyDescent="0.35">
      <c r="A17" t="s">
        <v>446</v>
      </c>
      <c r="B17" t="s">
        <v>190</v>
      </c>
      <c r="C17">
        <v>48.1</v>
      </c>
      <c r="D17">
        <v>499.7</v>
      </c>
      <c r="E17">
        <v>4.3</v>
      </c>
      <c r="F17">
        <v>0.1</v>
      </c>
      <c r="G17">
        <v>75.400000000000006</v>
      </c>
    </row>
    <row r="18" spans="1:7" x14ac:dyDescent="0.35">
      <c r="A18" t="s">
        <v>480</v>
      </c>
      <c r="B18" t="s">
        <v>213</v>
      </c>
      <c r="C18">
        <v>50.9</v>
      </c>
      <c r="D18">
        <v>503.4</v>
      </c>
      <c r="E18">
        <v>4.2</v>
      </c>
      <c r="F18">
        <v>0.5</v>
      </c>
      <c r="G18">
        <v>74.599999999999994</v>
      </c>
    </row>
    <row r="19" spans="1:7" x14ac:dyDescent="0.35">
      <c r="A19" t="s">
        <v>448</v>
      </c>
      <c r="B19" t="s">
        <v>211</v>
      </c>
      <c r="C19">
        <v>56.1</v>
      </c>
      <c r="D19">
        <v>561.20000000000005</v>
      </c>
      <c r="E19">
        <v>3.2</v>
      </c>
      <c r="F19">
        <v>0.8</v>
      </c>
      <c r="G19">
        <v>73.599999999999994</v>
      </c>
    </row>
    <row r="20" spans="1:7" x14ac:dyDescent="0.35">
      <c r="A20" t="s">
        <v>377</v>
      </c>
      <c r="B20" t="s">
        <v>217</v>
      </c>
      <c r="C20">
        <v>53.3</v>
      </c>
      <c r="D20">
        <v>532.4</v>
      </c>
      <c r="E20">
        <v>3.3</v>
      </c>
      <c r="F20">
        <v>0.1</v>
      </c>
      <c r="G20">
        <v>73</v>
      </c>
    </row>
    <row r="21" spans="1:7" x14ac:dyDescent="0.35">
      <c r="A21" t="s">
        <v>633</v>
      </c>
      <c r="B21" t="s">
        <v>195</v>
      </c>
      <c r="C21">
        <v>49.2</v>
      </c>
      <c r="D21">
        <v>489.7</v>
      </c>
      <c r="E21">
        <v>3.7</v>
      </c>
      <c r="F21">
        <v>0.4</v>
      </c>
      <c r="G21">
        <v>70.599999999999994</v>
      </c>
    </row>
    <row r="22" spans="1:7" x14ac:dyDescent="0.35">
      <c r="A22" t="s">
        <v>562</v>
      </c>
      <c r="B22" t="s">
        <v>191</v>
      </c>
      <c r="C22">
        <v>41.6</v>
      </c>
      <c r="D22">
        <v>455.7</v>
      </c>
      <c r="E22">
        <v>4.0999999999999996</v>
      </c>
      <c r="F22">
        <v>0.1</v>
      </c>
      <c r="G22">
        <v>70.2</v>
      </c>
    </row>
    <row r="23" spans="1:7" x14ac:dyDescent="0.35">
      <c r="A23" t="s">
        <v>729</v>
      </c>
      <c r="B23" t="s">
        <v>189</v>
      </c>
      <c r="C23">
        <v>46.7</v>
      </c>
      <c r="D23">
        <v>489.2</v>
      </c>
      <c r="E23">
        <v>3.4</v>
      </c>
      <c r="F23">
        <v>0.1</v>
      </c>
      <c r="G23">
        <v>69.099999999999994</v>
      </c>
    </row>
    <row r="24" spans="1:7" x14ac:dyDescent="0.35">
      <c r="A24" t="s">
        <v>643</v>
      </c>
      <c r="B24" t="s">
        <v>209</v>
      </c>
      <c r="C24">
        <v>35.200000000000003</v>
      </c>
      <c r="D24">
        <v>423.3</v>
      </c>
      <c r="E24">
        <v>4.0999999999999996</v>
      </c>
      <c r="F24">
        <v>0.1</v>
      </c>
      <c r="G24">
        <v>66.8</v>
      </c>
    </row>
    <row r="25" spans="1:7" x14ac:dyDescent="0.35">
      <c r="A25" t="s">
        <v>647</v>
      </c>
      <c r="B25" t="s">
        <v>198</v>
      </c>
      <c r="C25">
        <v>48.2</v>
      </c>
      <c r="D25">
        <v>513.29999999999995</v>
      </c>
      <c r="E25">
        <v>2.7</v>
      </c>
      <c r="F25">
        <v>0.4</v>
      </c>
      <c r="G25">
        <v>66.7</v>
      </c>
    </row>
    <row r="26" spans="1:7" x14ac:dyDescent="0.35">
      <c r="A26" t="s">
        <v>447</v>
      </c>
      <c r="B26" t="s">
        <v>193</v>
      </c>
      <c r="C26">
        <v>45.9</v>
      </c>
      <c r="D26">
        <v>489.8</v>
      </c>
      <c r="E26">
        <v>2.8</v>
      </c>
      <c r="F26">
        <v>0.1</v>
      </c>
      <c r="G26">
        <v>65.400000000000006</v>
      </c>
    </row>
    <row r="27" spans="1:7" x14ac:dyDescent="0.35">
      <c r="A27" t="s">
        <v>258</v>
      </c>
      <c r="B27" t="s">
        <v>212</v>
      </c>
      <c r="C27">
        <v>37.799999999999997</v>
      </c>
      <c r="D27">
        <v>417.1</v>
      </c>
      <c r="E27">
        <v>2.9</v>
      </c>
      <c r="F27">
        <v>0.4</v>
      </c>
      <c r="G27">
        <v>58.1</v>
      </c>
    </row>
    <row r="28" spans="1:7" x14ac:dyDescent="0.35">
      <c r="A28" t="s">
        <v>369</v>
      </c>
      <c r="B28" t="s">
        <v>200</v>
      </c>
      <c r="C28">
        <v>40.6</v>
      </c>
      <c r="D28">
        <v>390.8</v>
      </c>
      <c r="E28">
        <v>2.9</v>
      </c>
      <c r="F28">
        <v>0.1</v>
      </c>
      <c r="G28">
        <v>56.1</v>
      </c>
    </row>
    <row r="29" spans="1:7" x14ac:dyDescent="0.35">
      <c r="A29" t="s">
        <v>368</v>
      </c>
      <c r="B29" t="s">
        <v>204</v>
      </c>
      <c r="C29">
        <v>35.9</v>
      </c>
      <c r="D29">
        <v>352.7</v>
      </c>
      <c r="E29">
        <v>3.1</v>
      </c>
      <c r="F29">
        <v>0.1</v>
      </c>
      <c r="G29">
        <v>53.8</v>
      </c>
    </row>
    <row r="30" spans="1:7" x14ac:dyDescent="0.35">
      <c r="A30" t="s">
        <v>937</v>
      </c>
      <c r="B30" t="s">
        <v>197</v>
      </c>
      <c r="C30">
        <v>36.799999999999997</v>
      </c>
      <c r="D30">
        <v>373.6</v>
      </c>
      <c r="E30">
        <v>2.4</v>
      </c>
      <c r="F30">
        <v>0.4</v>
      </c>
      <c r="G30">
        <v>51.2</v>
      </c>
    </row>
    <row r="31" spans="1:7" x14ac:dyDescent="0.35">
      <c r="A31" t="s">
        <v>128</v>
      </c>
      <c r="B31" t="s">
        <v>197</v>
      </c>
      <c r="C31">
        <v>37.9</v>
      </c>
      <c r="D31">
        <v>349.2</v>
      </c>
      <c r="E31">
        <v>2.7</v>
      </c>
      <c r="F31">
        <v>0.1</v>
      </c>
      <c r="G31">
        <v>50.8</v>
      </c>
    </row>
    <row r="32" spans="1:7" x14ac:dyDescent="0.35">
      <c r="A32" t="s">
        <v>730</v>
      </c>
      <c r="B32" t="s">
        <v>189</v>
      </c>
      <c r="C32">
        <v>33.5</v>
      </c>
      <c r="D32">
        <v>349.7</v>
      </c>
      <c r="E32">
        <v>2.5</v>
      </c>
      <c r="F32">
        <v>0.1</v>
      </c>
      <c r="G32">
        <v>50.1</v>
      </c>
    </row>
    <row r="33" spans="1:7" x14ac:dyDescent="0.35">
      <c r="A33" t="s">
        <v>452</v>
      </c>
      <c r="B33" t="s">
        <v>203</v>
      </c>
      <c r="C33">
        <v>28.3</v>
      </c>
      <c r="D33">
        <v>297.39999999999998</v>
      </c>
      <c r="E33">
        <v>3.3</v>
      </c>
      <c r="F33">
        <v>0.1</v>
      </c>
      <c r="G33">
        <v>49.3</v>
      </c>
    </row>
    <row r="34" spans="1:7" x14ac:dyDescent="0.35">
      <c r="A34" t="s">
        <v>635</v>
      </c>
      <c r="B34" t="s">
        <v>218</v>
      </c>
      <c r="C34">
        <v>33.5</v>
      </c>
      <c r="D34">
        <v>377</v>
      </c>
      <c r="E34">
        <v>1.9</v>
      </c>
      <c r="F34">
        <v>0.1</v>
      </c>
      <c r="G34">
        <v>48.9</v>
      </c>
    </row>
    <row r="35" spans="1:7" x14ac:dyDescent="0.35">
      <c r="A35" t="s">
        <v>938</v>
      </c>
      <c r="B35" t="s">
        <v>206</v>
      </c>
      <c r="C35">
        <v>35.6</v>
      </c>
      <c r="D35">
        <v>345.7</v>
      </c>
      <c r="E35">
        <v>2.2999999999999998</v>
      </c>
      <c r="F35">
        <v>0.6</v>
      </c>
      <c r="G35">
        <v>47.4</v>
      </c>
    </row>
    <row r="36" spans="1:7" x14ac:dyDescent="0.35">
      <c r="A36" t="s">
        <v>577</v>
      </c>
      <c r="B36" t="s">
        <v>194</v>
      </c>
      <c r="C36">
        <v>31</v>
      </c>
      <c r="D36">
        <v>333.3</v>
      </c>
      <c r="E36">
        <v>2.1</v>
      </c>
      <c r="F36">
        <v>0.1</v>
      </c>
      <c r="G36">
        <v>45.7</v>
      </c>
    </row>
    <row r="37" spans="1:7" x14ac:dyDescent="0.35">
      <c r="A37" t="s">
        <v>939</v>
      </c>
      <c r="B37" t="s">
        <v>196</v>
      </c>
      <c r="C37">
        <v>30.8</v>
      </c>
      <c r="D37">
        <v>320.7</v>
      </c>
      <c r="E37">
        <v>2.4</v>
      </c>
      <c r="F37">
        <v>0.4</v>
      </c>
      <c r="G37">
        <v>45.4</v>
      </c>
    </row>
    <row r="38" spans="1:7" x14ac:dyDescent="0.35">
      <c r="A38" t="s">
        <v>256</v>
      </c>
      <c r="B38" t="s">
        <v>213</v>
      </c>
      <c r="C38">
        <v>32.5</v>
      </c>
      <c r="D38">
        <v>302</v>
      </c>
      <c r="E38">
        <v>2.6</v>
      </c>
      <c r="F38">
        <v>0.1</v>
      </c>
      <c r="G38">
        <v>45.4</v>
      </c>
    </row>
    <row r="39" spans="1:7" x14ac:dyDescent="0.35">
      <c r="A39" t="s">
        <v>255</v>
      </c>
      <c r="B39" t="s">
        <v>216</v>
      </c>
      <c r="C39">
        <v>31.2</v>
      </c>
      <c r="D39">
        <v>318.5</v>
      </c>
      <c r="E39">
        <v>2</v>
      </c>
      <c r="F39">
        <v>0.1</v>
      </c>
      <c r="G39">
        <v>43.7</v>
      </c>
    </row>
    <row r="40" spans="1:7" x14ac:dyDescent="0.35">
      <c r="A40" t="s">
        <v>745</v>
      </c>
      <c r="B40" t="s">
        <v>478</v>
      </c>
      <c r="C40">
        <v>29.1</v>
      </c>
      <c r="D40">
        <v>313.2</v>
      </c>
      <c r="E40">
        <v>2</v>
      </c>
      <c r="F40">
        <v>0.1</v>
      </c>
      <c r="G40">
        <v>43.1</v>
      </c>
    </row>
    <row r="41" spans="1:7" x14ac:dyDescent="0.35">
      <c r="A41" t="s">
        <v>487</v>
      </c>
      <c r="B41" t="s">
        <v>216</v>
      </c>
      <c r="C41">
        <v>27.2</v>
      </c>
      <c r="D41">
        <v>287.3</v>
      </c>
      <c r="E41">
        <v>2.2000000000000002</v>
      </c>
      <c r="F41">
        <v>0.1</v>
      </c>
      <c r="G41">
        <v>41.9</v>
      </c>
    </row>
    <row r="42" spans="1:7" x14ac:dyDescent="0.35">
      <c r="A42" t="s">
        <v>575</v>
      </c>
      <c r="B42" t="s">
        <v>196</v>
      </c>
      <c r="C42">
        <v>27.5</v>
      </c>
      <c r="D42">
        <v>261.5</v>
      </c>
      <c r="E42">
        <v>2.5</v>
      </c>
      <c r="F42">
        <v>0.1</v>
      </c>
      <c r="G42">
        <v>40.700000000000003</v>
      </c>
    </row>
    <row r="43" spans="1:7" x14ac:dyDescent="0.35">
      <c r="A43" t="s">
        <v>637</v>
      </c>
      <c r="B43" t="s">
        <v>206</v>
      </c>
      <c r="C43">
        <v>31.4</v>
      </c>
      <c r="D43">
        <v>297.5</v>
      </c>
      <c r="E43">
        <v>1.8</v>
      </c>
      <c r="F43">
        <v>0.1</v>
      </c>
      <c r="G43">
        <v>40.299999999999997</v>
      </c>
    </row>
    <row r="44" spans="1:7" x14ac:dyDescent="0.35">
      <c r="A44" t="s">
        <v>571</v>
      </c>
      <c r="B44" t="s">
        <v>210</v>
      </c>
      <c r="C44">
        <v>22.6</v>
      </c>
      <c r="D44">
        <v>237.5</v>
      </c>
      <c r="E44">
        <v>1.7</v>
      </c>
      <c r="F44">
        <v>0.1</v>
      </c>
      <c r="G44">
        <v>34.1</v>
      </c>
    </row>
    <row r="45" spans="1:7" x14ac:dyDescent="0.35">
      <c r="A45" t="s">
        <v>373</v>
      </c>
      <c r="B45" t="s">
        <v>200</v>
      </c>
      <c r="C45">
        <v>24.6</v>
      </c>
      <c r="D45">
        <v>238.8</v>
      </c>
      <c r="E45">
        <v>1.6</v>
      </c>
      <c r="F45">
        <v>0.1</v>
      </c>
      <c r="G45">
        <v>33.200000000000003</v>
      </c>
    </row>
    <row r="46" spans="1:7" x14ac:dyDescent="0.35">
      <c r="A46" t="s">
        <v>451</v>
      </c>
      <c r="B46" t="s">
        <v>194</v>
      </c>
      <c r="C46">
        <v>17.2</v>
      </c>
      <c r="D46">
        <v>194</v>
      </c>
      <c r="E46">
        <v>2</v>
      </c>
      <c r="F46">
        <v>0</v>
      </c>
      <c r="G46">
        <v>31.6</v>
      </c>
    </row>
    <row r="47" spans="1:7" x14ac:dyDescent="0.35">
      <c r="A47" t="s">
        <v>572</v>
      </c>
      <c r="B47" t="s">
        <v>219</v>
      </c>
      <c r="C47">
        <v>14.6</v>
      </c>
      <c r="D47">
        <v>183.8</v>
      </c>
      <c r="E47">
        <v>1.7</v>
      </c>
      <c r="F47">
        <v>0</v>
      </c>
      <c r="G47">
        <v>28.6</v>
      </c>
    </row>
    <row r="48" spans="1:7" x14ac:dyDescent="0.35">
      <c r="A48" t="s">
        <v>449</v>
      </c>
      <c r="B48" t="s">
        <v>211</v>
      </c>
      <c r="C48">
        <v>19.7</v>
      </c>
      <c r="D48">
        <v>190.5</v>
      </c>
      <c r="E48">
        <v>1.4</v>
      </c>
      <c r="F48">
        <v>0.4</v>
      </c>
      <c r="G48">
        <v>26.8</v>
      </c>
    </row>
    <row r="49" spans="1:7" x14ac:dyDescent="0.35">
      <c r="A49" t="s">
        <v>374</v>
      </c>
      <c r="B49" t="s">
        <v>212</v>
      </c>
      <c r="C49">
        <v>19.600000000000001</v>
      </c>
      <c r="D49">
        <v>191.4</v>
      </c>
      <c r="E49">
        <v>1.3</v>
      </c>
      <c r="F49">
        <v>0</v>
      </c>
      <c r="G49">
        <v>26.8</v>
      </c>
    </row>
    <row r="50" spans="1:7" x14ac:dyDescent="0.35">
      <c r="A50" t="s">
        <v>949</v>
      </c>
      <c r="B50" t="s">
        <v>190</v>
      </c>
      <c r="C50">
        <v>16.5</v>
      </c>
      <c r="D50">
        <v>172</v>
      </c>
      <c r="E50">
        <v>1.5</v>
      </c>
      <c r="F50">
        <v>0</v>
      </c>
      <c r="G50">
        <v>26.2</v>
      </c>
    </row>
    <row r="51" spans="1:7" x14ac:dyDescent="0.35">
      <c r="A51" t="s">
        <v>485</v>
      </c>
      <c r="B51" t="s">
        <v>218</v>
      </c>
      <c r="C51">
        <v>17.3</v>
      </c>
      <c r="D51">
        <v>168.4</v>
      </c>
      <c r="E51">
        <v>1.5</v>
      </c>
      <c r="F51">
        <v>0</v>
      </c>
      <c r="G51">
        <v>26</v>
      </c>
    </row>
    <row r="52" spans="1:7" x14ac:dyDescent="0.35">
      <c r="A52" t="s">
        <v>639</v>
      </c>
      <c r="B52" t="s">
        <v>201</v>
      </c>
      <c r="C52">
        <v>17.100000000000001</v>
      </c>
      <c r="D52">
        <v>163.19999999999999</v>
      </c>
      <c r="E52">
        <v>1.6</v>
      </c>
      <c r="F52">
        <v>0.1</v>
      </c>
      <c r="G52">
        <v>26</v>
      </c>
    </row>
    <row r="53" spans="1:7" x14ac:dyDescent="0.35">
      <c r="A53" t="s">
        <v>453</v>
      </c>
      <c r="B53" t="s">
        <v>204</v>
      </c>
      <c r="C53">
        <v>17.8</v>
      </c>
      <c r="D53">
        <v>171.4</v>
      </c>
      <c r="E53">
        <v>1.4</v>
      </c>
      <c r="F53">
        <v>0</v>
      </c>
      <c r="G53">
        <v>25.3</v>
      </c>
    </row>
    <row r="54" spans="1:7" x14ac:dyDescent="0.35">
      <c r="A54" t="s">
        <v>649</v>
      </c>
      <c r="B54" t="s">
        <v>217</v>
      </c>
      <c r="C54">
        <v>16.7</v>
      </c>
      <c r="D54">
        <v>165.7</v>
      </c>
      <c r="E54">
        <v>1.2</v>
      </c>
      <c r="F54">
        <v>0.1</v>
      </c>
      <c r="G54">
        <v>23.8</v>
      </c>
    </row>
    <row r="55" spans="1:7" x14ac:dyDescent="0.35">
      <c r="A55" t="s">
        <v>568</v>
      </c>
      <c r="B55" t="s">
        <v>218</v>
      </c>
      <c r="C55">
        <v>14.4</v>
      </c>
      <c r="D55">
        <v>150.6</v>
      </c>
      <c r="E55">
        <v>1.4</v>
      </c>
      <c r="F55">
        <v>0</v>
      </c>
      <c r="G55">
        <v>23.7</v>
      </c>
    </row>
    <row r="56" spans="1:7" x14ac:dyDescent="0.35">
      <c r="A56" t="s">
        <v>149</v>
      </c>
      <c r="B56" t="s">
        <v>190</v>
      </c>
      <c r="C56">
        <v>19.2</v>
      </c>
      <c r="D56">
        <v>182.2</v>
      </c>
      <c r="E56">
        <v>0.9</v>
      </c>
      <c r="F56">
        <v>0</v>
      </c>
      <c r="G56">
        <v>23.6</v>
      </c>
    </row>
    <row r="57" spans="1:7" x14ac:dyDescent="0.35">
      <c r="A57" t="s">
        <v>799</v>
      </c>
      <c r="B57" t="s">
        <v>208</v>
      </c>
      <c r="C57">
        <v>16.3</v>
      </c>
      <c r="D57">
        <v>177.6</v>
      </c>
      <c r="E57">
        <v>1</v>
      </c>
      <c r="F57">
        <v>0</v>
      </c>
      <c r="G57">
        <v>23.6</v>
      </c>
    </row>
    <row r="58" spans="1:7" x14ac:dyDescent="0.35">
      <c r="A58" t="s">
        <v>457</v>
      </c>
      <c r="B58" t="s">
        <v>211</v>
      </c>
      <c r="C58">
        <v>18.399999999999999</v>
      </c>
      <c r="D58">
        <v>174.1</v>
      </c>
      <c r="E58">
        <v>1</v>
      </c>
      <c r="F58">
        <v>0.1</v>
      </c>
      <c r="G58">
        <v>23.5</v>
      </c>
    </row>
    <row r="59" spans="1:7" x14ac:dyDescent="0.35">
      <c r="A59" t="s">
        <v>456</v>
      </c>
      <c r="B59" t="s">
        <v>211</v>
      </c>
      <c r="C59">
        <v>15</v>
      </c>
      <c r="D59">
        <v>153</v>
      </c>
      <c r="E59">
        <v>1</v>
      </c>
      <c r="F59">
        <v>0</v>
      </c>
      <c r="G59">
        <v>21.3</v>
      </c>
    </row>
    <row r="60" spans="1:7" x14ac:dyDescent="0.35">
      <c r="A60" t="s">
        <v>763</v>
      </c>
      <c r="B60" t="s">
        <v>202</v>
      </c>
      <c r="C60">
        <v>15.5</v>
      </c>
      <c r="D60">
        <v>151.6</v>
      </c>
      <c r="E60">
        <v>0.9</v>
      </c>
      <c r="F60">
        <v>0</v>
      </c>
      <c r="G60">
        <v>20.6</v>
      </c>
    </row>
    <row r="61" spans="1:7" x14ac:dyDescent="0.35">
      <c r="A61" t="s">
        <v>721</v>
      </c>
      <c r="B61" t="s">
        <v>199</v>
      </c>
      <c r="C61">
        <v>12.4</v>
      </c>
      <c r="D61">
        <v>123.9</v>
      </c>
      <c r="E61">
        <v>1.3</v>
      </c>
      <c r="F61">
        <v>0</v>
      </c>
      <c r="G61">
        <v>20</v>
      </c>
    </row>
    <row r="62" spans="1:7" x14ac:dyDescent="0.35">
      <c r="A62" t="s">
        <v>802</v>
      </c>
      <c r="B62" t="s">
        <v>198</v>
      </c>
      <c r="C62">
        <v>12.5</v>
      </c>
      <c r="D62">
        <v>127.7</v>
      </c>
      <c r="E62">
        <v>1.1000000000000001</v>
      </c>
      <c r="F62">
        <v>0</v>
      </c>
      <c r="G62">
        <v>19.2</v>
      </c>
    </row>
    <row r="63" spans="1:7" x14ac:dyDescent="0.35">
      <c r="A63" t="s">
        <v>455</v>
      </c>
      <c r="B63" t="s">
        <v>191</v>
      </c>
      <c r="C63">
        <v>11.6</v>
      </c>
      <c r="D63">
        <v>129</v>
      </c>
      <c r="E63">
        <v>1</v>
      </c>
      <c r="F63">
        <v>0</v>
      </c>
      <c r="G63">
        <v>18.600000000000001</v>
      </c>
    </row>
    <row r="64" spans="1:7" x14ac:dyDescent="0.35">
      <c r="A64" t="s">
        <v>372</v>
      </c>
      <c r="B64" t="s">
        <v>220</v>
      </c>
      <c r="C64">
        <v>12.5</v>
      </c>
      <c r="D64">
        <v>124.7</v>
      </c>
      <c r="E64">
        <v>1</v>
      </c>
      <c r="F64">
        <v>0.1</v>
      </c>
      <c r="G64">
        <v>18.5</v>
      </c>
    </row>
    <row r="65" spans="1:7" x14ac:dyDescent="0.35">
      <c r="A65" t="s">
        <v>1001</v>
      </c>
      <c r="B65" t="s">
        <v>195</v>
      </c>
      <c r="C65">
        <v>12</v>
      </c>
      <c r="D65">
        <v>124</v>
      </c>
      <c r="E65">
        <v>1</v>
      </c>
      <c r="F65">
        <v>0</v>
      </c>
      <c r="G65">
        <v>18.399999999999999</v>
      </c>
    </row>
    <row r="66" spans="1:7" x14ac:dyDescent="0.35">
      <c r="A66" t="s">
        <v>941</v>
      </c>
      <c r="B66" t="s">
        <v>204</v>
      </c>
      <c r="C66">
        <v>12</v>
      </c>
      <c r="D66">
        <v>122.5</v>
      </c>
      <c r="E66">
        <v>1</v>
      </c>
      <c r="F66">
        <v>0</v>
      </c>
      <c r="G66">
        <v>18.3</v>
      </c>
    </row>
    <row r="67" spans="1:7" x14ac:dyDescent="0.35">
      <c r="A67" t="s">
        <v>844</v>
      </c>
      <c r="B67" t="s">
        <v>193</v>
      </c>
      <c r="C67">
        <v>11.5</v>
      </c>
      <c r="D67">
        <v>126.9</v>
      </c>
      <c r="E67">
        <v>0.9</v>
      </c>
      <c r="F67">
        <v>0</v>
      </c>
      <c r="G67">
        <v>18</v>
      </c>
    </row>
    <row r="68" spans="1:7" x14ac:dyDescent="0.35">
      <c r="A68" t="s">
        <v>737</v>
      </c>
      <c r="B68" t="s">
        <v>194</v>
      </c>
      <c r="C68">
        <v>12.1</v>
      </c>
      <c r="D68">
        <v>126.7</v>
      </c>
      <c r="E68">
        <v>0.9</v>
      </c>
      <c r="F68">
        <v>0</v>
      </c>
      <c r="G68">
        <v>17.899999999999999</v>
      </c>
    </row>
    <row r="69" spans="1:7" x14ac:dyDescent="0.35">
      <c r="A69" t="s">
        <v>800</v>
      </c>
      <c r="B69" t="s">
        <v>216</v>
      </c>
      <c r="C69">
        <v>11.8</v>
      </c>
      <c r="D69">
        <v>120.5</v>
      </c>
      <c r="E69">
        <v>0.9</v>
      </c>
      <c r="F69">
        <v>0</v>
      </c>
      <c r="G69">
        <v>17.399999999999999</v>
      </c>
    </row>
    <row r="70" spans="1:7" x14ac:dyDescent="0.35">
      <c r="A70" t="s">
        <v>950</v>
      </c>
      <c r="B70" t="s">
        <v>193</v>
      </c>
      <c r="C70">
        <v>11.6</v>
      </c>
      <c r="D70">
        <v>118.5</v>
      </c>
      <c r="E70">
        <v>0.9</v>
      </c>
      <c r="F70">
        <v>0</v>
      </c>
      <c r="G70">
        <v>17.2</v>
      </c>
    </row>
    <row r="71" spans="1:7" x14ac:dyDescent="0.35">
      <c r="A71" t="s">
        <v>700</v>
      </c>
      <c r="B71" t="s">
        <v>200</v>
      </c>
      <c r="C71">
        <v>10.4</v>
      </c>
      <c r="D71">
        <v>117.9</v>
      </c>
      <c r="E71">
        <v>0.9</v>
      </c>
      <c r="F71">
        <v>0</v>
      </c>
      <c r="G71">
        <v>17.100000000000001</v>
      </c>
    </row>
    <row r="72" spans="1:7" x14ac:dyDescent="0.35">
      <c r="A72" t="s">
        <v>640</v>
      </c>
      <c r="B72" t="s">
        <v>202</v>
      </c>
      <c r="C72">
        <v>14.6</v>
      </c>
      <c r="D72">
        <v>130.6</v>
      </c>
      <c r="E72">
        <v>0.7</v>
      </c>
      <c r="F72">
        <v>0</v>
      </c>
      <c r="G72">
        <v>17.100000000000001</v>
      </c>
    </row>
    <row r="73" spans="1:7" x14ac:dyDescent="0.35">
      <c r="A73" t="s">
        <v>952</v>
      </c>
      <c r="B73" t="s">
        <v>210</v>
      </c>
      <c r="C73">
        <v>11</v>
      </c>
      <c r="D73">
        <v>112.5</v>
      </c>
      <c r="E73">
        <v>0.9</v>
      </c>
      <c r="F73">
        <v>0</v>
      </c>
      <c r="G73">
        <v>16.8</v>
      </c>
    </row>
    <row r="74" spans="1:7" x14ac:dyDescent="0.35">
      <c r="A74" t="s">
        <v>946</v>
      </c>
      <c r="B74" t="s">
        <v>194</v>
      </c>
      <c r="C74">
        <v>9.5</v>
      </c>
      <c r="D74">
        <v>114.4</v>
      </c>
      <c r="E74">
        <v>0.8</v>
      </c>
      <c r="F74">
        <v>0</v>
      </c>
      <c r="G74">
        <v>16.399999999999999</v>
      </c>
    </row>
    <row r="75" spans="1:7" x14ac:dyDescent="0.35">
      <c r="A75" t="s">
        <v>1180</v>
      </c>
      <c r="B75" t="s">
        <v>217</v>
      </c>
      <c r="C75">
        <v>11</v>
      </c>
      <c r="D75">
        <v>104</v>
      </c>
      <c r="E75">
        <v>1</v>
      </c>
      <c r="F75">
        <v>0</v>
      </c>
      <c r="G75">
        <v>16.399999999999999</v>
      </c>
    </row>
    <row r="76" spans="1:7" x14ac:dyDescent="0.35">
      <c r="A76" t="s">
        <v>375</v>
      </c>
      <c r="B76" t="s">
        <v>196</v>
      </c>
      <c r="C76">
        <v>12.7</v>
      </c>
      <c r="D76">
        <v>129.69999999999999</v>
      </c>
      <c r="E76">
        <v>0.6</v>
      </c>
      <c r="F76">
        <v>0</v>
      </c>
      <c r="G76">
        <v>16.3</v>
      </c>
    </row>
    <row r="77" spans="1:7" x14ac:dyDescent="0.35">
      <c r="A77" t="s">
        <v>945</v>
      </c>
      <c r="B77" t="s">
        <v>208</v>
      </c>
      <c r="C77">
        <v>11</v>
      </c>
      <c r="D77">
        <v>102</v>
      </c>
      <c r="E77">
        <v>1</v>
      </c>
      <c r="F77">
        <v>0</v>
      </c>
      <c r="G77">
        <v>16.2</v>
      </c>
    </row>
    <row r="78" spans="1:7" x14ac:dyDescent="0.35">
      <c r="A78" t="s">
        <v>648</v>
      </c>
      <c r="B78" t="s">
        <v>207</v>
      </c>
      <c r="C78">
        <v>9</v>
      </c>
      <c r="D78">
        <v>95</v>
      </c>
      <c r="E78">
        <v>1</v>
      </c>
      <c r="F78">
        <v>0</v>
      </c>
      <c r="G78">
        <v>15.5</v>
      </c>
    </row>
    <row r="79" spans="1:7" x14ac:dyDescent="0.35">
      <c r="A79" t="s">
        <v>741</v>
      </c>
      <c r="B79" t="s">
        <v>205</v>
      </c>
      <c r="C79">
        <v>9.6999999999999993</v>
      </c>
      <c r="D79">
        <v>92.1</v>
      </c>
      <c r="E79">
        <v>1</v>
      </c>
      <c r="F79">
        <v>0</v>
      </c>
      <c r="G79">
        <v>15.2</v>
      </c>
    </row>
    <row r="80" spans="1:7" x14ac:dyDescent="0.35">
      <c r="A80" t="s">
        <v>942</v>
      </c>
      <c r="B80" t="s">
        <v>219</v>
      </c>
      <c r="C80">
        <v>10</v>
      </c>
      <c r="D80">
        <v>105.8</v>
      </c>
      <c r="E80">
        <v>0.8</v>
      </c>
      <c r="F80">
        <v>0</v>
      </c>
      <c r="G80">
        <v>15.2</v>
      </c>
    </row>
    <row r="81" spans="1:7" x14ac:dyDescent="0.35">
      <c r="A81" t="s">
        <v>947</v>
      </c>
      <c r="B81" t="s">
        <v>204</v>
      </c>
      <c r="C81">
        <v>10.3</v>
      </c>
      <c r="D81">
        <v>103</v>
      </c>
      <c r="E81">
        <v>0.8</v>
      </c>
      <c r="F81">
        <v>0</v>
      </c>
      <c r="G81">
        <v>15</v>
      </c>
    </row>
    <row r="82" spans="1:7" x14ac:dyDescent="0.35">
      <c r="A82" t="s">
        <v>765</v>
      </c>
      <c r="B82" t="s">
        <v>220</v>
      </c>
      <c r="C82">
        <v>13</v>
      </c>
      <c r="D82">
        <v>88</v>
      </c>
      <c r="E82">
        <v>1</v>
      </c>
      <c r="F82">
        <v>0</v>
      </c>
      <c r="G82">
        <v>14.8</v>
      </c>
    </row>
    <row r="83" spans="1:7" x14ac:dyDescent="0.35">
      <c r="A83" t="s">
        <v>951</v>
      </c>
      <c r="B83" t="s">
        <v>208</v>
      </c>
      <c r="C83">
        <v>10.199999999999999</v>
      </c>
      <c r="D83">
        <v>99.1</v>
      </c>
      <c r="E83">
        <v>0.8</v>
      </c>
      <c r="F83">
        <v>0</v>
      </c>
      <c r="G83">
        <v>14.7</v>
      </c>
    </row>
    <row r="84" spans="1:7" x14ac:dyDescent="0.35">
      <c r="A84" t="s">
        <v>953</v>
      </c>
      <c r="B84" t="s">
        <v>218</v>
      </c>
      <c r="C84">
        <v>9.6</v>
      </c>
      <c r="D84">
        <v>103.5</v>
      </c>
      <c r="E84">
        <v>0.7</v>
      </c>
      <c r="F84">
        <v>0</v>
      </c>
      <c r="G84">
        <v>14.7</v>
      </c>
    </row>
    <row r="85" spans="1:7" x14ac:dyDescent="0.35">
      <c r="A85" t="s">
        <v>944</v>
      </c>
      <c r="B85" t="s">
        <v>207</v>
      </c>
      <c r="C85">
        <v>8</v>
      </c>
      <c r="D85">
        <v>82</v>
      </c>
      <c r="E85">
        <v>1</v>
      </c>
      <c r="F85">
        <v>0</v>
      </c>
      <c r="G85">
        <v>14.2</v>
      </c>
    </row>
    <row r="86" spans="1:7" x14ac:dyDescent="0.35">
      <c r="A86" t="s">
        <v>943</v>
      </c>
      <c r="B86" t="s">
        <v>191</v>
      </c>
      <c r="C86">
        <v>9.3000000000000007</v>
      </c>
      <c r="D86">
        <v>95.4</v>
      </c>
      <c r="E86">
        <v>0.8</v>
      </c>
      <c r="F86">
        <v>0</v>
      </c>
      <c r="G86">
        <v>14.1</v>
      </c>
    </row>
    <row r="87" spans="1:7" x14ac:dyDescent="0.35">
      <c r="A87" t="s">
        <v>772</v>
      </c>
      <c r="B87" t="s">
        <v>195</v>
      </c>
      <c r="C87">
        <v>9.1999999999999993</v>
      </c>
      <c r="D87">
        <v>96.7</v>
      </c>
      <c r="E87">
        <v>0.7</v>
      </c>
      <c r="F87">
        <v>0</v>
      </c>
      <c r="G87">
        <v>14</v>
      </c>
    </row>
    <row r="88" spans="1:7" x14ac:dyDescent="0.35">
      <c r="A88" t="s">
        <v>454</v>
      </c>
      <c r="B88" t="s">
        <v>204</v>
      </c>
      <c r="C88">
        <v>10.5</v>
      </c>
      <c r="D88">
        <v>94.3</v>
      </c>
      <c r="E88">
        <v>0.8</v>
      </c>
      <c r="F88">
        <v>0</v>
      </c>
      <c r="G88">
        <v>14</v>
      </c>
    </row>
    <row r="89" spans="1:7" x14ac:dyDescent="0.35">
      <c r="A89" t="s">
        <v>689</v>
      </c>
      <c r="B89" t="s">
        <v>202</v>
      </c>
      <c r="C89">
        <v>6.5</v>
      </c>
      <c r="D89">
        <v>67.400000000000006</v>
      </c>
      <c r="E89">
        <v>1</v>
      </c>
      <c r="F89">
        <v>0</v>
      </c>
      <c r="G89">
        <v>12.7</v>
      </c>
    </row>
    <row r="90" spans="1:7" x14ac:dyDescent="0.35">
      <c r="A90" t="s">
        <v>645</v>
      </c>
      <c r="B90" t="s">
        <v>207</v>
      </c>
      <c r="C90">
        <v>8.5</v>
      </c>
      <c r="D90">
        <v>85.8</v>
      </c>
      <c r="E90">
        <v>0.7</v>
      </c>
      <c r="F90">
        <v>0</v>
      </c>
      <c r="G90">
        <v>12.6</v>
      </c>
    </row>
    <row r="91" spans="1:7" x14ac:dyDescent="0.35">
      <c r="A91" t="s">
        <v>573</v>
      </c>
      <c r="B91" t="s">
        <v>205</v>
      </c>
      <c r="C91">
        <v>8.6999999999999993</v>
      </c>
      <c r="D91">
        <v>87.5</v>
      </c>
      <c r="E91">
        <v>0.6</v>
      </c>
      <c r="F91">
        <v>0</v>
      </c>
      <c r="G91">
        <v>12.6</v>
      </c>
    </row>
    <row r="92" spans="1:7" x14ac:dyDescent="0.35">
      <c r="A92" t="s">
        <v>1082</v>
      </c>
      <c r="B92" t="s">
        <v>199</v>
      </c>
      <c r="C92">
        <v>8.1999999999999993</v>
      </c>
      <c r="D92">
        <v>84.6</v>
      </c>
      <c r="E92">
        <v>0.7</v>
      </c>
      <c r="F92">
        <v>0.1</v>
      </c>
      <c r="G92">
        <v>12.5</v>
      </c>
    </row>
    <row r="93" spans="1:7" x14ac:dyDescent="0.35">
      <c r="A93" t="s">
        <v>458</v>
      </c>
      <c r="B93" t="s">
        <v>192</v>
      </c>
      <c r="C93">
        <v>6</v>
      </c>
      <c r="D93">
        <v>83.6</v>
      </c>
      <c r="E93">
        <v>0.7</v>
      </c>
      <c r="F93">
        <v>0</v>
      </c>
      <c r="G93">
        <v>12.3</v>
      </c>
    </row>
    <row r="94" spans="1:7" x14ac:dyDescent="0.35">
      <c r="A94" t="s">
        <v>705</v>
      </c>
      <c r="B94" t="s">
        <v>203</v>
      </c>
      <c r="C94">
        <v>6.2</v>
      </c>
      <c r="D94">
        <v>65.3</v>
      </c>
      <c r="E94">
        <v>0.9</v>
      </c>
      <c r="F94">
        <v>0</v>
      </c>
      <c r="G94">
        <v>11.8</v>
      </c>
    </row>
    <row r="95" spans="1:7" x14ac:dyDescent="0.35">
      <c r="A95" t="s">
        <v>704</v>
      </c>
      <c r="B95" t="s">
        <v>210</v>
      </c>
      <c r="C95">
        <v>7.8</v>
      </c>
      <c r="D95">
        <v>77.599999999999994</v>
      </c>
      <c r="E95">
        <v>0.7</v>
      </c>
      <c r="F95">
        <v>0</v>
      </c>
      <c r="G95">
        <v>11.6</v>
      </c>
    </row>
    <row r="96" spans="1:7" x14ac:dyDescent="0.35">
      <c r="A96" t="s">
        <v>483</v>
      </c>
      <c r="B96" t="s">
        <v>478</v>
      </c>
      <c r="C96">
        <v>7.8</v>
      </c>
      <c r="D96">
        <v>74</v>
      </c>
      <c r="E96">
        <v>0.7</v>
      </c>
      <c r="F96">
        <v>0</v>
      </c>
      <c r="G96">
        <v>11.6</v>
      </c>
    </row>
    <row r="97" spans="1:7" x14ac:dyDescent="0.35">
      <c r="A97" t="s">
        <v>570</v>
      </c>
      <c r="B97" t="s">
        <v>216</v>
      </c>
      <c r="C97">
        <v>6.4</v>
      </c>
      <c r="D97">
        <v>64.7</v>
      </c>
      <c r="E97">
        <v>0.7</v>
      </c>
      <c r="F97">
        <v>0</v>
      </c>
      <c r="G97">
        <v>10.4</v>
      </c>
    </row>
    <row r="98" spans="1:7" x14ac:dyDescent="0.35">
      <c r="A98" t="s">
        <v>574</v>
      </c>
      <c r="B98" t="s">
        <v>197</v>
      </c>
      <c r="C98">
        <v>8.1</v>
      </c>
      <c r="D98">
        <v>76.2</v>
      </c>
      <c r="E98">
        <v>0.4</v>
      </c>
      <c r="F98">
        <v>0</v>
      </c>
      <c r="G98">
        <v>10</v>
      </c>
    </row>
    <row r="99" spans="1:7" x14ac:dyDescent="0.35">
      <c r="A99" t="s">
        <v>806</v>
      </c>
      <c r="B99" t="s">
        <v>213</v>
      </c>
      <c r="C99">
        <v>6.9</v>
      </c>
      <c r="D99">
        <v>59.2</v>
      </c>
      <c r="E99">
        <v>0.7</v>
      </c>
      <c r="F99">
        <v>0</v>
      </c>
      <c r="G99">
        <v>9.9</v>
      </c>
    </row>
    <row r="100" spans="1:7" x14ac:dyDescent="0.35">
      <c r="A100" t="s">
        <v>843</v>
      </c>
      <c r="B100" t="s">
        <v>189</v>
      </c>
      <c r="C100">
        <v>5.6</v>
      </c>
      <c r="D100">
        <v>49.5</v>
      </c>
      <c r="E100">
        <v>0.8</v>
      </c>
      <c r="F100">
        <v>0</v>
      </c>
      <c r="G100">
        <v>9.9</v>
      </c>
    </row>
    <row r="101" spans="1:7" x14ac:dyDescent="0.35">
      <c r="A101" t="s">
        <v>636</v>
      </c>
      <c r="B101" t="s">
        <v>209</v>
      </c>
      <c r="C101">
        <v>5.8</v>
      </c>
      <c r="D101">
        <v>63.5</v>
      </c>
      <c r="E101">
        <v>0.4</v>
      </c>
      <c r="F101">
        <v>0</v>
      </c>
      <c r="G101">
        <v>8.8000000000000007</v>
      </c>
    </row>
    <row r="102" spans="1:7" x14ac:dyDescent="0.35">
      <c r="A102" t="s">
        <v>1006</v>
      </c>
      <c r="B102" t="s">
        <v>193</v>
      </c>
      <c r="C102">
        <v>5</v>
      </c>
      <c r="D102">
        <v>49</v>
      </c>
      <c r="E102">
        <v>0.6</v>
      </c>
      <c r="F102">
        <v>0</v>
      </c>
      <c r="G102">
        <v>8.4</v>
      </c>
    </row>
    <row r="103" spans="1:7" x14ac:dyDescent="0.35">
      <c r="A103" t="s">
        <v>641</v>
      </c>
      <c r="B103" t="s">
        <v>195</v>
      </c>
      <c r="C103">
        <v>4.8</v>
      </c>
      <c r="D103">
        <v>46</v>
      </c>
      <c r="E103">
        <v>0.6</v>
      </c>
      <c r="F103">
        <v>0</v>
      </c>
      <c r="G103">
        <v>8.4</v>
      </c>
    </row>
    <row r="104" spans="1:7" x14ac:dyDescent="0.35">
      <c r="A104" t="s">
        <v>1007</v>
      </c>
      <c r="B104" t="s">
        <v>218</v>
      </c>
      <c r="C104">
        <v>5.4</v>
      </c>
      <c r="D104">
        <v>47.6</v>
      </c>
      <c r="E104">
        <v>0.6</v>
      </c>
      <c r="F104">
        <v>0</v>
      </c>
      <c r="G104">
        <v>8.1999999999999993</v>
      </c>
    </row>
    <row r="105" spans="1:7" x14ac:dyDescent="0.35">
      <c r="A105" t="s">
        <v>838</v>
      </c>
      <c r="B105" t="s">
        <v>212</v>
      </c>
      <c r="C105">
        <v>6.8</v>
      </c>
      <c r="D105">
        <v>63.9</v>
      </c>
      <c r="E105">
        <v>0.6</v>
      </c>
      <c r="F105">
        <v>1</v>
      </c>
      <c r="G105">
        <v>8</v>
      </c>
    </row>
    <row r="106" spans="1:7" x14ac:dyDescent="0.35">
      <c r="A106" t="s">
        <v>1181</v>
      </c>
      <c r="B106" t="s">
        <v>214</v>
      </c>
      <c r="C106">
        <v>5.2</v>
      </c>
      <c r="D106">
        <v>53.2</v>
      </c>
      <c r="E106">
        <v>0.4</v>
      </c>
      <c r="F106">
        <v>0.1</v>
      </c>
      <c r="G106">
        <v>7.9</v>
      </c>
    </row>
    <row r="107" spans="1:7" x14ac:dyDescent="0.35">
      <c r="A107" t="s">
        <v>486</v>
      </c>
      <c r="B107" t="s">
        <v>192</v>
      </c>
      <c r="C107">
        <v>7.3</v>
      </c>
      <c r="D107">
        <v>58.5</v>
      </c>
      <c r="E107">
        <v>0.3</v>
      </c>
      <c r="F107">
        <v>0</v>
      </c>
      <c r="G107">
        <v>7.3</v>
      </c>
    </row>
    <row r="108" spans="1:7" x14ac:dyDescent="0.35">
      <c r="A108" t="s">
        <v>1093</v>
      </c>
      <c r="B108" t="s">
        <v>217</v>
      </c>
      <c r="C108">
        <v>4.4000000000000004</v>
      </c>
      <c r="D108">
        <v>41.4</v>
      </c>
      <c r="E108">
        <v>0.3</v>
      </c>
      <c r="F108">
        <v>0</v>
      </c>
      <c r="G108">
        <v>6</v>
      </c>
    </row>
    <row r="109" spans="1:7" x14ac:dyDescent="0.35">
      <c r="A109" t="s">
        <v>1182</v>
      </c>
      <c r="B109" t="s">
        <v>201</v>
      </c>
      <c r="C109">
        <v>3.7</v>
      </c>
      <c r="D109">
        <v>36.799999999999997</v>
      </c>
      <c r="E109">
        <v>0.3</v>
      </c>
      <c r="F109">
        <v>0</v>
      </c>
      <c r="G109">
        <v>5.2</v>
      </c>
    </row>
    <row r="110" spans="1:7" x14ac:dyDescent="0.35">
      <c r="A110" t="s">
        <v>484</v>
      </c>
      <c r="B110" t="s">
        <v>205</v>
      </c>
      <c r="C110">
        <v>5</v>
      </c>
      <c r="D110">
        <v>51</v>
      </c>
      <c r="E110">
        <v>0</v>
      </c>
      <c r="F110">
        <v>0</v>
      </c>
      <c r="G110">
        <v>5.0999999999999996</v>
      </c>
    </row>
    <row r="111" spans="1:7" x14ac:dyDescent="0.35">
      <c r="A111" t="s">
        <v>1183</v>
      </c>
      <c r="B111" t="s">
        <v>211</v>
      </c>
      <c r="C111">
        <v>3.7</v>
      </c>
      <c r="D111">
        <v>35.799999999999997</v>
      </c>
      <c r="E111">
        <v>0.3</v>
      </c>
      <c r="F111">
        <v>0</v>
      </c>
      <c r="G111">
        <v>5</v>
      </c>
    </row>
    <row r="112" spans="1:7" x14ac:dyDescent="0.35">
      <c r="A112" t="s">
        <v>1008</v>
      </c>
      <c r="B112" t="s">
        <v>206</v>
      </c>
      <c r="C112">
        <v>5.4</v>
      </c>
      <c r="D112">
        <v>46.8</v>
      </c>
      <c r="E112">
        <v>0.1</v>
      </c>
      <c r="F112">
        <v>0</v>
      </c>
      <c r="G112">
        <v>5</v>
      </c>
    </row>
    <row r="113" spans="1:7" x14ac:dyDescent="0.35">
      <c r="A113" t="s">
        <v>1204</v>
      </c>
      <c r="B113" t="s">
        <v>214</v>
      </c>
      <c r="C113">
        <v>7</v>
      </c>
      <c r="D113">
        <v>47</v>
      </c>
      <c r="E113">
        <v>0</v>
      </c>
      <c r="F113">
        <v>0</v>
      </c>
      <c r="G113">
        <v>4.7</v>
      </c>
    </row>
    <row r="114" spans="1:7" x14ac:dyDescent="0.35">
      <c r="A114" t="s">
        <v>1004</v>
      </c>
      <c r="B114" t="s">
        <v>217</v>
      </c>
      <c r="C114">
        <v>3</v>
      </c>
      <c r="D114">
        <v>28.6</v>
      </c>
      <c r="E114">
        <v>0.2</v>
      </c>
      <c r="F114">
        <v>0</v>
      </c>
      <c r="G114">
        <v>4.2</v>
      </c>
    </row>
    <row r="115" spans="1:7" x14ac:dyDescent="0.35">
      <c r="A115" t="s">
        <v>644</v>
      </c>
      <c r="B115" t="s">
        <v>219</v>
      </c>
      <c r="C115">
        <v>2</v>
      </c>
      <c r="D115">
        <v>22.3</v>
      </c>
      <c r="E115">
        <v>0.2</v>
      </c>
      <c r="F115">
        <v>0</v>
      </c>
      <c r="G115">
        <v>3.3</v>
      </c>
    </row>
    <row r="116" spans="1:7" x14ac:dyDescent="0.35">
      <c r="A116" t="s">
        <v>1005</v>
      </c>
      <c r="B116" t="s">
        <v>191</v>
      </c>
      <c r="C116">
        <v>2</v>
      </c>
      <c r="D116">
        <v>19.600000000000001</v>
      </c>
      <c r="E116">
        <v>0.2</v>
      </c>
      <c r="F116">
        <v>0</v>
      </c>
      <c r="G116">
        <v>3</v>
      </c>
    </row>
    <row r="117" spans="1:7" x14ac:dyDescent="0.35">
      <c r="A117" t="s">
        <v>1184</v>
      </c>
      <c r="B117" t="s">
        <v>213</v>
      </c>
      <c r="C117">
        <v>2</v>
      </c>
      <c r="D117">
        <v>19.3</v>
      </c>
      <c r="E117">
        <v>0.2</v>
      </c>
      <c r="F117">
        <v>0</v>
      </c>
      <c r="G117">
        <v>3</v>
      </c>
    </row>
    <row r="118" spans="1:7" x14ac:dyDescent="0.35">
      <c r="A118" t="s">
        <v>650</v>
      </c>
      <c r="B118" t="s">
        <v>190</v>
      </c>
      <c r="C118">
        <v>3.4</v>
      </c>
      <c r="D118">
        <v>24.4</v>
      </c>
      <c r="E118">
        <v>0</v>
      </c>
      <c r="F118">
        <v>0</v>
      </c>
      <c r="G118">
        <v>2.6</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F33"/>
  <sheetViews>
    <sheetView topLeftCell="A16" workbookViewId="0">
      <selection activeCell="F34" sqref="F34"/>
    </sheetView>
  </sheetViews>
  <sheetFormatPr defaultColWidth="8.90625" defaultRowHeight="14.5" x14ac:dyDescent="0.35"/>
  <cols>
    <col min="1" max="1" width="16.6328125" bestFit="1" customWidth="1"/>
    <col min="2" max="2" width="7.90625" bestFit="1" customWidth="1"/>
    <col min="3" max="3" width="5.54296875" bestFit="1" customWidth="1"/>
    <col min="4" max="4" width="6.81640625" bestFit="1" customWidth="1"/>
    <col min="5" max="5" width="6.36328125" bestFit="1" customWidth="1"/>
    <col min="6" max="6" width="7.1796875" bestFit="1" customWidth="1"/>
  </cols>
  <sheetData>
    <row r="1" spans="1:6" x14ac:dyDescent="0.35">
      <c r="A1" t="s">
        <v>82</v>
      </c>
      <c r="B1" t="s">
        <v>272</v>
      </c>
      <c r="C1" t="s">
        <v>394</v>
      </c>
      <c r="D1" t="s">
        <v>395</v>
      </c>
      <c r="E1" t="s">
        <v>396</v>
      </c>
      <c r="F1" t="s">
        <v>177</v>
      </c>
    </row>
    <row r="2" spans="1:6" x14ac:dyDescent="0.35">
      <c r="A2" t="s">
        <v>469</v>
      </c>
      <c r="B2" t="s">
        <v>192</v>
      </c>
      <c r="C2">
        <v>33.1</v>
      </c>
      <c r="D2">
        <v>37.799999999999997</v>
      </c>
      <c r="E2">
        <v>47.8</v>
      </c>
      <c r="F2">
        <v>146.9</v>
      </c>
    </row>
    <row r="3" spans="1:6" x14ac:dyDescent="0.35">
      <c r="A3" t="s">
        <v>110</v>
      </c>
      <c r="B3" t="s">
        <v>209</v>
      </c>
      <c r="C3">
        <v>31.5</v>
      </c>
      <c r="D3">
        <v>35.5</v>
      </c>
      <c r="E3">
        <v>46.7</v>
      </c>
      <c r="F3">
        <v>141.30000000000001</v>
      </c>
    </row>
    <row r="4" spans="1:6" x14ac:dyDescent="0.35">
      <c r="A4" t="s">
        <v>271</v>
      </c>
      <c r="B4" t="s">
        <v>210</v>
      </c>
      <c r="C4">
        <v>30.5</v>
      </c>
      <c r="D4">
        <v>34.5</v>
      </c>
      <c r="E4">
        <v>47.4</v>
      </c>
      <c r="F4">
        <v>138.80000000000001</v>
      </c>
    </row>
    <row r="5" spans="1:6" x14ac:dyDescent="0.35">
      <c r="A5" t="s">
        <v>829</v>
      </c>
      <c r="B5" t="s">
        <v>199</v>
      </c>
      <c r="C5">
        <v>31.9</v>
      </c>
      <c r="D5">
        <v>35.5</v>
      </c>
      <c r="E5">
        <v>42.7</v>
      </c>
      <c r="F5">
        <v>138.5</v>
      </c>
    </row>
    <row r="6" spans="1:6" x14ac:dyDescent="0.35">
      <c r="A6" t="s">
        <v>270</v>
      </c>
      <c r="B6" t="s">
        <v>207</v>
      </c>
      <c r="C6">
        <v>29.3</v>
      </c>
      <c r="D6">
        <v>32.799999999999997</v>
      </c>
      <c r="E6">
        <v>47.6</v>
      </c>
      <c r="F6">
        <v>135.6</v>
      </c>
    </row>
    <row r="7" spans="1:6" x14ac:dyDescent="0.35">
      <c r="A7" t="s">
        <v>268</v>
      </c>
      <c r="B7" t="s">
        <v>193</v>
      </c>
      <c r="C7">
        <v>31.5</v>
      </c>
      <c r="D7">
        <v>36.6</v>
      </c>
      <c r="E7">
        <v>38.9</v>
      </c>
      <c r="F7">
        <v>133.5</v>
      </c>
    </row>
    <row r="8" spans="1:6" x14ac:dyDescent="0.35">
      <c r="A8" t="s">
        <v>379</v>
      </c>
      <c r="B8" t="s">
        <v>219</v>
      </c>
      <c r="C8">
        <v>29.9</v>
      </c>
      <c r="D8">
        <v>33.9</v>
      </c>
      <c r="E8">
        <v>42.1</v>
      </c>
      <c r="F8">
        <v>131.80000000000001</v>
      </c>
    </row>
    <row r="9" spans="1:6" x14ac:dyDescent="0.35">
      <c r="A9" t="s">
        <v>747</v>
      </c>
      <c r="B9" t="s">
        <v>200</v>
      </c>
      <c r="C9">
        <v>30</v>
      </c>
      <c r="D9">
        <v>33.200000000000003</v>
      </c>
      <c r="E9">
        <v>41.4</v>
      </c>
      <c r="F9">
        <v>131.4</v>
      </c>
    </row>
    <row r="10" spans="1:6" x14ac:dyDescent="0.35">
      <c r="A10" t="s">
        <v>834</v>
      </c>
      <c r="B10" t="s">
        <v>191</v>
      </c>
      <c r="C10">
        <v>29.8</v>
      </c>
      <c r="D10">
        <v>34.9</v>
      </c>
      <c r="E10">
        <v>40.700000000000003</v>
      </c>
      <c r="F10">
        <v>130.19999999999999</v>
      </c>
    </row>
    <row r="11" spans="1:6" x14ac:dyDescent="0.35">
      <c r="A11" t="s">
        <v>269</v>
      </c>
      <c r="B11" t="s">
        <v>217</v>
      </c>
      <c r="C11">
        <v>30.4</v>
      </c>
      <c r="D11">
        <v>34.799999999999997</v>
      </c>
      <c r="E11">
        <v>38.299999999999997</v>
      </c>
      <c r="F11">
        <v>129.6</v>
      </c>
    </row>
    <row r="12" spans="1:6" x14ac:dyDescent="0.35">
      <c r="A12" t="s">
        <v>530</v>
      </c>
      <c r="B12" t="s">
        <v>204</v>
      </c>
      <c r="C12">
        <v>27.8</v>
      </c>
      <c r="D12">
        <v>32.200000000000003</v>
      </c>
      <c r="E12">
        <v>45.4</v>
      </c>
      <c r="F12">
        <v>128.69999999999999</v>
      </c>
    </row>
    <row r="13" spans="1:6" x14ac:dyDescent="0.35">
      <c r="A13" t="s">
        <v>479</v>
      </c>
      <c r="B13" t="s">
        <v>203</v>
      </c>
      <c r="C13">
        <v>27.6</v>
      </c>
      <c r="D13">
        <v>33.799999999999997</v>
      </c>
      <c r="E13">
        <v>45.8</v>
      </c>
      <c r="F13">
        <v>128.5</v>
      </c>
    </row>
    <row r="14" spans="1:6" x14ac:dyDescent="0.35">
      <c r="A14" t="s">
        <v>159</v>
      </c>
      <c r="B14" t="s">
        <v>213</v>
      </c>
      <c r="C14">
        <v>30</v>
      </c>
      <c r="D14">
        <v>33.6</v>
      </c>
      <c r="E14">
        <v>38.200000000000003</v>
      </c>
      <c r="F14">
        <v>128.1</v>
      </c>
    </row>
    <row r="15" spans="1:6" x14ac:dyDescent="0.35">
      <c r="A15" t="s">
        <v>766</v>
      </c>
      <c r="B15" t="s">
        <v>214</v>
      </c>
      <c r="C15">
        <v>26.7</v>
      </c>
      <c r="D15">
        <v>31.5</v>
      </c>
      <c r="E15">
        <v>47.8</v>
      </c>
      <c r="F15">
        <v>128</v>
      </c>
    </row>
    <row r="16" spans="1:6" x14ac:dyDescent="0.35">
      <c r="A16" t="s">
        <v>460</v>
      </c>
      <c r="B16" t="s">
        <v>194</v>
      </c>
      <c r="C16">
        <v>29.5</v>
      </c>
      <c r="D16">
        <v>34.5</v>
      </c>
      <c r="E16">
        <v>39.200000000000003</v>
      </c>
      <c r="F16">
        <v>127.6</v>
      </c>
    </row>
    <row r="17" spans="1:6" x14ac:dyDescent="0.35">
      <c r="A17" t="s">
        <v>1185</v>
      </c>
      <c r="B17" t="s">
        <v>189</v>
      </c>
      <c r="C17">
        <v>28.2</v>
      </c>
      <c r="D17">
        <v>33.5</v>
      </c>
      <c r="E17">
        <v>42</v>
      </c>
      <c r="F17">
        <v>126.5</v>
      </c>
    </row>
    <row r="18" spans="1:6" x14ac:dyDescent="0.35">
      <c r="A18" t="s">
        <v>380</v>
      </c>
      <c r="B18" t="s">
        <v>212</v>
      </c>
      <c r="C18">
        <v>27.2</v>
      </c>
      <c r="D18">
        <v>32.200000000000003</v>
      </c>
      <c r="E18">
        <v>44.9</v>
      </c>
      <c r="F18">
        <v>126.4</v>
      </c>
    </row>
    <row r="19" spans="1:6" x14ac:dyDescent="0.35">
      <c r="A19" t="s">
        <v>773</v>
      </c>
      <c r="B19" t="s">
        <v>195</v>
      </c>
      <c r="C19">
        <v>28.2</v>
      </c>
      <c r="D19">
        <v>32.200000000000003</v>
      </c>
      <c r="E19">
        <v>38.299999999999997</v>
      </c>
      <c r="F19">
        <v>122.8</v>
      </c>
    </row>
    <row r="20" spans="1:6" x14ac:dyDescent="0.35">
      <c r="A20" t="s">
        <v>158</v>
      </c>
      <c r="B20" t="s">
        <v>208</v>
      </c>
      <c r="C20">
        <v>28.9</v>
      </c>
      <c r="D20">
        <v>33.6</v>
      </c>
      <c r="E20">
        <v>35.299999999999997</v>
      </c>
      <c r="F20">
        <v>121.9</v>
      </c>
    </row>
    <row r="21" spans="1:6" x14ac:dyDescent="0.35">
      <c r="A21" t="s">
        <v>164</v>
      </c>
      <c r="B21" t="s">
        <v>220</v>
      </c>
      <c r="C21">
        <v>28.3</v>
      </c>
      <c r="D21">
        <v>32.6</v>
      </c>
      <c r="E21">
        <v>36.799999999999997</v>
      </c>
      <c r="F21">
        <v>121.6</v>
      </c>
    </row>
    <row r="22" spans="1:6" x14ac:dyDescent="0.35">
      <c r="A22" t="s">
        <v>954</v>
      </c>
      <c r="B22" t="s">
        <v>201</v>
      </c>
      <c r="C22">
        <v>25.6</v>
      </c>
      <c r="D22">
        <v>30.5</v>
      </c>
      <c r="E22">
        <v>44.2</v>
      </c>
      <c r="F22">
        <v>120.9</v>
      </c>
    </row>
    <row r="23" spans="1:6" x14ac:dyDescent="0.35">
      <c r="A23" t="s">
        <v>958</v>
      </c>
      <c r="B23" t="s">
        <v>205</v>
      </c>
      <c r="C23">
        <v>28.2</v>
      </c>
      <c r="D23">
        <v>33.9</v>
      </c>
      <c r="E23">
        <v>36.299999999999997</v>
      </c>
      <c r="F23">
        <v>120.9</v>
      </c>
    </row>
    <row r="24" spans="1:6" x14ac:dyDescent="0.35">
      <c r="A24" t="s">
        <v>955</v>
      </c>
      <c r="B24" t="s">
        <v>216</v>
      </c>
      <c r="C24">
        <v>27.5</v>
      </c>
      <c r="D24">
        <v>33.5</v>
      </c>
      <c r="E24">
        <v>38.200000000000003</v>
      </c>
      <c r="F24">
        <v>120.6</v>
      </c>
    </row>
    <row r="25" spans="1:6" x14ac:dyDescent="0.35">
      <c r="A25" t="s">
        <v>123</v>
      </c>
      <c r="B25" t="s">
        <v>202</v>
      </c>
      <c r="C25">
        <v>27.5</v>
      </c>
      <c r="D25">
        <v>31.6</v>
      </c>
      <c r="E25">
        <v>32.299999999999997</v>
      </c>
      <c r="F25">
        <v>114.8</v>
      </c>
    </row>
    <row r="26" spans="1:6" x14ac:dyDescent="0.35">
      <c r="A26" t="s">
        <v>468</v>
      </c>
      <c r="B26" t="s">
        <v>198</v>
      </c>
      <c r="C26">
        <v>27.4</v>
      </c>
      <c r="D26">
        <v>30.6</v>
      </c>
      <c r="E26">
        <v>32.200000000000003</v>
      </c>
      <c r="F26">
        <v>114.3</v>
      </c>
    </row>
    <row r="27" spans="1:6" x14ac:dyDescent="0.35">
      <c r="A27" t="s">
        <v>146</v>
      </c>
      <c r="B27" t="s">
        <v>218</v>
      </c>
      <c r="C27">
        <v>27.1</v>
      </c>
      <c r="D27">
        <v>32.299999999999997</v>
      </c>
      <c r="E27">
        <v>32.5</v>
      </c>
      <c r="F27">
        <v>113.7</v>
      </c>
    </row>
    <row r="28" spans="1:6" x14ac:dyDescent="0.35">
      <c r="A28" t="s">
        <v>378</v>
      </c>
      <c r="B28" t="s">
        <v>478</v>
      </c>
      <c r="C28">
        <v>26.9</v>
      </c>
      <c r="D28">
        <v>30.6</v>
      </c>
      <c r="E28">
        <v>31.8</v>
      </c>
      <c r="F28">
        <v>112.6</v>
      </c>
    </row>
    <row r="29" spans="1:6" x14ac:dyDescent="0.35">
      <c r="A29" t="s">
        <v>956</v>
      </c>
      <c r="B29" t="s">
        <v>211</v>
      </c>
      <c r="C29">
        <v>25.6</v>
      </c>
      <c r="D29">
        <v>30.6</v>
      </c>
      <c r="E29">
        <v>31.6</v>
      </c>
      <c r="F29">
        <v>108.3</v>
      </c>
    </row>
    <row r="30" spans="1:6" x14ac:dyDescent="0.35">
      <c r="A30" t="s">
        <v>706</v>
      </c>
      <c r="B30" t="s">
        <v>196</v>
      </c>
      <c r="C30">
        <v>25.9</v>
      </c>
      <c r="D30">
        <v>30.6</v>
      </c>
      <c r="E30">
        <v>29.7</v>
      </c>
      <c r="F30">
        <v>107.5</v>
      </c>
    </row>
    <row r="31" spans="1:6" x14ac:dyDescent="0.35">
      <c r="A31" t="s">
        <v>1117</v>
      </c>
      <c r="B31" t="s">
        <v>197</v>
      </c>
      <c r="C31">
        <v>24.5</v>
      </c>
      <c r="D31">
        <v>30.3</v>
      </c>
      <c r="E31">
        <v>33.299999999999997</v>
      </c>
      <c r="F31">
        <v>106.8</v>
      </c>
    </row>
    <row r="32" spans="1:6" x14ac:dyDescent="0.35">
      <c r="A32" t="s">
        <v>161</v>
      </c>
      <c r="B32" t="s">
        <v>206</v>
      </c>
      <c r="C32">
        <v>25</v>
      </c>
      <c r="D32">
        <v>30</v>
      </c>
      <c r="E32">
        <v>29.6</v>
      </c>
      <c r="F32">
        <v>104.5</v>
      </c>
    </row>
    <row r="33" spans="1:6" x14ac:dyDescent="0.35">
      <c r="A33" t="s">
        <v>1186</v>
      </c>
      <c r="B33" t="s">
        <v>190</v>
      </c>
      <c r="C33">
        <v>23.3</v>
      </c>
      <c r="D33">
        <v>28.3</v>
      </c>
      <c r="E33">
        <v>26.9</v>
      </c>
      <c r="F33">
        <v>96.7</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B33"/>
  <sheetViews>
    <sheetView zoomScale="85" zoomScaleNormal="85" workbookViewId="0">
      <selection activeCell="G12" sqref="G12"/>
    </sheetView>
  </sheetViews>
  <sheetFormatPr defaultColWidth="8.90625" defaultRowHeight="14.5" x14ac:dyDescent="0.35"/>
  <cols>
    <col min="1" max="1" width="8.453125" bestFit="1" customWidth="1"/>
    <col min="2" max="2" width="19.453125" bestFit="1" customWidth="1"/>
    <col min="3" max="3" width="5" bestFit="1" customWidth="1"/>
    <col min="4" max="4" width="5.36328125" bestFit="1" customWidth="1"/>
    <col min="5" max="5" width="3.90625" bestFit="1" customWidth="1"/>
    <col min="6" max="6" width="5.90625" bestFit="1" customWidth="1"/>
    <col min="7" max="9" width="5" bestFit="1" customWidth="1"/>
    <col min="10" max="10" width="6" bestFit="1" customWidth="1"/>
    <col min="11" max="18" width="0" hidden="1" customWidth="1"/>
    <col min="19" max="20" width="8.453125" bestFit="1" customWidth="1"/>
    <col min="21" max="21" width="7.6328125" bestFit="1" customWidth="1"/>
    <col min="22" max="22" width="7.08984375" bestFit="1" customWidth="1"/>
    <col min="23" max="25" width="8.90625" hidden="1" customWidth="1"/>
    <col min="26" max="26" width="7.08984375" bestFit="1" customWidth="1"/>
    <col min="27" max="27" width="8.453125" bestFit="1" customWidth="1"/>
  </cols>
  <sheetData>
    <row r="1" spans="1:28" x14ac:dyDescent="0.35">
      <c r="A1" s="99" t="s">
        <v>167</v>
      </c>
      <c r="B1" s="99" t="s">
        <v>261</v>
      </c>
      <c r="C1" s="99" t="s">
        <v>17</v>
      </c>
      <c r="D1" s="99" t="s">
        <v>465</v>
      </c>
      <c r="E1" s="99" t="s">
        <v>262</v>
      </c>
      <c r="F1" s="99" t="s">
        <v>263</v>
      </c>
      <c r="G1" s="99" t="s">
        <v>264</v>
      </c>
      <c r="H1" s="99" t="s">
        <v>265</v>
      </c>
      <c r="I1" s="99" t="s">
        <v>266</v>
      </c>
      <c r="J1" s="99" t="s">
        <v>267</v>
      </c>
      <c r="K1" s="99"/>
      <c r="L1" s="99"/>
      <c r="M1" s="99"/>
      <c r="N1" s="99"/>
      <c r="O1" s="99"/>
      <c r="P1" s="99"/>
      <c r="Q1" s="99"/>
      <c r="R1" s="99"/>
      <c r="S1" s="99" t="s">
        <v>181</v>
      </c>
      <c r="T1" s="99" t="s">
        <v>181</v>
      </c>
      <c r="U1" s="99" t="s">
        <v>183</v>
      </c>
      <c r="V1" s="99" t="s">
        <v>184</v>
      </c>
      <c r="Z1" s="99" t="s">
        <v>186</v>
      </c>
      <c r="AA1" s="99" t="s">
        <v>187</v>
      </c>
    </row>
    <row r="2" spans="1:28" x14ac:dyDescent="0.35">
      <c r="A2">
        <f t="shared" ref="A2:A33" si="0">RANK(J2,J:J)</f>
        <v>1</v>
      </c>
      <c r="B2" t="str">
        <f>K[[#This Row],[Player]]</f>
        <v>Younghoe Koo</v>
      </c>
      <c r="C2" t="s">
        <v>45</v>
      </c>
      <c r="D2">
        <f>_xlfn.IFNA(INDEX(BYEs!E:E,MATCH(B2,BYEs!D:D,0)),"N/A")</f>
        <v>30</v>
      </c>
      <c r="E2">
        <f>INDEX(BYEs!$B$2:$B$34,MATCH(F2,BYEs!$A$2:$A$34,0))</f>
        <v>12</v>
      </c>
      <c r="F2" t="str">
        <f>K[[#This Row],[Team]]</f>
        <v>ATL</v>
      </c>
      <c r="G2">
        <f>K[[#This Row],[FG]]</f>
        <v>33.1</v>
      </c>
      <c r="H2">
        <f>K[[#This Row],[FGA]]</f>
        <v>37.799999999999997</v>
      </c>
      <c r="I2">
        <f>K[[#This Row],[XPT]]</f>
        <v>47.8</v>
      </c>
      <c r="J2">
        <f>K[[#This Row],[FPTS]]</f>
        <v>146.9</v>
      </c>
      <c r="S2" s="74">
        <f>IF(A2&lt;=LeagueInfo!$B$7,1,0)</f>
        <v>1</v>
      </c>
      <c r="T2" s="74">
        <f>S2</f>
        <v>1</v>
      </c>
      <c r="U2" s="5" t="str">
        <f>IF(OR(INDEX(Auction!$H$13:$H$650,MATCH(B2,Auction!$A$13:$A$650,0))&gt;0,IFERROR(INDEX(CheatSheet!$D$5:$D$34,MATCH(B2,CheatSheet!$A$5:$A$34,0)),"")&lt;&gt;""),"Yes","No")</f>
        <v>No</v>
      </c>
      <c r="V2" s="175"/>
      <c r="Z2" s="114">
        <f ca="1">IF(LeagueInfo!$D$8=0,0,IF(AllowNegative="Yes",J2-INDIRECT("J"&amp;LeagueInfo!$B$7+1),MAX(J2-INDIRECT("J"&amp;LeagueInfo!$B$7+1),0)))</f>
        <v>18.400000000000006</v>
      </c>
      <c r="AA2" s="115" t="str">
        <f t="shared" ref="AA2:AA33" si="1">CONCATENATE("K",ROUND((LARGE(J:J,1)-$J2)/STDEVPA(J:J)/2+1,0))</f>
        <v>K1</v>
      </c>
    </row>
    <row r="3" spans="1:28" x14ac:dyDescent="0.35">
      <c r="A3">
        <f t="shared" si="0"/>
        <v>2</v>
      </c>
      <c r="B3" t="str">
        <f>K[[#This Row],[Player]]</f>
        <v>Justin Tucker</v>
      </c>
      <c r="C3" t="s">
        <v>45</v>
      </c>
      <c r="D3">
        <f>_xlfn.IFNA(INDEX(BYEs!E:E,MATCH(B3,BYEs!D:D,0)),"N/A")</f>
        <v>34</v>
      </c>
      <c r="E3">
        <f>INDEX(BYEs!$B$2:$B$34,MATCH(F3,BYEs!$A$2:$A$34,0))</f>
        <v>14</v>
      </c>
      <c r="F3" t="str">
        <f>K[[#This Row],[Team]]</f>
        <v>BAL</v>
      </c>
      <c r="G3">
        <f>K[[#This Row],[FG]]</f>
        <v>31.5</v>
      </c>
      <c r="H3">
        <f>K[[#This Row],[FGA]]</f>
        <v>35.5</v>
      </c>
      <c r="I3">
        <f>K[[#This Row],[XPT]]</f>
        <v>46.7</v>
      </c>
      <c r="J3">
        <f>K[[#This Row],[FPTS]]</f>
        <v>141.30000000000001</v>
      </c>
      <c r="S3" s="74">
        <f>IF(A3&lt;=LeagueInfo!$B$7,1,0)</f>
        <v>1</v>
      </c>
      <c r="T3" s="74">
        <f t="shared" ref="T3:T33" si="2">S3</f>
        <v>1</v>
      </c>
      <c r="U3" s="5" t="str">
        <f>IF(OR(INDEX(Auction!$H$13:$H$650,MATCH(B3,Auction!$A$13:$A$650,0))&gt;0,IFERROR(INDEX(CheatSheet!$D$5:$D$34,MATCH(B3,CheatSheet!$A$5:$A$34,0)),"")&lt;&gt;""),"Yes","No")</f>
        <v>No</v>
      </c>
      <c r="V3" s="175"/>
      <c r="Z3" s="114">
        <f ca="1">IF(LeagueInfo!$D$8=0,0,IF(AllowNegative="Yes",J3-INDIRECT("J"&amp;LeagueInfo!$B$7+1),MAX(J3-INDIRECT("J"&amp;LeagueInfo!$B$7+1),0)))</f>
        <v>12.800000000000011</v>
      </c>
      <c r="AA3" s="115" t="str">
        <f t="shared" si="1"/>
        <v>K1</v>
      </c>
      <c r="AB3" s="114"/>
    </row>
    <row r="4" spans="1:28" x14ac:dyDescent="0.35">
      <c r="A4">
        <f t="shared" si="0"/>
        <v>3</v>
      </c>
      <c r="B4" t="str">
        <f>K[[#This Row],[Player]]</f>
        <v>Harrison Butker</v>
      </c>
      <c r="C4" t="s">
        <v>45</v>
      </c>
      <c r="D4">
        <f>_xlfn.IFNA(INDEX(BYEs!E:E,MATCH(B4,BYEs!D:D,0)),"N/A")</f>
        <v>29</v>
      </c>
      <c r="E4">
        <f>INDEX(BYEs!$B$2:$B$34,MATCH(F4,BYEs!$A$2:$A$34,0))</f>
        <v>6</v>
      </c>
      <c r="F4" t="str">
        <f>K[[#This Row],[Team]]</f>
        <v>KC</v>
      </c>
      <c r="G4">
        <f>K[[#This Row],[FG]]</f>
        <v>30.5</v>
      </c>
      <c r="H4">
        <f>K[[#This Row],[FGA]]</f>
        <v>34.5</v>
      </c>
      <c r="I4">
        <f>K[[#This Row],[XPT]]</f>
        <v>47.4</v>
      </c>
      <c r="J4">
        <f>K[[#This Row],[FPTS]]</f>
        <v>138.80000000000001</v>
      </c>
      <c r="S4" s="74">
        <f>IF(A4&lt;=LeagueInfo!$B$7,1,0)</f>
        <v>1</v>
      </c>
      <c r="T4" s="74">
        <f t="shared" si="2"/>
        <v>1</v>
      </c>
      <c r="U4" s="5" t="str">
        <f>IF(OR(INDEX(Auction!$H$13:$H$650,MATCH(B4,Auction!$A$13:$A$650,0))&gt;0,IFERROR(INDEX(CheatSheet!$D$5:$D$34,MATCH(B4,CheatSheet!$A$5:$A$34,0)),"")&lt;&gt;""),"Yes","No")</f>
        <v>No</v>
      </c>
      <c r="V4" s="175"/>
      <c r="Z4" s="114">
        <f ca="1">IF(LeagueInfo!$D$8=0,0,IF(AllowNegative="Yes",J4-INDIRECT("J"&amp;LeagueInfo!$B$7+1),MAX(J4-INDIRECT("J"&amp;LeagueInfo!$B$7+1),0)))</f>
        <v>10.300000000000011</v>
      </c>
      <c r="AA4" s="115" t="str">
        <f t="shared" si="1"/>
        <v>K1</v>
      </c>
    </row>
    <row r="5" spans="1:28" x14ac:dyDescent="0.35">
      <c r="A5">
        <f t="shared" si="0"/>
        <v>4</v>
      </c>
      <c r="B5" t="str">
        <f>K[[#This Row],[Player]]</f>
        <v>Brandon Aubrey</v>
      </c>
      <c r="C5" t="s">
        <v>45</v>
      </c>
      <c r="D5">
        <f>_xlfn.IFNA(INDEX(BYEs!E:E,MATCH(B5,BYEs!D:D,0)),"N/A")</f>
        <v>29</v>
      </c>
      <c r="E5">
        <f>INDEX(BYEs!$B$2:$B$34,MATCH(F5,BYEs!$A$2:$A$34,0))</f>
        <v>7</v>
      </c>
      <c r="F5" t="str">
        <f>K[[#This Row],[Team]]</f>
        <v>DAL</v>
      </c>
      <c r="G5">
        <f>K[[#This Row],[FG]]</f>
        <v>31.9</v>
      </c>
      <c r="H5">
        <f>K[[#This Row],[FGA]]</f>
        <v>35.5</v>
      </c>
      <c r="I5">
        <f>K[[#This Row],[XPT]]</f>
        <v>42.7</v>
      </c>
      <c r="J5">
        <f>K[[#This Row],[FPTS]]</f>
        <v>138.5</v>
      </c>
      <c r="S5" s="74">
        <f>IF(A5&lt;=LeagueInfo!$B$7,1,0)</f>
        <v>1</v>
      </c>
      <c r="T5" s="74">
        <f t="shared" si="2"/>
        <v>1</v>
      </c>
      <c r="U5" s="5" t="str">
        <f>IF(OR(INDEX(Auction!$H$13:$H$650,MATCH(B5,Auction!$A$13:$A$650,0))&gt;0,IFERROR(INDEX(CheatSheet!$D$5:$D$34,MATCH(B5,CheatSheet!$A$5:$A$34,0)),"")&lt;&gt;""),"Yes","No")</f>
        <v>No</v>
      </c>
      <c r="V5" s="175"/>
      <c r="Z5" s="114">
        <f ca="1">IF(LeagueInfo!$D$8=0,0,IF(AllowNegative="Yes",J5-INDIRECT("J"&amp;LeagueInfo!$B$7+1),MAX(J5-INDIRECT("J"&amp;LeagueInfo!$B$7+1),0)))</f>
        <v>10</v>
      </c>
      <c r="AA5" s="115" t="str">
        <f t="shared" si="1"/>
        <v>K1</v>
      </c>
    </row>
    <row r="6" spans="1:28" x14ac:dyDescent="0.35">
      <c r="A6">
        <f t="shared" si="0"/>
        <v>5</v>
      </c>
      <c r="B6" t="str">
        <f>K[[#This Row],[Player]]</f>
        <v>Jake Elliott</v>
      </c>
      <c r="C6" t="s">
        <v>45</v>
      </c>
      <c r="D6">
        <f>_xlfn.IFNA(INDEX(BYEs!E:E,MATCH(B6,BYEs!D:D,0)),"N/A")</f>
        <v>29</v>
      </c>
      <c r="E6">
        <f>INDEX(BYEs!$B$2:$B$34,MATCH(F6,BYEs!$A$2:$A$34,0))</f>
        <v>5</v>
      </c>
      <c r="F6" t="str">
        <f>K[[#This Row],[Team]]</f>
        <v>PHI</v>
      </c>
      <c r="G6">
        <f>K[[#This Row],[FG]]</f>
        <v>29.3</v>
      </c>
      <c r="H6">
        <f>K[[#This Row],[FGA]]</f>
        <v>32.799999999999997</v>
      </c>
      <c r="I6">
        <f>K[[#This Row],[XPT]]</f>
        <v>47.6</v>
      </c>
      <c r="J6">
        <f>K[[#This Row],[FPTS]]</f>
        <v>135.6</v>
      </c>
      <c r="S6" s="74">
        <f>IF(A6&lt;=LeagueInfo!$B$7,1,0)</f>
        <v>1</v>
      </c>
      <c r="T6" s="74">
        <f t="shared" si="2"/>
        <v>1</v>
      </c>
      <c r="U6" s="5" t="str">
        <f>IF(OR(INDEX(Auction!$H$13:$H$650,MATCH(B6,Auction!$A$13:$A$650,0))&gt;0,IFERROR(INDEX(CheatSheet!$D$5:$D$34,MATCH(B6,CheatSheet!$A$5:$A$34,0)),"")&lt;&gt;""),"Yes","No")</f>
        <v>No</v>
      </c>
      <c r="V6" s="175"/>
      <c r="Z6" s="114">
        <f ca="1">IF(LeagueInfo!$D$8=0,0,IF(AllowNegative="Yes",J6-INDIRECT("J"&amp;LeagueInfo!$B$7+1),MAX(J6-INDIRECT("J"&amp;LeagueInfo!$B$7+1),0)))</f>
        <v>7.0999999999999943</v>
      </c>
      <c r="AA6" s="115" t="str">
        <f t="shared" si="1"/>
        <v>K1</v>
      </c>
    </row>
    <row r="7" spans="1:28" x14ac:dyDescent="0.35">
      <c r="A7">
        <f t="shared" si="0"/>
        <v>6</v>
      </c>
      <c r="B7" t="str">
        <f>K[[#This Row],[Player]]</f>
        <v>Jason Myers</v>
      </c>
      <c r="C7" t="s">
        <v>45</v>
      </c>
      <c r="D7">
        <f>_xlfn.IFNA(INDEX(BYEs!E:E,MATCH(B7,BYEs!D:D,0)),"N/A")</f>
        <v>33</v>
      </c>
      <c r="E7">
        <f>INDEX(BYEs!$B$2:$B$34,MATCH(F7,BYEs!$A$2:$A$34,0))</f>
        <v>10</v>
      </c>
      <c r="F7" t="str">
        <f>K[[#This Row],[Team]]</f>
        <v>SEA</v>
      </c>
      <c r="G7">
        <f>K[[#This Row],[FG]]</f>
        <v>31.5</v>
      </c>
      <c r="H7">
        <f>K[[#This Row],[FGA]]</f>
        <v>36.6</v>
      </c>
      <c r="I7">
        <f>K[[#This Row],[XPT]]</f>
        <v>38.9</v>
      </c>
      <c r="J7">
        <f>K[[#This Row],[FPTS]]</f>
        <v>133.5</v>
      </c>
      <c r="S7" s="74">
        <f>IF(A7&lt;=LeagueInfo!$B$7,1,0)</f>
        <v>1</v>
      </c>
      <c r="T7" s="74">
        <f t="shared" si="2"/>
        <v>1</v>
      </c>
      <c r="U7" s="5" t="str">
        <f>IF(OR(INDEX(Auction!$H$13:$H$650,MATCH(B7,Auction!$A$13:$A$650,0))&gt;0,IFERROR(INDEX(CheatSheet!$D$5:$D$34,MATCH(B7,CheatSheet!$A$5:$A$34,0)),"")&lt;&gt;""),"Yes","No")</f>
        <v>No</v>
      </c>
      <c r="V7" s="175"/>
      <c r="Z7" s="114">
        <f ca="1">IF(LeagueInfo!$D$8=0,0,IF(AllowNegative="Yes",J7-INDIRECT("J"&amp;LeagueInfo!$B$7+1),MAX(J7-INDIRECT("J"&amp;LeagueInfo!$B$7+1),0)))</f>
        <v>5</v>
      </c>
      <c r="AA7" s="115" t="str">
        <f t="shared" si="1"/>
        <v>K1</v>
      </c>
    </row>
    <row r="8" spans="1:28" x14ac:dyDescent="0.35">
      <c r="A8">
        <f t="shared" si="0"/>
        <v>7</v>
      </c>
      <c r="B8" t="str">
        <f>K[[#This Row],[Player]]</f>
        <v>Ka'imi Fairbairn</v>
      </c>
      <c r="C8" t="s">
        <v>45</v>
      </c>
      <c r="D8">
        <f>_xlfn.IFNA(INDEX(BYEs!E:E,MATCH(B8,BYEs!D:D,0)),"N/A")</f>
        <v>30</v>
      </c>
      <c r="E8">
        <f>INDEX(BYEs!$B$2:$B$34,MATCH(F8,BYEs!$A$2:$A$34,0))</f>
        <v>14</v>
      </c>
      <c r="F8" t="str">
        <f>K[[#This Row],[Team]]</f>
        <v>HOU</v>
      </c>
      <c r="G8">
        <f>K[[#This Row],[FG]]</f>
        <v>29.9</v>
      </c>
      <c r="H8">
        <f>K[[#This Row],[FGA]]</f>
        <v>33.9</v>
      </c>
      <c r="I8">
        <f>K[[#This Row],[XPT]]</f>
        <v>42.1</v>
      </c>
      <c r="J8">
        <f>K[[#This Row],[FPTS]]</f>
        <v>131.80000000000001</v>
      </c>
      <c r="S8" s="74">
        <f>IF(A8&lt;=LeagueInfo!$B$7,1,0)</f>
        <v>1</v>
      </c>
      <c r="T8" s="74">
        <f t="shared" si="2"/>
        <v>1</v>
      </c>
      <c r="U8" s="5" t="str">
        <f>IF(OR(INDEX(Auction!$H$13:$H$650,MATCH(B8,Auction!$A$13:$A$650,0))&gt;0,IFERROR(INDEX(CheatSheet!$D$5:$D$34,MATCH(B8,CheatSheet!$A$5:$A$34,0)),"")&lt;&gt;""),"Yes","No")</f>
        <v>No</v>
      </c>
      <c r="V8" s="175"/>
      <c r="Z8" s="114">
        <f ca="1">IF(LeagueInfo!$D$8=0,0,IF(AllowNegative="Yes",J8-INDIRECT("J"&amp;LeagueInfo!$B$7+1),MAX(J8-INDIRECT("J"&amp;LeagueInfo!$B$7+1),0)))</f>
        <v>3.3000000000000114</v>
      </c>
      <c r="AA8" s="115" t="str">
        <f t="shared" si="1"/>
        <v>K1</v>
      </c>
    </row>
    <row r="9" spans="1:28" x14ac:dyDescent="0.35">
      <c r="A9">
        <f t="shared" si="0"/>
        <v>8</v>
      </c>
      <c r="B9" t="str">
        <f>K[[#This Row],[Player]]</f>
        <v>Cameron Dicker</v>
      </c>
      <c r="C9" t="s">
        <v>45</v>
      </c>
      <c r="D9">
        <f>_xlfn.IFNA(INDEX(BYEs!E:E,MATCH(B9,BYEs!D:D,0)),"N/A")</f>
        <v>24</v>
      </c>
      <c r="E9">
        <f>INDEX(BYEs!$B$2:$B$34,MATCH(F9,BYEs!$A$2:$A$34,0))</f>
        <v>5</v>
      </c>
      <c r="F9" t="str">
        <f>K[[#This Row],[Team]]</f>
        <v>LAC</v>
      </c>
      <c r="G9">
        <f>K[[#This Row],[FG]]</f>
        <v>30</v>
      </c>
      <c r="H9">
        <f>K[[#This Row],[FGA]]</f>
        <v>33.200000000000003</v>
      </c>
      <c r="I9">
        <f>K[[#This Row],[XPT]]</f>
        <v>41.4</v>
      </c>
      <c r="J9">
        <f>K[[#This Row],[FPTS]]</f>
        <v>131.4</v>
      </c>
      <c r="S9" s="74">
        <f>IF(A9&lt;=LeagueInfo!$B$7,1,0)</f>
        <v>1</v>
      </c>
      <c r="T9" s="74">
        <f t="shared" si="2"/>
        <v>1</v>
      </c>
      <c r="U9" s="5" t="str">
        <f>IF(OR(INDEX(Auction!$H$13:$H$650,MATCH(B9,Auction!$A$13:$A$650,0))&gt;0,IFERROR(INDEX(CheatSheet!$D$5:$D$34,MATCH(B9,CheatSheet!$A$5:$A$34,0)),"")&lt;&gt;""),"Yes","No")</f>
        <v>No</v>
      </c>
      <c r="V9" s="175"/>
      <c r="Z9" s="114">
        <f ca="1">IF(LeagueInfo!$D$8=0,0,IF(AllowNegative="Yes",J9-INDIRECT("J"&amp;LeagueInfo!$B$7+1),MAX(J9-INDIRECT("J"&amp;LeagueInfo!$B$7+1),0)))</f>
        <v>2.9000000000000057</v>
      </c>
      <c r="AA9" s="115" t="str">
        <f t="shared" si="1"/>
        <v>K1</v>
      </c>
    </row>
    <row r="10" spans="1:28" x14ac:dyDescent="0.35">
      <c r="A10">
        <f t="shared" si="0"/>
        <v>9</v>
      </c>
      <c r="B10" t="str">
        <f>K[[#This Row],[Player]]</f>
        <v>Blake Grupe</v>
      </c>
      <c r="C10" t="s">
        <v>45</v>
      </c>
      <c r="D10">
        <f>_xlfn.IFNA(INDEX(BYEs!E:E,MATCH(B10,BYEs!D:D,0)),"N/A")</f>
        <v>25</v>
      </c>
      <c r="E10">
        <f>INDEX(BYEs!$B$2:$B$34,MATCH(F10,BYEs!$A$2:$A$34,0))</f>
        <v>12</v>
      </c>
      <c r="F10" t="str">
        <f>K[[#This Row],[Team]]</f>
        <v>NO</v>
      </c>
      <c r="G10">
        <f>K[[#This Row],[FG]]</f>
        <v>29.8</v>
      </c>
      <c r="H10">
        <f>K[[#This Row],[FGA]]</f>
        <v>34.9</v>
      </c>
      <c r="I10">
        <f>K[[#This Row],[XPT]]</f>
        <v>40.700000000000003</v>
      </c>
      <c r="J10">
        <f>K[[#This Row],[FPTS]]</f>
        <v>130.19999999999999</v>
      </c>
      <c r="S10" s="74">
        <f>IF(A10&lt;=LeagueInfo!$B$7,1,0)</f>
        <v>1</v>
      </c>
      <c r="T10" s="74">
        <f t="shared" si="2"/>
        <v>1</v>
      </c>
      <c r="U10" s="5" t="str">
        <f>IF(OR(INDEX(Auction!$H$13:$H$650,MATCH(B10,Auction!$A$13:$A$650,0))&gt;0,IFERROR(INDEX(CheatSheet!$D$5:$D$34,MATCH(B10,CheatSheet!$A$5:$A$34,0)),"")&lt;&gt;""),"Yes","No")</f>
        <v>No</v>
      </c>
      <c r="V10" s="175"/>
      <c r="Z10" s="114">
        <f ca="1">IF(LeagueInfo!$D$8=0,0,IF(AllowNegative="Yes",J10-INDIRECT("J"&amp;LeagueInfo!$B$7+1),MAX(J10-INDIRECT("J"&amp;LeagueInfo!$B$7+1),0)))</f>
        <v>1.6999999999999886</v>
      </c>
      <c r="AA10" s="115" t="str">
        <f t="shared" si="1"/>
        <v>K1</v>
      </c>
    </row>
    <row r="11" spans="1:28" x14ac:dyDescent="0.35">
      <c r="A11">
        <f t="shared" si="0"/>
        <v>10</v>
      </c>
      <c r="B11" t="str">
        <f>K[[#This Row],[Player]]</f>
        <v>Greg Zuerlein</v>
      </c>
      <c r="C11" t="s">
        <v>45</v>
      </c>
      <c r="D11">
        <f>_xlfn.IFNA(INDEX(BYEs!E:E,MATCH(B11,BYEs!D:D,0)),"N/A")</f>
        <v>36</v>
      </c>
      <c r="E11">
        <f>INDEX(BYEs!$B$2:$B$34,MATCH(F11,BYEs!$A$2:$A$34,0))</f>
        <v>12</v>
      </c>
      <c r="F11" t="str">
        <f>K[[#This Row],[Team]]</f>
        <v>NYJ</v>
      </c>
      <c r="G11">
        <f>K[[#This Row],[FG]]</f>
        <v>30.4</v>
      </c>
      <c r="H11">
        <f>K[[#This Row],[FGA]]</f>
        <v>34.799999999999997</v>
      </c>
      <c r="I11">
        <f>K[[#This Row],[XPT]]</f>
        <v>38.299999999999997</v>
      </c>
      <c r="J11">
        <f>K[[#This Row],[FPTS]]</f>
        <v>129.6</v>
      </c>
      <c r="S11" s="74">
        <f>IF(A11&lt;=LeagueInfo!$B$7,1,0)</f>
        <v>1</v>
      </c>
      <c r="T11" s="74">
        <f t="shared" si="2"/>
        <v>1</v>
      </c>
      <c r="U11" s="5" t="str">
        <f>IF(OR(INDEX(Auction!$H$13:$H$650,MATCH(B11,Auction!$A$13:$A$650,0))&gt;0,IFERROR(INDEX(CheatSheet!$D$5:$D$34,MATCH(B11,CheatSheet!$A$5:$A$34,0)),"")&lt;&gt;""),"Yes","No")</f>
        <v>No</v>
      </c>
      <c r="V11" s="175"/>
      <c r="Z11" s="114">
        <f ca="1">IF(LeagueInfo!$D$8=0,0,IF(AllowNegative="Yes",J11-INDIRECT("J"&amp;LeagueInfo!$B$7+1),MAX(J11-INDIRECT("J"&amp;LeagueInfo!$B$7+1),0)))</f>
        <v>1.0999999999999943</v>
      </c>
      <c r="AA11" s="115" t="str">
        <f t="shared" si="1"/>
        <v>K1</v>
      </c>
    </row>
    <row r="12" spans="1:28" x14ac:dyDescent="0.35">
      <c r="A12">
        <f t="shared" si="0"/>
        <v>11</v>
      </c>
      <c r="B12" t="str">
        <f>K[[#This Row],[Player]]</f>
        <v>Evan McPherson</v>
      </c>
      <c r="C12" t="s">
        <v>45</v>
      </c>
      <c r="D12">
        <f>_xlfn.IFNA(INDEX(BYEs!E:E,MATCH(B12,BYEs!D:D,0)),"N/A")</f>
        <v>25</v>
      </c>
      <c r="E12">
        <f>INDEX(BYEs!$B$2:$B$34,MATCH(F12,BYEs!$A$2:$A$34,0))</f>
        <v>12</v>
      </c>
      <c r="F12" t="str">
        <f>K[[#This Row],[Team]]</f>
        <v>CIN</v>
      </c>
      <c r="G12">
        <f>K[[#This Row],[FG]]</f>
        <v>27.8</v>
      </c>
      <c r="H12">
        <f>K[[#This Row],[FGA]]</f>
        <v>32.200000000000003</v>
      </c>
      <c r="I12">
        <f>K[[#This Row],[XPT]]</f>
        <v>45.4</v>
      </c>
      <c r="J12">
        <f>K[[#This Row],[FPTS]]</f>
        <v>128.69999999999999</v>
      </c>
      <c r="S12" s="74">
        <f>IF(A12&lt;=LeagueInfo!$B$7,1,0)</f>
        <v>1</v>
      </c>
      <c r="T12" s="74">
        <f t="shared" si="2"/>
        <v>1</v>
      </c>
      <c r="U12" s="5" t="str">
        <f>IF(OR(INDEX(Auction!$H$13:$H$650,MATCH(B12,Auction!$A$13:$A$650,0))&gt;0,IFERROR(INDEX(CheatSheet!$D$5:$D$34,MATCH(B12,CheatSheet!$A$5:$A$34,0)),"")&lt;&gt;""),"Yes","No")</f>
        <v>No</v>
      </c>
      <c r="V12" s="175"/>
      <c r="Z12" s="114">
        <f ca="1">IF(LeagueInfo!$D$8=0,0,IF(AllowNegative="Yes",J12-INDIRECT("J"&amp;LeagueInfo!$B$7+1),MAX(J12-INDIRECT("J"&amp;LeagueInfo!$B$7+1),0)))</f>
        <v>0.19999999999998863</v>
      </c>
      <c r="AA12" s="115" t="str">
        <f t="shared" si="1"/>
        <v>K1</v>
      </c>
    </row>
    <row r="13" spans="1:28" x14ac:dyDescent="0.35">
      <c r="A13">
        <f t="shared" si="0"/>
        <v>12</v>
      </c>
      <c r="B13" t="str">
        <f>K[[#This Row],[Player]]</f>
        <v>Tyler Bass</v>
      </c>
      <c r="C13" t="s">
        <v>45</v>
      </c>
      <c r="D13">
        <f>_xlfn.IFNA(INDEX(BYEs!E:E,MATCH(B13,BYEs!D:D,0)),"N/A")</f>
        <v>27</v>
      </c>
      <c r="E13">
        <f>INDEX(BYEs!$B$2:$B$34,MATCH(F13,BYEs!$A$2:$A$34,0))</f>
        <v>12</v>
      </c>
      <c r="F13" t="str">
        <f>K[[#This Row],[Team]]</f>
        <v>BUF</v>
      </c>
      <c r="G13">
        <f>K[[#This Row],[FG]]</f>
        <v>27.6</v>
      </c>
      <c r="H13">
        <f>K[[#This Row],[FGA]]</f>
        <v>33.799999999999997</v>
      </c>
      <c r="I13">
        <f>K[[#This Row],[XPT]]</f>
        <v>45.8</v>
      </c>
      <c r="J13">
        <f>K[[#This Row],[FPTS]]</f>
        <v>128.5</v>
      </c>
      <c r="S13" s="74">
        <f>IF(A13&lt;=LeagueInfo!$B$7,1,0)</f>
        <v>1</v>
      </c>
      <c r="T13" s="74">
        <f t="shared" si="2"/>
        <v>1</v>
      </c>
      <c r="U13" s="5" t="str">
        <f>IF(OR(INDEX(Auction!$H$13:$H$650,MATCH(B13,Auction!$A$13:$A$650,0))&gt;0,IFERROR(INDEX(CheatSheet!$D$5:$D$34,MATCH(B13,CheatSheet!$A$5:$A$34,0)),"")&lt;&gt;""),"Yes","No")</f>
        <v>No</v>
      </c>
      <c r="V13" s="175"/>
      <c r="Z13" s="114">
        <f ca="1">IF(LeagueInfo!$D$8=0,0,IF(AllowNegative="Yes",J13-INDIRECT("J"&amp;LeagueInfo!$B$7+1),MAX(J13-INDIRECT("J"&amp;LeagueInfo!$B$7+1),0)))</f>
        <v>0</v>
      </c>
      <c r="AA13" s="115" t="str">
        <f t="shared" si="1"/>
        <v>K1</v>
      </c>
    </row>
    <row r="14" spans="1:28" x14ac:dyDescent="0.35">
      <c r="A14">
        <f t="shared" si="0"/>
        <v>13</v>
      </c>
      <c r="B14" t="str">
        <f>K[[#This Row],[Player]]</f>
        <v>Cairo Santos</v>
      </c>
      <c r="C14" t="s">
        <v>45</v>
      </c>
      <c r="D14">
        <f>_xlfn.IFNA(INDEX(BYEs!E:E,MATCH(B14,BYEs!D:D,0)),"N/A")</f>
        <v>32</v>
      </c>
      <c r="E14">
        <f>INDEX(BYEs!$B$2:$B$34,MATCH(F14,BYEs!$A$2:$A$34,0))</f>
        <v>7</v>
      </c>
      <c r="F14" t="str">
        <f>K[[#This Row],[Team]]</f>
        <v>CHI</v>
      </c>
      <c r="G14">
        <f>K[[#This Row],[FG]]</f>
        <v>30</v>
      </c>
      <c r="H14">
        <f>K[[#This Row],[FGA]]</f>
        <v>33.6</v>
      </c>
      <c r="I14">
        <f>K[[#This Row],[XPT]]</f>
        <v>38.200000000000003</v>
      </c>
      <c r="J14">
        <f>K[[#This Row],[FPTS]]</f>
        <v>128.1</v>
      </c>
      <c r="S14" s="74">
        <f>IF(A14&lt;=LeagueInfo!$B$7,1,0)</f>
        <v>0</v>
      </c>
      <c r="T14" s="74">
        <f t="shared" si="2"/>
        <v>0</v>
      </c>
      <c r="U14" s="5" t="str">
        <f>IF(OR(INDEX(Auction!$H$13:$H$650,MATCH(B14,Auction!$A$13:$A$650,0))&gt;0,IFERROR(INDEX(CheatSheet!$D$5:$D$34,MATCH(B14,CheatSheet!$A$5:$A$34,0)),"")&lt;&gt;""),"Yes","No")</f>
        <v>No</v>
      </c>
      <c r="V14" s="175"/>
      <c r="Z14" s="114">
        <f ca="1">IF(LeagueInfo!$D$8=0,0,IF(AllowNegative="Yes",J14-INDIRECT("J"&amp;LeagueInfo!$B$7+1),MAX(J14-INDIRECT("J"&amp;LeagueInfo!$B$7+1),0)))</f>
        <v>-0.40000000000000568</v>
      </c>
      <c r="AA14" s="115" t="str">
        <f t="shared" si="1"/>
        <v>K1</v>
      </c>
    </row>
    <row r="15" spans="1:28" x14ac:dyDescent="0.35">
      <c r="A15">
        <f t="shared" si="0"/>
        <v>14</v>
      </c>
      <c r="B15" t="str">
        <f>K[[#This Row],[Player]]</f>
        <v>Jake Moody</v>
      </c>
      <c r="C15" t="s">
        <v>45</v>
      </c>
      <c r="D15">
        <f>_xlfn.IFNA(INDEX(BYEs!E:E,MATCH(B15,BYEs!D:D,0)),"N/A")</f>
        <v>24</v>
      </c>
      <c r="E15">
        <f>INDEX(BYEs!$B$2:$B$34,MATCH(F15,BYEs!$A$2:$A$34,0))</f>
        <v>9</v>
      </c>
      <c r="F15" t="str">
        <f>K[[#This Row],[Team]]</f>
        <v>SF</v>
      </c>
      <c r="G15">
        <f>K[[#This Row],[FG]]</f>
        <v>26.7</v>
      </c>
      <c r="H15">
        <f>K[[#This Row],[FGA]]</f>
        <v>31.5</v>
      </c>
      <c r="I15">
        <f>K[[#This Row],[XPT]]</f>
        <v>47.8</v>
      </c>
      <c r="J15">
        <f>K[[#This Row],[FPTS]]</f>
        <v>128</v>
      </c>
      <c r="S15" s="74">
        <f>IF(A15&lt;=LeagueInfo!$B$7,1,0)</f>
        <v>0</v>
      </c>
      <c r="T15" s="74">
        <f t="shared" si="2"/>
        <v>0</v>
      </c>
      <c r="U15" s="5" t="str">
        <f>IF(OR(INDEX(Auction!$H$13:$H$650,MATCH(B15,Auction!$A$13:$A$650,0))&gt;0,IFERROR(INDEX(CheatSheet!$D$5:$D$34,MATCH(B15,CheatSheet!$A$5:$A$34,0)),"")&lt;&gt;""),"Yes","No")</f>
        <v>No</v>
      </c>
      <c r="V15" s="175"/>
      <c r="Z15" s="114">
        <f ca="1">IF(LeagueInfo!$D$8=0,0,IF(AllowNegative="Yes",J15-INDIRECT("J"&amp;LeagueInfo!$B$7+1),MAX(J15-INDIRECT("J"&amp;LeagueInfo!$B$7+1),0)))</f>
        <v>-0.5</v>
      </c>
      <c r="AA15" s="115" t="str">
        <f t="shared" si="1"/>
        <v>K1</v>
      </c>
    </row>
    <row r="16" spans="1:28" x14ac:dyDescent="0.35">
      <c r="A16">
        <f t="shared" si="0"/>
        <v>15</v>
      </c>
      <c r="B16" t="str">
        <f>K[[#This Row],[Player]]</f>
        <v>Matt Gay</v>
      </c>
      <c r="C16" t="s">
        <v>45</v>
      </c>
      <c r="D16">
        <f>_xlfn.IFNA(INDEX(BYEs!E:E,MATCH(B16,BYEs!D:D,0)),"N/A")</f>
        <v>30</v>
      </c>
      <c r="E16">
        <f>INDEX(BYEs!$B$2:$B$34,MATCH(F16,BYEs!$A$2:$A$34,0))</f>
        <v>14</v>
      </c>
      <c r="F16" t="str">
        <f>K[[#This Row],[Team]]</f>
        <v>IND</v>
      </c>
      <c r="G16">
        <f>K[[#This Row],[FG]]</f>
        <v>29.5</v>
      </c>
      <c r="H16">
        <f>K[[#This Row],[FGA]]</f>
        <v>34.5</v>
      </c>
      <c r="I16">
        <f>K[[#This Row],[XPT]]</f>
        <v>39.200000000000003</v>
      </c>
      <c r="J16">
        <f>K[[#This Row],[FPTS]]</f>
        <v>127.6</v>
      </c>
      <c r="S16" s="74">
        <f>IF(A16&lt;=LeagueInfo!$B$7,1,0)</f>
        <v>0</v>
      </c>
      <c r="T16" s="74">
        <f t="shared" si="2"/>
        <v>0</v>
      </c>
      <c r="U16" s="5" t="str">
        <f>IF(OR(INDEX(Auction!$H$13:$H$650,MATCH(B16,Auction!$A$13:$A$650,0))&gt;0,IFERROR(INDEX(CheatSheet!$D$5:$D$34,MATCH(B16,CheatSheet!$A$5:$A$34,0)),"")&lt;&gt;""),"Yes","No")</f>
        <v>No</v>
      </c>
      <c r="V16" s="175"/>
      <c r="Z16" s="114">
        <f ca="1">IF(LeagueInfo!$D$8=0,0,IF(AllowNegative="Yes",J16-INDIRECT("J"&amp;LeagueInfo!$B$7+1),MAX(J16-INDIRECT("J"&amp;LeagueInfo!$B$7+1),0)))</f>
        <v>-0.90000000000000568</v>
      </c>
      <c r="AA16" s="115" t="str">
        <f t="shared" si="1"/>
        <v>K1</v>
      </c>
    </row>
    <row r="17" spans="1:27" x14ac:dyDescent="0.35">
      <c r="A17">
        <f t="shared" si="0"/>
        <v>16</v>
      </c>
      <c r="B17" t="str">
        <f>K[[#This Row],[Player]]</f>
        <v>Brayden Narveson</v>
      </c>
      <c r="C17" t="s">
        <v>45</v>
      </c>
      <c r="D17" t="str">
        <f>_xlfn.IFNA(INDEX(BYEs!E:E,MATCH(B17,BYEs!D:D,0)),"N/A")</f>
        <v>N/A</v>
      </c>
      <c r="E17">
        <f>INDEX(BYEs!$B$2:$B$34,MATCH(F17,BYEs!$A$2:$A$34,0))</f>
        <v>10</v>
      </c>
      <c r="F17" t="str">
        <f>K[[#This Row],[Team]]</f>
        <v>GB</v>
      </c>
      <c r="G17">
        <f>K[[#This Row],[FG]]</f>
        <v>28.2</v>
      </c>
      <c r="H17">
        <f>K[[#This Row],[FGA]]</f>
        <v>33.5</v>
      </c>
      <c r="I17">
        <f>K[[#This Row],[XPT]]</f>
        <v>42</v>
      </c>
      <c r="J17">
        <f>K[[#This Row],[FPTS]]</f>
        <v>126.5</v>
      </c>
      <c r="S17" s="74">
        <f>IF(A17&lt;=LeagueInfo!$B$7,1,0)</f>
        <v>0</v>
      </c>
      <c r="T17" s="74">
        <f t="shared" si="2"/>
        <v>0</v>
      </c>
      <c r="U17" s="5" t="str">
        <f>IF(OR(INDEX(Auction!$H$13:$H$650,MATCH(B17,Auction!$A$13:$A$650,0))&gt;0,IFERROR(INDEX(CheatSheet!$D$5:$D$34,MATCH(B17,CheatSheet!$A$5:$A$34,0)),"")&lt;&gt;""),"Yes","No")</f>
        <v>No</v>
      </c>
      <c r="V17" s="175"/>
      <c r="Z17" s="114">
        <f ca="1">IF(LeagueInfo!$D$8=0,0,IF(AllowNegative="Yes",J17-INDIRECT("J"&amp;LeagueInfo!$B$7+1),MAX(J17-INDIRECT("J"&amp;LeagueInfo!$B$7+1),0)))</f>
        <v>-2</v>
      </c>
      <c r="AA17" s="115" t="str">
        <f t="shared" si="1"/>
        <v>K1</v>
      </c>
    </row>
    <row r="18" spans="1:27" x14ac:dyDescent="0.35">
      <c r="A18">
        <f t="shared" si="0"/>
        <v>17</v>
      </c>
      <c r="B18" t="str">
        <f>K[[#This Row],[Player]]</f>
        <v>Jason Sanders</v>
      </c>
      <c r="C18" t="s">
        <v>45</v>
      </c>
      <c r="D18">
        <f>_xlfn.IFNA(INDEX(BYEs!E:E,MATCH(B18,BYEs!D:D,0)),"N/A")</f>
        <v>28</v>
      </c>
      <c r="E18">
        <f>INDEX(BYEs!$B$2:$B$34,MATCH(F18,BYEs!$A$2:$A$34,0))</f>
        <v>6</v>
      </c>
      <c r="F18" t="str">
        <f>K[[#This Row],[Team]]</f>
        <v>MIA</v>
      </c>
      <c r="G18">
        <f>K[[#This Row],[FG]]</f>
        <v>27.2</v>
      </c>
      <c r="H18">
        <f>K[[#This Row],[FGA]]</f>
        <v>32.200000000000003</v>
      </c>
      <c r="I18">
        <f>K[[#This Row],[XPT]]</f>
        <v>44.9</v>
      </c>
      <c r="J18">
        <f>K[[#This Row],[FPTS]]</f>
        <v>126.4</v>
      </c>
      <c r="S18" s="74">
        <f>IF(A18&lt;=LeagueInfo!$B$7,1,0)</f>
        <v>0</v>
      </c>
      <c r="T18" s="74">
        <f t="shared" si="2"/>
        <v>0</v>
      </c>
      <c r="U18" s="5" t="str">
        <f>IF(OR(INDEX(Auction!$H$13:$H$650,MATCH(B18,Auction!$A$13:$A$650,0))&gt;0,IFERROR(INDEX(CheatSheet!$D$5:$D$34,MATCH(B18,CheatSheet!$A$5:$A$34,0)),"")&lt;&gt;""),"Yes","No")</f>
        <v>No</v>
      </c>
      <c r="V18" s="175"/>
      <c r="Z18" s="114">
        <f ca="1">IF(LeagueInfo!$D$8=0,0,IF(AllowNegative="Yes",J18-INDIRECT("J"&amp;LeagueInfo!$B$7+1),MAX(J18-INDIRECT("J"&amp;LeagueInfo!$B$7+1),0)))</f>
        <v>-2.0999999999999943</v>
      </c>
      <c r="AA18" s="115" t="str">
        <f t="shared" si="1"/>
        <v>K1</v>
      </c>
    </row>
    <row r="19" spans="1:27" x14ac:dyDescent="0.35">
      <c r="A19">
        <f t="shared" si="0"/>
        <v>18</v>
      </c>
      <c r="B19" t="str">
        <f>K[[#This Row],[Player]]</f>
        <v>Chase McLaughlin</v>
      </c>
      <c r="C19" t="s">
        <v>45</v>
      </c>
      <c r="D19" t="str">
        <f>_xlfn.IFNA(INDEX(BYEs!E:E,MATCH(B19,BYEs!D:D,0)),"N/A")</f>
        <v>N/A</v>
      </c>
      <c r="E19">
        <f>INDEX(BYEs!$B$2:$B$34,MATCH(F19,BYEs!$A$2:$A$34,0))</f>
        <v>11</v>
      </c>
      <c r="F19" t="str">
        <f>K[[#This Row],[Team]]</f>
        <v>TB</v>
      </c>
      <c r="G19">
        <f>K[[#This Row],[FG]]</f>
        <v>28.2</v>
      </c>
      <c r="H19">
        <f>K[[#This Row],[FGA]]</f>
        <v>32.200000000000003</v>
      </c>
      <c r="I19">
        <f>K[[#This Row],[XPT]]</f>
        <v>38.299999999999997</v>
      </c>
      <c r="J19">
        <f>K[[#This Row],[FPTS]]</f>
        <v>122.8</v>
      </c>
      <c r="S19" s="74">
        <f>IF(A19&lt;=LeagueInfo!$B$7,1,0)</f>
        <v>0</v>
      </c>
      <c r="T19" s="74">
        <f t="shared" si="2"/>
        <v>0</v>
      </c>
      <c r="U19" s="5" t="str">
        <f>IF(OR(INDEX(Auction!$H$13:$H$650,MATCH(B19,Auction!$A$13:$A$650,0))&gt;0,IFERROR(INDEX(CheatSheet!$D$5:$D$34,MATCH(B19,CheatSheet!$A$5:$A$34,0)),"")&lt;&gt;""),"Yes","No")</f>
        <v>No</v>
      </c>
      <c r="V19" s="175"/>
      <c r="Z19" s="114">
        <f ca="1">IF(LeagueInfo!$D$8=0,0,IF(AllowNegative="Yes",J19-INDIRECT("J"&amp;LeagueInfo!$B$7+1),MAX(J19-INDIRECT("J"&amp;LeagueInfo!$B$7+1),0)))</f>
        <v>-5.7000000000000028</v>
      </c>
      <c r="AA19" s="115" t="str">
        <f t="shared" si="1"/>
        <v>K2</v>
      </c>
    </row>
    <row r="20" spans="1:27" x14ac:dyDescent="0.35">
      <c r="A20">
        <f t="shared" si="0"/>
        <v>19</v>
      </c>
      <c r="B20" t="str">
        <f>K[[#This Row],[Player]]</f>
        <v>Matt Prater</v>
      </c>
      <c r="C20" t="s">
        <v>45</v>
      </c>
      <c r="D20">
        <f>_xlfn.IFNA(INDEX(BYEs!E:E,MATCH(B20,BYEs!D:D,0)),"N/A")</f>
        <v>39</v>
      </c>
      <c r="E20">
        <f>INDEX(BYEs!$B$2:$B$34,MATCH(F20,BYEs!$A$2:$A$34,0))</f>
        <v>11</v>
      </c>
      <c r="F20" t="str">
        <f>K[[#This Row],[Team]]</f>
        <v>ARI</v>
      </c>
      <c r="G20">
        <f>K[[#This Row],[FG]]</f>
        <v>28.9</v>
      </c>
      <c r="H20">
        <f>K[[#This Row],[FGA]]</f>
        <v>33.6</v>
      </c>
      <c r="I20">
        <f>K[[#This Row],[XPT]]</f>
        <v>35.299999999999997</v>
      </c>
      <c r="J20">
        <f>K[[#This Row],[FPTS]]</f>
        <v>121.9</v>
      </c>
      <c r="S20" s="74">
        <f>IF(A20&lt;=LeagueInfo!$B$7,1,0)</f>
        <v>0</v>
      </c>
      <c r="T20" s="74">
        <f t="shared" si="2"/>
        <v>0</v>
      </c>
      <c r="U20" s="5" t="str">
        <f>IF(OR(INDEX(Auction!$H$13:$H$650,MATCH(B20,Auction!$A$13:$A$650,0))&gt;0,IFERROR(INDEX(CheatSheet!$D$5:$D$34,MATCH(B20,CheatSheet!$A$5:$A$34,0)),"")&lt;&gt;""),"Yes","No")</f>
        <v>No</v>
      </c>
      <c r="V20" s="175"/>
      <c r="Z20" s="114">
        <f ca="1">IF(LeagueInfo!$D$8=0,0,IF(AllowNegative="Yes",J20-INDIRECT("J"&amp;LeagueInfo!$B$7+1),MAX(J20-INDIRECT("J"&amp;LeagueInfo!$B$7+1),0)))</f>
        <v>-6.5999999999999943</v>
      </c>
      <c r="AA20" s="115" t="str">
        <f t="shared" si="1"/>
        <v>K2</v>
      </c>
    </row>
    <row r="21" spans="1:27" x14ac:dyDescent="0.35">
      <c r="A21">
        <f t="shared" si="0"/>
        <v>20</v>
      </c>
      <c r="B21" t="str">
        <f>K[[#This Row],[Player]]</f>
        <v>Dustin Hopkins</v>
      </c>
      <c r="C21" t="s">
        <v>45</v>
      </c>
      <c r="D21">
        <f>_xlfn.IFNA(INDEX(BYEs!E:E,MATCH(B21,BYEs!D:D,0)),"N/A")</f>
        <v>33</v>
      </c>
      <c r="E21">
        <f>INDEX(BYEs!$B$2:$B$34,MATCH(F21,BYEs!$A$2:$A$34,0))</f>
        <v>10</v>
      </c>
      <c r="F21" t="str">
        <f>K[[#This Row],[Team]]</f>
        <v>CLE</v>
      </c>
      <c r="G21">
        <f>K[[#This Row],[FG]]</f>
        <v>28.3</v>
      </c>
      <c r="H21">
        <f>K[[#This Row],[FGA]]</f>
        <v>32.6</v>
      </c>
      <c r="I21">
        <f>K[[#This Row],[XPT]]</f>
        <v>36.799999999999997</v>
      </c>
      <c r="J21">
        <f>K[[#This Row],[FPTS]]</f>
        <v>121.6</v>
      </c>
      <c r="S21" s="74">
        <f>IF(A21&lt;=LeagueInfo!$B$7,1,0)</f>
        <v>0</v>
      </c>
      <c r="T21" s="74">
        <f t="shared" si="2"/>
        <v>0</v>
      </c>
      <c r="U21" s="5" t="str">
        <f>IF(OR(INDEX(Auction!$H$13:$H$650,MATCH(B21,Auction!$A$13:$A$650,0))&gt;0,IFERROR(INDEX(CheatSheet!$D$5:$D$34,MATCH(B21,CheatSheet!$A$5:$A$34,0)),"")&lt;&gt;""),"Yes","No")</f>
        <v>No</v>
      </c>
      <c r="V21" s="175"/>
      <c r="Z21" s="114">
        <f ca="1">IF(LeagueInfo!$D$8=0,0,IF(AllowNegative="Yes",J21-INDIRECT("J"&amp;LeagueInfo!$B$7+1),MAX(J21-INDIRECT("J"&amp;LeagueInfo!$B$7+1),0)))</f>
        <v>-6.9000000000000057</v>
      </c>
      <c r="AA21" s="115" t="str">
        <f t="shared" si="1"/>
        <v>K2</v>
      </c>
    </row>
    <row r="22" spans="1:27" x14ac:dyDescent="0.35">
      <c r="A22">
        <f t="shared" si="0"/>
        <v>21</v>
      </c>
      <c r="B22" t="str">
        <f>K[[#This Row],[Player]]</f>
        <v>Jake Bates</v>
      </c>
      <c r="C22" t="s">
        <v>45</v>
      </c>
      <c r="D22" t="str">
        <f>_xlfn.IFNA(INDEX(BYEs!E:E,MATCH(B22,BYEs!D:D,0)),"N/A")</f>
        <v>N/A</v>
      </c>
      <c r="E22">
        <f>INDEX(BYEs!$B$2:$B$34,MATCH(F22,BYEs!$A$2:$A$34,0))</f>
        <v>5</v>
      </c>
      <c r="F22" t="str">
        <f>K[[#This Row],[Team]]</f>
        <v>DET</v>
      </c>
      <c r="G22">
        <f>K[[#This Row],[FG]]</f>
        <v>25.6</v>
      </c>
      <c r="H22">
        <f>K[[#This Row],[FGA]]</f>
        <v>30.5</v>
      </c>
      <c r="I22">
        <f>K[[#This Row],[XPT]]</f>
        <v>44.2</v>
      </c>
      <c r="J22">
        <f>K[[#This Row],[FPTS]]</f>
        <v>120.9</v>
      </c>
      <c r="S22" s="74">
        <f>IF(A22&lt;=LeagueInfo!$B$7,1,0)</f>
        <v>0</v>
      </c>
      <c r="T22" s="74">
        <f t="shared" si="2"/>
        <v>0</v>
      </c>
      <c r="U22" s="5" t="str">
        <f>IF(OR(INDEX(Auction!$H$13:$H$650,MATCH(B22,Auction!$A$13:$A$650,0))&gt;0,IFERROR(INDEX(CheatSheet!$D$5:$D$34,MATCH(B22,CheatSheet!$A$5:$A$34,0)),"")&lt;&gt;""),"Yes","No")</f>
        <v>No</v>
      </c>
      <c r="V22" s="175"/>
      <c r="Z22" s="114">
        <f ca="1">IF(LeagueInfo!$D$8=0,0,IF(AllowNegative="Yes",J22-INDIRECT("J"&amp;LeagueInfo!$B$7+1),MAX(J22-INDIRECT("J"&amp;LeagueInfo!$B$7+1),0)))</f>
        <v>-7.5999999999999943</v>
      </c>
      <c r="AA22" s="115" t="str">
        <f t="shared" si="1"/>
        <v>K2</v>
      </c>
    </row>
    <row r="23" spans="1:27" x14ac:dyDescent="0.35">
      <c r="A23">
        <f t="shared" si="0"/>
        <v>21</v>
      </c>
      <c r="B23" t="str">
        <f>K[[#This Row],[Player]]</f>
        <v>Cam Little</v>
      </c>
      <c r="C23" t="s">
        <v>45</v>
      </c>
      <c r="D23" t="str">
        <f>_xlfn.IFNA(INDEX(BYEs!E:E,MATCH(B23,BYEs!D:D,0)),"N/A")</f>
        <v>N/A</v>
      </c>
      <c r="E23">
        <f>INDEX(BYEs!$B$2:$B$34,MATCH(F23,BYEs!$A$2:$A$34,0))</f>
        <v>12</v>
      </c>
      <c r="F23" t="str">
        <f>K[[#This Row],[Team]]</f>
        <v>JAC</v>
      </c>
      <c r="G23">
        <f>K[[#This Row],[FG]]</f>
        <v>28.2</v>
      </c>
      <c r="H23">
        <f>K[[#This Row],[FGA]]</f>
        <v>33.9</v>
      </c>
      <c r="I23">
        <f>K[[#This Row],[XPT]]</f>
        <v>36.299999999999997</v>
      </c>
      <c r="J23">
        <f>K[[#This Row],[FPTS]]</f>
        <v>120.9</v>
      </c>
      <c r="S23" s="74">
        <f>IF(A23&lt;=LeagueInfo!$B$7,1,0)</f>
        <v>0</v>
      </c>
      <c r="T23" s="74">
        <f t="shared" si="2"/>
        <v>0</v>
      </c>
      <c r="U23" s="5" t="str">
        <f>IF(OR(INDEX(Auction!$H$13:$H$650,MATCH(B23,Auction!$A$13:$A$650,0))&gt;0,IFERROR(INDEX(CheatSheet!$D$5:$D$34,MATCH(B23,CheatSheet!$A$5:$A$34,0)),"")&lt;&gt;""),"Yes","No")</f>
        <v>No</v>
      </c>
      <c r="V23" s="175"/>
      <c r="Z23" s="114">
        <f ca="1">IF(LeagueInfo!$D$8=0,0,IF(AllowNegative="Yes",J23-INDIRECT("J"&amp;LeagueInfo!$B$7+1),MAX(J23-INDIRECT("J"&amp;LeagueInfo!$B$7+1),0)))</f>
        <v>-7.5999999999999943</v>
      </c>
      <c r="AA23" s="115" t="str">
        <f t="shared" si="1"/>
        <v>K2</v>
      </c>
    </row>
    <row r="24" spans="1:27" x14ac:dyDescent="0.35">
      <c r="A24">
        <f t="shared" si="0"/>
        <v>23</v>
      </c>
      <c r="B24" t="str">
        <f>K[[#This Row],[Player]]</f>
        <v>Joshua Karty</v>
      </c>
      <c r="C24" t="s">
        <v>45</v>
      </c>
      <c r="D24" t="str">
        <f>_xlfn.IFNA(INDEX(BYEs!E:E,MATCH(B24,BYEs!D:D,0)),"N/A")</f>
        <v>N/A</v>
      </c>
      <c r="E24">
        <f>INDEX(BYEs!$B$2:$B$34,MATCH(F24,BYEs!$A$2:$A$34,0))</f>
        <v>6</v>
      </c>
      <c r="F24" t="str">
        <f>K[[#This Row],[Team]]</f>
        <v>LAR</v>
      </c>
      <c r="G24">
        <f>K[[#This Row],[FG]]</f>
        <v>27.5</v>
      </c>
      <c r="H24">
        <f>K[[#This Row],[FGA]]</f>
        <v>33.5</v>
      </c>
      <c r="I24">
        <f>K[[#This Row],[XPT]]</f>
        <v>38.200000000000003</v>
      </c>
      <c r="J24">
        <f>K[[#This Row],[FPTS]]</f>
        <v>120.6</v>
      </c>
      <c r="S24" s="74">
        <f>IF(A24&lt;=LeagueInfo!$B$7,1,0)</f>
        <v>0</v>
      </c>
      <c r="T24" s="74">
        <f t="shared" si="2"/>
        <v>0</v>
      </c>
      <c r="U24" s="5" t="str">
        <f>IF(OR(INDEX(Auction!$H$13:$H$650,MATCH(B24,Auction!$A$13:$A$650,0))&gt;0,IFERROR(INDEX(CheatSheet!$D$5:$D$34,MATCH(B24,CheatSheet!$A$5:$A$34,0)),"")&lt;&gt;""),"Yes","No")</f>
        <v>No</v>
      </c>
      <c r="V24" s="175"/>
      <c r="Z24" s="114">
        <f ca="1">IF(LeagueInfo!$D$8=0,0,IF(AllowNegative="Yes",J24-INDIRECT("J"&amp;LeagueInfo!$B$7+1),MAX(J24-INDIRECT("J"&amp;LeagueInfo!$B$7+1),0)))</f>
        <v>-7.9000000000000057</v>
      </c>
      <c r="AA24" s="115" t="str">
        <f t="shared" si="1"/>
        <v>K2</v>
      </c>
    </row>
    <row r="25" spans="1:27" x14ac:dyDescent="0.35">
      <c r="A25">
        <f t="shared" si="0"/>
        <v>24</v>
      </c>
      <c r="B25" t="str">
        <f>K[[#This Row],[Player]]</f>
        <v>Chris Boswell</v>
      </c>
      <c r="C25" t="s">
        <v>45</v>
      </c>
      <c r="D25">
        <f>_xlfn.IFNA(INDEX(BYEs!E:E,MATCH(B25,BYEs!D:D,0)),"N/A")</f>
        <v>33</v>
      </c>
      <c r="E25">
        <f>INDEX(BYEs!$B$2:$B$34,MATCH(F25,BYEs!$A$2:$A$34,0))</f>
        <v>9</v>
      </c>
      <c r="F25" t="str">
        <f>K[[#This Row],[Team]]</f>
        <v>PIT</v>
      </c>
      <c r="G25">
        <f>K[[#This Row],[FG]]</f>
        <v>27.5</v>
      </c>
      <c r="H25">
        <f>K[[#This Row],[FGA]]</f>
        <v>31.6</v>
      </c>
      <c r="I25">
        <f>K[[#This Row],[XPT]]</f>
        <v>32.299999999999997</v>
      </c>
      <c r="J25">
        <f>K[[#This Row],[FPTS]]</f>
        <v>114.8</v>
      </c>
      <c r="S25" s="74">
        <f>IF(A25&lt;=LeagueInfo!$B$7,1,0)</f>
        <v>0</v>
      </c>
      <c r="T25" s="74">
        <f t="shared" si="2"/>
        <v>0</v>
      </c>
      <c r="U25" s="5" t="str">
        <f>IF(OR(INDEX(Auction!$H$13:$H$650,MATCH(B25,Auction!$A$13:$A$650,0))&gt;0,IFERROR(INDEX(CheatSheet!$D$5:$D$34,MATCH(B25,CheatSheet!$A$5:$A$34,0)),"")&lt;&gt;""),"Yes","No")</f>
        <v>No</v>
      </c>
      <c r="V25" s="175"/>
      <c r="Z25" s="114">
        <f ca="1">IF(LeagueInfo!$D$8=0,0,IF(AllowNegative="Yes",J25-INDIRECT("J"&amp;LeagueInfo!$B$7+1),MAX(J25-INDIRECT("J"&amp;LeagueInfo!$B$7+1),0)))</f>
        <v>-13.700000000000003</v>
      </c>
      <c r="AA25" s="115" t="str">
        <f t="shared" si="1"/>
        <v>K2</v>
      </c>
    </row>
    <row r="26" spans="1:27" x14ac:dyDescent="0.35">
      <c r="A26">
        <f t="shared" si="0"/>
        <v>25</v>
      </c>
      <c r="B26" t="str">
        <f>K[[#This Row],[Player]]</f>
        <v>Nick Folk</v>
      </c>
      <c r="C26" t="s">
        <v>45</v>
      </c>
      <c r="D26">
        <f>_xlfn.IFNA(INDEX(BYEs!E:E,MATCH(B26,BYEs!D:D,0)),"N/A")</f>
        <v>39</v>
      </c>
      <c r="E26">
        <f>INDEX(BYEs!$B$2:$B$34,MATCH(F26,BYEs!$A$2:$A$34,0))</f>
        <v>5</v>
      </c>
      <c r="F26" t="str">
        <f>K[[#This Row],[Team]]</f>
        <v>TEN</v>
      </c>
      <c r="G26">
        <f>K[[#This Row],[FG]]</f>
        <v>27.4</v>
      </c>
      <c r="H26">
        <f>K[[#This Row],[FGA]]</f>
        <v>30.6</v>
      </c>
      <c r="I26">
        <f>K[[#This Row],[XPT]]</f>
        <v>32.200000000000003</v>
      </c>
      <c r="J26">
        <f>K[[#This Row],[FPTS]]</f>
        <v>114.3</v>
      </c>
      <c r="S26" s="74">
        <f>IF(A26&lt;=LeagueInfo!$B$7,1,0)</f>
        <v>0</v>
      </c>
      <c r="T26" s="74">
        <f t="shared" si="2"/>
        <v>0</v>
      </c>
      <c r="U26" s="5" t="str">
        <f>IF(OR(INDEX(Auction!$H$13:$H$650,MATCH(B26,Auction!$A$13:$A$650,0))&gt;0,IFERROR(INDEX(CheatSheet!$D$5:$D$34,MATCH(B26,CheatSheet!$A$5:$A$34,0)),"")&lt;&gt;""),"Yes","No")</f>
        <v>No</v>
      </c>
      <c r="V26" s="175"/>
      <c r="Z26" s="114">
        <f ca="1">IF(LeagueInfo!$D$8=0,0,IF(AllowNegative="Yes",J26-INDIRECT("J"&amp;LeagueInfo!$B$7+1),MAX(J26-INDIRECT("J"&amp;LeagueInfo!$B$7+1),0)))</f>
        <v>-14.200000000000003</v>
      </c>
      <c r="AA26" s="115" t="str">
        <f t="shared" si="1"/>
        <v>K2</v>
      </c>
    </row>
    <row r="27" spans="1:27" x14ac:dyDescent="0.35">
      <c r="A27">
        <f t="shared" si="0"/>
        <v>26</v>
      </c>
      <c r="B27" t="str">
        <f>K[[#This Row],[Player]]</f>
        <v>Wil Lutz</v>
      </c>
      <c r="C27" t="s">
        <v>45</v>
      </c>
      <c r="D27">
        <f>_xlfn.IFNA(INDEX(BYEs!E:E,MATCH(B27,BYEs!D:D,0)),"N/A")</f>
        <v>30</v>
      </c>
      <c r="E27">
        <f>INDEX(BYEs!$B$2:$B$34,MATCH(F27,BYEs!$A$2:$A$34,0))</f>
        <v>14</v>
      </c>
      <c r="F27" t="str">
        <f>K[[#This Row],[Team]]</f>
        <v>DEN</v>
      </c>
      <c r="G27">
        <f>K[[#This Row],[FG]]</f>
        <v>27.1</v>
      </c>
      <c r="H27">
        <f>K[[#This Row],[FGA]]</f>
        <v>32.299999999999997</v>
      </c>
      <c r="I27">
        <f>K[[#This Row],[XPT]]</f>
        <v>32.5</v>
      </c>
      <c r="J27">
        <f>K[[#This Row],[FPTS]]</f>
        <v>113.7</v>
      </c>
      <c r="S27" s="74">
        <f>IF(A27&lt;=LeagueInfo!$B$7,1,0)</f>
        <v>0</v>
      </c>
      <c r="T27" s="74">
        <f t="shared" si="2"/>
        <v>0</v>
      </c>
      <c r="U27" s="5" t="str">
        <f>IF(OR(INDEX(Auction!$H$13:$H$650,MATCH(B27,Auction!$A$13:$A$650,0))&gt;0,IFERROR(INDEX(CheatSheet!$D$5:$D$34,MATCH(B27,CheatSheet!$A$5:$A$34,0)),"")&lt;&gt;""),"Yes","No")</f>
        <v>No</v>
      </c>
      <c r="V27" s="175"/>
      <c r="Z27" s="114">
        <f ca="1">IF(LeagueInfo!$D$8=0,0,IF(AllowNegative="Yes",J27-INDIRECT("J"&amp;LeagueInfo!$B$7+1),MAX(J27-INDIRECT("J"&amp;LeagueInfo!$B$7+1),0)))</f>
        <v>-14.799999999999997</v>
      </c>
      <c r="AA27" s="115" t="str">
        <f t="shared" si="1"/>
        <v>K2</v>
      </c>
    </row>
    <row r="28" spans="1:27" x14ac:dyDescent="0.35">
      <c r="A28">
        <f t="shared" si="0"/>
        <v>27</v>
      </c>
      <c r="B28" t="str">
        <f>K[[#This Row],[Player]]</f>
        <v>Daniel Carlson</v>
      </c>
      <c r="C28" t="s">
        <v>45</v>
      </c>
      <c r="D28">
        <f>_xlfn.IFNA(INDEX(BYEs!E:E,MATCH(B28,BYEs!D:D,0)),"N/A")</f>
        <v>29</v>
      </c>
      <c r="E28">
        <f>INDEX(BYEs!$B$2:$B$34,MATCH(F28,BYEs!$A$2:$A$34,0))</f>
        <v>10</v>
      </c>
      <c r="F28" t="str">
        <f>K[[#This Row],[Team]]</f>
        <v>LV</v>
      </c>
      <c r="G28">
        <f>K[[#This Row],[FG]]</f>
        <v>26.9</v>
      </c>
      <c r="H28">
        <f>K[[#This Row],[FGA]]</f>
        <v>30.6</v>
      </c>
      <c r="I28">
        <f>K[[#This Row],[XPT]]</f>
        <v>31.8</v>
      </c>
      <c r="J28">
        <f>K[[#This Row],[FPTS]]</f>
        <v>112.6</v>
      </c>
      <c r="S28" s="74">
        <f>IF(A28&lt;=LeagueInfo!$B$7,1,0)</f>
        <v>0</v>
      </c>
      <c r="T28" s="74">
        <f t="shared" si="2"/>
        <v>0</v>
      </c>
      <c r="U28" s="5" t="str">
        <f>IF(OR(INDEX(Auction!$H$13:$H$650,MATCH(B28,Auction!$A$13:$A$650,0))&gt;0,IFERROR(INDEX(CheatSheet!$D$5:$D$34,MATCH(B28,CheatSheet!$A$5:$A$34,0)),"")&lt;&gt;""),"Yes","No")</f>
        <v>No</v>
      </c>
      <c r="V28" s="175"/>
      <c r="Z28" s="114">
        <f ca="1">IF(LeagueInfo!$D$8=0,0,IF(AllowNegative="Yes",J28-INDIRECT("J"&amp;LeagueInfo!$B$7+1),MAX(J28-INDIRECT("J"&amp;LeagueInfo!$B$7+1),0)))</f>
        <v>-15.900000000000006</v>
      </c>
      <c r="AA28" s="115" t="str">
        <f t="shared" si="1"/>
        <v>K2</v>
      </c>
    </row>
    <row r="29" spans="1:27" x14ac:dyDescent="0.35">
      <c r="A29">
        <f t="shared" si="0"/>
        <v>28</v>
      </c>
      <c r="B29" t="str">
        <f>K[[#This Row],[Player]]</f>
        <v>Will Reichard</v>
      </c>
      <c r="C29" t="s">
        <v>45</v>
      </c>
      <c r="D29" t="str">
        <f>_xlfn.IFNA(INDEX(BYEs!E:E,MATCH(B29,BYEs!D:D,0)),"N/A")</f>
        <v>N/A</v>
      </c>
      <c r="E29">
        <f>INDEX(BYEs!$B$2:$B$34,MATCH(F29,BYEs!$A$2:$A$34,0))</f>
        <v>6</v>
      </c>
      <c r="F29" t="str">
        <f>K[[#This Row],[Team]]</f>
        <v>MIN</v>
      </c>
      <c r="G29">
        <f>K[[#This Row],[FG]]</f>
        <v>25.6</v>
      </c>
      <c r="H29">
        <f>K[[#This Row],[FGA]]</f>
        <v>30.6</v>
      </c>
      <c r="I29">
        <f>K[[#This Row],[XPT]]</f>
        <v>31.6</v>
      </c>
      <c r="J29">
        <f>K[[#This Row],[FPTS]]</f>
        <v>108.3</v>
      </c>
      <c r="S29" s="74">
        <f>IF(A29&lt;=LeagueInfo!$B$7,1,0)</f>
        <v>0</v>
      </c>
      <c r="T29" s="74">
        <f t="shared" si="2"/>
        <v>0</v>
      </c>
      <c r="U29" s="5" t="str">
        <f>IF(OR(INDEX(Auction!$H$13:$H$650,MATCH(B29,Auction!$A$13:$A$650,0))&gt;0,IFERROR(INDEX(CheatSheet!$D$5:$D$34,MATCH(B29,CheatSheet!$A$5:$A$34,0)),"")&lt;&gt;""),"Yes","No")</f>
        <v>No</v>
      </c>
      <c r="V29" s="175"/>
      <c r="Z29" s="114">
        <f ca="1">IF(LeagueInfo!$D$8=0,0,IF(AllowNegative="Yes",J29-INDIRECT("J"&amp;LeagueInfo!$B$7+1),MAX(J29-INDIRECT("J"&amp;LeagueInfo!$B$7+1),0)))</f>
        <v>-20.200000000000003</v>
      </c>
      <c r="AA29" s="115" t="str">
        <f t="shared" si="1"/>
        <v>K2</v>
      </c>
    </row>
    <row r="30" spans="1:27" x14ac:dyDescent="0.35">
      <c r="A30">
        <f t="shared" si="0"/>
        <v>29</v>
      </c>
      <c r="B30" t="str">
        <f>K[[#This Row],[Player]]</f>
        <v>Eddy Pineiro</v>
      </c>
      <c r="C30" t="s">
        <v>45</v>
      </c>
      <c r="D30" t="str">
        <f>_xlfn.IFNA(INDEX(BYEs!E:E,MATCH(B30,BYEs!D:D,0)),"N/A")</f>
        <v>N/A</v>
      </c>
      <c r="E30">
        <f>INDEX(BYEs!$B$2:$B$34,MATCH(F30,BYEs!$A$2:$A$34,0))</f>
        <v>11</v>
      </c>
      <c r="F30" t="str">
        <f>K[[#This Row],[Team]]</f>
        <v>CAR</v>
      </c>
      <c r="G30">
        <f>K[[#This Row],[FG]]</f>
        <v>25.9</v>
      </c>
      <c r="H30">
        <f>K[[#This Row],[FGA]]</f>
        <v>30.6</v>
      </c>
      <c r="I30">
        <f>K[[#This Row],[XPT]]</f>
        <v>29.7</v>
      </c>
      <c r="J30">
        <f>K[[#This Row],[FPTS]]</f>
        <v>107.5</v>
      </c>
      <c r="S30" s="74">
        <f>IF(A30&lt;=LeagueInfo!$B$7,1,0)</f>
        <v>0</v>
      </c>
      <c r="T30" s="74">
        <f t="shared" si="2"/>
        <v>0</v>
      </c>
      <c r="U30" s="5" t="str">
        <f>IF(OR(INDEX(Auction!$H$13:$H$650,MATCH(B30,Auction!$A$13:$A$650,0))&gt;0,IFERROR(INDEX(CheatSheet!$D$5:$D$34,MATCH(B30,CheatSheet!$A$5:$A$34,0)),"")&lt;&gt;""),"Yes","No")</f>
        <v>No</v>
      </c>
      <c r="V30" s="175"/>
      <c r="Z30" s="114">
        <f ca="1">IF(LeagueInfo!$D$8=0,0,IF(AllowNegative="Yes",J30-INDIRECT("J"&amp;LeagueInfo!$B$7+1),MAX(J30-INDIRECT("J"&amp;LeagueInfo!$B$7+1),0)))</f>
        <v>-21</v>
      </c>
      <c r="AA30" s="115" t="str">
        <f t="shared" si="1"/>
        <v>K2</v>
      </c>
    </row>
    <row r="31" spans="1:27" x14ac:dyDescent="0.35">
      <c r="A31">
        <f t="shared" si="0"/>
        <v>30</v>
      </c>
      <c r="B31" t="str">
        <f>K[[#This Row],[Player]]</f>
        <v>Cade York</v>
      </c>
      <c r="C31" t="s">
        <v>45</v>
      </c>
      <c r="D31" t="str">
        <f>_xlfn.IFNA(INDEX(BYEs!E:E,MATCH(B31,BYEs!D:D,0)),"N/A")</f>
        <v>N/A</v>
      </c>
      <c r="E31">
        <f>INDEX(BYEs!$B$2:$B$34,MATCH(F31,BYEs!$A$2:$A$34,0))</f>
        <v>14</v>
      </c>
      <c r="F31" t="str">
        <f>K[[#This Row],[Team]]</f>
        <v>WAS</v>
      </c>
      <c r="G31">
        <f>K[[#This Row],[FG]]</f>
        <v>24.5</v>
      </c>
      <c r="H31">
        <f>K[[#This Row],[FGA]]</f>
        <v>30.3</v>
      </c>
      <c r="I31">
        <f>K[[#This Row],[XPT]]</f>
        <v>33.299999999999997</v>
      </c>
      <c r="J31">
        <f>K[[#This Row],[FPTS]]</f>
        <v>106.8</v>
      </c>
      <c r="S31" s="74">
        <f>IF(A31&lt;=LeagueInfo!$B$7,1,0)</f>
        <v>0</v>
      </c>
      <c r="T31" s="74">
        <f t="shared" si="2"/>
        <v>0</v>
      </c>
      <c r="U31" s="5" t="str">
        <f>IF(OR(INDEX(Auction!$H$13:$H$650,MATCH(B31,Auction!$A$13:$A$650,0))&gt;0,IFERROR(INDEX(CheatSheet!$D$5:$D$34,MATCH(B31,CheatSheet!$A$5:$A$34,0)),"")&lt;&gt;""),"Yes","No")</f>
        <v>No</v>
      </c>
      <c r="V31" s="175"/>
      <c r="Z31" s="114">
        <f ca="1">IF(LeagueInfo!$D$8=0,0,IF(AllowNegative="Yes",J31-INDIRECT("J"&amp;LeagueInfo!$B$7+1),MAX(J31-INDIRECT("J"&amp;LeagueInfo!$B$7+1),0)))</f>
        <v>-21.700000000000003</v>
      </c>
      <c r="AA31" s="115" t="str">
        <f t="shared" si="1"/>
        <v>K2</v>
      </c>
    </row>
    <row r="32" spans="1:27" x14ac:dyDescent="0.35">
      <c r="A32">
        <f t="shared" si="0"/>
        <v>31</v>
      </c>
      <c r="B32" t="str">
        <f>K[[#This Row],[Player]]</f>
        <v>Graham Gano</v>
      </c>
      <c r="C32" t="s">
        <v>45</v>
      </c>
      <c r="D32">
        <f>_xlfn.IFNA(INDEX(BYEs!E:E,MATCH(B32,BYEs!D:D,0)),"N/A")</f>
        <v>37</v>
      </c>
      <c r="E32">
        <f>INDEX(BYEs!$B$2:$B$34,MATCH(F32,BYEs!$A$2:$A$34,0))</f>
        <v>11</v>
      </c>
      <c r="F32" t="str">
        <f>K[[#This Row],[Team]]</f>
        <v>NYG</v>
      </c>
      <c r="G32">
        <f>K[[#This Row],[FG]]</f>
        <v>25</v>
      </c>
      <c r="H32">
        <f>K[[#This Row],[FGA]]</f>
        <v>30</v>
      </c>
      <c r="I32">
        <f>K[[#This Row],[XPT]]</f>
        <v>29.6</v>
      </c>
      <c r="J32">
        <f>K[[#This Row],[FPTS]]</f>
        <v>104.5</v>
      </c>
      <c r="S32" s="74">
        <f>IF(A32&lt;=LeagueInfo!$B$7,1,0)</f>
        <v>0</v>
      </c>
      <c r="T32" s="74">
        <f t="shared" si="2"/>
        <v>0</v>
      </c>
      <c r="U32" s="5" t="str">
        <f>IF(OR(INDEX(Auction!$H$13:$H$650,MATCH(B32,Auction!$A$13:$A$650,0))&gt;0,IFERROR(INDEX(CheatSheet!$D$5:$D$34,MATCH(B32,CheatSheet!$A$5:$A$34,0)),"")&lt;&gt;""),"Yes","No")</f>
        <v>No</v>
      </c>
      <c r="V32" s="175"/>
      <c r="Z32" s="114">
        <f ca="1">IF(LeagueInfo!$D$8=0,0,IF(AllowNegative="Yes",J32-INDIRECT("J"&amp;LeagueInfo!$B$7+1),MAX(J32-INDIRECT("J"&amp;LeagueInfo!$B$7+1),0)))</f>
        <v>-24</v>
      </c>
      <c r="AA32" s="115" t="str">
        <f t="shared" si="1"/>
        <v>K2</v>
      </c>
    </row>
    <row r="33" spans="1:27" x14ac:dyDescent="0.35">
      <c r="A33">
        <f t="shared" si="0"/>
        <v>32</v>
      </c>
      <c r="B33" t="str">
        <f>K[[#This Row],[Player]]</f>
        <v>Joey Slye</v>
      </c>
      <c r="C33" t="s">
        <v>45</v>
      </c>
      <c r="D33" t="str">
        <f>_xlfn.IFNA(INDEX(BYEs!E:E,MATCH(B33,BYEs!D:D,0)),"N/A")</f>
        <v>N/A</v>
      </c>
      <c r="E33">
        <f>INDEX(BYEs!$B$2:$B$34,MATCH(F33,BYEs!$A$2:$A$34,0))</f>
        <v>14</v>
      </c>
      <c r="F33" t="str">
        <f>K[[#This Row],[Team]]</f>
        <v>NE</v>
      </c>
      <c r="G33">
        <f>K[[#This Row],[FG]]</f>
        <v>23.3</v>
      </c>
      <c r="H33">
        <f>K[[#This Row],[FGA]]</f>
        <v>28.3</v>
      </c>
      <c r="I33">
        <f>K[[#This Row],[XPT]]</f>
        <v>26.9</v>
      </c>
      <c r="J33">
        <f>K[[#This Row],[FPTS]]</f>
        <v>96.7</v>
      </c>
      <c r="S33" s="74">
        <f>IF(A33&lt;=LeagueInfo!$B$7,1,0)</f>
        <v>0</v>
      </c>
      <c r="T33" s="74">
        <f t="shared" si="2"/>
        <v>0</v>
      </c>
      <c r="U33" s="5" t="str">
        <f>IF(OR(INDEX(Auction!$H$13:$H$650,MATCH(B33,Auction!$A$13:$A$650,0))&gt;0,IFERROR(INDEX(CheatSheet!$D$5:$D$34,MATCH(B33,CheatSheet!$A$5:$A$34,0)),"")&lt;&gt;""),"Yes","No")</f>
        <v>No</v>
      </c>
      <c r="V33" s="175"/>
      <c r="Z33" s="114">
        <f ca="1">IF(LeagueInfo!$D$8=0,0,IF(AllowNegative="Yes",J33-INDIRECT("J"&amp;LeagueInfo!$B$7+1),MAX(J33-INDIRECT("J"&amp;LeagueInfo!$B$7+1),0)))</f>
        <v>-31.799999999999997</v>
      </c>
      <c r="AA33" s="115" t="str">
        <f t="shared" si="1"/>
        <v>K2</v>
      </c>
    </row>
  </sheetData>
  <sortState xmlns:xlrd2="http://schemas.microsoft.com/office/spreadsheetml/2017/richdata2" ref="A2:P36">
    <sortCondition descending="1" ref="J2"/>
  </sortState>
  <conditionalFormatting sqref="B34 A2:C33 E2:AA33">
    <cfRule type="expression" dxfId="65" priority="7">
      <formula>$U2="Yes"</formula>
    </cfRule>
  </conditionalFormatting>
  <conditionalFormatting sqref="D1">
    <cfRule type="expression" dxfId="64" priority="5">
      <formula>#REF!="Yes"</formula>
    </cfRule>
  </conditionalFormatting>
  <conditionalFormatting sqref="D2:D33">
    <cfRule type="colorScale" priority="353">
      <colorScale>
        <cfvo type="min"/>
        <cfvo type="percentile" val="50"/>
        <cfvo type="max"/>
        <color rgb="FF63BE7B"/>
        <color rgb="FFFFEB84"/>
        <color rgb="FFF8696B"/>
      </colorScale>
    </cfRule>
    <cfRule type="expression" dxfId="63" priority="354">
      <formula>$V2="Yes"</formula>
    </cfRule>
  </conditionalFormatting>
  <pageMargins left="0.7" right="0.7" top="0.75" bottom="0.75" header="0.3" footer="0.3"/>
  <pageSetup orientation="portrait" horizontalDpi="4294967294" verticalDpi="4294967294"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0000000}">
          <x14:formula1>
            <xm:f>LeagueInfo!$H$97:$H$99</xm:f>
          </x14:formula1>
          <xm:sqref>V2:V33</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AC46"/>
  <sheetViews>
    <sheetView zoomScale="85" zoomScaleNormal="85" workbookViewId="0">
      <selection activeCell="AH29" sqref="AH29"/>
    </sheetView>
  </sheetViews>
  <sheetFormatPr defaultColWidth="8.90625" defaultRowHeight="14.5" x14ac:dyDescent="0.35"/>
  <cols>
    <col min="1" max="1" width="4.90625" bestFit="1" customWidth="1"/>
    <col min="2" max="2" width="24.08984375" bestFit="1" customWidth="1"/>
    <col min="3" max="3" width="4.36328125" bestFit="1" customWidth="1"/>
    <col min="4" max="4" width="4.54296875" hidden="1" customWidth="1"/>
    <col min="5" max="5" width="3.90625" bestFit="1" customWidth="1"/>
    <col min="6" max="6" width="5.453125" bestFit="1" customWidth="1"/>
    <col min="7" max="9" width="8.90625" hidden="1" customWidth="1"/>
    <col min="10" max="10" width="8.90625" customWidth="1"/>
    <col min="11" max="19" width="8.90625" hidden="1" customWidth="1"/>
    <col min="20" max="21" width="3.6328125" bestFit="1" customWidth="1"/>
    <col min="22" max="22" width="7.6328125" bestFit="1" customWidth="1"/>
    <col min="23" max="23" width="7.08984375" bestFit="1" customWidth="1"/>
    <col min="24" max="25" width="9.08984375" hidden="1" customWidth="1"/>
    <col min="26" max="26" width="7.08984375" hidden="1" customWidth="1"/>
    <col min="27" max="27" width="7" bestFit="1" customWidth="1"/>
    <col min="29" max="29" width="1.453125" bestFit="1" customWidth="1"/>
  </cols>
  <sheetData>
    <row r="1" spans="1:27" x14ac:dyDescent="0.35">
      <c r="A1" s="99" t="s">
        <v>167</v>
      </c>
      <c r="B1" s="99" t="s">
        <v>272</v>
      </c>
      <c r="C1" s="99" t="s">
        <v>17</v>
      </c>
      <c r="D1" s="99" t="s">
        <v>465</v>
      </c>
      <c r="E1" s="99" t="s">
        <v>262</v>
      </c>
      <c r="F1" s="99" t="s">
        <v>272</v>
      </c>
      <c r="G1" s="99"/>
      <c r="H1" s="99"/>
      <c r="I1" s="99"/>
      <c r="J1" s="99" t="s">
        <v>1029</v>
      </c>
      <c r="K1" s="99"/>
      <c r="L1" s="99"/>
      <c r="M1" s="99"/>
      <c r="N1" s="99"/>
      <c r="O1" s="99"/>
      <c r="P1" s="99"/>
      <c r="Q1" s="99"/>
      <c r="R1" s="99"/>
      <c r="S1" s="99"/>
      <c r="T1" s="99" t="s">
        <v>181</v>
      </c>
      <c r="U1" s="99" t="s">
        <v>181</v>
      </c>
      <c r="V1" s="99" t="s">
        <v>183</v>
      </c>
      <c r="W1" s="99" t="s">
        <v>184</v>
      </c>
      <c r="Z1" s="99" t="s">
        <v>186</v>
      </c>
      <c r="AA1" s="99" t="s">
        <v>187</v>
      </c>
    </row>
    <row r="2" spans="1:27" x14ac:dyDescent="0.35">
      <c r="A2">
        <v>1</v>
      </c>
      <c r="B2" t="str">
        <f>DEF[[#This Row],[Player]]</f>
        <v>Dallas Cowboys</v>
      </c>
      <c r="C2" t="s">
        <v>51</v>
      </c>
      <c r="D2" t="str">
        <f>_xlfn.IFNA(INDEX(BYEs!$E$2:$E$411,MATCH(B2,BYEs!$D$2:$D$411,0)),"N/A")</f>
        <v>-</v>
      </c>
      <c r="E2">
        <f>VLOOKUP(F2,BYEs!$A$2:$B$33,2)</f>
        <v>7</v>
      </c>
      <c r="F2" t="str">
        <f>INDEX(BYEs!$A$2:$A$34,MATCH(B2,BYEs!$C$2:$C$34,0))</f>
        <v>DAL</v>
      </c>
      <c r="J2" s="174">
        <f>DEF[[#This Row],[FPTS]]</f>
        <v>118.8</v>
      </c>
      <c r="T2" s="74">
        <f>IF(A2&lt;=LeagueInfo!$B$8,1,0)</f>
        <v>1</v>
      </c>
      <c r="U2" s="74">
        <f>T2</f>
        <v>1</v>
      </c>
      <c r="V2" s="5" t="str">
        <f>IF(OR(INDEX(Auction!$H$13:$H$650,MATCH(B2,Auction!$A$13:$A$650,0))&gt;0,IFERROR(INDEX(CheatSheet!$D$5:$D$34,MATCH(B2,CheatSheet!$A$5:$A$34,0)),"")&lt;&gt;""),"Yes","No")</f>
        <v>No</v>
      </c>
      <c r="W2" s="175"/>
      <c r="Z2">
        <v>0</v>
      </c>
      <c r="AA2" s="115" t="str">
        <f>CONCATENATE("DEF",ROUND((LARGE($J$2:$J$33,1)-$J2)/STDEVPA($J$2:$J$33)/2+1,0))</f>
        <v>DEF1</v>
      </c>
    </row>
    <row r="3" spans="1:27" x14ac:dyDescent="0.35">
      <c r="A3">
        <v>2</v>
      </c>
      <c r="B3" t="str">
        <f>DEF[[#This Row],[Player]]</f>
        <v>Baltimore Ravens</v>
      </c>
      <c r="C3" t="s">
        <v>51</v>
      </c>
      <c r="D3" t="str">
        <f>_xlfn.IFNA(INDEX(BYEs!$E$2:$E$411,MATCH(B3,BYEs!$D$2:$D$411,0)),"N/A")</f>
        <v>-</v>
      </c>
      <c r="E3">
        <f>VLOOKUP(F3,BYEs!$A$2:$B$33,2)</f>
        <v>14</v>
      </c>
      <c r="F3" t="str">
        <f>INDEX(BYEs!$A$2:$A$34,MATCH(B3,BYEs!$C$2:$C$34,0))</f>
        <v>BAL</v>
      </c>
      <c r="J3" s="174">
        <f>DEF[[#This Row],[FPTS]]</f>
        <v>117.1</v>
      </c>
      <c r="T3" s="74">
        <f>IF(A3&lt;=LeagueInfo!$B$8,1,0)</f>
        <v>1</v>
      </c>
      <c r="U3" s="74">
        <f t="shared" ref="U3:U33" si="0">T3</f>
        <v>1</v>
      </c>
      <c r="V3" s="5" t="str">
        <f>IF(OR(INDEX(Auction!$H$13:$H$650,MATCH(B3,Auction!$A$13:$A$650,0))&gt;0,IFERROR(INDEX(CheatSheet!$D$5:$D$34,MATCH(B3,CheatSheet!$A$5:$A$34,0)),"")&lt;&gt;""),"Yes","No")</f>
        <v>No</v>
      </c>
      <c r="W3" s="175"/>
      <c r="Z3">
        <v>0</v>
      </c>
      <c r="AA3" s="115" t="str">
        <f t="shared" ref="AA3:AA33" si="1">CONCATENATE("DEF",ROUND((LARGE($J$2:$J$33,1)-$J3)/STDEVPA($J$3:$J$33)/2+1,0))</f>
        <v>DEF1</v>
      </c>
    </row>
    <row r="4" spans="1:27" x14ac:dyDescent="0.35">
      <c r="A4">
        <v>3</v>
      </c>
      <c r="B4" t="str">
        <f>DEF[[#This Row],[Player]]</f>
        <v>New York Jets</v>
      </c>
      <c r="C4" t="s">
        <v>51</v>
      </c>
      <c r="D4" t="str">
        <f>_xlfn.IFNA(INDEX(BYEs!$E$2:$E$411,MATCH(B4,BYEs!$D$2:$D$411,0)),"N/A")</f>
        <v>-</v>
      </c>
      <c r="E4">
        <f>VLOOKUP(F4,BYEs!$A$2:$B$33,2)</f>
        <v>12</v>
      </c>
      <c r="F4" t="str">
        <f>INDEX(BYEs!$A$2:$A$34,MATCH(B4,BYEs!$C$2:$C$34,0))</f>
        <v>NYJ</v>
      </c>
      <c r="J4" s="174">
        <f>DEF[[#This Row],[FPTS]]</f>
        <v>115.3</v>
      </c>
      <c r="T4" s="74">
        <f>IF(A4&lt;=LeagueInfo!$B$8,1,0)</f>
        <v>1</v>
      </c>
      <c r="U4" s="74">
        <f t="shared" si="0"/>
        <v>1</v>
      </c>
      <c r="V4" s="5" t="str">
        <f>IF(OR(INDEX(Auction!$H$13:$H$650,MATCH(B4,Auction!$A$13:$A$650,0))&gt;0,IFERROR(INDEX(CheatSheet!$D$5:$D$34,MATCH(B4,CheatSheet!$A$5:$A$34,0)),"")&lt;&gt;""),"Yes","No")</f>
        <v>No</v>
      </c>
      <c r="W4" s="175"/>
      <c r="Z4">
        <v>0</v>
      </c>
      <c r="AA4" s="115" t="str">
        <f t="shared" si="1"/>
        <v>DEF1</v>
      </c>
    </row>
    <row r="5" spans="1:27" x14ac:dyDescent="0.35">
      <c r="A5">
        <v>4</v>
      </c>
      <c r="B5" t="str">
        <f>DEF[[#This Row],[Player]]</f>
        <v>Philadelphia Eagles</v>
      </c>
      <c r="C5" t="s">
        <v>51</v>
      </c>
      <c r="D5" t="str">
        <f>_xlfn.IFNA(INDEX(BYEs!$E$2:$E$411,MATCH(B5,BYEs!$D$2:$D$411,0)),"N/A")</f>
        <v>-</v>
      </c>
      <c r="E5">
        <f>VLOOKUP(F5,BYEs!$A$2:$B$33,2)</f>
        <v>5</v>
      </c>
      <c r="F5" t="str">
        <f>INDEX(BYEs!$A$2:$A$34,MATCH(B5,BYEs!$C$2:$C$34,0))</f>
        <v>PHI</v>
      </c>
      <c r="J5" s="174">
        <f>DEF[[#This Row],[FPTS]]</f>
        <v>112.3</v>
      </c>
      <c r="T5" s="74">
        <f>IF(A5&lt;=LeagueInfo!$B$8,1,0)</f>
        <v>1</v>
      </c>
      <c r="U5" s="74">
        <f t="shared" si="0"/>
        <v>1</v>
      </c>
      <c r="V5" s="5" t="str">
        <f>IF(OR(INDEX(Auction!$H$13:$H$650,MATCH(B5,Auction!$A$13:$A$650,0))&gt;0,IFERROR(INDEX(CheatSheet!$D$5:$D$34,MATCH(B5,CheatSheet!$A$5:$A$34,0)),"")&lt;&gt;""),"Yes","No")</f>
        <v>No</v>
      </c>
      <c r="W5" s="175"/>
      <c r="Z5">
        <v>0</v>
      </c>
      <c r="AA5" s="115" t="str">
        <f t="shared" si="1"/>
        <v>DEF2</v>
      </c>
    </row>
    <row r="6" spans="1:27" x14ac:dyDescent="0.35">
      <c r="A6">
        <v>5</v>
      </c>
      <c r="B6" t="str">
        <f>DEF[[#This Row],[Player]]</f>
        <v>Houston Texans</v>
      </c>
      <c r="C6" t="s">
        <v>51</v>
      </c>
      <c r="D6" t="str">
        <f>_xlfn.IFNA(INDEX(BYEs!$E$2:$E$411,MATCH(B6,BYEs!$D$2:$D$411,0)),"N/A")</f>
        <v>-</v>
      </c>
      <c r="E6">
        <f>VLOOKUP(F6,BYEs!$A$2:$B$33,2)</f>
        <v>14</v>
      </c>
      <c r="F6" t="str">
        <f>INDEX(BYEs!$A$2:$A$34,MATCH(B6,BYEs!$C$2:$C$34,0))</f>
        <v>HOU</v>
      </c>
      <c r="J6" s="174">
        <f>DEF[[#This Row],[FPTS]]</f>
        <v>112.2</v>
      </c>
      <c r="T6" s="74">
        <f>IF(A6&lt;=LeagueInfo!$B$8,1,0)</f>
        <v>1</v>
      </c>
      <c r="U6" s="74">
        <f t="shared" si="0"/>
        <v>1</v>
      </c>
      <c r="V6" s="5" t="str">
        <f>IF(OR(INDEX(Auction!$H$13:$H$650,MATCH(B6,Auction!$A$13:$A$650,0))&gt;0,IFERROR(INDEX(CheatSheet!$D$5:$D$34,MATCH(B6,CheatSheet!$A$5:$A$34,0)),"")&lt;&gt;""),"Yes","No")</f>
        <v>No</v>
      </c>
      <c r="W6" s="175"/>
      <c r="Z6">
        <v>0</v>
      </c>
      <c r="AA6" s="115" t="str">
        <f t="shared" si="1"/>
        <v>DEF2</v>
      </c>
    </row>
    <row r="7" spans="1:27" x14ac:dyDescent="0.35">
      <c r="A7">
        <v>6</v>
      </c>
      <c r="B7" t="str">
        <f>DEF[[#This Row],[Player]]</f>
        <v>Kansas City Chiefs</v>
      </c>
      <c r="C7" t="s">
        <v>51</v>
      </c>
      <c r="D7" t="str">
        <f>_xlfn.IFNA(INDEX(BYEs!$E$2:$E$411,MATCH(B7,BYEs!$D$2:$D$411,0)),"N/A")</f>
        <v>-</v>
      </c>
      <c r="E7">
        <f>VLOOKUP(F7,BYEs!$A$2:$B$33,2)</f>
        <v>6</v>
      </c>
      <c r="F7" t="str">
        <f>INDEX(BYEs!$A$2:$A$34,MATCH(B7,BYEs!$C$2:$C$34,0))</f>
        <v>KC</v>
      </c>
      <c r="J7" s="174">
        <f>DEF[[#This Row],[FPTS]]</f>
        <v>111.5</v>
      </c>
      <c r="T7" s="74">
        <f>IF(A7&lt;=LeagueInfo!$B$8,1,0)</f>
        <v>1</v>
      </c>
      <c r="U7" s="74">
        <f>T7</f>
        <v>1</v>
      </c>
      <c r="V7" s="5" t="str">
        <f>IF(OR(INDEX(Auction!$H$13:$H$650,MATCH(B7,Auction!$A$13:$A$650,0))&gt;0,IFERROR(INDEX(CheatSheet!$D$5:$D$34,MATCH(B7,CheatSheet!$A$5:$A$34,0)),"")&lt;&gt;""),"Yes","No")</f>
        <v>No</v>
      </c>
      <c r="W7" s="175"/>
      <c r="Z7">
        <v>0</v>
      </c>
      <c r="AA7" s="115" t="str">
        <f t="shared" si="1"/>
        <v>DEF2</v>
      </c>
    </row>
    <row r="8" spans="1:27" x14ac:dyDescent="0.35">
      <c r="A8">
        <v>7</v>
      </c>
      <c r="B8" t="str">
        <f>DEF[[#This Row],[Player]]</f>
        <v>Pittsburgh Steelers</v>
      </c>
      <c r="C8" t="s">
        <v>51</v>
      </c>
      <c r="D8" t="str">
        <f>_xlfn.IFNA(INDEX(BYEs!$E$2:$E$411,MATCH(B8,BYEs!$D$2:$D$411,0)),"N/A")</f>
        <v>-</v>
      </c>
      <c r="E8">
        <f>VLOOKUP(F8,BYEs!$A$2:$B$33,2)</f>
        <v>9</v>
      </c>
      <c r="F8" t="str">
        <f>INDEX(BYEs!$A$2:$A$34,MATCH(B8,BYEs!$C$2:$C$34,0))</f>
        <v>PIT</v>
      </c>
      <c r="J8" s="174">
        <f>DEF[[#This Row],[FPTS]]</f>
        <v>111.3</v>
      </c>
      <c r="T8" s="74">
        <f>IF(A8&lt;=LeagueInfo!$B$8,1,0)</f>
        <v>1</v>
      </c>
      <c r="U8" s="74">
        <f>T8</f>
        <v>1</v>
      </c>
      <c r="V8" s="5" t="str">
        <f>IF(OR(INDEX(Auction!$H$13:$H$650,MATCH(B8,Auction!$A$13:$A$650,0))&gt;0,IFERROR(INDEX(CheatSheet!$D$5:$D$34,MATCH(B8,CheatSheet!$A$5:$A$34,0)),"")&lt;&gt;""),"Yes","No")</f>
        <v>No</v>
      </c>
      <c r="W8" s="175"/>
      <c r="Z8">
        <v>0</v>
      </c>
      <c r="AA8" s="115" t="str">
        <f t="shared" si="1"/>
        <v>DEF2</v>
      </c>
    </row>
    <row r="9" spans="1:27" x14ac:dyDescent="0.35">
      <c r="A9">
        <v>8</v>
      </c>
      <c r="B9" t="str">
        <f>DEF[[#This Row],[Player]]</f>
        <v>San Francisco 49ers</v>
      </c>
      <c r="C9" t="s">
        <v>51</v>
      </c>
      <c r="D9" t="str">
        <f>_xlfn.IFNA(INDEX(BYEs!$E$2:$E$411,MATCH(B9,BYEs!$D$2:$D$411,0)),"N/A")</f>
        <v>-</v>
      </c>
      <c r="E9">
        <f>VLOOKUP(F9,BYEs!$A$2:$B$33,2)</f>
        <v>9</v>
      </c>
      <c r="F9" t="str">
        <f>INDEX(BYEs!$A$2:$A$34,MATCH(B9,BYEs!$C$2:$C$34,0))</f>
        <v>SF</v>
      </c>
      <c r="J9" s="174">
        <f>DEF[[#This Row],[FPTS]]</f>
        <v>110.6</v>
      </c>
      <c r="T9" s="74">
        <f>IF(A9&lt;=LeagueInfo!$B$8,1,0)</f>
        <v>1</v>
      </c>
      <c r="U9" s="74">
        <f>T9</f>
        <v>1</v>
      </c>
      <c r="V9" s="5" t="str">
        <f>IF(OR(INDEX(Auction!$H$13:$H$650,MATCH(B9,Auction!$A$13:$A$650,0))&gt;0,IFERROR(INDEX(CheatSheet!$D$5:$D$34,MATCH(B9,CheatSheet!$A$5:$A$34,0)),"")&lt;&gt;""),"Yes","No")</f>
        <v>No</v>
      </c>
      <c r="W9" s="175"/>
      <c r="Z9">
        <v>0</v>
      </c>
      <c r="AA9" s="115" t="str">
        <f t="shared" si="1"/>
        <v>DEF2</v>
      </c>
    </row>
    <row r="10" spans="1:27" x14ac:dyDescent="0.35">
      <c r="A10">
        <v>9</v>
      </c>
      <c r="B10" t="str">
        <f>DEF[[#This Row],[Player]]</f>
        <v>Cleveland Browns</v>
      </c>
      <c r="C10" t="s">
        <v>51</v>
      </c>
      <c r="D10" t="str">
        <f>_xlfn.IFNA(INDEX(BYEs!$E$2:$E$411,MATCH(B10,BYEs!$D$2:$D$411,0)),"N/A")</f>
        <v>-</v>
      </c>
      <c r="E10">
        <f>VLOOKUP(F10,BYEs!$A$2:$B$33,2)</f>
        <v>10</v>
      </c>
      <c r="F10" t="str">
        <f>INDEX(BYEs!$A$2:$A$34,MATCH(B10,BYEs!$C$2:$C$34,0))</f>
        <v>CLE</v>
      </c>
      <c r="J10" s="174">
        <f>DEF[[#This Row],[FPTS]]</f>
        <v>109.8</v>
      </c>
      <c r="T10" s="74">
        <f>IF(A10&lt;=LeagueInfo!$B$8,1,0)</f>
        <v>1</v>
      </c>
      <c r="U10" s="74">
        <f t="shared" si="0"/>
        <v>1</v>
      </c>
      <c r="V10" s="5" t="str">
        <f>IF(OR(INDEX(Auction!$H$13:$H$650,MATCH(B10,Auction!$A$13:$A$650,0))&gt;0,IFERROR(INDEX(CheatSheet!$D$5:$D$34,MATCH(B10,CheatSheet!$A$5:$A$34,0)),"")&lt;&gt;""),"Yes","No")</f>
        <v>No</v>
      </c>
      <c r="W10" s="175"/>
      <c r="Z10">
        <v>0</v>
      </c>
      <c r="AA10" s="115" t="str">
        <f t="shared" si="1"/>
        <v>DEF2</v>
      </c>
    </row>
    <row r="11" spans="1:27" x14ac:dyDescent="0.35">
      <c r="A11">
        <v>10</v>
      </c>
      <c r="B11" t="str">
        <f>DEF[[#This Row],[Player]]</f>
        <v>Buffalo Bills</v>
      </c>
      <c r="C11" t="s">
        <v>51</v>
      </c>
      <c r="D11" t="str">
        <f>_xlfn.IFNA(INDEX(BYEs!$E$2:$E$411,MATCH(B11,BYEs!$D$2:$D$411,0)),"N/A")</f>
        <v>-</v>
      </c>
      <c r="E11">
        <f>VLOOKUP(F11,BYEs!$A$2:$B$33,2)</f>
        <v>12</v>
      </c>
      <c r="F11" t="str">
        <f>INDEX(BYEs!$A$2:$A$34,MATCH(B11,BYEs!$C$2:$C$34,0))</f>
        <v>BUF</v>
      </c>
      <c r="J11" s="174">
        <f>DEF[[#This Row],[FPTS]]</f>
        <v>109.3</v>
      </c>
      <c r="T11" s="74">
        <f>IF(A11&lt;=LeagueInfo!$B$8,1,0)</f>
        <v>1</v>
      </c>
      <c r="U11" s="74">
        <f t="shared" si="0"/>
        <v>1</v>
      </c>
      <c r="V11" s="5" t="str">
        <f>IF(OR(INDEX(Auction!$H$13:$H$650,MATCH(B11,Auction!$A$13:$A$650,0))&gt;0,IFERROR(INDEX(CheatSheet!$D$5:$D$34,MATCH(B11,CheatSheet!$A$5:$A$34,0)),"")&lt;&gt;""),"Yes","No")</f>
        <v>No</v>
      </c>
      <c r="W11" s="175"/>
      <c r="Z11">
        <v>0</v>
      </c>
      <c r="AA11" s="115" t="str">
        <f t="shared" si="1"/>
        <v>DEF2</v>
      </c>
    </row>
    <row r="12" spans="1:27" x14ac:dyDescent="0.35">
      <c r="A12">
        <v>11</v>
      </c>
      <c r="B12" t="str">
        <f>DEF[[#This Row],[Player]]</f>
        <v>Indianapolis Colts</v>
      </c>
      <c r="C12" t="s">
        <v>51</v>
      </c>
      <c r="D12" t="str">
        <f>_xlfn.IFNA(INDEX(BYEs!$E$2:$E$411,MATCH(B12,BYEs!$D$2:$D$411,0)),"N/A")</f>
        <v>-</v>
      </c>
      <c r="E12">
        <f>VLOOKUP(F12,BYEs!$A$2:$B$33,2)</f>
        <v>14</v>
      </c>
      <c r="F12" t="str">
        <f>INDEX(BYEs!$A$2:$A$34,MATCH(B12,BYEs!$C$2:$C$34,0))</f>
        <v>IND</v>
      </c>
      <c r="J12" s="174">
        <f>DEF[[#This Row],[FPTS]]</f>
        <v>109.1</v>
      </c>
      <c r="T12" s="74">
        <f>IF(A12&lt;=LeagueInfo!$B$8,1,0)</f>
        <v>1</v>
      </c>
      <c r="U12" s="74">
        <f t="shared" si="0"/>
        <v>1</v>
      </c>
      <c r="V12" s="5" t="str">
        <f>IF(OR(INDEX(Auction!$H$13:$H$650,MATCH(B12,Auction!$A$13:$A$650,0))&gt;0,IFERROR(INDEX(CheatSheet!$D$5:$D$34,MATCH(B12,CheatSheet!$A$5:$A$34,0)),"")&lt;&gt;""),"Yes","No")</f>
        <v>No</v>
      </c>
      <c r="W12" s="175"/>
      <c r="Z12">
        <v>0</v>
      </c>
      <c r="AA12" s="115" t="str">
        <f t="shared" si="1"/>
        <v>DEF2</v>
      </c>
    </row>
    <row r="13" spans="1:27" x14ac:dyDescent="0.35">
      <c r="A13">
        <v>12</v>
      </c>
      <c r="B13" t="str">
        <f>DEF[[#This Row],[Player]]</f>
        <v>Miami Dolphins</v>
      </c>
      <c r="C13" t="s">
        <v>51</v>
      </c>
      <c r="D13" t="str">
        <f>_xlfn.IFNA(INDEX(BYEs!$E$2:$E$411,MATCH(B13,BYEs!$D$2:$D$411,0)),"N/A")</f>
        <v>-</v>
      </c>
      <c r="E13">
        <f>VLOOKUP(F13,BYEs!$A$2:$B$33,2)</f>
        <v>6</v>
      </c>
      <c r="F13" t="str">
        <f>INDEX(BYEs!$A$2:$A$34,MATCH(B13,BYEs!$C$2:$C$34,0))</f>
        <v>MIA</v>
      </c>
      <c r="J13" s="174">
        <f>DEF[[#This Row],[FPTS]]</f>
        <v>108.4</v>
      </c>
      <c r="T13" s="74">
        <f>IF(A13&lt;=LeagueInfo!$B$8,1,0)</f>
        <v>1</v>
      </c>
      <c r="U13" s="74">
        <f t="shared" si="0"/>
        <v>1</v>
      </c>
      <c r="V13" s="5" t="str">
        <f>IF(OR(INDEX(Auction!$H$13:$H$650,MATCH(B13,Auction!$A$13:$A$650,0))&gt;0,IFERROR(INDEX(CheatSheet!$D$5:$D$34,MATCH(B13,CheatSheet!$A$5:$A$34,0)),"")&lt;&gt;""),"Yes","No")</f>
        <v>No</v>
      </c>
      <c r="W13" s="175"/>
      <c r="Z13">
        <v>0</v>
      </c>
      <c r="AA13" s="115" t="str">
        <f t="shared" si="1"/>
        <v>DEF2</v>
      </c>
    </row>
    <row r="14" spans="1:27" x14ac:dyDescent="0.35">
      <c r="A14">
        <v>13</v>
      </c>
      <c r="B14" t="str">
        <f>DEF[[#This Row],[Player]]</f>
        <v>Cincinnati Bengals</v>
      </c>
      <c r="C14" t="s">
        <v>51</v>
      </c>
      <c r="D14" t="str">
        <f>_xlfn.IFNA(INDEX(BYEs!$E$2:$E$411,MATCH(B14,BYEs!$D$2:$D$411,0)),"N/A")</f>
        <v>-</v>
      </c>
      <c r="E14">
        <f>VLOOKUP(F14,BYEs!$A$2:$B$33,2)</f>
        <v>12</v>
      </c>
      <c r="F14" t="str">
        <f>INDEX(BYEs!$A$2:$A$34,MATCH(B14,BYEs!$C$2:$C$34,0))</f>
        <v>CIN</v>
      </c>
      <c r="J14" s="174">
        <f>DEF[[#This Row],[FPTS]]</f>
        <v>108.1</v>
      </c>
      <c r="T14" s="74">
        <f>IF(A14&lt;=LeagueInfo!$B$8,1,0)</f>
        <v>0</v>
      </c>
      <c r="U14" s="74">
        <f t="shared" si="0"/>
        <v>0</v>
      </c>
      <c r="V14" s="5" t="str">
        <f>IF(OR(INDEX(Auction!$H$13:$H$650,MATCH(B14,Auction!$A$13:$A$650,0))&gt;0,IFERROR(INDEX(CheatSheet!$D$5:$D$34,MATCH(B14,CheatSheet!$A$5:$A$34,0)),"")&lt;&gt;""),"Yes","No")</f>
        <v>No</v>
      </c>
      <c r="W14" s="175"/>
      <c r="Z14">
        <v>0</v>
      </c>
      <c r="AA14" s="115" t="str">
        <f t="shared" si="1"/>
        <v>DEF2</v>
      </c>
    </row>
    <row r="15" spans="1:27" x14ac:dyDescent="0.35">
      <c r="A15">
        <v>14</v>
      </c>
      <c r="B15" t="str">
        <f>DEF[[#This Row],[Player]]</f>
        <v>Los Angeles Chargers</v>
      </c>
      <c r="C15" t="s">
        <v>51</v>
      </c>
      <c r="D15" t="str">
        <f>_xlfn.IFNA(INDEX(BYEs!$E$2:$E$411,MATCH(B15,BYEs!$D$2:$D$411,0)),"N/A")</f>
        <v>-</v>
      </c>
      <c r="E15">
        <f>VLOOKUP(F15,BYEs!$A$2:$B$33,2)</f>
        <v>5</v>
      </c>
      <c r="F15" t="str">
        <f>INDEX(BYEs!$A$2:$A$34,MATCH(B15,BYEs!$C$2:$C$34,0))</f>
        <v>LAC</v>
      </c>
      <c r="J15" s="174">
        <f>DEF[[#This Row],[FPTS]]</f>
        <v>105.3</v>
      </c>
      <c r="T15" s="74">
        <f>IF(A15&lt;=LeagueInfo!$B$8,1,0)</f>
        <v>0</v>
      </c>
      <c r="U15" s="74">
        <f t="shared" si="0"/>
        <v>0</v>
      </c>
      <c r="V15" s="5" t="str">
        <f>IF(OR(INDEX(Auction!$H$13:$H$650,MATCH(B15,Auction!$A$13:$A$650,0))&gt;0,IFERROR(INDEX(CheatSheet!$D$5:$D$34,MATCH(B15,CheatSheet!$A$5:$A$34,0)),"")&lt;&gt;""),"Yes","No")</f>
        <v>No</v>
      </c>
      <c r="W15" s="175"/>
      <c r="Z15">
        <v>0</v>
      </c>
      <c r="AA15" s="115" t="str">
        <f t="shared" si="1"/>
        <v>DEF2</v>
      </c>
    </row>
    <row r="16" spans="1:27" x14ac:dyDescent="0.35">
      <c r="A16">
        <v>15</v>
      </c>
      <c r="B16" t="str">
        <f>DEF[[#This Row],[Player]]</f>
        <v>Jacksonville Jaguars</v>
      </c>
      <c r="C16" t="s">
        <v>51</v>
      </c>
      <c r="D16" t="str">
        <f>_xlfn.IFNA(INDEX(BYEs!$E$2:$E$411,MATCH(B16,BYEs!$D$2:$D$411,0)),"N/A")</f>
        <v>-</v>
      </c>
      <c r="E16">
        <f>VLOOKUP(F16,BYEs!$A$2:$B$33,2)</f>
        <v>12</v>
      </c>
      <c r="F16" t="str">
        <f>INDEX(BYEs!$A$2:$A$34,MATCH(B16,BYEs!$C$2:$C$34,0))</f>
        <v>JAC</v>
      </c>
      <c r="J16" s="174">
        <f>DEF[[#This Row],[FPTS]]</f>
        <v>105.2</v>
      </c>
      <c r="T16" s="74">
        <f>IF(A16&lt;=LeagueInfo!$B$8,1,0)</f>
        <v>0</v>
      </c>
      <c r="U16" s="74">
        <f t="shared" si="0"/>
        <v>0</v>
      </c>
      <c r="V16" s="5" t="str">
        <f>IF(OR(INDEX(Auction!$H$13:$H$650,MATCH(B16,Auction!$A$13:$A$650,0))&gt;0,IFERROR(INDEX(CheatSheet!$D$5:$D$34,MATCH(B16,CheatSheet!$A$5:$A$34,0)),"")&lt;&gt;""),"Yes","No")</f>
        <v>No</v>
      </c>
      <c r="W16" s="175"/>
      <c r="Z16">
        <v>0</v>
      </c>
      <c r="AA16" s="115" t="str">
        <f t="shared" si="1"/>
        <v>DEF2</v>
      </c>
    </row>
    <row r="17" spans="1:27" x14ac:dyDescent="0.35">
      <c r="A17">
        <v>16</v>
      </c>
      <c r="B17" t="str">
        <f>DEF[[#This Row],[Player]]</f>
        <v>Green Bay Packers</v>
      </c>
      <c r="C17" t="s">
        <v>51</v>
      </c>
      <c r="D17" t="str">
        <f>_xlfn.IFNA(INDEX(BYEs!$E$2:$E$411,MATCH(B17,BYEs!$D$2:$D$411,0)),"N/A")</f>
        <v>-</v>
      </c>
      <c r="E17">
        <f>VLOOKUP(F17,BYEs!$A$2:$B$33,2)</f>
        <v>10</v>
      </c>
      <c r="F17" t="str">
        <f>INDEX(BYEs!$A$2:$A$34,MATCH(B17,BYEs!$C$2:$C$34,0))</f>
        <v>GB</v>
      </c>
      <c r="J17" s="174">
        <f>DEF[[#This Row],[FPTS]]</f>
        <v>104.8</v>
      </c>
      <c r="T17" s="74">
        <f>IF(A17&lt;=LeagueInfo!$B$8,1,0)</f>
        <v>0</v>
      </c>
      <c r="U17" s="74">
        <f t="shared" si="0"/>
        <v>0</v>
      </c>
      <c r="V17" s="5" t="str">
        <f>IF(OR(INDEX(Auction!$H$13:$H$650,MATCH(B17,Auction!$A$13:$A$650,0))&gt;0,IFERROR(INDEX(CheatSheet!$D$5:$D$34,MATCH(B17,CheatSheet!$A$5:$A$34,0)),"")&lt;&gt;""),"Yes","No")</f>
        <v>No</v>
      </c>
      <c r="W17" s="175"/>
      <c r="Z17">
        <v>0</v>
      </c>
      <c r="AA17" s="115" t="str">
        <f t="shared" si="1"/>
        <v>DEF2</v>
      </c>
    </row>
    <row r="18" spans="1:27" x14ac:dyDescent="0.35">
      <c r="A18">
        <v>17</v>
      </c>
      <c r="B18" t="str">
        <f>DEF[[#This Row],[Player]]</f>
        <v>Washington Commanders</v>
      </c>
      <c r="C18" t="s">
        <v>51</v>
      </c>
      <c r="D18" t="str">
        <f>_xlfn.IFNA(INDEX(BYEs!$E$2:$E$411,MATCH(B18,BYEs!$D$2:$D$411,0)),"N/A")</f>
        <v>-</v>
      </c>
      <c r="E18">
        <f>VLOOKUP(F18,BYEs!$A$2:$B$33,2)</f>
        <v>14</v>
      </c>
      <c r="F18" t="str">
        <f>INDEX(BYEs!$A$2:$A$34,MATCH(B18,BYEs!$C$2:$C$34,0))</f>
        <v>WAS</v>
      </c>
      <c r="J18" s="174">
        <f>DEF[[#This Row],[FPTS]]</f>
        <v>104.6</v>
      </c>
      <c r="T18" s="74">
        <f>IF(A18&lt;=LeagueInfo!$B$8,1,0)</f>
        <v>0</v>
      </c>
      <c r="U18" s="74">
        <f>T18</f>
        <v>0</v>
      </c>
      <c r="V18" s="5" t="str">
        <f>IF(OR(INDEX(Auction!$H$13:$H$650,MATCH(B18,Auction!$A$13:$A$650,0))&gt;0,IFERROR(INDEX(CheatSheet!$D$5:$D$34,MATCH(B18,CheatSheet!$A$5:$A$34,0)),"")&lt;&gt;""),"Yes","No")</f>
        <v>No</v>
      </c>
      <c r="W18" s="175"/>
      <c r="Z18">
        <v>0</v>
      </c>
      <c r="AA18" s="115" t="str">
        <f t="shared" si="1"/>
        <v>DEF2</v>
      </c>
    </row>
    <row r="19" spans="1:27" x14ac:dyDescent="0.35">
      <c r="A19">
        <v>18</v>
      </c>
      <c r="B19" t="str">
        <f>DEF[[#This Row],[Player]]</f>
        <v>New York Giants</v>
      </c>
      <c r="C19" t="s">
        <v>51</v>
      </c>
      <c r="D19" t="str">
        <f>_xlfn.IFNA(INDEX(BYEs!$E$2:$E$411,MATCH(B19,BYEs!$D$2:$D$411,0)),"N/A")</f>
        <v>-</v>
      </c>
      <c r="E19">
        <f>VLOOKUP(F19,BYEs!$A$2:$B$33,2)</f>
        <v>11</v>
      </c>
      <c r="F19" t="str">
        <f>INDEX(BYEs!$A$2:$A$34,MATCH(B19,BYEs!$C$2:$C$34,0))</f>
        <v>NYG</v>
      </c>
      <c r="J19" s="174">
        <f>DEF[[#This Row],[FPTS]]</f>
        <v>104.2</v>
      </c>
      <c r="T19" s="74">
        <f>IF(A19&lt;=LeagueInfo!$B$8,1,0)</f>
        <v>0</v>
      </c>
      <c r="U19" s="74">
        <f t="shared" si="0"/>
        <v>0</v>
      </c>
      <c r="V19" s="5" t="str">
        <f>IF(OR(INDEX(Auction!$H$13:$H$650,MATCH(B19,Auction!$A$13:$A$650,0))&gt;0,IFERROR(INDEX(CheatSheet!$D$5:$D$34,MATCH(B19,CheatSheet!$A$5:$A$34,0)),"")&lt;&gt;""),"Yes","No")</f>
        <v>No</v>
      </c>
      <c r="W19" s="175"/>
      <c r="Z19">
        <v>0</v>
      </c>
      <c r="AA19" s="115" t="str">
        <f t="shared" si="1"/>
        <v>DEF2</v>
      </c>
    </row>
    <row r="20" spans="1:27" x14ac:dyDescent="0.35">
      <c r="A20">
        <v>19</v>
      </c>
      <c r="B20" t="str">
        <f>DEF[[#This Row],[Player]]</f>
        <v>New Orleans Saints</v>
      </c>
      <c r="C20" t="s">
        <v>51</v>
      </c>
      <c r="D20" t="str">
        <f>_xlfn.IFNA(INDEX(BYEs!$E$2:$E$411,MATCH(B20,BYEs!$D$2:$D$411,0)),"N/A")</f>
        <v>-</v>
      </c>
      <c r="E20">
        <f>VLOOKUP(F20,BYEs!$A$2:$B$33,2)</f>
        <v>12</v>
      </c>
      <c r="F20" t="str">
        <f>INDEX(BYEs!$A$2:$A$34,MATCH(B20,BYEs!$C$2:$C$34,0))</f>
        <v>NO</v>
      </c>
      <c r="J20" s="174">
        <f>DEF[[#This Row],[FPTS]]</f>
        <v>103.9</v>
      </c>
      <c r="T20" s="74">
        <f>IF(A20&lt;=LeagueInfo!$B$8,1,0)</f>
        <v>0</v>
      </c>
      <c r="U20" s="74">
        <f t="shared" si="0"/>
        <v>0</v>
      </c>
      <c r="V20" s="5" t="str">
        <f>IF(OR(INDEX(Auction!$H$13:$H$650,MATCH(B20,Auction!$A$13:$A$650,0))&gt;0,IFERROR(INDEX(CheatSheet!$D$5:$D$34,MATCH(B20,CheatSheet!$A$5:$A$34,0)),"")&lt;&gt;""),"Yes","No")</f>
        <v>No</v>
      </c>
      <c r="W20" s="175"/>
      <c r="Z20">
        <v>0</v>
      </c>
      <c r="AA20" s="115" t="str">
        <f t="shared" si="1"/>
        <v>DEF2</v>
      </c>
    </row>
    <row r="21" spans="1:27" x14ac:dyDescent="0.35">
      <c r="A21">
        <v>20</v>
      </c>
      <c r="B21" t="str">
        <f>DEF[[#This Row],[Player]]</f>
        <v>Seattle Seahawks</v>
      </c>
      <c r="C21" t="s">
        <v>51</v>
      </c>
      <c r="D21" t="str">
        <f>_xlfn.IFNA(INDEX(BYEs!$E$2:$E$411,MATCH(B21,BYEs!$D$2:$D$411,0)),"N/A")</f>
        <v>-</v>
      </c>
      <c r="E21">
        <f>VLOOKUP(F21,BYEs!$A$2:$B$33,2)</f>
        <v>9</v>
      </c>
      <c r="F21" t="str">
        <f>INDEX(BYEs!$A$2:$A$34,MATCH(B21,BYEs!$C$2:$C$34,0))</f>
        <v>SEA</v>
      </c>
      <c r="J21" s="174">
        <f>DEF[[#This Row],[FPTS]]</f>
        <v>103</v>
      </c>
      <c r="T21" s="74">
        <f>IF(A21&lt;=LeagueInfo!$B$8,1,0)</f>
        <v>0</v>
      </c>
      <c r="U21" s="74">
        <f t="shared" si="0"/>
        <v>0</v>
      </c>
      <c r="V21" s="5" t="str">
        <f>IF(OR(INDEX(Auction!$H$13:$H$650,MATCH(B21,Auction!$A$13:$A$650,0))&gt;0,IFERROR(INDEX(CheatSheet!$D$5:$D$34,MATCH(B21,CheatSheet!$A$5:$A$34,0)),"")&lt;&gt;""),"Yes","No")</f>
        <v>No</v>
      </c>
      <c r="W21" s="175"/>
      <c r="Z21">
        <v>0</v>
      </c>
      <c r="AA21" s="115" t="str">
        <f t="shared" si="1"/>
        <v>DEF2</v>
      </c>
    </row>
    <row r="22" spans="1:27" x14ac:dyDescent="0.35">
      <c r="A22">
        <v>21</v>
      </c>
      <c r="B22" t="str">
        <f>DEF[[#This Row],[Player]]</f>
        <v>Tampa Bay Buccaneers</v>
      </c>
      <c r="C22" t="s">
        <v>51</v>
      </c>
      <c r="D22" t="str">
        <f>_xlfn.IFNA(INDEX(BYEs!$E$2:$E$411,MATCH(B22,BYEs!$D$2:$D$411,0)),"N/A")</f>
        <v>-</v>
      </c>
      <c r="E22">
        <f>VLOOKUP(F22,BYEs!$A$2:$B$33,2)</f>
        <v>11</v>
      </c>
      <c r="F22" t="str">
        <f>INDEX(BYEs!$A$2:$A$34,MATCH(B22,BYEs!$C$2:$C$34,0))</f>
        <v>TB</v>
      </c>
      <c r="J22" s="174">
        <f>DEF[[#This Row],[FPTS]]</f>
        <v>103</v>
      </c>
      <c r="T22" s="74">
        <f>IF(A22&lt;=LeagueInfo!$B$8,1,0)</f>
        <v>0</v>
      </c>
      <c r="U22" s="74">
        <f t="shared" si="0"/>
        <v>0</v>
      </c>
      <c r="V22" s="5" t="str">
        <f>IF(OR(INDEX(Auction!$H$13:$H$650,MATCH(B22,Auction!$A$13:$A$650,0))&gt;0,IFERROR(INDEX(CheatSheet!$D$5:$D$34,MATCH(B22,CheatSheet!$A$5:$A$34,0)),"")&lt;&gt;""),"Yes","No")</f>
        <v>No</v>
      </c>
      <c r="W22" s="175"/>
      <c r="Z22">
        <v>0</v>
      </c>
      <c r="AA22" s="115" t="str">
        <f t="shared" si="1"/>
        <v>DEF2</v>
      </c>
    </row>
    <row r="23" spans="1:27" x14ac:dyDescent="0.35">
      <c r="A23">
        <v>22</v>
      </c>
      <c r="B23" t="str">
        <f>DEF[[#This Row],[Player]]</f>
        <v>Las Vegas Raiders</v>
      </c>
      <c r="C23" t="s">
        <v>51</v>
      </c>
      <c r="D23" t="str">
        <f>_xlfn.IFNA(INDEX(BYEs!$E$2:$E$411,MATCH(B23,BYEs!$D$2:$D$411,0)),"N/A")</f>
        <v>-</v>
      </c>
      <c r="E23">
        <f>VLOOKUP(F23,BYEs!$A$2:$B$33,2)</f>
        <v>6</v>
      </c>
      <c r="F23" t="str">
        <f>INDEX(BYEs!$A$2:$A$34,MATCH(B23,BYEs!$C$2:$C$34,0))</f>
        <v>LV</v>
      </c>
      <c r="J23" s="174">
        <f>DEF[[#This Row],[FPTS]]</f>
        <v>102.7</v>
      </c>
      <c r="T23" s="74">
        <f>IF(A23&lt;=LeagueInfo!$B$8,1,0)</f>
        <v>0</v>
      </c>
      <c r="U23" s="74">
        <f t="shared" si="0"/>
        <v>0</v>
      </c>
      <c r="V23" s="5" t="str">
        <f>IF(OR(INDEX(Auction!$H$13:$H$650,MATCH(B23,Auction!$A$13:$A$650,0))&gt;0,IFERROR(INDEX(CheatSheet!$D$5:$D$34,MATCH(B23,CheatSheet!$A$5:$A$34,0)),"")&lt;&gt;""),"Yes","No")</f>
        <v>No</v>
      </c>
      <c r="W23" s="175"/>
      <c r="Z23">
        <v>0</v>
      </c>
      <c r="AA23" s="115" t="str">
        <f t="shared" si="1"/>
        <v>DEF2</v>
      </c>
    </row>
    <row r="24" spans="1:27" x14ac:dyDescent="0.35">
      <c r="A24">
        <v>23</v>
      </c>
      <c r="B24" t="str">
        <f>DEF[[#This Row],[Player]]</f>
        <v>Atlanta Falcons</v>
      </c>
      <c r="C24" t="s">
        <v>51</v>
      </c>
      <c r="D24" t="str">
        <f>_xlfn.IFNA(INDEX(BYEs!$E$2:$E$411,MATCH(B24,BYEs!$D$2:$D$411,0)),"N/A")</f>
        <v>N/A</v>
      </c>
      <c r="E24">
        <f>VLOOKUP(F24,BYEs!$A$2:$B$33,2)</f>
        <v>12</v>
      </c>
      <c r="F24" t="str">
        <f>INDEX(BYEs!$A$2:$A$34,MATCH(B24,BYEs!$C$2:$C$34,0))</f>
        <v>ATL</v>
      </c>
      <c r="J24" s="174">
        <f>DEF[[#This Row],[FPTS]]</f>
        <v>102.4</v>
      </c>
      <c r="T24" s="74">
        <f>IF(A24&lt;=LeagueInfo!$B$8,1,0)</f>
        <v>0</v>
      </c>
      <c r="U24" s="74">
        <f t="shared" si="0"/>
        <v>0</v>
      </c>
      <c r="V24" s="5" t="str">
        <f>IF(OR(INDEX(Auction!$H$13:$H$650,MATCH(B24,Auction!$A$13:$A$650,0))&gt;0,IFERROR(INDEX(CheatSheet!$D$5:$D$34,MATCH(B24,CheatSheet!$A$5:$A$34,0)),"")&lt;&gt;""),"Yes","No")</f>
        <v>No</v>
      </c>
      <c r="W24" s="175"/>
      <c r="Z24">
        <v>0</v>
      </c>
      <c r="AA24" s="115" t="str">
        <f t="shared" si="1"/>
        <v>DEF2</v>
      </c>
    </row>
    <row r="25" spans="1:27" x14ac:dyDescent="0.35">
      <c r="A25">
        <v>24</v>
      </c>
      <c r="B25" t="str">
        <f>DEF[[#This Row],[Player]]</f>
        <v>Denver Broncos</v>
      </c>
      <c r="C25" t="s">
        <v>51</v>
      </c>
      <c r="D25" t="str">
        <f>_xlfn.IFNA(INDEX(BYEs!$E$2:$E$411,MATCH(B25,BYEs!$D$2:$D$411,0)),"N/A")</f>
        <v>-</v>
      </c>
      <c r="E25">
        <f>VLOOKUP(F25,BYEs!$A$2:$B$33,2)</f>
        <v>14</v>
      </c>
      <c r="F25" t="str">
        <f>INDEX(BYEs!$A$2:$A$34,MATCH(B25,BYEs!$C$2:$C$34,0))</f>
        <v>DEN</v>
      </c>
      <c r="J25" s="174">
        <f>DEF[[#This Row],[FPTS]]</f>
        <v>101.5</v>
      </c>
      <c r="T25" s="74">
        <f>IF(A25&lt;=LeagueInfo!$B$8,1,0)</f>
        <v>0</v>
      </c>
      <c r="U25" s="74">
        <f t="shared" si="0"/>
        <v>0</v>
      </c>
      <c r="V25" s="5" t="str">
        <f>IF(OR(INDEX(Auction!$H$13:$H$650,MATCH(B25,Auction!$A$13:$A$650,0))&gt;0,IFERROR(INDEX(CheatSheet!$D$5:$D$34,MATCH(B25,CheatSheet!$A$5:$A$34,0)),"")&lt;&gt;""),"Yes","No")</f>
        <v>No</v>
      </c>
      <c r="W25" s="175"/>
      <c r="Z25">
        <v>0</v>
      </c>
      <c r="AA25" s="115" t="str">
        <f t="shared" si="1"/>
        <v>DEF2</v>
      </c>
    </row>
    <row r="26" spans="1:27" x14ac:dyDescent="0.35">
      <c r="A26">
        <v>25</v>
      </c>
      <c r="B26" t="str">
        <f>DEF[[#This Row],[Player]]</f>
        <v>Minnesota Vikings</v>
      </c>
      <c r="C26" t="s">
        <v>51</v>
      </c>
      <c r="D26" t="str">
        <f>_xlfn.IFNA(INDEX(BYEs!$E$2:$E$411,MATCH(B26,BYEs!$D$2:$D$411,0)),"N/A")</f>
        <v>-</v>
      </c>
      <c r="E26">
        <f>VLOOKUP(F26,BYEs!$A$2:$B$33,2)</f>
        <v>6</v>
      </c>
      <c r="F26" t="str">
        <f>INDEX(BYEs!$A$2:$A$34,MATCH(B26,BYEs!$C$2:$C$34,0))</f>
        <v>MIN</v>
      </c>
      <c r="J26" s="174">
        <f>DEF[[#This Row],[FPTS]]</f>
        <v>101.3</v>
      </c>
      <c r="T26" s="74">
        <f>IF(A26&lt;=LeagueInfo!$B$8,1,0)</f>
        <v>0</v>
      </c>
      <c r="U26" s="74">
        <f t="shared" si="0"/>
        <v>0</v>
      </c>
      <c r="V26" s="5" t="str">
        <f>IF(OR(INDEX(Auction!$H$13:$H$650,MATCH(B26,Auction!$A$13:$A$650,0))&gt;0,IFERROR(INDEX(CheatSheet!$D$5:$D$34,MATCH(B26,CheatSheet!$A$5:$A$34,0)),"")&lt;&gt;""),"Yes","No")</f>
        <v>No</v>
      </c>
      <c r="W26" s="175"/>
      <c r="Z26">
        <v>0</v>
      </c>
      <c r="AA26" s="115" t="str">
        <f t="shared" si="1"/>
        <v>DEF2</v>
      </c>
    </row>
    <row r="27" spans="1:27" x14ac:dyDescent="0.35">
      <c r="A27">
        <v>26</v>
      </c>
      <c r="B27" t="str">
        <f>DEF[[#This Row],[Player]]</f>
        <v>Detroit Lions</v>
      </c>
      <c r="C27" t="s">
        <v>51</v>
      </c>
      <c r="D27" t="str">
        <f>_xlfn.IFNA(INDEX(BYEs!$E$2:$E$411,MATCH(B27,BYEs!$D$2:$D$411,0)),"N/A")</f>
        <v>-</v>
      </c>
      <c r="E27">
        <f>VLOOKUP(F27,BYEs!$A$2:$B$33,2)</f>
        <v>5</v>
      </c>
      <c r="F27" t="str">
        <f>INDEX(BYEs!$A$2:$A$34,MATCH(B27,BYEs!$C$2:$C$34,0))</f>
        <v>DET</v>
      </c>
      <c r="J27" s="174">
        <f>DEF[[#This Row],[FPTS]]</f>
        <v>100.4</v>
      </c>
      <c r="T27" s="74">
        <f>IF(A27&lt;=LeagueInfo!$B$8,1,0)</f>
        <v>0</v>
      </c>
      <c r="U27" s="74">
        <f t="shared" si="0"/>
        <v>0</v>
      </c>
      <c r="V27" s="5" t="str">
        <f>IF(OR(INDEX(Auction!$H$13:$H$650,MATCH(B27,Auction!$A$13:$A$650,0))&gt;0,IFERROR(INDEX(CheatSheet!$D$5:$D$34,MATCH(B27,CheatSheet!$A$5:$A$34,0)),"")&lt;&gt;""),"Yes","No")</f>
        <v>No</v>
      </c>
      <c r="W27" s="175"/>
      <c r="Z27">
        <v>0</v>
      </c>
      <c r="AA27" s="115" t="str">
        <f t="shared" si="1"/>
        <v>DEF2</v>
      </c>
    </row>
    <row r="28" spans="1:27" x14ac:dyDescent="0.35">
      <c r="A28">
        <v>27</v>
      </c>
      <c r="B28" t="str">
        <f>DEF[[#This Row],[Player]]</f>
        <v>Chicago Bears</v>
      </c>
      <c r="C28" t="s">
        <v>51</v>
      </c>
      <c r="D28" t="str">
        <f>_xlfn.IFNA(INDEX(BYEs!$E$2:$E$411,MATCH(B28,BYEs!$D$2:$D$411,0)),"N/A")</f>
        <v>-</v>
      </c>
      <c r="E28">
        <f>VLOOKUP(F28,BYEs!$A$2:$B$33,2)</f>
        <v>7</v>
      </c>
      <c r="F28" t="str">
        <f>INDEX(BYEs!$A$2:$A$34,MATCH(B28,BYEs!$C$2:$C$34,0))</f>
        <v>CHI</v>
      </c>
      <c r="J28" s="174">
        <f>DEF[[#This Row],[FPTS]]</f>
        <v>99.1</v>
      </c>
      <c r="T28" s="74">
        <f>IF(A28&lt;=LeagueInfo!$B$8,1,0)</f>
        <v>0</v>
      </c>
      <c r="U28" s="74">
        <f t="shared" si="0"/>
        <v>0</v>
      </c>
      <c r="V28" s="5" t="str">
        <f>IF(OR(INDEX(Auction!$H$13:$H$650,MATCH(B28,Auction!$A$13:$A$650,0))&gt;0,IFERROR(INDEX(CheatSheet!$D$5:$D$34,MATCH(B28,CheatSheet!$A$5:$A$34,0)),"")&lt;&gt;""),"Yes","No")</f>
        <v>No</v>
      </c>
      <c r="W28" s="175"/>
      <c r="Z28">
        <v>0</v>
      </c>
      <c r="AA28" s="115" t="str">
        <f t="shared" si="1"/>
        <v>DEF3</v>
      </c>
    </row>
    <row r="29" spans="1:27" x14ac:dyDescent="0.35">
      <c r="A29">
        <v>28</v>
      </c>
      <c r="B29" t="str">
        <f>DEF[[#This Row],[Player]]</f>
        <v>Los Angeles Rams</v>
      </c>
      <c r="C29" t="s">
        <v>51</v>
      </c>
      <c r="D29" t="str">
        <f>_xlfn.IFNA(INDEX(BYEs!$E$2:$E$411,MATCH(B29,BYEs!$D$2:$D$411,0)),"N/A")</f>
        <v>-</v>
      </c>
      <c r="E29">
        <f>VLOOKUP(F29,BYEs!$A$2:$B$33,2)</f>
        <v>6</v>
      </c>
      <c r="F29" t="str">
        <f>INDEX(BYEs!$A$2:$A$34,MATCH(B29,BYEs!$C$2:$C$34,0))</f>
        <v>LAR</v>
      </c>
      <c r="J29" s="174">
        <f>DEF[[#This Row],[FPTS]]</f>
        <v>97.5</v>
      </c>
      <c r="T29" s="74">
        <f>IF(A29&lt;=LeagueInfo!$B$8,1,0)</f>
        <v>0</v>
      </c>
      <c r="U29" s="74">
        <f t="shared" si="0"/>
        <v>0</v>
      </c>
      <c r="V29" s="5" t="str">
        <f>IF(OR(INDEX(Auction!$H$13:$H$650,MATCH(B29,Auction!$A$13:$A$650,0))&gt;0,IFERROR(INDEX(CheatSheet!$D$5:$D$34,MATCH(B29,CheatSheet!$A$5:$A$34,0)),"")&lt;&gt;""),"Yes","No")</f>
        <v>No</v>
      </c>
      <c r="W29" s="175"/>
      <c r="Z29">
        <v>0</v>
      </c>
      <c r="AA29" s="115" t="str">
        <f t="shared" si="1"/>
        <v>DEF3</v>
      </c>
    </row>
    <row r="30" spans="1:27" x14ac:dyDescent="0.35">
      <c r="A30">
        <v>29</v>
      </c>
      <c r="B30" t="str">
        <f>DEF[[#This Row],[Player]]</f>
        <v>Tennessee Titans</v>
      </c>
      <c r="C30" t="s">
        <v>51</v>
      </c>
      <c r="D30" t="str">
        <f>_xlfn.IFNA(INDEX(BYEs!$E$2:$E$411,MATCH(B30,BYEs!$D$2:$D$411,0)),"N/A")</f>
        <v>-</v>
      </c>
      <c r="E30">
        <f>VLOOKUP(F30,BYEs!$A$2:$B$33,2)</f>
        <v>5</v>
      </c>
      <c r="F30" t="str">
        <f>INDEX(BYEs!$A$2:$A$34,MATCH(B30,BYEs!$C$2:$C$34,0))</f>
        <v>TEN</v>
      </c>
      <c r="J30" s="174">
        <f>DEF[[#This Row],[FPTS]]</f>
        <v>96.6</v>
      </c>
      <c r="T30" s="74">
        <f>IF(A30&lt;=LeagueInfo!$B$8,1,0)</f>
        <v>0</v>
      </c>
      <c r="U30" s="74">
        <f t="shared" si="0"/>
        <v>0</v>
      </c>
      <c r="V30" s="5" t="str">
        <f>IF(OR(INDEX(Auction!$H$13:$H$650,MATCH(B30,Auction!$A$13:$A$650,0))&gt;0,IFERROR(INDEX(CheatSheet!$D$5:$D$34,MATCH(B30,CheatSheet!$A$5:$A$34,0)),"")&lt;&gt;""),"Yes","No")</f>
        <v>No</v>
      </c>
      <c r="W30" s="175"/>
      <c r="Z30">
        <v>0</v>
      </c>
      <c r="AA30" s="115" t="str">
        <f t="shared" si="1"/>
        <v>DEF3</v>
      </c>
    </row>
    <row r="31" spans="1:27" x14ac:dyDescent="0.35">
      <c r="A31">
        <v>30</v>
      </c>
      <c r="B31" t="str">
        <f>DEF[[#This Row],[Player]]</f>
        <v>New England Patriots</v>
      </c>
      <c r="C31" t="s">
        <v>51</v>
      </c>
      <c r="D31" t="str">
        <f>_xlfn.IFNA(INDEX(BYEs!$E$2:$E$411,MATCH(B31,BYEs!$D$2:$D$411,0)),"N/A")</f>
        <v>-</v>
      </c>
      <c r="E31">
        <f>VLOOKUP(F31,BYEs!$A$2:$B$33,2)</f>
        <v>14</v>
      </c>
      <c r="F31" t="str">
        <f>INDEX(BYEs!$A$2:$A$34,MATCH(B31,BYEs!$C$2:$C$34,0))</f>
        <v>NE</v>
      </c>
      <c r="J31" s="174">
        <f>DEF[[#This Row],[FPTS]]</f>
        <v>93.8</v>
      </c>
      <c r="T31" s="74">
        <f>IF(A31&lt;=LeagueInfo!$B$8,1,0)</f>
        <v>0</v>
      </c>
      <c r="U31" s="74">
        <f t="shared" si="0"/>
        <v>0</v>
      </c>
      <c r="V31" s="5" t="str">
        <f>IF(OR(INDEX(Auction!$H$13:$H$650,MATCH(B31,Auction!$A$13:$A$650,0))&gt;0,IFERROR(INDEX(CheatSheet!$D$5:$D$34,MATCH(B31,CheatSheet!$A$5:$A$34,0)),"")&lt;&gt;""),"Yes","No")</f>
        <v>No</v>
      </c>
      <c r="W31" s="175"/>
      <c r="Z31">
        <v>0</v>
      </c>
      <c r="AA31" s="115" t="str">
        <f t="shared" si="1"/>
        <v>DEF3</v>
      </c>
    </row>
    <row r="32" spans="1:27" x14ac:dyDescent="0.35">
      <c r="A32">
        <v>31</v>
      </c>
      <c r="B32" t="str">
        <f>DEF[[#This Row],[Player]]</f>
        <v>Arizona Cardinals</v>
      </c>
      <c r="C32" t="s">
        <v>51</v>
      </c>
      <c r="D32" t="str">
        <f>_xlfn.IFNA(INDEX(BYEs!$E$2:$E$411,MATCH(B32,BYEs!$D$2:$D$411,0)),"N/A")</f>
        <v>-</v>
      </c>
      <c r="E32">
        <f>VLOOKUP(F32,BYEs!$A$2:$B$33,2)</f>
        <v>11</v>
      </c>
      <c r="F32" t="str">
        <f>INDEX(BYEs!$A$2:$A$34,MATCH(B32,BYEs!$C$2:$C$34,0))</f>
        <v>ARI</v>
      </c>
      <c r="J32" s="174">
        <f>DEF[[#This Row],[FPTS]]</f>
        <v>93.5</v>
      </c>
      <c r="T32" s="74">
        <f>IF(A32&lt;=LeagueInfo!$B$8,1,0)</f>
        <v>0</v>
      </c>
      <c r="U32" s="74">
        <f t="shared" si="0"/>
        <v>0</v>
      </c>
      <c r="V32" s="5" t="str">
        <f>IF(OR(INDEX(Auction!$H$13:$H$650,MATCH(B32,Auction!$A$13:$A$650,0))&gt;0,IFERROR(INDEX(CheatSheet!$D$5:$D$34,MATCH(B32,CheatSheet!$A$5:$A$34,0)),"")&lt;&gt;""),"Yes","No")</f>
        <v>No</v>
      </c>
      <c r="W32" s="175"/>
      <c r="Z32">
        <v>0</v>
      </c>
      <c r="AA32" s="115" t="str">
        <f t="shared" si="1"/>
        <v>DEF3</v>
      </c>
    </row>
    <row r="33" spans="1:29" x14ac:dyDescent="0.35">
      <c r="A33">
        <v>32</v>
      </c>
      <c r="B33" t="str">
        <f>DEF[[#This Row],[Player]]</f>
        <v>Carolina Panthers</v>
      </c>
      <c r="C33" t="s">
        <v>51</v>
      </c>
      <c r="D33" t="str">
        <f>_xlfn.IFNA(INDEX(BYEs!$E$2:$E$411,MATCH(B33,BYEs!$D$2:$D$411,0)),"N/A")</f>
        <v>-</v>
      </c>
      <c r="E33">
        <f>VLOOKUP(F33,BYEs!$A$2:$B$33,2)</f>
        <v>11</v>
      </c>
      <c r="F33" t="str">
        <f>INDEX(BYEs!$A$2:$A$34,MATCH(B33,BYEs!$C$2:$C$34,0))</f>
        <v>CAR</v>
      </c>
      <c r="J33" s="174">
        <f>DEF[[#This Row],[FPTS]]</f>
        <v>89.5</v>
      </c>
      <c r="T33" s="74">
        <f>IF(A33&lt;=LeagueInfo!$B$8,1,0)</f>
        <v>0</v>
      </c>
      <c r="U33" s="74">
        <f t="shared" si="0"/>
        <v>0</v>
      </c>
      <c r="V33" s="5" t="str">
        <f>IF(OR(INDEX(Auction!$H$13:$H$650,MATCH(B33,Auction!$A$13:$A$650,0))&gt;0,IFERROR(INDEX(CheatSheet!$D$5:$D$34,MATCH(B33,CheatSheet!$A$5:$A$34,0)),"")&lt;&gt;""),"Yes","No")</f>
        <v>No</v>
      </c>
      <c r="W33" s="175"/>
      <c r="Z33">
        <v>0</v>
      </c>
      <c r="AA33" s="115" t="str">
        <f t="shared" si="1"/>
        <v>DEF3</v>
      </c>
    </row>
    <row r="46" spans="1:29" x14ac:dyDescent="0.35">
      <c r="AC46" t="s">
        <v>325</v>
      </c>
    </row>
  </sheetData>
  <sortState xmlns:xlrd2="http://schemas.microsoft.com/office/spreadsheetml/2017/richdata2" ref="B2:U33">
    <sortCondition ref="B2"/>
  </sortState>
  <conditionalFormatting sqref="A2:C33 W2:AA33 E2:U33">
    <cfRule type="expression" dxfId="62" priority="5">
      <formula>$V2="Yes"</formula>
    </cfRule>
  </conditionalFormatting>
  <conditionalFormatting sqref="V2:V33">
    <cfRule type="expression" dxfId="61" priority="2">
      <formula>$V2="Yes"</formula>
    </cfRule>
  </conditionalFormatting>
  <conditionalFormatting sqref="D2:D33">
    <cfRule type="expression" dxfId="60" priority="1">
      <formula>$V2="Yes"</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LeagueInfo!$H$97:$H$99</xm:f>
          </x14:formula1>
          <xm:sqref>W2:W35</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0"/>
  <dimension ref="A1:L510"/>
  <sheetViews>
    <sheetView topLeftCell="A491" workbookViewId="0">
      <selection activeCell="E510" sqref="E510"/>
    </sheetView>
  </sheetViews>
  <sheetFormatPr defaultColWidth="8.90625" defaultRowHeight="14.5" x14ac:dyDescent="0.35"/>
  <cols>
    <col min="3" max="3" width="21.08984375" bestFit="1" customWidth="1"/>
    <col min="4" max="4" width="23.54296875" bestFit="1" customWidth="1"/>
    <col min="8" max="8" width="9.54296875" bestFit="1" customWidth="1"/>
  </cols>
  <sheetData>
    <row r="1" spans="1:12" x14ac:dyDescent="0.35">
      <c r="A1" s="4" t="s">
        <v>272</v>
      </c>
      <c r="B1" s="4" t="s">
        <v>262</v>
      </c>
      <c r="C1" s="4" t="s">
        <v>462</v>
      </c>
      <c r="D1" s="4" t="s">
        <v>82</v>
      </c>
      <c r="E1" s="4" t="s">
        <v>464</v>
      </c>
      <c r="F1" s="4" t="s">
        <v>181</v>
      </c>
      <c r="G1" s="4" t="s">
        <v>828</v>
      </c>
    </row>
    <row r="2" spans="1:12" x14ac:dyDescent="0.35">
      <c r="A2" t="s">
        <v>208</v>
      </c>
      <c r="B2">
        <v>11</v>
      </c>
      <c r="C2" t="s">
        <v>136</v>
      </c>
      <c r="D2" t="s">
        <v>490</v>
      </c>
      <c r="E2">
        <v>25</v>
      </c>
      <c r="F2">
        <v>50</v>
      </c>
      <c r="G2">
        <f>-1*(E2-$L$2)</f>
        <v>0.99369747899159577</v>
      </c>
      <c r="K2" t="s">
        <v>816</v>
      </c>
      <c r="L2">
        <f>AVERAGE(E2:E510)</f>
        <v>25.993697478991596</v>
      </c>
    </row>
    <row r="3" spans="1:12" x14ac:dyDescent="0.35">
      <c r="A3" t="s">
        <v>192</v>
      </c>
      <c r="B3">
        <v>12</v>
      </c>
      <c r="C3" t="s">
        <v>122</v>
      </c>
      <c r="D3" t="s">
        <v>488</v>
      </c>
      <c r="E3">
        <v>25</v>
      </c>
      <c r="F3">
        <v>60</v>
      </c>
      <c r="G3">
        <f>-1*(E3-$L$2)</f>
        <v>0.99369747899159577</v>
      </c>
      <c r="K3" t="s">
        <v>817</v>
      </c>
      <c r="L3">
        <f>_xlfn.STDEV.P(E2:E510)</f>
        <v>3.4813371249260827</v>
      </c>
    </row>
    <row r="4" spans="1:12" x14ac:dyDescent="0.35">
      <c r="A4" t="s">
        <v>209</v>
      </c>
      <c r="B4">
        <v>14</v>
      </c>
      <c r="C4" t="s">
        <v>151</v>
      </c>
      <c r="D4" t="s">
        <v>550</v>
      </c>
      <c r="E4">
        <v>24</v>
      </c>
      <c r="F4">
        <v>50</v>
      </c>
      <c r="K4" t="s">
        <v>820</v>
      </c>
      <c r="L4">
        <f>AVERAGE(QB!D3:D74)</f>
        <v>27.444444444444443</v>
      </c>
    </row>
    <row r="5" spans="1:12" x14ac:dyDescent="0.35">
      <c r="A5" t="s">
        <v>203</v>
      </c>
      <c r="B5">
        <v>12</v>
      </c>
      <c r="C5" t="s">
        <v>162</v>
      </c>
      <c r="D5" t="s">
        <v>557</v>
      </c>
      <c r="E5">
        <v>24</v>
      </c>
      <c r="F5">
        <v>40</v>
      </c>
      <c r="K5" t="s">
        <v>821</v>
      </c>
      <c r="L5">
        <f>_xlfn.STDEV.P(QB!D3:D74)</f>
        <v>4.1853022411873892</v>
      </c>
    </row>
    <row r="6" spans="1:12" x14ac:dyDescent="0.35">
      <c r="A6" t="s">
        <v>196</v>
      </c>
      <c r="B6">
        <v>11</v>
      </c>
      <c r="C6" t="s">
        <v>273</v>
      </c>
      <c r="D6" t="s">
        <v>710</v>
      </c>
      <c r="E6">
        <v>22</v>
      </c>
      <c r="F6">
        <v>44</v>
      </c>
      <c r="K6" t="s">
        <v>822</v>
      </c>
      <c r="L6">
        <f>AVERAGE('RB'!D3:D132)</f>
        <v>24.857142857142858</v>
      </c>
    </row>
    <row r="7" spans="1:12" x14ac:dyDescent="0.35">
      <c r="A7" t="s">
        <v>213</v>
      </c>
      <c r="B7">
        <v>7</v>
      </c>
      <c r="C7" t="s">
        <v>275</v>
      </c>
      <c r="D7" t="s">
        <v>613</v>
      </c>
      <c r="E7">
        <v>23</v>
      </c>
      <c r="F7">
        <v>33</v>
      </c>
      <c r="K7" t="s">
        <v>823</v>
      </c>
    </row>
    <row r="8" spans="1:12" x14ac:dyDescent="0.35">
      <c r="A8" t="s">
        <v>204</v>
      </c>
      <c r="B8">
        <v>12</v>
      </c>
      <c r="C8" t="s">
        <v>156</v>
      </c>
      <c r="D8" t="s">
        <v>907</v>
      </c>
      <c r="E8">
        <v>21</v>
      </c>
      <c r="F8">
        <v>55</v>
      </c>
      <c r="K8" t="s">
        <v>824</v>
      </c>
      <c r="L8">
        <f>AVERAGE(WR!D3:D168)</f>
        <v>25.307692307692307</v>
      </c>
    </row>
    <row r="9" spans="1:12" x14ac:dyDescent="0.35">
      <c r="A9" t="s">
        <v>220</v>
      </c>
      <c r="B9">
        <v>10</v>
      </c>
      <c r="C9" t="s">
        <v>278</v>
      </c>
      <c r="D9" t="s">
        <v>590</v>
      </c>
      <c r="E9">
        <v>24</v>
      </c>
      <c r="F9">
        <v>33</v>
      </c>
      <c r="K9" t="s">
        <v>825</v>
      </c>
    </row>
    <row r="10" spans="1:12" x14ac:dyDescent="0.35">
      <c r="A10" t="s">
        <v>199</v>
      </c>
      <c r="B10">
        <v>7</v>
      </c>
      <c r="C10" t="s">
        <v>144</v>
      </c>
      <c r="D10" t="s">
        <v>724</v>
      </c>
      <c r="E10">
        <v>22</v>
      </c>
      <c r="F10">
        <v>22</v>
      </c>
      <c r="K10" t="s">
        <v>826</v>
      </c>
      <c r="L10">
        <f>AVERAGE(TE!D3:D114)</f>
        <v>25.776315789473685</v>
      </c>
    </row>
    <row r="11" spans="1:12" x14ac:dyDescent="0.35">
      <c r="A11" t="s">
        <v>218</v>
      </c>
      <c r="B11">
        <v>14</v>
      </c>
      <c r="C11" t="s">
        <v>109</v>
      </c>
      <c r="D11" t="s">
        <v>97</v>
      </c>
      <c r="E11">
        <v>28</v>
      </c>
      <c r="F11">
        <v>24</v>
      </c>
      <c r="K11" t="s">
        <v>827</v>
      </c>
    </row>
    <row r="12" spans="1:12" x14ac:dyDescent="0.35">
      <c r="A12" t="s">
        <v>201</v>
      </c>
      <c r="B12">
        <v>5</v>
      </c>
      <c r="C12" t="s">
        <v>274</v>
      </c>
      <c r="D12" t="s">
        <v>434</v>
      </c>
      <c r="E12">
        <v>27</v>
      </c>
      <c r="F12">
        <v>12</v>
      </c>
      <c r="K12" t="s">
        <v>818</v>
      </c>
      <c r="L12">
        <v>1.2</v>
      </c>
    </row>
    <row r="13" spans="1:12" x14ac:dyDescent="0.35">
      <c r="A13" t="s">
        <v>189</v>
      </c>
      <c r="B13">
        <v>10</v>
      </c>
      <c r="C13" t="s">
        <v>154</v>
      </c>
      <c r="D13" t="s">
        <v>789</v>
      </c>
      <c r="E13">
        <v>23</v>
      </c>
      <c r="F13">
        <v>8</v>
      </c>
      <c r="K13" t="s">
        <v>181</v>
      </c>
      <c r="L13">
        <v>60</v>
      </c>
    </row>
    <row r="14" spans="1:12" x14ac:dyDescent="0.35">
      <c r="A14" t="s">
        <v>219</v>
      </c>
      <c r="B14">
        <v>14</v>
      </c>
      <c r="C14" t="s">
        <v>121</v>
      </c>
      <c r="D14" t="s">
        <v>516</v>
      </c>
      <c r="E14">
        <v>25</v>
      </c>
      <c r="F14">
        <v>7</v>
      </c>
      <c r="K14" t="s">
        <v>819</v>
      </c>
    </row>
    <row r="15" spans="1:12" x14ac:dyDescent="0.35">
      <c r="A15" t="s">
        <v>194</v>
      </c>
      <c r="B15">
        <v>14</v>
      </c>
      <c r="C15" t="s">
        <v>276</v>
      </c>
      <c r="D15" t="s">
        <v>908</v>
      </c>
      <c r="E15">
        <v>21</v>
      </c>
      <c r="F15">
        <v>6</v>
      </c>
    </row>
    <row r="16" spans="1:12" x14ac:dyDescent="0.35">
      <c r="A16" t="s">
        <v>205</v>
      </c>
      <c r="B16">
        <v>12</v>
      </c>
      <c r="C16" t="s">
        <v>155</v>
      </c>
      <c r="D16" t="s">
        <v>102</v>
      </c>
      <c r="E16">
        <v>30</v>
      </c>
      <c r="F16">
        <v>1</v>
      </c>
    </row>
    <row r="17" spans="1:6" x14ac:dyDescent="0.35">
      <c r="A17" t="s">
        <v>210</v>
      </c>
      <c r="B17">
        <v>6</v>
      </c>
      <c r="C17" t="s">
        <v>124</v>
      </c>
      <c r="D17" t="s">
        <v>589</v>
      </c>
      <c r="E17">
        <v>24</v>
      </c>
      <c r="F17">
        <v>2</v>
      </c>
    </row>
    <row r="18" spans="1:6" x14ac:dyDescent="0.35">
      <c r="A18" t="s">
        <v>478</v>
      </c>
      <c r="B18">
        <v>10</v>
      </c>
      <c r="C18" t="s">
        <v>477</v>
      </c>
      <c r="D18" t="s">
        <v>614</v>
      </c>
      <c r="E18">
        <v>25</v>
      </c>
      <c r="F18">
        <v>3</v>
      </c>
    </row>
    <row r="19" spans="1:6" x14ac:dyDescent="0.35">
      <c r="A19" t="s">
        <v>200</v>
      </c>
      <c r="B19">
        <v>5</v>
      </c>
      <c r="C19" t="s">
        <v>150</v>
      </c>
      <c r="D19" t="s">
        <v>725</v>
      </c>
      <c r="E19">
        <v>23</v>
      </c>
      <c r="F19">
        <v>7</v>
      </c>
    </row>
    <row r="20" spans="1:6" x14ac:dyDescent="0.35">
      <c r="A20" t="s">
        <v>216</v>
      </c>
      <c r="B20">
        <v>6</v>
      </c>
      <c r="C20" t="s">
        <v>130</v>
      </c>
      <c r="D20" t="s">
        <v>780</v>
      </c>
      <c r="E20">
        <v>22</v>
      </c>
      <c r="F20">
        <v>8</v>
      </c>
    </row>
    <row r="21" spans="1:6" x14ac:dyDescent="0.35">
      <c r="A21" t="s">
        <v>212</v>
      </c>
      <c r="B21">
        <v>6</v>
      </c>
      <c r="C21" t="s">
        <v>118</v>
      </c>
      <c r="D21" t="s">
        <v>552</v>
      </c>
      <c r="E21">
        <v>25</v>
      </c>
    </row>
    <row r="22" spans="1:6" x14ac:dyDescent="0.35">
      <c r="A22" t="s">
        <v>211</v>
      </c>
      <c r="B22">
        <v>6</v>
      </c>
      <c r="C22" t="s">
        <v>131</v>
      </c>
      <c r="D22" t="s">
        <v>588</v>
      </c>
      <c r="E22">
        <v>23</v>
      </c>
    </row>
    <row r="23" spans="1:6" x14ac:dyDescent="0.35">
      <c r="A23" t="s">
        <v>190</v>
      </c>
      <c r="B23">
        <v>14</v>
      </c>
      <c r="C23" t="s">
        <v>125</v>
      </c>
      <c r="D23" t="s">
        <v>492</v>
      </c>
      <c r="E23">
        <v>26</v>
      </c>
    </row>
    <row r="24" spans="1:6" x14ac:dyDescent="0.35">
      <c r="A24" t="s">
        <v>191</v>
      </c>
      <c r="B24">
        <v>12</v>
      </c>
      <c r="C24" t="s">
        <v>279</v>
      </c>
      <c r="D24" t="s">
        <v>342</v>
      </c>
      <c r="E24">
        <v>28</v>
      </c>
    </row>
    <row r="25" spans="1:6" x14ac:dyDescent="0.35">
      <c r="A25" t="s">
        <v>206</v>
      </c>
      <c r="B25">
        <v>11</v>
      </c>
      <c r="C25" t="s">
        <v>152</v>
      </c>
      <c r="D25" t="s">
        <v>551</v>
      </c>
      <c r="E25">
        <v>25</v>
      </c>
    </row>
    <row r="26" spans="1:6" x14ac:dyDescent="0.35">
      <c r="A26" t="s">
        <v>217</v>
      </c>
      <c r="B26">
        <v>12</v>
      </c>
      <c r="C26" t="s">
        <v>160</v>
      </c>
      <c r="D26" t="s">
        <v>351</v>
      </c>
      <c r="E26">
        <v>27</v>
      </c>
    </row>
    <row r="27" spans="1:6" x14ac:dyDescent="0.35">
      <c r="A27" t="s">
        <v>207</v>
      </c>
      <c r="B27">
        <v>5</v>
      </c>
      <c r="C27" t="s">
        <v>147</v>
      </c>
      <c r="D27" t="s">
        <v>531</v>
      </c>
      <c r="E27">
        <v>28</v>
      </c>
    </row>
    <row r="28" spans="1:6" x14ac:dyDescent="0.35">
      <c r="A28" t="s">
        <v>202</v>
      </c>
      <c r="B28">
        <v>9</v>
      </c>
      <c r="C28" t="s">
        <v>153</v>
      </c>
      <c r="D28" t="s">
        <v>912</v>
      </c>
      <c r="E28">
        <v>22</v>
      </c>
    </row>
    <row r="29" spans="1:6" x14ac:dyDescent="0.35">
      <c r="A29" t="s">
        <v>214</v>
      </c>
      <c r="B29">
        <v>9</v>
      </c>
      <c r="C29" t="s">
        <v>277</v>
      </c>
      <c r="D29" t="s">
        <v>491</v>
      </c>
      <c r="E29">
        <v>26</v>
      </c>
    </row>
    <row r="30" spans="1:6" x14ac:dyDescent="0.35">
      <c r="A30" t="s">
        <v>193</v>
      </c>
      <c r="B30">
        <v>10</v>
      </c>
      <c r="C30" t="s">
        <v>112</v>
      </c>
      <c r="D30" t="s">
        <v>585</v>
      </c>
      <c r="E30">
        <v>27</v>
      </c>
    </row>
    <row r="31" spans="1:6" x14ac:dyDescent="0.35">
      <c r="A31" t="s">
        <v>195</v>
      </c>
      <c r="B31">
        <v>11</v>
      </c>
      <c r="C31" t="s">
        <v>148</v>
      </c>
      <c r="D31" t="s">
        <v>586</v>
      </c>
      <c r="E31">
        <v>26</v>
      </c>
    </row>
    <row r="32" spans="1:6" x14ac:dyDescent="0.35">
      <c r="A32" t="s">
        <v>198</v>
      </c>
      <c r="B32">
        <v>5</v>
      </c>
      <c r="C32" t="s">
        <v>134</v>
      </c>
      <c r="D32" t="s">
        <v>559</v>
      </c>
      <c r="E32">
        <v>25</v>
      </c>
    </row>
    <row r="33" spans="1:5" x14ac:dyDescent="0.35">
      <c r="A33" t="s">
        <v>197</v>
      </c>
      <c r="B33">
        <v>14</v>
      </c>
      <c r="C33" t="s">
        <v>584</v>
      </c>
      <c r="D33" t="s">
        <v>626</v>
      </c>
      <c r="E33">
        <v>23</v>
      </c>
    </row>
    <row r="34" spans="1:5" x14ac:dyDescent="0.35">
      <c r="A34" t="s">
        <v>280</v>
      </c>
      <c r="B34">
        <v>0</v>
      </c>
      <c r="C34" t="s">
        <v>463</v>
      </c>
      <c r="D34" t="s">
        <v>634</v>
      </c>
      <c r="E34">
        <v>24</v>
      </c>
    </row>
    <row r="35" spans="1:5" x14ac:dyDescent="0.35">
      <c r="D35" t="s">
        <v>711</v>
      </c>
      <c r="E35">
        <v>23</v>
      </c>
    </row>
    <row r="36" spans="1:5" x14ac:dyDescent="0.35">
      <c r="D36" t="s">
        <v>779</v>
      </c>
      <c r="E36">
        <v>23</v>
      </c>
    </row>
    <row r="37" spans="1:5" x14ac:dyDescent="0.35">
      <c r="D37" t="s">
        <v>732</v>
      </c>
      <c r="E37">
        <v>22</v>
      </c>
    </row>
    <row r="38" spans="1:5" x14ac:dyDescent="0.35">
      <c r="D38" t="s">
        <v>617</v>
      </c>
      <c r="E38">
        <v>25</v>
      </c>
    </row>
    <row r="39" spans="1:5" x14ac:dyDescent="0.35">
      <c r="D39" t="s">
        <v>513</v>
      </c>
      <c r="E39">
        <v>25</v>
      </c>
    </row>
    <row r="40" spans="1:5" x14ac:dyDescent="0.35">
      <c r="D40" t="s">
        <v>629</v>
      </c>
      <c r="E40">
        <v>25</v>
      </c>
    </row>
    <row r="41" spans="1:5" x14ac:dyDescent="0.35">
      <c r="D41" t="s">
        <v>345</v>
      </c>
      <c r="E41">
        <v>27</v>
      </c>
    </row>
    <row r="42" spans="1:5" x14ac:dyDescent="0.35">
      <c r="D42" t="s">
        <v>493</v>
      </c>
      <c r="E42">
        <v>25</v>
      </c>
    </row>
    <row r="43" spans="1:5" x14ac:dyDescent="0.35">
      <c r="D43" t="s">
        <v>753</v>
      </c>
      <c r="E43">
        <v>22</v>
      </c>
    </row>
    <row r="44" spans="1:5" x14ac:dyDescent="0.35">
      <c r="D44" t="s">
        <v>861</v>
      </c>
      <c r="E44">
        <v>21</v>
      </c>
    </row>
    <row r="45" spans="1:5" x14ac:dyDescent="0.35">
      <c r="D45" t="s">
        <v>790</v>
      </c>
      <c r="E45">
        <v>24</v>
      </c>
    </row>
    <row r="46" spans="1:5" x14ac:dyDescent="0.35">
      <c r="D46" t="s">
        <v>615</v>
      </c>
      <c r="E46">
        <v>24</v>
      </c>
    </row>
    <row r="47" spans="1:5" x14ac:dyDescent="0.35">
      <c r="D47" t="s">
        <v>371</v>
      </c>
      <c r="E47">
        <v>28</v>
      </c>
    </row>
    <row r="48" spans="1:5" x14ac:dyDescent="0.35">
      <c r="D48" t="s">
        <v>712</v>
      </c>
      <c r="E48">
        <v>24</v>
      </c>
    </row>
    <row r="49" spans="4:5" x14ac:dyDescent="0.35">
      <c r="D49" t="s">
        <v>936</v>
      </c>
      <c r="E49">
        <v>21</v>
      </c>
    </row>
    <row r="50" spans="4:5" x14ac:dyDescent="0.35">
      <c r="D50" t="s">
        <v>597</v>
      </c>
      <c r="E50">
        <v>23</v>
      </c>
    </row>
    <row r="51" spans="4:5" x14ac:dyDescent="0.35">
      <c r="D51" t="s">
        <v>510</v>
      </c>
      <c r="E51">
        <v>27</v>
      </c>
    </row>
    <row r="52" spans="4:5" x14ac:dyDescent="0.35">
      <c r="D52" t="s">
        <v>567</v>
      </c>
      <c r="E52">
        <v>23</v>
      </c>
    </row>
    <row r="53" spans="4:5" x14ac:dyDescent="0.35">
      <c r="D53" t="s">
        <v>769</v>
      </c>
      <c r="E53">
        <v>22</v>
      </c>
    </row>
    <row r="54" spans="4:5" x14ac:dyDescent="0.35">
      <c r="D54" t="s">
        <v>734</v>
      </c>
      <c r="E54">
        <v>22</v>
      </c>
    </row>
    <row r="55" spans="4:5" x14ac:dyDescent="0.35">
      <c r="D55" t="s">
        <v>906</v>
      </c>
      <c r="E55">
        <v>28</v>
      </c>
    </row>
    <row r="56" spans="4:5" x14ac:dyDescent="0.35">
      <c r="D56" t="s">
        <v>421</v>
      </c>
      <c r="E56">
        <v>26</v>
      </c>
    </row>
    <row r="57" spans="4:5" x14ac:dyDescent="0.35">
      <c r="D57" t="s">
        <v>743</v>
      </c>
      <c r="E57">
        <v>24</v>
      </c>
    </row>
    <row r="58" spans="4:5" x14ac:dyDescent="0.35">
      <c r="D58" t="s">
        <v>862</v>
      </c>
      <c r="E58">
        <v>22</v>
      </c>
    </row>
    <row r="59" spans="4:5" x14ac:dyDescent="0.35">
      <c r="D59" t="s">
        <v>910</v>
      </c>
      <c r="E59">
        <v>21</v>
      </c>
    </row>
    <row r="60" spans="4:5" x14ac:dyDescent="0.35">
      <c r="D60" t="s">
        <v>852</v>
      </c>
      <c r="E60">
        <v>22</v>
      </c>
    </row>
    <row r="61" spans="4:5" x14ac:dyDescent="0.35">
      <c r="D61" t="s">
        <v>517</v>
      </c>
      <c r="E61">
        <v>25</v>
      </c>
    </row>
    <row r="62" spans="4:5" x14ac:dyDescent="0.35">
      <c r="D62" t="s">
        <v>98</v>
      </c>
      <c r="E62">
        <v>28</v>
      </c>
    </row>
    <row r="63" spans="4:5" x14ac:dyDescent="0.35">
      <c r="D63" t="s">
        <v>100</v>
      </c>
      <c r="E63">
        <v>31</v>
      </c>
    </row>
    <row r="64" spans="4:5" x14ac:dyDescent="0.35">
      <c r="D64" t="s">
        <v>448</v>
      </c>
      <c r="E64">
        <v>27</v>
      </c>
    </row>
    <row r="65" spans="4:5" x14ac:dyDescent="0.35">
      <c r="D65" t="s">
        <v>727</v>
      </c>
      <c r="E65">
        <v>24</v>
      </c>
    </row>
    <row r="66" spans="4:5" x14ac:dyDescent="0.35">
      <c r="D66" t="s">
        <v>99</v>
      </c>
      <c r="E66">
        <v>34</v>
      </c>
    </row>
    <row r="67" spans="4:5" x14ac:dyDescent="0.35">
      <c r="D67" t="s">
        <v>545</v>
      </c>
      <c r="E67">
        <v>26</v>
      </c>
    </row>
    <row r="68" spans="4:5" x14ac:dyDescent="0.35">
      <c r="D68" t="s">
        <v>412</v>
      </c>
      <c r="E68">
        <v>26</v>
      </c>
    </row>
    <row r="69" spans="4:5" x14ac:dyDescent="0.35">
      <c r="D69" t="s">
        <v>90</v>
      </c>
      <c r="E69">
        <v>30</v>
      </c>
    </row>
    <row r="70" spans="4:5" x14ac:dyDescent="0.35">
      <c r="D70" t="s">
        <v>514</v>
      </c>
      <c r="E70">
        <v>25</v>
      </c>
    </row>
    <row r="71" spans="4:5" x14ac:dyDescent="0.35">
      <c r="D71" t="s">
        <v>911</v>
      </c>
      <c r="E71">
        <v>22</v>
      </c>
    </row>
    <row r="72" spans="4:5" x14ac:dyDescent="0.35">
      <c r="D72" t="s">
        <v>107</v>
      </c>
      <c r="E72">
        <v>30</v>
      </c>
    </row>
    <row r="73" spans="4:5" x14ac:dyDescent="0.35">
      <c r="D73" t="s">
        <v>257</v>
      </c>
      <c r="E73">
        <v>30</v>
      </c>
    </row>
    <row r="74" spans="4:5" x14ac:dyDescent="0.35">
      <c r="D74" t="s">
        <v>914</v>
      </c>
      <c r="E74">
        <v>21</v>
      </c>
    </row>
    <row r="75" spans="4:5" x14ac:dyDescent="0.35">
      <c r="D75" t="s">
        <v>512</v>
      </c>
      <c r="E75">
        <v>26</v>
      </c>
    </row>
    <row r="76" spans="4:5" x14ac:dyDescent="0.35">
      <c r="D76" t="s">
        <v>362</v>
      </c>
      <c r="E76">
        <v>27</v>
      </c>
    </row>
    <row r="77" spans="4:5" x14ac:dyDescent="0.35">
      <c r="D77" t="s">
        <v>851</v>
      </c>
      <c r="E77">
        <v>23</v>
      </c>
    </row>
    <row r="78" spans="4:5" x14ac:dyDescent="0.35">
      <c r="D78" t="s">
        <v>120</v>
      </c>
      <c r="E78">
        <v>30</v>
      </c>
    </row>
    <row r="79" spans="4:5" x14ac:dyDescent="0.35">
      <c r="D79" t="s">
        <v>422</v>
      </c>
      <c r="E79">
        <v>27</v>
      </c>
    </row>
    <row r="80" spans="4:5" x14ac:dyDescent="0.35">
      <c r="D80" t="s">
        <v>92</v>
      </c>
      <c r="E80">
        <v>30</v>
      </c>
    </row>
    <row r="81" spans="4:5" x14ac:dyDescent="0.35">
      <c r="D81" t="s">
        <v>239</v>
      </c>
      <c r="E81">
        <v>31</v>
      </c>
    </row>
    <row r="82" spans="4:5" x14ac:dyDescent="0.35">
      <c r="D82" t="s">
        <v>435</v>
      </c>
      <c r="E82">
        <v>28</v>
      </c>
    </row>
    <row r="83" spans="4:5" x14ac:dyDescent="0.35">
      <c r="D83" t="s">
        <v>427</v>
      </c>
      <c r="E83">
        <v>27</v>
      </c>
    </row>
    <row r="84" spans="4:5" x14ac:dyDescent="0.35">
      <c r="D84" t="s">
        <v>145</v>
      </c>
      <c r="E84">
        <v>29</v>
      </c>
    </row>
    <row r="85" spans="4:5" x14ac:dyDescent="0.35">
      <c r="D85" t="s">
        <v>229</v>
      </c>
      <c r="E85">
        <v>29</v>
      </c>
    </row>
    <row r="86" spans="4:5" x14ac:dyDescent="0.35">
      <c r="D86" t="s">
        <v>437</v>
      </c>
      <c r="E86">
        <v>28</v>
      </c>
    </row>
    <row r="87" spans="4:5" x14ac:dyDescent="0.35">
      <c r="D87" t="s">
        <v>532</v>
      </c>
      <c r="E87">
        <v>24</v>
      </c>
    </row>
    <row r="88" spans="4:5" x14ac:dyDescent="0.35">
      <c r="D88" t="s">
        <v>540</v>
      </c>
      <c r="E88">
        <v>26</v>
      </c>
    </row>
    <row r="89" spans="4:5" x14ac:dyDescent="0.35">
      <c r="D89" t="s">
        <v>541</v>
      </c>
      <c r="E89">
        <v>24</v>
      </c>
    </row>
    <row r="90" spans="4:5" x14ac:dyDescent="0.35">
      <c r="D90" t="s">
        <v>775</v>
      </c>
      <c r="E90">
        <v>23</v>
      </c>
    </row>
    <row r="91" spans="4:5" x14ac:dyDescent="0.35">
      <c r="D91" t="s">
        <v>142</v>
      </c>
      <c r="E91">
        <v>28</v>
      </c>
    </row>
    <row r="92" spans="4:5" x14ac:dyDescent="0.35">
      <c r="D92" t="s">
        <v>913</v>
      </c>
      <c r="E92">
        <v>21</v>
      </c>
    </row>
    <row r="93" spans="4:5" x14ac:dyDescent="0.35">
      <c r="D93" t="s">
        <v>240</v>
      </c>
      <c r="E93">
        <v>28</v>
      </c>
    </row>
    <row r="94" spans="4:5" x14ac:dyDescent="0.35">
      <c r="D94" t="s">
        <v>595</v>
      </c>
      <c r="E94">
        <v>25</v>
      </c>
    </row>
    <row r="95" spans="4:5" x14ac:dyDescent="0.35">
      <c r="D95" t="s">
        <v>621</v>
      </c>
      <c r="E95">
        <v>24</v>
      </c>
    </row>
    <row r="96" spans="4:5" x14ac:dyDescent="0.35">
      <c r="D96" t="s">
        <v>115</v>
      </c>
      <c r="E96">
        <v>31</v>
      </c>
    </row>
    <row r="97" spans="4:5" x14ac:dyDescent="0.35">
      <c r="D97" t="s">
        <v>638</v>
      </c>
      <c r="E97">
        <v>25</v>
      </c>
    </row>
    <row r="98" spans="4:5" x14ac:dyDescent="0.35">
      <c r="D98" t="s">
        <v>620</v>
      </c>
      <c r="E98">
        <v>25</v>
      </c>
    </row>
    <row r="99" spans="4:5" x14ac:dyDescent="0.35">
      <c r="D99" t="s">
        <v>764</v>
      </c>
      <c r="E99">
        <v>24</v>
      </c>
    </row>
    <row r="100" spans="4:5" x14ac:dyDescent="0.35">
      <c r="D100" t="s">
        <v>359</v>
      </c>
      <c r="E100">
        <v>29</v>
      </c>
    </row>
    <row r="101" spans="4:5" x14ac:dyDescent="0.35">
      <c r="D101" t="s">
        <v>688</v>
      </c>
      <c r="E101">
        <v>25</v>
      </c>
    </row>
    <row r="102" spans="4:5" x14ac:dyDescent="0.35">
      <c r="D102" t="s">
        <v>909</v>
      </c>
      <c r="E102">
        <v>27</v>
      </c>
    </row>
    <row r="103" spans="4:5" x14ac:dyDescent="0.35">
      <c r="D103" t="s">
        <v>923</v>
      </c>
      <c r="E103">
        <v>23</v>
      </c>
    </row>
    <row r="104" spans="4:5" x14ac:dyDescent="0.35">
      <c r="D104" t="s">
        <v>101</v>
      </c>
      <c r="E104">
        <v>32</v>
      </c>
    </row>
    <row r="105" spans="4:5" x14ac:dyDescent="0.35">
      <c r="D105" t="s">
        <v>863</v>
      </c>
      <c r="E105">
        <v>23</v>
      </c>
    </row>
    <row r="106" spans="4:5" x14ac:dyDescent="0.35">
      <c r="D106" t="s">
        <v>511</v>
      </c>
      <c r="E106">
        <v>26</v>
      </c>
    </row>
    <row r="107" spans="4:5" x14ac:dyDescent="0.35">
      <c r="D107" t="s">
        <v>232</v>
      </c>
      <c r="E107">
        <v>29</v>
      </c>
    </row>
    <row r="108" spans="4:5" x14ac:dyDescent="0.35">
      <c r="D108" t="s">
        <v>370</v>
      </c>
      <c r="E108">
        <v>29</v>
      </c>
    </row>
    <row r="109" spans="4:5" x14ac:dyDescent="0.35">
      <c r="D109" t="s">
        <v>596</v>
      </c>
      <c r="E109">
        <v>23</v>
      </c>
    </row>
    <row r="110" spans="4:5" x14ac:dyDescent="0.35">
      <c r="D110" t="s">
        <v>916</v>
      </c>
      <c r="E110">
        <v>23</v>
      </c>
    </row>
    <row r="111" spans="4:5" x14ac:dyDescent="0.35">
      <c r="D111" t="s">
        <v>360</v>
      </c>
      <c r="E111">
        <v>28</v>
      </c>
    </row>
    <row r="112" spans="4:5" x14ac:dyDescent="0.35">
      <c r="D112" t="s">
        <v>215</v>
      </c>
      <c r="E112">
        <v>29</v>
      </c>
    </row>
    <row r="113" spans="4:5" x14ac:dyDescent="0.35">
      <c r="D113" t="s">
        <v>569</v>
      </c>
      <c r="E113">
        <v>25</v>
      </c>
    </row>
    <row r="114" spans="4:5" x14ac:dyDescent="0.35">
      <c r="D114" t="s">
        <v>917</v>
      </c>
      <c r="E114">
        <v>21</v>
      </c>
    </row>
    <row r="115" spans="4:5" x14ac:dyDescent="0.35">
      <c r="D115" t="s">
        <v>767</v>
      </c>
      <c r="E115">
        <v>23</v>
      </c>
    </row>
    <row r="116" spans="4:5" x14ac:dyDescent="0.35">
      <c r="D116" t="s">
        <v>853</v>
      </c>
      <c r="E116">
        <v>21</v>
      </c>
    </row>
    <row r="117" spans="4:5" x14ac:dyDescent="0.35">
      <c r="D117" t="s">
        <v>855</v>
      </c>
      <c r="E117">
        <v>21</v>
      </c>
    </row>
    <row r="118" spans="4:5" x14ac:dyDescent="0.35">
      <c r="D118" t="s">
        <v>736</v>
      </c>
      <c r="E118">
        <v>22</v>
      </c>
    </row>
    <row r="119" spans="4:5" x14ac:dyDescent="0.35">
      <c r="D119" t="s">
        <v>93</v>
      </c>
      <c r="E119">
        <v>32</v>
      </c>
    </row>
    <row r="120" spans="4:5" x14ac:dyDescent="0.35">
      <c r="D120" t="s">
        <v>864</v>
      </c>
      <c r="E120">
        <v>23</v>
      </c>
    </row>
    <row r="121" spans="4:5" x14ac:dyDescent="0.35">
      <c r="D121" t="s">
        <v>230</v>
      </c>
      <c r="E121">
        <v>29</v>
      </c>
    </row>
    <row r="122" spans="4:5" x14ac:dyDescent="0.35">
      <c r="D122" t="s">
        <v>937</v>
      </c>
      <c r="E122">
        <v>22</v>
      </c>
    </row>
    <row r="123" spans="4:5" x14ac:dyDescent="0.35">
      <c r="D123" t="s">
        <v>480</v>
      </c>
      <c r="E123">
        <v>25</v>
      </c>
    </row>
    <row r="124" spans="4:5" x14ac:dyDescent="0.35">
      <c r="D124" t="s">
        <v>426</v>
      </c>
      <c r="E124">
        <v>26</v>
      </c>
    </row>
    <row r="125" spans="4:5" x14ac:dyDescent="0.35">
      <c r="D125" t="s">
        <v>594</v>
      </c>
      <c r="E125">
        <v>24</v>
      </c>
    </row>
    <row r="126" spans="4:5" x14ac:dyDescent="0.35">
      <c r="D126" t="s">
        <v>354</v>
      </c>
      <c r="E126">
        <v>28</v>
      </c>
    </row>
    <row r="127" spans="4:5" x14ac:dyDescent="0.35">
      <c r="D127" t="s">
        <v>758</v>
      </c>
      <c r="E127">
        <v>22</v>
      </c>
    </row>
    <row r="128" spans="4:5" x14ac:dyDescent="0.35">
      <c r="D128" t="s">
        <v>376</v>
      </c>
      <c r="E128">
        <v>28</v>
      </c>
    </row>
    <row r="129" spans="4:5" x14ac:dyDescent="0.35">
      <c r="D129" t="s">
        <v>604</v>
      </c>
      <c r="E129">
        <v>24</v>
      </c>
    </row>
    <row r="130" spans="4:5" x14ac:dyDescent="0.35">
      <c r="D130" t="s">
        <v>920</v>
      </c>
      <c r="E130">
        <v>23</v>
      </c>
    </row>
    <row r="131" spans="4:5" x14ac:dyDescent="0.35">
      <c r="D131" t="s">
        <v>729</v>
      </c>
      <c r="E131">
        <v>23</v>
      </c>
    </row>
    <row r="132" spans="4:5" x14ac:dyDescent="0.35">
      <c r="D132" t="s">
        <v>713</v>
      </c>
      <c r="E132">
        <v>23</v>
      </c>
    </row>
    <row r="133" spans="4:5" x14ac:dyDescent="0.35">
      <c r="D133" t="s">
        <v>489</v>
      </c>
      <c r="E133">
        <v>25</v>
      </c>
    </row>
    <row r="134" spans="4:5" x14ac:dyDescent="0.35">
      <c r="D134" t="s">
        <v>137</v>
      </c>
      <c r="E134">
        <v>28</v>
      </c>
    </row>
    <row r="135" spans="4:5" x14ac:dyDescent="0.35">
      <c r="D135" t="s">
        <v>466</v>
      </c>
      <c r="E135">
        <v>27</v>
      </c>
    </row>
    <row r="136" spans="4:5" x14ac:dyDescent="0.35">
      <c r="D136" t="s">
        <v>919</v>
      </c>
      <c r="E136">
        <v>22</v>
      </c>
    </row>
    <row r="137" spans="4:5" x14ac:dyDescent="0.35">
      <c r="D137" t="s">
        <v>717</v>
      </c>
      <c r="E137">
        <v>24</v>
      </c>
    </row>
    <row r="138" spans="4:5" x14ac:dyDescent="0.35">
      <c r="D138" t="s">
        <v>520</v>
      </c>
      <c r="E138">
        <v>26</v>
      </c>
    </row>
    <row r="139" spans="4:5" x14ac:dyDescent="0.35">
      <c r="D139" t="s">
        <v>922</v>
      </c>
      <c r="E139">
        <v>21</v>
      </c>
    </row>
    <row r="140" spans="4:5" x14ac:dyDescent="0.35">
      <c r="D140" t="s">
        <v>355</v>
      </c>
      <c r="E140">
        <v>29</v>
      </c>
    </row>
    <row r="141" spans="4:5" x14ac:dyDescent="0.35">
      <c r="D141" t="s">
        <v>865</v>
      </c>
      <c r="E141">
        <v>21</v>
      </c>
    </row>
    <row r="142" spans="4:5" x14ac:dyDescent="0.35">
      <c r="D142" t="s">
        <v>627</v>
      </c>
      <c r="E142">
        <v>24</v>
      </c>
    </row>
    <row r="143" spans="4:5" x14ac:dyDescent="0.35">
      <c r="D143" t="s">
        <v>233</v>
      </c>
      <c r="E143">
        <v>32</v>
      </c>
    </row>
    <row r="144" spans="4:5" x14ac:dyDescent="0.35">
      <c r="D144" t="s">
        <v>774</v>
      </c>
      <c r="E144">
        <v>25</v>
      </c>
    </row>
    <row r="145" spans="4:5" x14ac:dyDescent="0.35">
      <c r="D145" t="s">
        <v>643</v>
      </c>
      <c r="E145">
        <v>24</v>
      </c>
    </row>
    <row r="146" spans="4:5" x14ac:dyDescent="0.35">
      <c r="D146" t="s">
        <v>722</v>
      </c>
      <c r="E146">
        <v>22</v>
      </c>
    </row>
    <row r="147" spans="4:5" x14ac:dyDescent="0.35">
      <c r="D147" t="s">
        <v>728</v>
      </c>
      <c r="E147">
        <v>23</v>
      </c>
    </row>
    <row r="148" spans="4:5" x14ac:dyDescent="0.35">
      <c r="D148" t="s">
        <v>918</v>
      </c>
      <c r="E148">
        <v>23</v>
      </c>
    </row>
    <row r="149" spans="4:5" x14ac:dyDescent="0.35">
      <c r="D149" t="s">
        <v>344</v>
      </c>
      <c r="E149">
        <v>29</v>
      </c>
    </row>
    <row r="150" spans="4:5" x14ac:dyDescent="0.35">
      <c r="D150" t="s">
        <v>785</v>
      </c>
      <c r="E150">
        <v>25</v>
      </c>
    </row>
    <row r="151" spans="4:5" x14ac:dyDescent="0.35">
      <c r="D151" t="s">
        <v>745</v>
      </c>
      <c r="E151">
        <v>23</v>
      </c>
    </row>
    <row r="152" spans="4:5" x14ac:dyDescent="0.35">
      <c r="D152" t="s">
        <v>139</v>
      </c>
      <c r="E152">
        <v>31</v>
      </c>
    </row>
    <row r="153" spans="4:5" x14ac:dyDescent="0.35">
      <c r="D153" t="s">
        <v>578</v>
      </c>
      <c r="E153">
        <v>24</v>
      </c>
    </row>
    <row r="154" spans="4:5" x14ac:dyDescent="0.35">
      <c r="D154" t="s">
        <v>868</v>
      </c>
      <c r="E154">
        <v>24</v>
      </c>
    </row>
    <row r="155" spans="4:5" x14ac:dyDescent="0.35">
      <c r="D155" t="s">
        <v>746</v>
      </c>
      <c r="E155">
        <v>22</v>
      </c>
    </row>
    <row r="156" spans="4:5" x14ac:dyDescent="0.35">
      <c r="D156" t="s">
        <v>119</v>
      </c>
      <c r="E156">
        <v>35</v>
      </c>
    </row>
    <row r="157" spans="4:5" x14ac:dyDescent="0.35">
      <c r="D157" t="s">
        <v>854</v>
      </c>
      <c r="E157">
        <v>24</v>
      </c>
    </row>
    <row r="158" spans="4:5" x14ac:dyDescent="0.35">
      <c r="D158" t="s">
        <v>730</v>
      </c>
      <c r="E158">
        <v>23</v>
      </c>
    </row>
    <row r="159" spans="4:5" x14ac:dyDescent="0.35">
      <c r="D159" t="s">
        <v>129</v>
      </c>
      <c r="E159">
        <v>36</v>
      </c>
    </row>
    <row r="160" spans="4:5" x14ac:dyDescent="0.35">
      <c r="D160" t="s">
        <v>759</v>
      </c>
      <c r="E160">
        <v>25</v>
      </c>
    </row>
    <row r="161" spans="4:5" x14ac:dyDescent="0.35">
      <c r="D161" t="s">
        <v>716</v>
      </c>
      <c r="E161">
        <v>23</v>
      </c>
    </row>
    <row r="162" spans="4:5" x14ac:dyDescent="0.35">
      <c r="D162" t="s">
        <v>633</v>
      </c>
      <c r="E162">
        <v>25</v>
      </c>
    </row>
    <row r="163" spans="4:5" x14ac:dyDescent="0.35">
      <c r="D163" t="s">
        <v>880</v>
      </c>
      <c r="E163">
        <v>22</v>
      </c>
    </row>
    <row r="164" spans="4:5" x14ac:dyDescent="0.35">
      <c r="D164" t="s">
        <v>544</v>
      </c>
      <c r="E164">
        <v>25</v>
      </c>
    </row>
    <row r="165" spans="4:5" x14ac:dyDescent="0.35">
      <c r="D165" t="s">
        <v>607</v>
      </c>
      <c r="E165">
        <v>24</v>
      </c>
    </row>
    <row r="166" spans="4:5" x14ac:dyDescent="0.35">
      <c r="D166" t="s">
        <v>939</v>
      </c>
      <c r="E166">
        <v>21</v>
      </c>
    </row>
    <row r="167" spans="4:5" x14ac:dyDescent="0.35">
      <c r="D167" t="s">
        <v>127</v>
      </c>
      <c r="E167">
        <v>29</v>
      </c>
    </row>
    <row r="168" spans="4:5" x14ac:dyDescent="0.35">
      <c r="D168" t="s">
        <v>447</v>
      </c>
      <c r="E168">
        <v>26</v>
      </c>
    </row>
    <row r="169" spans="4:5" x14ac:dyDescent="0.35">
      <c r="D169" t="s">
        <v>406</v>
      </c>
      <c r="E169">
        <v>29</v>
      </c>
    </row>
    <row r="170" spans="4:5" x14ac:dyDescent="0.35">
      <c r="D170" t="s">
        <v>709</v>
      </c>
      <c r="E170">
        <v>24</v>
      </c>
    </row>
    <row r="171" spans="4:5" x14ac:dyDescent="0.35">
      <c r="D171" t="s">
        <v>647</v>
      </c>
      <c r="E171">
        <v>24</v>
      </c>
    </row>
    <row r="172" spans="4:5" x14ac:dyDescent="0.35">
      <c r="D172" t="s">
        <v>921</v>
      </c>
      <c r="E172">
        <v>22</v>
      </c>
    </row>
    <row r="173" spans="4:5" x14ac:dyDescent="0.35">
      <c r="D173" t="s">
        <v>619</v>
      </c>
      <c r="E173">
        <v>24</v>
      </c>
    </row>
    <row r="174" spans="4:5" x14ac:dyDescent="0.35">
      <c r="D174" t="s">
        <v>236</v>
      </c>
      <c r="E174">
        <v>27</v>
      </c>
    </row>
    <row r="175" spans="4:5" x14ac:dyDescent="0.35">
      <c r="D175" t="s">
        <v>857</v>
      </c>
      <c r="E175">
        <v>24</v>
      </c>
    </row>
    <row r="176" spans="4:5" x14ac:dyDescent="0.35">
      <c r="D176" t="s">
        <v>933</v>
      </c>
      <c r="E176">
        <v>22</v>
      </c>
    </row>
    <row r="177" spans="4:5" x14ac:dyDescent="0.35">
      <c r="D177" t="s">
        <v>499</v>
      </c>
      <c r="E177">
        <v>26</v>
      </c>
    </row>
    <row r="178" spans="4:5" x14ac:dyDescent="0.35">
      <c r="D178" t="s">
        <v>915</v>
      </c>
      <c r="E178">
        <v>23</v>
      </c>
    </row>
    <row r="179" spans="4:5" x14ac:dyDescent="0.35">
      <c r="D179" t="s">
        <v>96</v>
      </c>
      <c r="E179">
        <v>30</v>
      </c>
    </row>
    <row r="180" spans="4:5" x14ac:dyDescent="0.35">
      <c r="D180" t="s">
        <v>602</v>
      </c>
      <c r="E180">
        <v>23</v>
      </c>
    </row>
    <row r="181" spans="4:5" x14ac:dyDescent="0.35">
      <c r="D181" t="s">
        <v>553</v>
      </c>
      <c r="E181">
        <v>24</v>
      </c>
    </row>
    <row r="182" spans="4:5" x14ac:dyDescent="0.35">
      <c r="D182" t="s">
        <v>548</v>
      </c>
      <c r="E182">
        <v>26</v>
      </c>
    </row>
    <row r="183" spans="4:5" x14ac:dyDescent="0.35">
      <c r="D183" t="s">
        <v>534</v>
      </c>
      <c r="E183">
        <v>25</v>
      </c>
    </row>
    <row r="184" spans="4:5" x14ac:dyDescent="0.35">
      <c r="D184" t="s">
        <v>554</v>
      </c>
      <c r="E184">
        <v>24</v>
      </c>
    </row>
    <row r="185" spans="4:5" x14ac:dyDescent="0.35">
      <c r="D185" t="s">
        <v>830</v>
      </c>
      <c r="E185">
        <v>23</v>
      </c>
    </row>
    <row r="186" spans="4:5" x14ac:dyDescent="0.35">
      <c r="D186" t="s">
        <v>88</v>
      </c>
      <c r="E186">
        <v>29</v>
      </c>
    </row>
    <row r="187" spans="4:5" x14ac:dyDescent="0.35">
      <c r="D187" t="s">
        <v>869</v>
      </c>
      <c r="E187">
        <v>21</v>
      </c>
    </row>
    <row r="188" spans="4:5" x14ac:dyDescent="0.35">
      <c r="D188" t="s">
        <v>787</v>
      </c>
      <c r="E188">
        <v>22</v>
      </c>
    </row>
    <row r="189" spans="4:5" x14ac:dyDescent="0.35">
      <c r="D189" t="s">
        <v>502</v>
      </c>
      <c r="E189">
        <v>26</v>
      </c>
    </row>
    <row r="190" spans="4:5" x14ac:dyDescent="0.35">
      <c r="D190" t="s">
        <v>222</v>
      </c>
      <c r="E190">
        <v>33</v>
      </c>
    </row>
    <row r="191" spans="4:5" x14ac:dyDescent="0.35">
      <c r="D191" t="s">
        <v>782</v>
      </c>
      <c r="E191">
        <v>22</v>
      </c>
    </row>
    <row r="192" spans="4:5" x14ac:dyDescent="0.35">
      <c r="D192" t="s">
        <v>866</v>
      </c>
      <c r="E192">
        <v>24</v>
      </c>
    </row>
    <row r="193" spans="4:5" x14ac:dyDescent="0.35">
      <c r="D193" t="s">
        <v>635</v>
      </c>
      <c r="E193">
        <v>24</v>
      </c>
    </row>
    <row r="194" spans="4:5" x14ac:dyDescent="0.35">
      <c r="D194" t="s">
        <v>616</v>
      </c>
      <c r="E194">
        <v>24</v>
      </c>
    </row>
    <row r="195" spans="4:5" x14ac:dyDescent="0.35">
      <c r="D195" t="s">
        <v>871</v>
      </c>
      <c r="E195">
        <v>20</v>
      </c>
    </row>
    <row r="196" spans="4:5" x14ac:dyDescent="0.35">
      <c r="D196" t="s">
        <v>95</v>
      </c>
      <c r="E196">
        <v>40</v>
      </c>
    </row>
    <row r="197" spans="4:5" x14ac:dyDescent="0.35">
      <c r="D197" t="s">
        <v>519</v>
      </c>
      <c r="E197">
        <v>25</v>
      </c>
    </row>
    <row r="198" spans="4:5" x14ac:dyDescent="0.35">
      <c r="D198" t="s">
        <v>562</v>
      </c>
      <c r="E198">
        <v>27</v>
      </c>
    </row>
    <row r="199" spans="4:5" x14ac:dyDescent="0.35">
      <c r="D199" t="s">
        <v>628</v>
      </c>
      <c r="E199">
        <v>26</v>
      </c>
    </row>
    <row r="200" spans="4:5" x14ac:dyDescent="0.35">
      <c r="D200" t="s">
        <v>587</v>
      </c>
      <c r="E200">
        <v>24</v>
      </c>
    </row>
    <row r="201" spans="4:5" x14ac:dyDescent="0.35">
      <c r="D201" t="s">
        <v>138</v>
      </c>
      <c r="E201">
        <v>33</v>
      </c>
    </row>
    <row r="202" spans="4:5" x14ac:dyDescent="0.35">
      <c r="D202" t="s">
        <v>925</v>
      </c>
      <c r="E202">
        <v>22</v>
      </c>
    </row>
    <row r="203" spans="4:5" x14ac:dyDescent="0.35">
      <c r="D203" t="s">
        <v>529</v>
      </c>
      <c r="E203">
        <v>26</v>
      </c>
    </row>
    <row r="204" spans="4:5" x14ac:dyDescent="0.35">
      <c r="D204" t="s">
        <v>446</v>
      </c>
      <c r="E204">
        <v>29</v>
      </c>
    </row>
    <row r="205" spans="4:5" x14ac:dyDescent="0.35">
      <c r="D205" t="s">
        <v>414</v>
      </c>
      <c r="E205">
        <v>27</v>
      </c>
    </row>
    <row r="206" spans="4:5" x14ac:dyDescent="0.35">
      <c r="D206" t="s">
        <v>938</v>
      </c>
      <c r="E206">
        <v>23</v>
      </c>
    </row>
    <row r="207" spans="4:5" x14ac:dyDescent="0.35">
      <c r="D207" t="s">
        <v>924</v>
      </c>
      <c r="E207">
        <v>23</v>
      </c>
    </row>
    <row r="208" spans="4:5" x14ac:dyDescent="0.35">
      <c r="D208" t="s">
        <v>715</v>
      </c>
      <c r="E208">
        <v>23</v>
      </c>
    </row>
    <row r="209" spans="4:5" x14ac:dyDescent="0.35">
      <c r="D209" t="s">
        <v>546</v>
      </c>
      <c r="E209">
        <v>26</v>
      </c>
    </row>
    <row r="210" spans="4:5" x14ac:dyDescent="0.35">
      <c r="D210" t="s">
        <v>238</v>
      </c>
      <c r="E210">
        <v>29</v>
      </c>
    </row>
    <row r="211" spans="4:5" x14ac:dyDescent="0.35">
      <c r="D211" t="s">
        <v>873</v>
      </c>
      <c r="E211">
        <v>21</v>
      </c>
    </row>
    <row r="212" spans="4:5" x14ac:dyDescent="0.35">
      <c r="D212" t="s">
        <v>867</v>
      </c>
      <c r="E212">
        <v>20</v>
      </c>
    </row>
    <row r="213" spans="4:5" x14ac:dyDescent="0.35">
      <c r="D213" t="s">
        <v>632</v>
      </c>
      <c r="E213">
        <v>25</v>
      </c>
    </row>
    <row r="214" spans="4:5" x14ac:dyDescent="0.35">
      <c r="D214" t="s">
        <v>877</v>
      </c>
      <c r="E214">
        <v>24</v>
      </c>
    </row>
    <row r="215" spans="4:5" x14ac:dyDescent="0.35">
      <c r="D215" t="s">
        <v>143</v>
      </c>
      <c r="E215">
        <v>29</v>
      </c>
    </row>
    <row r="216" spans="4:5" x14ac:dyDescent="0.35">
      <c r="D216" t="s">
        <v>144</v>
      </c>
      <c r="E216" t="s">
        <v>815</v>
      </c>
    </row>
    <row r="217" spans="4:5" x14ac:dyDescent="0.35">
      <c r="D217" t="s">
        <v>151</v>
      </c>
      <c r="E217" t="s">
        <v>815</v>
      </c>
    </row>
    <row r="218" spans="4:5" x14ac:dyDescent="0.35">
      <c r="D218" t="s">
        <v>739</v>
      </c>
      <c r="E218">
        <v>22</v>
      </c>
    </row>
    <row r="219" spans="4:5" x14ac:dyDescent="0.35">
      <c r="D219" t="s">
        <v>89</v>
      </c>
      <c r="E219">
        <v>31</v>
      </c>
    </row>
    <row r="220" spans="4:5" x14ac:dyDescent="0.35">
      <c r="D220" t="s">
        <v>106</v>
      </c>
      <c r="E220">
        <v>35</v>
      </c>
    </row>
    <row r="221" spans="4:5" x14ac:dyDescent="0.35">
      <c r="D221" t="s">
        <v>794</v>
      </c>
      <c r="E221">
        <v>23</v>
      </c>
    </row>
    <row r="222" spans="4:5" x14ac:dyDescent="0.35">
      <c r="D222" t="s">
        <v>162</v>
      </c>
      <c r="E222" t="s">
        <v>815</v>
      </c>
    </row>
    <row r="223" spans="4:5" x14ac:dyDescent="0.35">
      <c r="D223" t="s">
        <v>258</v>
      </c>
      <c r="E223">
        <v>28</v>
      </c>
    </row>
    <row r="224" spans="4:5" x14ac:dyDescent="0.35">
      <c r="D224" t="s">
        <v>350</v>
      </c>
      <c r="E224">
        <v>33</v>
      </c>
    </row>
    <row r="225" spans="4:5" x14ac:dyDescent="0.35">
      <c r="D225" t="s">
        <v>277</v>
      </c>
      <c r="E225" t="s">
        <v>815</v>
      </c>
    </row>
    <row r="226" spans="4:5" x14ac:dyDescent="0.35">
      <c r="D226" t="s">
        <v>719</v>
      </c>
      <c r="E226">
        <v>24</v>
      </c>
    </row>
    <row r="227" spans="4:5" x14ac:dyDescent="0.35">
      <c r="D227" t="s">
        <v>424</v>
      </c>
      <c r="E227">
        <v>26</v>
      </c>
    </row>
    <row r="228" spans="4:5" x14ac:dyDescent="0.35">
      <c r="D228" t="s">
        <v>117</v>
      </c>
      <c r="E228">
        <v>33</v>
      </c>
    </row>
    <row r="229" spans="4:5" x14ac:dyDescent="0.35">
      <c r="D229" t="s">
        <v>591</v>
      </c>
      <c r="E229">
        <v>27</v>
      </c>
    </row>
    <row r="230" spans="4:5" x14ac:dyDescent="0.35">
      <c r="D230" t="s">
        <v>879</v>
      </c>
      <c r="E230">
        <v>24</v>
      </c>
    </row>
    <row r="231" spans="4:5" x14ac:dyDescent="0.35">
      <c r="D231" t="s">
        <v>926</v>
      </c>
      <c r="E231">
        <v>23</v>
      </c>
    </row>
    <row r="232" spans="4:5" x14ac:dyDescent="0.35">
      <c r="D232" t="s">
        <v>110</v>
      </c>
      <c r="E232">
        <v>34</v>
      </c>
    </row>
    <row r="233" spans="4:5" x14ac:dyDescent="0.35">
      <c r="D233" t="s">
        <v>160</v>
      </c>
      <c r="E233" t="s">
        <v>815</v>
      </c>
    </row>
    <row r="234" spans="4:5" x14ac:dyDescent="0.35">
      <c r="D234" t="s">
        <v>527</v>
      </c>
      <c r="E234">
        <v>26</v>
      </c>
    </row>
    <row r="235" spans="4:5" x14ac:dyDescent="0.35">
      <c r="D235" t="s">
        <v>423</v>
      </c>
      <c r="E235">
        <v>27</v>
      </c>
    </row>
    <row r="236" spans="4:5" x14ac:dyDescent="0.35">
      <c r="D236" t="s">
        <v>598</v>
      </c>
      <c r="E236">
        <v>24</v>
      </c>
    </row>
    <row r="237" spans="4:5" x14ac:dyDescent="0.35">
      <c r="D237" t="s">
        <v>271</v>
      </c>
      <c r="E237">
        <v>29</v>
      </c>
    </row>
    <row r="238" spans="4:5" x14ac:dyDescent="0.35">
      <c r="D238" t="s">
        <v>792</v>
      </c>
      <c r="E238">
        <v>24</v>
      </c>
    </row>
    <row r="239" spans="4:5" x14ac:dyDescent="0.35">
      <c r="D239" t="s">
        <v>153</v>
      </c>
      <c r="E239" t="s">
        <v>815</v>
      </c>
    </row>
    <row r="240" spans="4:5" x14ac:dyDescent="0.35">
      <c r="D240" t="s">
        <v>256</v>
      </c>
      <c r="E240">
        <v>30</v>
      </c>
    </row>
    <row r="241" spans="4:5" x14ac:dyDescent="0.35">
      <c r="D241" t="s">
        <v>555</v>
      </c>
      <c r="E241">
        <v>24</v>
      </c>
    </row>
    <row r="242" spans="4:5" x14ac:dyDescent="0.35">
      <c r="D242" t="s">
        <v>796</v>
      </c>
      <c r="E242">
        <v>24</v>
      </c>
    </row>
    <row r="243" spans="4:5" x14ac:dyDescent="0.35">
      <c r="D243" t="s">
        <v>364</v>
      </c>
      <c r="E243">
        <v>29</v>
      </c>
    </row>
    <row r="244" spans="4:5" x14ac:dyDescent="0.35">
      <c r="D244" t="s">
        <v>452</v>
      </c>
      <c r="E244">
        <v>27</v>
      </c>
    </row>
    <row r="245" spans="4:5" x14ac:dyDescent="0.35">
      <c r="D245" t="s">
        <v>503</v>
      </c>
      <c r="E245">
        <v>27</v>
      </c>
    </row>
    <row r="246" spans="4:5" x14ac:dyDescent="0.35">
      <c r="D246" t="s">
        <v>438</v>
      </c>
      <c r="E246">
        <v>27</v>
      </c>
    </row>
    <row r="247" spans="4:5" x14ac:dyDescent="0.35">
      <c r="D247" t="s">
        <v>147</v>
      </c>
      <c r="E247" t="s">
        <v>815</v>
      </c>
    </row>
    <row r="248" spans="4:5" x14ac:dyDescent="0.35">
      <c r="D248" t="s">
        <v>543</v>
      </c>
      <c r="E248">
        <v>25</v>
      </c>
    </row>
    <row r="249" spans="4:5" x14ac:dyDescent="0.35">
      <c r="D249" t="s">
        <v>479</v>
      </c>
      <c r="E249">
        <v>27</v>
      </c>
    </row>
    <row r="250" spans="4:5" x14ac:dyDescent="0.35">
      <c r="D250" t="s">
        <v>124</v>
      </c>
      <c r="E250" t="s">
        <v>815</v>
      </c>
    </row>
    <row r="251" spans="4:5" x14ac:dyDescent="0.35">
      <c r="D251" t="s">
        <v>929</v>
      </c>
      <c r="E251">
        <v>23</v>
      </c>
    </row>
    <row r="252" spans="4:5" x14ac:dyDescent="0.35">
      <c r="D252" t="s">
        <v>530</v>
      </c>
      <c r="E252">
        <v>25</v>
      </c>
    </row>
    <row r="253" spans="4:5" x14ac:dyDescent="0.35">
      <c r="D253" t="s">
        <v>255</v>
      </c>
      <c r="E253">
        <v>31</v>
      </c>
    </row>
    <row r="254" spans="4:5" x14ac:dyDescent="0.35">
      <c r="D254" t="s">
        <v>228</v>
      </c>
      <c r="E254">
        <v>28</v>
      </c>
    </row>
    <row r="255" spans="4:5" x14ac:dyDescent="0.35">
      <c r="D255" t="s">
        <v>278</v>
      </c>
      <c r="E255" t="s">
        <v>815</v>
      </c>
    </row>
    <row r="256" spans="4:5" x14ac:dyDescent="0.35">
      <c r="D256" t="s">
        <v>515</v>
      </c>
      <c r="E256">
        <v>25</v>
      </c>
    </row>
    <row r="257" spans="4:5" x14ac:dyDescent="0.35">
      <c r="D257" t="s">
        <v>593</v>
      </c>
      <c r="E257">
        <v>23</v>
      </c>
    </row>
    <row r="258" spans="4:5" x14ac:dyDescent="0.35">
      <c r="D258" t="s">
        <v>247</v>
      </c>
      <c r="E258">
        <v>28</v>
      </c>
    </row>
    <row r="259" spans="4:5" x14ac:dyDescent="0.35">
      <c r="D259" t="s">
        <v>270</v>
      </c>
      <c r="E259">
        <v>29</v>
      </c>
    </row>
    <row r="260" spans="4:5" x14ac:dyDescent="0.35">
      <c r="D260" t="s">
        <v>735</v>
      </c>
      <c r="E260">
        <v>23</v>
      </c>
    </row>
    <row r="261" spans="4:5" x14ac:dyDescent="0.35">
      <c r="D261" t="s">
        <v>558</v>
      </c>
      <c r="E261">
        <v>25</v>
      </c>
    </row>
    <row r="262" spans="4:5" x14ac:dyDescent="0.35">
      <c r="D262" t="s">
        <v>947</v>
      </c>
      <c r="E262">
        <v>23</v>
      </c>
    </row>
    <row r="263" spans="4:5" x14ac:dyDescent="0.35">
      <c r="D263" t="s">
        <v>509</v>
      </c>
      <c r="E263">
        <v>28</v>
      </c>
    </row>
    <row r="264" spans="4:5" x14ac:dyDescent="0.35">
      <c r="D264" t="s">
        <v>109</v>
      </c>
      <c r="E264" t="s">
        <v>815</v>
      </c>
    </row>
    <row r="265" spans="4:5" x14ac:dyDescent="0.35">
      <c r="D265" t="s">
        <v>1011</v>
      </c>
      <c r="E265">
        <v>23</v>
      </c>
    </row>
    <row r="266" spans="4:5" x14ac:dyDescent="0.35">
      <c r="D266" t="s">
        <v>377</v>
      </c>
      <c r="E266">
        <v>29</v>
      </c>
    </row>
    <row r="267" spans="4:5" x14ac:dyDescent="0.35">
      <c r="D267" t="s">
        <v>380</v>
      </c>
      <c r="E267">
        <v>28</v>
      </c>
    </row>
    <row r="268" spans="4:5" x14ac:dyDescent="0.35">
      <c r="D268" t="s">
        <v>561</v>
      </c>
      <c r="E268">
        <v>24</v>
      </c>
    </row>
    <row r="269" spans="4:5" x14ac:dyDescent="0.35">
      <c r="D269" t="s">
        <v>469</v>
      </c>
      <c r="E269">
        <v>30</v>
      </c>
    </row>
    <row r="270" spans="4:5" x14ac:dyDescent="0.35">
      <c r="D270" t="s">
        <v>878</v>
      </c>
      <c r="E270">
        <v>23</v>
      </c>
    </row>
    <row r="271" spans="4:5" x14ac:dyDescent="0.35">
      <c r="D271" t="s">
        <v>583</v>
      </c>
      <c r="E271">
        <v>23</v>
      </c>
    </row>
    <row r="272" spans="4:5" x14ac:dyDescent="0.35">
      <c r="D272" t="s">
        <v>126</v>
      </c>
      <c r="E272">
        <v>29</v>
      </c>
    </row>
    <row r="273" spans="4:5" x14ac:dyDescent="0.35">
      <c r="D273" t="s">
        <v>243</v>
      </c>
      <c r="E273">
        <v>29</v>
      </c>
    </row>
    <row r="274" spans="4:5" x14ac:dyDescent="0.35">
      <c r="D274" t="s">
        <v>91</v>
      </c>
      <c r="E274">
        <v>31</v>
      </c>
    </row>
    <row r="275" spans="4:5" x14ac:dyDescent="0.35">
      <c r="D275" t="s">
        <v>125</v>
      </c>
      <c r="E275" t="s">
        <v>815</v>
      </c>
    </row>
    <row r="276" spans="4:5" x14ac:dyDescent="0.35">
      <c r="D276" t="s">
        <v>445</v>
      </c>
      <c r="E276">
        <v>26</v>
      </c>
    </row>
    <row r="277" spans="4:5" x14ac:dyDescent="0.35">
      <c r="D277" t="s">
        <v>116</v>
      </c>
      <c r="E277">
        <v>28</v>
      </c>
    </row>
    <row r="278" spans="4:5" x14ac:dyDescent="0.35">
      <c r="D278" t="s">
        <v>268</v>
      </c>
      <c r="E278">
        <v>33</v>
      </c>
    </row>
    <row r="279" spans="4:5" x14ac:dyDescent="0.35">
      <c r="D279" t="s">
        <v>762</v>
      </c>
      <c r="E279">
        <v>21</v>
      </c>
    </row>
    <row r="280" spans="4:5" x14ac:dyDescent="0.35">
      <c r="D280" t="s">
        <v>870</v>
      </c>
      <c r="E280">
        <v>22</v>
      </c>
    </row>
    <row r="281" spans="4:5" x14ac:dyDescent="0.35">
      <c r="D281" t="s">
        <v>154</v>
      </c>
      <c r="E281" t="s">
        <v>815</v>
      </c>
    </row>
    <row r="282" spans="4:5" x14ac:dyDescent="0.35">
      <c r="D282" t="s">
        <v>368</v>
      </c>
      <c r="E282">
        <v>28</v>
      </c>
    </row>
    <row r="283" spans="4:5" x14ac:dyDescent="0.35">
      <c r="D283" t="s">
        <v>155</v>
      </c>
      <c r="E283" t="s">
        <v>815</v>
      </c>
    </row>
    <row r="284" spans="4:5" x14ac:dyDescent="0.35">
      <c r="D284" t="s">
        <v>829</v>
      </c>
      <c r="E284">
        <v>29</v>
      </c>
    </row>
    <row r="285" spans="4:5" x14ac:dyDescent="0.35">
      <c r="D285" t="s">
        <v>781</v>
      </c>
      <c r="E285">
        <v>23</v>
      </c>
    </row>
    <row r="286" spans="4:5" x14ac:dyDescent="0.35">
      <c r="D286" t="s">
        <v>637</v>
      </c>
      <c r="E286">
        <v>23</v>
      </c>
    </row>
    <row r="287" spans="4:5" x14ac:dyDescent="0.35">
      <c r="D287" t="s">
        <v>241</v>
      </c>
      <c r="E287">
        <v>27</v>
      </c>
    </row>
    <row r="288" spans="4:5" x14ac:dyDescent="0.35">
      <c r="D288" t="s">
        <v>148</v>
      </c>
      <c r="E288" t="s">
        <v>815</v>
      </c>
    </row>
    <row r="289" spans="4:5" x14ac:dyDescent="0.35">
      <c r="D289" t="s">
        <v>164</v>
      </c>
      <c r="E289">
        <v>33</v>
      </c>
    </row>
    <row r="290" spans="4:5" x14ac:dyDescent="0.35">
      <c r="D290" t="s">
        <v>766</v>
      </c>
      <c r="E290">
        <v>24</v>
      </c>
    </row>
    <row r="291" spans="4:5" x14ac:dyDescent="0.35">
      <c r="D291" t="s">
        <v>1009</v>
      </c>
      <c r="E291">
        <v>22</v>
      </c>
    </row>
    <row r="292" spans="4:5" x14ac:dyDescent="0.35">
      <c r="D292" t="s">
        <v>378</v>
      </c>
      <c r="E292">
        <v>29</v>
      </c>
    </row>
    <row r="293" spans="4:5" x14ac:dyDescent="0.35">
      <c r="D293" t="s">
        <v>733</v>
      </c>
      <c r="E293">
        <v>24</v>
      </c>
    </row>
    <row r="294" spans="4:5" x14ac:dyDescent="0.35">
      <c r="D294" t="s">
        <v>460</v>
      </c>
      <c r="E294">
        <v>30</v>
      </c>
    </row>
    <row r="295" spans="4:5" x14ac:dyDescent="0.35">
      <c r="D295" t="s">
        <v>942</v>
      </c>
      <c r="E295">
        <v>24</v>
      </c>
    </row>
    <row r="296" spans="4:5" x14ac:dyDescent="0.35">
      <c r="D296" t="s">
        <v>379</v>
      </c>
      <c r="E296">
        <v>30</v>
      </c>
    </row>
    <row r="297" spans="4:5" x14ac:dyDescent="0.35">
      <c r="D297" t="s">
        <v>542</v>
      </c>
      <c r="E297">
        <v>25</v>
      </c>
    </row>
    <row r="298" spans="4:5" x14ac:dyDescent="0.35">
      <c r="D298" t="s">
        <v>113</v>
      </c>
      <c r="E298">
        <v>28</v>
      </c>
    </row>
    <row r="299" spans="4:5" x14ac:dyDescent="0.35">
      <c r="D299" t="s">
        <v>747</v>
      </c>
      <c r="E299">
        <v>24</v>
      </c>
    </row>
    <row r="300" spans="4:5" x14ac:dyDescent="0.35">
      <c r="D300" t="s">
        <v>425</v>
      </c>
      <c r="E300">
        <v>26</v>
      </c>
    </row>
    <row r="301" spans="4:5" x14ac:dyDescent="0.35">
      <c r="D301" t="s">
        <v>467</v>
      </c>
      <c r="E301">
        <v>28</v>
      </c>
    </row>
    <row r="302" spans="4:5" x14ac:dyDescent="0.35">
      <c r="D302" t="s">
        <v>518</v>
      </c>
      <c r="E302">
        <v>25</v>
      </c>
    </row>
    <row r="303" spans="4:5" x14ac:dyDescent="0.35">
      <c r="D303" t="s">
        <v>592</v>
      </c>
      <c r="E303">
        <v>25</v>
      </c>
    </row>
    <row r="304" spans="4:5" x14ac:dyDescent="0.35">
      <c r="D304" t="s">
        <v>150</v>
      </c>
      <c r="E304" t="s">
        <v>815</v>
      </c>
    </row>
    <row r="305" spans="4:5" x14ac:dyDescent="0.35">
      <c r="D305" t="s">
        <v>760</v>
      </c>
      <c r="E305">
        <v>24</v>
      </c>
    </row>
    <row r="306" spans="4:5" x14ac:dyDescent="0.35">
      <c r="D306" t="s">
        <v>279</v>
      </c>
      <c r="E306" t="s">
        <v>815</v>
      </c>
    </row>
    <row r="307" spans="4:5" x14ac:dyDescent="0.35">
      <c r="D307" t="s">
        <v>245</v>
      </c>
      <c r="E307">
        <v>29</v>
      </c>
    </row>
    <row r="308" spans="4:5" x14ac:dyDescent="0.35">
      <c r="D308" t="s">
        <v>276</v>
      </c>
      <c r="E308" t="s">
        <v>815</v>
      </c>
    </row>
    <row r="309" spans="4:5" x14ac:dyDescent="0.35">
      <c r="D309" t="s">
        <v>837</v>
      </c>
      <c r="E309">
        <v>25</v>
      </c>
    </row>
    <row r="310" spans="4:5" x14ac:dyDescent="0.35">
      <c r="D310" t="s">
        <v>487</v>
      </c>
      <c r="E310">
        <v>25</v>
      </c>
    </row>
    <row r="311" spans="4:5" x14ac:dyDescent="0.35">
      <c r="D311" t="s">
        <v>156</v>
      </c>
      <c r="E311" t="s">
        <v>815</v>
      </c>
    </row>
    <row r="312" spans="4:5" x14ac:dyDescent="0.35">
      <c r="D312" t="s">
        <v>744</v>
      </c>
      <c r="E312">
        <v>23</v>
      </c>
    </row>
    <row r="313" spans="4:5" x14ac:dyDescent="0.35">
      <c r="D313" t="s">
        <v>1010</v>
      </c>
      <c r="E313">
        <v>23</v>
      </c>
    </row>
    <row r="314" spans="4:5" x14ac:dyDescent="0.35">
      <c r="D314" t="s">
        <v>624</v>
      </c>
      <c r="E314">
        <v>25</v>
      </c>
    </row>
    <row r="315" spans="4:5" x14ac:dyDescent="0.35">
      <c r="D315" t="s">
        <v>793</v>
      </c>
      <c r="E315">
        <v>22</v>
      </c>
    </row>
    <row r="316" spans="4:5" x14ac:dyDescent="0.35">
      <c r="D316" t="s">
        <v>118</v>
      </c>
      <c r="E316" t="s">
        <v>815</v>
      </c>
    </row>
    <row r="317" spans="4:5" x14ac:dyDescent="0.35">
      <c r="D317" t="s">
        <v>123</v>
      </c>
      <c r="E317">
        <v>33</v>
      </c>
    </row>
    <row r="318" spans="4:5" x14ac:dyDescent="0.35">
      <c r="D318" t="s">
        <v>770</v>
      </c>
      <c r="E318">
        <v>22</v>
      </c>
    </row>
    <row r="319" spans="4:5" x14ac:dyDescent="0.35">
      <c r="D319" t="s">
        <v>369</v>
      </c>
      <c r="E319">
        <v>30</v>
      </c>
    </row>
    <row r="320" spans="4:5" x14ac:dyDescent="0.35">
      <c r="D320" t="s">
        <v>777</v>
      </c>
      <c r="E320">
        <v>25</v>
      </c>
    </row>
    <row r="321" spans="4:5" x14ac:dyDescent="0.35">
      <c r="D321" t="s">
        <v>343</v>
      </c>
      <c r="E321">
        <v>27</v>
      </c>
    </row>
    <row r="322" spans="4:5" x14ac:dyDescent="0.35">
      <c r="D322" t="s">
        <v>501</v>
      </c>
      <c r="E322">
        <v>25</v>
      </c>
    </row>
    <row r="323" spans="4:5" x14ac:dyDescent="0.35">
      <c r="D323" t="s">
        <v>131</v>
      </c>
      <c r="E323" t="s">
        <v>815</v>
      </c>
    </row>
    <row r="324" spans="4:5" x14ac:dyDescent="0.35">
      <c r="D324" t="s">
        <v>612</v>
      </c>
      <c r="E324">
        <v>25</v>
      </c>
    </row>
    <row r="325" spans="4:5" x14ac:dyDescent="0.35">
      <c r="D325" t="s">
        <v>721</v>
      </c>
      <c r="E325">
        <v>25</v>
      </c>
    </row>
    <row r="326" spans="4:5" x14ac:dyDescent="0.35">
      <c r="D326" t="s">
        <v>932</v>
      </c>
      <c r="E326">
        <v>23</v>
      </c>
    </row>
    <row r="327" spans="4:5" x14ac:dyDescent="0.35">
      <c r="D327" t="s">
        <v>128</v>
      </c>
      <c r="E327">
        <v>33</v>
      </c>
    </row>
    <row r="328" spans="4:5" x14ac:dyDescent="0.35">
      <c r="D328" t="s">
        <v>459</v>
      </c>
      <c r="E328">
        <v>29</v>
      </c>
    </row>
    <row r="329" spans="4:5" x14ac:dyDescent="0.35">
      <c r="D329" t="s">
        <v>584</v>
      </c>
      <c r="E329" t="s">
        <v>815</v>
      </c>
    </row>
    <row r="330" spans="4:5" x14ac:dyDescent="0.35">
      <c r="D330" t="s">
        <v>361</v>
      </c>
      <c r="E330">
        <v>28</v>
      </c>
    </row>
    <row r="331" spans="4:5" x14ac:dyDescent="0.35">
      <c r="D331" t="s">
        <v>952</v>
      </c>
      <c r="E331">
        <v>23</v>
      </c>
    </row>
    <row r="332" spans="4:5" x14ac:dyDescent="0.35">
      <c r="D332" t="s">
        <v>740</v>
      </c>
      <c r="E332">
        <v>22</v>
      </c>
    </row>
    <row r="333" spans="4:5" x14ac:dyDescent="0.35">
      <c r="D333" t="s">
        <v>720</v>
      </c>
      <c r="E333">
        <v>22</v>
      </c>
    </row>
    <row r="334" spans="4:5" x14ac:dyDescent="0.35">
      <c r="D334" t="s">
        <v>461</v>
      </c>
      <c r="E334">
        <v>30</v>
      </c>
    </row>
    <row r="335" spans="4:5" x14ac:dyDescent="0.35">
      <c r="D335" t="s">
        <v>159</v>
      </c>
      <c r="E335">
        <v>32</v>
      </c>
    </row>
    <row r="336" spans="4:5" x14ac:dyDescent="0.35">
      <c r="D336" t="s">
        <v>934</v>
      </c>
      <c r="E336">
        <v>23</v>
      </c>
    </row>
    <row r="337" spans="4:5" x14ac:dyDescent="0.35">
      <c r="D337" t="s">
        <v>927</v>
      </c>
      <c r="E337">
        <v>23</v>
      </c>
    </row>
    <row r="338" spans="4:5" x14ac:dyDescent="0.35">
      <c r="D338" t="s">
        <v>860</v>
      </c>
      <c r="E338">
        <v>23</v>
      </c>
    </row>
    <row r="339" spans="4:5" x14ac:dyDescent="0.35">
      <c r="D339" t="s">
        <v>949</v>
      </c>
      <c r="E339">
        <v>23</v>
      </c>
    </row>
    <row r="340" spans="4:5" x14ac:dyDescent="0.35">
      <c r="D340" t="s">
        <v>577</v>
      </c>
      <c r="E340">
        <v>26</v>
      </c>
    </row>
    <row r="341" spans="4:5" x14ac:dyDescent="0.35">
      <c r="D341" t="s">
        <v>353</v>
      </c>
      <c r="E341">
        <v>28</v>
      </c>
    </row>
    <row r="342" spans="4:5" x14ac:dyDescent="0.35">
      <c r="D342" t="s">
        <v>346</v>
      </c>
      <c r="E342">
        <v>31</v>
      </c>
    </row>
    <row r="343" spans="4:5" x14ac:dyDescent="0.35">
      <c r="D343" t="s">
        <v>269</v>
      </c>
      <c r="E343">
        <v>36</v>
      </c>
    </row>
    <row r="344" spans="4:5" x14ac:dyDescent="0.35">
      <c r="D344" t="s">
        <v>836</v>
      </c>
      <c r="E344">
        <v>28</v>
      </c>
    </row>
    <row r="345" spans="4:5" x14ac:dyDescent="0.35">
      <c r="D345" t="s">
        <v>130</v>
      </c>
      <c r="E345" t="s">
        <v>815</v>
      </c>
    </row>
    <row r="346" spans="4:5" x14ac:dyDescent="0.35">
      <c r="D346" t="s">
        <v>571</v>
      </c>
      <c r="E346">
        <v>25</v>
      </c>
    </row>
    <row r="347" spans="4:5" x14ac:dyDescent="0.35">
      <c r="D347" t="s">
        <v>618</v>
      </c>
      <c r="E347">
        <v>22</v>
      </c>
    </row>
    <row r="348" spans="4:5" x14ac:dyDescent="0.35">
      <c r="D348" t="s">
        <v>763</v>
      </c>
      <c r="E348">
        <v>22</v>
      </c>
    </row>
    <row r="349" spans="4:5" x14ac:dyDescent="0.35">
      <c r="D349" t="s">
        <v>104</v>
      </c>
      <c r="E349">
        <v>28</v>
      </c>
    </row>
    <row r="350" spans="4:5" x14ac:dyDescent="0.35">
      <c r="D350" t="s">
        <v>536</v>
      </c>
      <c r="E350">
        <v>25</v>
      </c>
    </row>
    <row r="351" spans="4:5" x14ac:dyDescent="0.35">
      <c r="D351" t="s">
        <v>476</v>
      </c>
      <c r="E351">
        <v>28</v>
      </c>
    </row>
    <row r="352" spans="4:5" x14ac:dyDescent="0.35">
      <c r="D352" t="s">
        <v>146</v>
      </c>
      <c r="E352">
        <v>30</v>
      </c>
    </row>
    <row r="353" spans="4:5" x14ac:dyDescent="0.35">
      <c r="D353" t="s">
        <v>701</v>
      </c>
      <c r="E353">
        <v>25</v>
      </c>
    </row>
    <row r="354" spans="4:5" x14ac:dyDescent="0.35">
      <c r="D354" t="s">
        <v>572</v>
      </c>
      <c r="E354">
        <v>24</v>
      </c>
    </row>
    <row r="355" spans="4:5" x14ac:dyDescent="0.35">
      <c r="D355" t="s">
        <v>994</v>
      </c>
      <c r="E355">
        <v>24</v>
      </c>
    </row>
    <row r="356" spans="4:5" x14ac:dyDescent="0.35">
      <c r="D356" t="s">
        <v>442</v>
      </c>
      <c r="E356">
        <v>28</v>
      </c>
    </row>
    <row r="357" spans="4:5" x14ac:dyDescent="0.35">
      <c r="D357" t="s">
        <v>882</v>
      </c>
      <c r="E357">
        <v>24</v>
      </c>
    </row>
    <row r="358" spans="4:5" x14ac:dyDescent="0.35">
      <c r="D358" t="s">
        <v>227</v>
      </c>
      <c r="E358">
        <v>32</v>
      </c>
    </row>
    <row r="359" spans="4:5" x14ac:dyDescent="0.35">
      <c r="D359" t="s">
        <v>723</v>
      </c>
      <c r="E359">
        <v>26</v>
      </c>
    </row>
    <row r="360" spans="4:5" x14ac:dyDescent="0.35">
      <c r="D360" t="s">
        <v>568</v>
      </c>
      <c r="E360">
        <v>26</v>
      </c>
    </row>
    <row r="361" spans="4:5" x14ac:dyDescent="0.35">
      <c r="D361" t="s">
        <v>275</v>
      </c>
      <c r="E361" t="s">
        <v>815</v>
      </c>
    </row>
    <row r="362" spans="4:5" x14ac:dyDescent="0.35">
      <c r="D362" t="s">
        <v>450</v>
      </c>
      <c r="E362">
        <v>25</v>
      </c>
    </row>
    <row r="363" spans="4:5" x14ac:dyDescent="0.35">
      <c r="D363" t="s">
        <v>606</v>
      </c>
      <c r="E363">
        <v>23</v>
      </c>
    </row>
    <row r="364" spans="4:5" x14ac:dyDescent="0.35">
      <c r="D364" t="s">
        <v>580</v>
      </c>
      <c r="E364">
        <v>26</v>
      </c>
    </row>
    <row r="365" spans="4:5" x14ac:dyDescent="0.35">
      <c r="D365" t="s">
        <v>157</v>
      </c>
      <c r="E365">
        <v>33</v>
      </c>
    </row>
    <row r="366" spans="4:5" x14ac:dyDescent="0.35">
      <c r="D366" t="s">
        <v>649</v>
      </c>
      <c r="E366">
        <v>23</v>
      </c>
    </row>
    <row r="367" spans="4:5" x14ac:dyDescent="0.35">
      <c r="D367" t="s">
        <v>494</v>
      </c>
      <c r="E367">
        <v>26</v>
      </c>
    </row>
    <row r="368" spans="4:5" x14ac:dyDescent="0.35">
      <c r="D368" t="s">
        <v>158</v>
      </c>
      <c r="E368">
        <v>39</v>
      </c>
    </row>
    <row r="369" spans="4:5" x14ac:dyDescent="0.35">
      <c r="D369" t="s">
        <v>112</v>
      </c>
      <c r="E369" t="s">
        <v>815</v>
      </c>
    </row>
    <row r="370" spans="4:5" x14ac:dyDescent="0.35">
      <c r="D370" t="s">
        <v>605</v>
      </c>
      <c r="E370">
        <v>25</v>
      </c>
    </row>
    <row r="371" spans="4:5" x14ac:dyDescent="0.35">
      <c r="D371" t="s">
        <v>273</v>
      </c>
      <c r="E371" t="s">
        <v>815</v>
      </c>
    </row>
    <row r="372" spans="4:5" x14ac:dyDescent="0.35">
      <c r="D372" t="s">
        <v>535</v>
      </c>
      <c r="E372">
        <v>24</v>
      </c>
    </row>
    <row r="373" spans="4:5" x14ac:dyDescent="0.35">
      <c r="D373" t="s">
        <v>224</v>
      </c>
      <c r="E373">
        <v>32</v>
      </c>
    </row>
    <row r="374" spans="4:5" x14ac:dyDescent="0.35">
      <c r="D374" t="s">
        <v>152</v>
      </c>
      <c r="E374" t="s">
        <v>815</v>
      </c>
    </row>
    <row r="375" spans="4:5" x14ac:dyDescent="0.35">
      <c r="D375" t="s">
        <v>373</v>
      </c>
      <c r="E375">
        <v>28</v>
      </c>
    </row>
    <row r="376" spans="4:5" x14ac:dyDescent="0.35">
      <c r="D376" t="s">
        <v>468</v>
      </c>
      <c r="E376">
        <v>39</v>
      </c>
    </row>
    <row r="377" spans="4:5" x14ac:dyDescent="0.35">
      <c r="D377" t="s">
        <v>260</v>
      </c>
      <c r="E377">
        <v>33</v>
      </c>
    </row>
    <row r="378" spans="4:5" x14ac:dyDescent="0.35">
      <c r="D378" t="s">
        <v>161</v>
      </c>
      <c r="E378">
        <v>37</v>
      </c>
    </row>
    <row r="379" spans="4:5" x14ac:dyDescent="0.35">
      <c r="D379" t="s">
        <v>707</v>
      </c>
      <c r="E379">
        <v>25</v>
      </c>
    </row>
    <row r="380" spans="4:5" x14ac:dyDescent="0.35">
      <c r="D380" t="s">
        <v>791</v>
      </c>
      <c r="E380">
        <v>24</v>
      </c>
    </row>
    <row r="381" spans="4:5" x14ac:dyDescent="0.35">
      <c r="D381" t="s">
        <v>274</v>
      </c>
      <c r="E381" t="s">
        <v>815</v>
      </c>
    </row>
    <row r="382" spans="4:5" x14ac:dyDescent="0.35">
      <c r="D382" t="s">
        <v>506</v>
      </c>
      <c r="E382">
        <v>27</v>
      </c>
    </row>
    <row r="383" spans="4:5" x14ac:dyDescent="0.35">
      <c r="D383" t="s">
        <v>441</v>
      </c>
      <c r="E383">
        <v>29</v>
      </c>
    </row>
    <row r="384" spans="4:5" x14ac:dyDescent="0.35">
      <c r="D384" t="s">
        <v>1076</v>
      </c>
      <c r="E384">
        <v>22</v>
      </c>
    </row>
    <row r="385" spans="4:5" x14ac:dyDescent="0.35">
      <c r="D385" t="s">
        <v>134</v>
      </c>
      <c r="E385" t="s">
        <v>815</v>
      </c>
    </row>
    <row r="386" spans="4:5" x14ac:dyDescent="0.35">
      <c r="D386" t="s">
        <v>163</v>
      </c>
      <c r="E386">
        <v>37</v>
      </c>
    </row>
    <row r="387" spans="4:5" x14ac:dyDescent="0.35">
      <c r="D387" t="s">
        <v>718</v>
      </c>
      <c r="E387">
        <v>25</v>
      </c>
    </row>
    <row r="388" spans="4:5" x14ac:dyDescent="0.35">
      <c r="D388" t="s">
        <v>114</v>
      </c>
      <c r="E388">
        <v>30</v>
      </c>
    </row>
    <row r="389" spans="4:5" x14ac:dyDescent="0.35">
      <c r="D389" t="s">
        <v>847</v>
      </c>
      <c r="E389">
        <v>23</v>
      </c>
    </row>
    <row r="390" spans="4:5" x14ac:dyDescent="0.35">
      <c r="D390" t="s">
        <v>485</v>
      </c>
      <c r="E390">
        <v>27</v>
      </c>
    </row>
    <row r="391" spans="4:5" x14ac:dyDescent="0.35">
      <c r="D391" t="s">
        <v>121</v>
      </c>
      <c r="E391" t="s">
        <v>815</v>
      </c>
    </row>
    <row r="392" spans="4:5" x14ac:dyDescent="0.35">
      <c r="D392" t="s">
        <v>928</v>
      </c>
      <c r="E392">
        <v>24</v>
      </c>
    </row>
    <row r="393" spans="4:5" x14ac:dyDescent="0.35">
      <c r="D393" t="s">
        <v>521</v>
      </c>
      <c r="E393">
        <v>26</v>
      </c>
    </row>
    <row r="394" spans="4:5" x14ac:dyDescent="0.35">
      <c r="D394" t="s">
        <v>761</v>
      </c>
      <c r="E394">
        <v>25</v>
      </c>
    </row>
    <row r="395" spans="4:5" x14ac:dyDescent="0.35">
      <c r="D395" t="s">
        <v>651</v>
      </c>
      <c r="E395">
        <v>24</v>
      </c>
    </row>
    <row r="396" spans="4:5" x14ac:dyDescent="0.35">
      <c r="D396" t="s">
        <v>581</v>
      </c>
      <c r="E396">
        <v>24</v>
      </c>
    </row>
    <row r="397" spans="4:5" x14ac:dyDescent="0.35">
      <c r="D397" t="s">
        <v>365</v>
      </c>
      <c r="E397">
        <v>29</v>
      </c>
    </row>
    <row r="398" spans="4:5" x14ac:dyDescent="0.35">
      <c r="D398" t="s">
        <v>985</v>
      </c>
      <c r="E398">
        <v>24</v>
      </c>
    </row>
    <row r="399" spans="4:5" x14ac:dyDescent="0.35">
      <c r="D399" t="s">
        <v>750</v>
      </c>
      <c r="E399">
        <v>23</v>
      </c>
    </row>
    <row r="400" spans="4:5" x14ac:dyDescent="0.35">
      <c r="D400" t="s">
        <v>413</v>
      </c>
      <c r="E400">
        <v>27</v>
      </c>
    </row>
    <row r="401" spans="4:5" x14ac:dyDescent="0.35">
      <c r="D401" t="s">
        <v>136</v>
      </c>
      <c r="E401" t="s">
        <v>815</v>
      </c>
    </row>
    <row r="402" spans="4:5" x14ac:dyDescent="0.35">
      <c r="D402" t="s">
        <v>556</v>
      </c>
      <c r="E402">
        <v>24</v>
      </c>
    </row>
    <row r="403" spans="4:5" x14ac:dyDescent="0.35">
      <c r="D403" t="s">
        <v>950</v>
      </c>
      <c r="E403">
        <v>22</v>
      </c>
    </row>
    <row r="404" spans="4:5" x14ac:dyDescent="0.35">
      <c r="D404" t="s">
        <v>235</v>
      </c>
      <c r="E404">
        <v>32</v>
      </c>
    </row>
    <row r="405" spans="4:5" x14ac:dyDescent="0.35">
      <c r="D405" t="s">
        <v>533</v>
      </c>
      <c r="E405">
        <v>25</v>
      </c>
    </row>
    <row r="406" spans="4:5" x14ac:dyDescent="0.35">
      <c r="D406" t="s">
        <v>737</v>
      </c>
      <c r="E406">
        <v>25</v>
      </c>
    </row>
    <row r="407" spans="4:5" x14ac:dyDescent="0.35">
      <c r="D407" t="s">
        <v>477</v>
      </c>
      <c r="E407" t="s">
        <v>815</v>
      </c>
    </row>
    <row r="408" spans="4:5" x14ac:dyDescent="0.35">
      <c r="D408" t="s">
        <v>405</v>
      </c>
      <c r="E408">
        <v>34</v>
      </c>
    </row>
    <row r="409" spans="4:5" x14ac:dyDescent="0.35">
      <c r="D409" t="s">
        <v>1077</v>
      </c>
      <c r="E409">
        <v>22</v>
      </c>
    </row>
    <row r="410" spans="4:5" x14ac:dyDescent="0.35">
      <c r="D410" t="s">
        <v>416</v>
      </c>
      <c r="E410">
        <v>29</v>
      </c>
    </row>
    <row r="411" spans="4:5" x14ac:dyDescent="0.35">
      <c r="D411" t="s">
        <v>642</v>
      </c>
      <c r="E411">
        <v>24</v>
      </c>
    </row>
    <row r="412" spans="4:5" x14ac:dyDescent="0.35">
      <c r="D412" t="s">
        <v>600</v>
      </c>
      <c r="E412">
        <v>23</v>
      </c>
    </row>
    <row r="413" spans="4:5" x14ac:dyDescent="0.35">
      <c r="D413" t="s">
        <v>417</v>
      </c>
      <c r="E413">
        <v>27</v>
      </c>
    </row>
    <row r="414" spans="4:5" x14ac:dyDescent="0.35">
      <c r="D414" t="s">
        <v>1078</v>
      </c>
      <c r="E414">
        <v>23</v>
      </c>
    </row>
    <row r="415" spans="4:5" x14ac:dyDescent="0.35">
      <c r="D415" t="s">
        <v>951</v>
      </c>
      <c r="E415">
        <v>22</v>
      </c>
    </row>
    <row r="416" spans="4:5" x14ac:dyDescent="0.35">
      <c r="D416" t="s">
        <v>876</v>
      </c>
      <c r="E416">
        <v>24</v>
      </c>
    </row>
    <row r="417" spans="4:5" x14ac:dyDescent="0.35">
      <c r="D417" t="s">
        <v>768</v>
      </c>
      <c r="E417">
        <v>24</v>
      </c>
    </row>
    <row r="418" spans="4:5" x14ac:dyDescent="0.35">
      <c r="D418" t="s">
        <v>432</v>
      </c>
      <c r="E418">
        <v>27</v>
      </c>
    </row>
    <row r="419" spans="4:5" x14ac:dyDescent="0.35">
      <c r="D419" t="s">
        <v>453</v>
      </c>
      <c r="E419">
        <v>29</v>
      </c>
    </row>
    <row r="420" spans="4:5" x14ac:dyDescent="0.35">
      <c r="D420" t="s">
        <v>752</v>
      </c>
      <c r="E420">
        <v>23</v>
      </c>
    </row>
    <row r="421" spans="4:5" x14ac:dyDescent="0.35">
      <c r="D421" t="s">
        <v>875</v>
      </c>
      <c r="E421">
        <v>22</v>
      </c>
    </row>
    <row r="422" spans="4:5" x14ac:dyDescent="0.35">
      <c r="D422" t="s">
        <v>436</v>
      </c>
      <c r="E422">
        <v>28</v>
      </c>
    </row>
    <row r="423" spans="4:5" x14ac:dyDescent="0.35">
      <c r="D423" t="s">
        <v>135</v>
      </c>
      <c r="E423">
        <v>31</v>
      </c>
    </row>
    <row r="424" spans="4:5" x14ac:dyDescent="0.35">
      <c r="D424" t="s">
        <v>140</v>
      </c>
      <c r="E424">
        <v>36</v>
      </c>
    </row>
    <row r="425" spans="4:5" x14ac:dyDescent="0.35">
      <c r="D425" t="s">
        <v>788</v>
      </c>
      <c r="E425">
        <v>22</v>
      </c>
    </row>
    <row r="426" spans="4:5" x14ac:dyDescent="0.35">
      <c r="D426" t="s">
        <v>858</v>
      </c>
      <c r="E426">
        <v>39</v>
      </c>
    </row>
    <row r="427" spans="4:5" x14ac:dyDescent="0.35">
      <c r="D427" t="s">
        <v>1079</v>
      </c>
      <c r="E427">
        <v>23</v>
      </c>
    </row>
    <row r="428" spans="4:5" x14ac:dyDescent="0.35">
      <c r="D428" t="s">
        <v>549</v>
      </c>
      <c r="E428">
        <v>30</v>
      </c>
    </row>
    <row r="429" spans="4:5" x14ac:dyDescent="0.35">
      <c r="D429" t="s">
        <v>498</v>
      </c>
      <c r="E429">
        <v>28</v>
      </c>
    </row>
    <row r="430" spans="4:5" x14ac:dyDescent="0.35">
      <c r="D430" t="s">
        <v>242</v>
      </c>
      <c r="E430">
        <v>31</v>
      </c>
    </row>
    <row r="431" spans="4:5" x14ac:dyDescent="0.35">
      <c r="D431" t="s">
        <v>449</v>
      </c>
      <c r="E431">
        <v>27</v>
      </c>
    </row>
    <row r="432" spans="4:5" x14ac:dyDescent="0.35">
      <c r="D432" t="s">
        <v>845</v>
      </c>
      <c r="E432">
        <v>25</v>
      </c>
    </row>
    <row r="433" spans="4:5" x14ac:dyDescent="0.35">
      <c r="D433" t="s">
        <v>575</v>
      </c>
      <c r="E433">
        <v>24</v>
      </c>
    </row>
    <row r="434" spans="4:5" x14ac:dyDescent="0.35">
      <c r="D434" t="s">
        <v>807</v>
      </c>
      <c r="E434">
        <v>34</v>
      </c>
    </row>
    <row r="435" spans="4:5" x14ac:dyDescent="0.35">
      <c r="D435" t="s">
        <v>508</v>
      </c>
      <c r="E435">
        <v>28</v>
      </c>
    </row>
    <row r="436" spans="4:5" x14ac:dyDescent="0.35">
      <c r="D436" t="s">
        <v>455</v>
      </c>
      <c r="E436">
        <v>27</v>
      </c>
    </row>
    <row r="437" spans="4:5" x14ac:dyDescent="0.35">
      <c r="D437" t="s">
        <v>103</v>
      </c>
      <c r="E437">
        <v>34</v>
      </c>
    </row>
    <row r="438" spans="4:5" x14ac:dyDescent="0.35">
      <c r="D438" t="s">
        <v>610</v>
      </c>
      <c r="E438">
        <v>25</v>
      </c>
    </row>
    <row r="439" spans="4:5" x14ac:dyDescent="0.35">
      <c r="D439" t="s">
        <v>439</v>
      </c>
      <c r="E439">
        <v>28</v>
      </c>
    </row>
    <row r="440" spans="4:5" x14ac:dyDescent="0.35">
      <c r="D440" t="s">
        <v>941</v>
      </c>
      <c r="E440">
        <v>25</v>
      </c>
    </row>
    <row r="441" spans="4:5" x14ac:dyDescent="0.35">
      <c r="D441" t="s">
        <v>742</v>
      </c>
      <c r="E441">
        <v>24</v>
      </c>
    </row>
    <row r="442" spans="4:5" x14ac:dyDescent="0.35">
      <c r="D442" t="s">
        <v>599</v>
      </c>
      <c r="E442">
        <v>28</v>
      </c>
    </row>
    <row r="443" spans="4:5" x14ac:dyDescent="0.35">
      <c r="D443" t="s">
        <v>835</v>
      </c>
      <c r="E443">
        <v>24</v>
      </c>
    </row>
    <row r="444" spans="4:5" x14ac:dyDescent="0.35">
      <c r="D444" t="s">
        <v>244</v>
      </c>
      <c r="E444">
        <v>33</v>
      </c>
    </row>
    <row r="445" spans="4:5" x14ac:dyDescent="0.35">
      <c r="D445" t="s">
        <v>547</v>
      </c>
      <c r="E445">
        <v>26</v>
      </c>
    </row>
    <row r="446" spans="4:5" x14ac:dyDescent="0.35">
      <c r="D446" t="s">
        <v>374</v>
      </c>
      <c r="E446">
        <v>28</v>
      </c>
    </row>
    <row r="447" spans="4:5" x14ac:dyDescent="0.35">
      <c r="D447" t="s">
        <v>122</v>
      </c>
      <c r="E447" t="s">
        <v>815</v>
      </c>
    </row>
    <row r="448" spans="4:5" x14ac:dyDescent="0.35">
      <c r="D448" t="s">
        <v>754</v>
      </c>
      <c r="E448">
        <v>25</v>
      </c>
    </row>
    <row r="449" spans="4:5" x14ac:dyDescent="0.35">
      <c r="D449" t="s">
        <v>783</v>
      </c>
      <c r="E449">
        <v>25</v>
      </c>
    </row>
    <row r="450" spans="4:5" x14ac:dyDescent="0.35">
      <c r="D450" t="s">
        <v>408</v>
      </c>
      <c r="E450">
        <v>30</v>
      </c>
    </row>
    <row r="451" spans="4:5" x14ac:dyDescent="0.35">
      <c r="D451" t="s">
        <v>538</v>
      </c>
      <c r="E451">
        <v>26</v>
      </c>
    </row>
    <row r="452" spans="4:5" x14ac:dyDescent="0.35">
      <c r="D452" t="s">
        <v>755</v>
      </c>
      <c r="E452">
        <v>23</v>
      </c>
    </row>
    <row r="453" spans="4:5" x14ac:dyDescent="0.35">
      <c r="D453" t="s">
        <v>741</v>
      </c>
      <c r="E453">
        <v>23</v>
      </c>
    </row>
    <row r="454" spans="4:5" x14ac:dyDescent="0.35">
      <c r="D454" t="s">
        <v>834</v>
      </c>
      <c r="E454">
        <v>25</v>
      </c>
    </row>
    <row r="455" spans="4:5" x14ac:dyDescent="0.35">
      <c r="D455" t="s">
        <v>799</v>
      </c>
      <c r="E455">
        <v>23</v>
      </c>
    </row>
    <row r="456" spans="4:5" x14ac:dyDescent="0.35">
      <c r="D456" t="s">
        <v>673</v>
      </c>
      <c r="E456">
        <v>29</v>
      </c>
    </row>
    <row r="457" spans="4:5" x14ac:dyDescent="0.35">
      <c r="D457" t="s">
        <v>483</v>
      </c>
      <c r="E457">
        <v>26</v>
      </c>
    </row>
    <row r="458" spans="4:5" x14ac:dyDescent="0.35">
      <c r="D458" t="s">
        <v>94</v>
      </c>
      <c r="E458">
        <v>29</v>
      </c>
    </row>
    <row r="459" spans="4:5" x14ac:dyDescent="0.35">
      <c r="D459" t="s">
        <v>702</v>
      </c>
      <c r="E459">
        <v>23</v>
      </c>
    </row>
    <row r="460" spans="4:5" x14ac:dyDescent="0.35">
      <c r="D460" t="s">
        <v>704</v>
      </c>
      <c r="E460">
        <v>25</v>
      </c>
    </row>
    <row r="461" spans="4:5" x14ac:dyDescent="0.35">
      <c r="D461" t="s">
        <v>943</v>
      </c>
      <c r="E461">
        <v>24</v>
      </c>
    </row>
    <row r="462" spans="4:5" x14ac:dyDescent="0.35">
      <c r="D462" t="s">
        <v>803</v>
      </c>
      <c r="E462">
        <v>25</v>
      </c>
    </row>
    <row r="463" spans="4:5" x14ac:dyDescent="0.35">
      <c r="D463" t="s">
        <v>367</v>
      </c>
      <c r="E463">
        <v>28</v>
      </c>
    </row>
    <row r="464" spans="4:5" x14ac:dyDescent="0.35">
      <c r="D464" t="s">
        <v>348</v>
      </c>
      <c r="E464">
        <v>29</v>
      </c>
    </row>
    <row r="465" spans="4:5" x14ac:dyDescent="0.35">
      <c r="D465" t="s">
        <v>357</v>
      </c>
      <c r="E465">
        <v>28</v>
      </c>
    </row>
    <row r="466" spans="4:5" x14ac:dyDescent="0.35">
      <c r="D466" t="s">
        <v>800</v>
      </c>
      <c r="E466">
        <v>23</v>
      </c>
    </row>
    <row r="467" spans="4:5" x14ac:dyDescent="0.35">
      <c r="D467" t="s">
        <v>420</v>
      </c>
      <c r="E467">
        <v>29</v>
      </c>
    </row>
    <row r="468" spans="4:5" x14ac:dyDescent="0.35">
      <c r="D468" t="s">
        <v>625</v>
      </c>
      <c r="E468">
        <v>24</v>
      </c>
    </row>
    <row r="469" spans="4:5" x14ac:dyDescent="0.35">
      <c r="D469" t="s">
        <v>352</v>
      </c>
      <c r="E469">
        <v>28</v>
      </c>
    </row>
    <row r="470" spans="4:5" x14ac:dyDescent="0.35">
      <c r="D470" t="s">
        <v>526</v>
      </c>
      <c r="E470">
        <v>28</v>
      </c>
    </row>
    <row r="471" spans="4:5" x14ac:dyDescent="0.35">
      <c r="D471" t="s">
        <v>419</v>
      </c>
      <c r="E471">
        <v>28</v>
      </c>
    </row>
    <row r="472" spans="4:5" x14ac:dyDescent="0.35">
      <c r="D472" t="s">
        <v>457</v>
      </c>
      <c r="E472">
        <v>29</v>
      </c>
    </row>
    <row r="473" spans="4:5" x14ac:dyDescent="0.35">
      <c r="D473" t="s">
        <v>659</v>
      </c>
      <c r="E473">
        <v>25</v>
      </c>
    </row>
    <row r="474" spans="4:5" x14ac:dyDescent="0.35">
      <c r="D474" t="s">
        <v>987</v>
      </c>
      <c r="E474">
        <v>24</v>
      </c>
    </row>
    <row r="475" spans="4:5" x14ac:dyDescent="0.35">
      <c r="D475" t="s">
        <v>1080</v>
      </c>
      <c r="E475">
        <v>23</v>
      </c>
    </row>
    <row r="476" spans="4:5" x14ac:dyDescent="0.35">
      <c r="D476" t="s">
        <v>859</v>
      </c>
      <c r="E476">
        <v>22</v>
      </c>
    </row>
    <row r="477" spans="4:5" x14ac:dyDescent="0.35">
      <c r="D477" t="s">
        <v>640</v>
      </c>
      <c r="E477">
        <v>25</v>
      </c>
    </row>
    <row r="478" spans="4:5" x14ac:dyDescent="0.35">
      <c r="D478" t="s">
        <v>636</v>
      </c>
      <c r="E478">
        <v>25</v>
      </c>
    </row>
    <row r="479" spans="4:5" x14ac:dyDescent="0.35">
      <c r="D479" t="s">
        <v>141</v>
      </c>
      <c r="E479">
        <v>31</v>
      </c>
    </row>
    <row r="480" spans="4:5" x14ac:dyDescent="0.35">
      <c r="D480" t="s">
        <v>133</v>
      </c>
      <c r="E480">
        <v>35</v>
      </c>
    </row>
    <row r="481" spans="4:5" x14ac:dyDescent="0.35">
      <c r="D481" t="s">
        <v>249</v>
      </c>
      <c r="E481">
        <v>30</v>
      </c>
    </row>
    <row r="482" spans="4:5" x14ac:dyDescent="0.35">
      <c r="D482" t="s">
        <v>795</v>
      </c>
      <c r="E482">
        <v>24</v>
      </c>
    </row>
    <row r="483" spans="4:5" x14ac:dyDescent="0.35">
      <c r="D483" t="s">
        <v>623</v>
      </c>
      <c r="E483">
        <v>23</v>
      </c>
    </row>
    <row r="484" spans="4:5" x14ac:dyDescent="0.35">
      <c r="D484" t="s">
        <v>786</v>
      </c>
      <c r="E484">
        <v>26</v>
      </c>
    </row>
    <row r="485" spans="4:5" x14ac:dyDescent="0.35">
      <c r="D485" t="s">
        <v>953</v>
      </c>
      <c r="E485">
        <v>26</v>
      </c>
    </row>
    <row r="486" spans="4:5" x14ac:dyDescent="0.35">
      <c r="D486" t="s">
        <v>525</v>
      </c>
      <c r="E486">
        <v>25</v>
      </c>
    </row>
    <row r="487" spans="4:5" x14ac:dyDescent="0.35">
      <c r="D487" t="s">
        <v>563</v>
      </c>
      <c r="E487">
        <v>27</v>
      </c>
    </row>
    <row r="488" spans="4:5" x14ac:dyDescent="0.35">
      <c r="D488" t="s">
        <v>984</v>
      </c>
      <c r="E488">
        <v>25</v>
      </c>
    </row>
    <row r="489" spans="4:5" x14ac:dyDescent="0.35">
      <c r="D489" t="s">
        <v>808</v>
      </c>
      <c r="E489">
        <v>23</v>
      </c>
    </row>
    <row r="490" spans="4:5" x14ac:dyDescent="0.35">
      <c r="D490" t="s">
        <v>105</v>
      </c>
      <c r="E490">
        <v>30</v>
      </c>
    </row>
    <row r="491" spans="4:5" x14ac:dyDescent="0.35">
      <c r="D491" t="s">
        <v>639</v>
      </c>
      <c r="E491">
        <v>25</v>
      </c>
    </row>
    <row r="492" spans="4:5" x14ac:dyDescent="0.35">
      <c r="D492" t="s">
        <v>726</v>
      </c>
      <c r="E492">
        <v>26</v>
      </c>
    </row>
    <row r="493" spans="4:5" x14ac:dyDescent="0.35">
      <c r="D493" t="s">
        <v>504</v>
      </c>
      <c r="E493">
        <v>26</v>
      </c>
    </row>
    <row r="494" spans="4:5" x14ac:dyDescent="0.35">
      <c r="D494" t="s">
        <v>960</v>
      </c>
      <c r="E494">
        <v>23</v>
      </c>
    </row>
    <row r="495" spans="4:5" x14ac:dyDescent="0.35">
      <c r="D495" t="s">
        <v>749</v>
      </c>
      <c r="E495">
        <v>26</v>
      </c>
    </row>
    <row r="496" spans="4:5" x14ac:dyDescent="0.35">
      <c r="D496" t="s">
        <v>844</v>
      </c>
      <c r="E496">
        <v>30</v>
      </c>
    </row>
    <row r="497" spans="4:5" x14ac:dyDescent="0.35">
      <c r="D497" t="s">
        <v>537</v>
      </c>
      <c r="E497">
        <v>25</v>
      </c>
    </row>
    <row r="498" spans="4:5" x14ac:dyDescent="0.35">
      <c r="D498" t="s">
        <v>574</v>
      </c>
      <c r="E498">
        <v>26</v>
      </c>
    </row>
    <row r="499" spans="4:5" x14ac:dyDescent="0.35">
      <c r="D499" t="s">
        <v>674</v>
      </c>
      <c r="E499">
        <v>27</v>
      </c>
    </row>
    <row r="500" spans="4:5" x14ac:dyDescent="0.35">
      <c r="D500" t="s">
        <v>135</v>
      </c>
      <c r="E500">
        <v>30</v>
      </c>
    </row>
    <row r="501" spans="4:5" x14ac:dyDescent="0.35">
      <c r="D501" t="s">
        <v>367</v>
      </c>
      <c r="E501">
        <v>27</v>
      </c>
    </row>
    <row r="502" spans="4:5" x14ac:dyDescent="0.35">
      <c r="D502" t="s">
        <v>603</v>
      </c>
      <c r="E502">
        <v>26</v>
      </c>
    </row>
    <row r="503" spans="4:5" x14ac:dyDescent="0.35">
      <c r="D503" t="s">
        <v>237</v>
      </c>
      <c r="E503">
        <v>29</v>
      </c>
    </row>
    <row r="504" spans="4:5" x14ac:dyDescent="0.35">
      <c r="D504" t="s">
        <v>565</v>
      </c>
      <c r="E504">
        <v>24</v>
      </c>
    </row>
    <row r="505" spans="4:5" x14ac:dyDescent="0.35">
      <c r="D505" t="s">
        <v>812</v>
      </c>
      <c r="E505" t="s">
        <v>815</v>
      </c>
    </row>
    <row r="506" spans="4:5" x14ac:dyDescent="0.35">
      <c r="D506" t="s">
        <v>576</v>
      </c>
      <c r="E506">
        <v>24</v>
      </c>
    </row>
    <row r="507" spans="4:5" x14ac:dyDescent="0.35">
      <c r="D507" t="s">
        <v>813</v>
      </c>
      <c r="E507">
        <v>24</v>
      </c>
    </row>
    <row r="508" spans="4:5" x14ac:dyDescent="0.35">
      <c r="D508" t="s">
        <v>410</v>
      </c>
      <c r="E508">
        <v>28</v>
      </c>
    </row>
    <row r="509" spans="4:5" x14ac:dyDescent="0.35">
      <c r="D509" t="s">
        <v>814</v>
      </c>
      <c r="E509">
        <v>25</v>
      </c>
    </row>
    <row r="510" spans="4:5" x14ac:dyDescent="0.35">
      <c r="D510" t="s">
        <v>375</v>
      </c>
      <c r="E510">
        <v>27</v>
      </c>
    </row>
  </sheetData>
  <sortState xmlns:xlrd2="http://schemas.microsoft.com/office/spreadsheetml/2017/richdata2" ref="A2:B33">
    <sortCondition ref="A2"/>
  </sortState>
  <conditionalFormatting sqref="D361">
    <cfRule type="expression" dxfId="59" priority="1">
      <formula>$I361&gt;0</formula>
    </cfRule>
    <cfRule type="expression" dxfId="58" priority="2">
      <formula>IF($P361="Upside",TRUE,FALSE)</formula>
    </cfRule>
    <cfRule type="expression" dxfId="57" priority="3">
      <formula>IF($P361="Sleeper",TRUE,FALSE)</formula>
    </cfRule>
    <cfRule type="expression" dxfId="56" priority="4">
      <formula>IF($P361="Target",TRUE,FALSE)</formula>
    </cfRule>
    <cfRule type="expression" dxfId="55" priority="5">
      <formula>IF($P361="Avoid",TRUE,FALSE)</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J33"/>
  <sheetViews>
    <sheetView workbookViewId="0">
      <selection activeCell="J20" sqref="J20"/>
    </sheetView>
  </sheetViews>
  <sheetFormatPr defaultColWidth="8.90625" defaultRowHeight="14.5" x14ac:dyDescent="0.35"/>
  <cols>
    <col min="1" max="1" width="23" bestFit="1" customWidth="1"/>
    <col min="2" max="2" width="7.6328125" bestFit="1" customWidth="1"/>
    <col min="3" max="3" width="6.08984375" bestFit="1" customWidth="1"/>
    <col min="4" max="4" width="5.26953125" bestFit="1" customWidth="1"/>
    <col min="5" max="5" width="5.1796875" bestFit="1" customWidth="1"/>
    <col min="6" max="6" width="5.453125" bestFit="1" customWidth="1"/>
    <col min="7" max="7" width="9.36328125" bestFit="1" customWidth="1"/>
    <col min="8" max="8" width="5.54296875" bestFit="1" customWidth="1"/>
    <col min="9" max="9" width="10.90625" bestFit="1" customWidth="1"/>
    <col min="10" max="10" width="7.1796875" bestFit="1" customWidth="1"/>
  </cols>
  <sheetData>
    <row r="1" spans="1:10" x14ac:dyDescent="0.35">
      <c r="A1" t="s">
        <v>82</v>
      </c>
      <c r="B1" t="s">
        <v>397</v>
      </c>
      <c r="C1" t="s">
        <v>398</v>
      </c>
      <c r="D1" t="s">
        <v>399</v>
      </c>
      <c r="E1" t="s">
        <v>400</v>
      </c>
      <c r="F1" t="s">
        <v>401</v>
      </c>
      <c r="G1" t="s">
        <v>402</v>
      </c>
      <c r="H1" t="s">
        <v>403</v>
      </c>
      <c r="I1" t="s">
        <v>404</v>
      </c>
      <c r="J1" t="s">
        <v>177</v>
      </c>
    </row>
    <row r="2" spans="1:10" x14ac:dyDescent="0.35">
      <c r="A2" t="s">
        <v>144</v>
      </c>
      <c r="B2" t="s">
        <v>1113</v>
      </c>
      <c r="C2" t="s">
        <v>1099</v>
      </c>
      <c r="D2" t="s">
        <v>902</v>
      </c>
      <c r="E2" t="s">
        <v>1118</v>
      </c>
      <c r="F2" t="s">
        <v>1083</v>
      </c>
      <c r="G2" t="s">
        <v>804</v>
      </c>
      <c r="H2" t="s">
        <v>1205</v>
      </c>
      <c r="I2" t="s">
        <v>1206</v>
      </c>
      <c r="J2">
        <v>118.8</v>
      </c>
    </row>
    <row r="3" spans="1:10" x14ac:dyDescent="0.35">
      <c r="A3" t="s">
        <v>151</v>
      </c>
      <c r="B3" t="s">
        <v>1130</v>
      </c>
      <c r="C3" t="s">
        <v>1099</v>
      </c>
      <c r="D3" t="s">
        <v>1100</v>
      </c>
      <c r="E3" t="s">
        <v>1131</v>
      </c>
      <c r="F3" t="s">
        <v>887</v>
      </c>
      <c r="G3" t="s">
        <v>804</v>
      </c>
      <c r="H3" t="s">
        <v>1132</v>
      </c>
      <c r="I3" t="s">
        <v>1207</v>
      </c>
      <c r="J3">
        <v>117.1</v>
      </c>
    </row>
    <row r="4" spans="1:10" x14ac:dyDescent="0.35">
      <c r="A4" t="s">
        <v>160</v>
      </c>
      <c r="B4" t="s">
        <v>1101</v>
      </c>
      <c r="C4" t="s">
        <v>1133</v>
      </c>
      <c r="D4" t="s">
        <v>1102</v>
      </c>
      <c r="E4" t="s">
        <v>888</v>
      </c>
      <c r="F4" t="s">
        <v>892</v>
      </c>
      <c r="G4" t="s">
        <v>964</v>
      </c>
      <c r="H4" t="s">
        <v>1134</v>
      </c>
      <c r="I4" t="s">
        <v>1208</v>
      </c>
      <c r="J4">
        <v>115.3</v>
      </c>
    </row>
    <row r="5" spans="1:10" x14ac:dyDescent="0.35">
      <c r="A5" t="s">
        <v>147</v>
      </c>
      <c r="B5" t="s">
        <v>1135</v>
      </c>
      <c r="C5" t="s">
        <v>1087</v>
      </c>
      <c r="D5" t="s">
        <v>1136</v>
      </c>
      <c r="E5" t="s">
        <v>1137</v>
      </c>
      <c r="F5" t="s">
        <v>904</v>
      </c>
      <c r="G5" t="s">
        <v>804</v>
      </c>
      <c r="H5" t="s">
        <v>1209</v>
      </c>
      <c r="I5" t="s">
        <v>1210</v>
      </c>
      <c r="J5">
        <v>112.3</v>
      </c>
    </row>
    <row r="6" spans="1:10" x14ac:dyDescent="0.35">
      <c r="A6" t="s">
        <v>121</v>
      </c>
      <c r="B6" t="s">
        <v>1105</v>
      </c>
      <c r="C6" t="s">
        <v>901</v>
      </c>
      <c r="D6" t="s">
        <v>965</v>
      </c>
      <c r="E6" t="s">
        <v>888</v>
      </c>
      <c r="F6" t="s">
        <v>966</v>
      </c>
      <c r="G6" t="s">
        <v>967</v>
      </c>
      <c r="H6" t="s">
        <v>1138</v>
      </c>
      <c r="I6" t="s">
        <v>1211</v>
      </c>
      <c r="J6">
        <v>112.2</v>
      </c>
    </row>
    <row r="7" spans="1:10" x14ac:dyDescent="0.35">
      <c r="A7" t="s">
        <v>124</v>
      </c>
      <c r="B7" t="s">
        <v>1212</v>
      </c>
      <c r="C7" t="s">
        <v>1115</v>
      </c>
      <c r="D7" t="s">
        <v>976</v>
      </c>
      <c r="E7" t="s">
        <v>896</v>
      </c>
      <c r="F7" t="s">
        <v>887</v>
      </c>
      <c r="G7" t="s">
        <v>967</v>
      </c>
      <c r="H7" t="s">
        <v>1139</v>
      </c>
      <c r="I7" t="s">
        <v>1213</v>
      </c>
      <c r="J7">
        <v>111.5</v>
      </c>
    </row>
    <row r="8" spans="1:10" x14ac:dyDescent="0.35">
      <c r="A8" t="s">
        <v>153</v>
      </c>
      <c r="B8" t="s">
        <v>1119</v>
      </c>
      <c r="C8" t="s">
        <v>972</v>
      </c>
      <c r="D8" t="s">
        <v>971</v>
      </c>
      <c r="E8" t="s">
        <v>896</v>
      </c>
      <c r="F8" t="s">
        <v>887</v>
      </c>
      <c r="G8" t="s">
        <v>804</v>
      </c>
      <c r="H8" t="s">
        <v>1140</v>
      </c>
      <c r="I8" t="s">
        <v>1214</v>
      </c>
      <c r="J8">
        <v>111.3</v>
      </c>
    </row>
    <row r="9" spans="1:10" x14ac:dyDescent="0.35">
      <c r="A9" t="s">
        <v>277</v>
      </c>
      <c r="B9" t="s">
        <v>1141</v>
      </c>
      <c r="C9" t="s">
        <v>1114</v>
      </c>
      <c r="D9" t="s">
        <v>968</v>
      </c>
      <c r="E9" t="s">
        <v>893</v>
      </c>
      <c r="F9" t="s">
        <v>887</v>
      </c>
      <c r="G9" t="s">
        <v>967</v>
      </c>
      <c r="H9" t="s">
        <v>1142</v>
      </c>
      <c r="I9" t="s">
        <v>1215</v>
      </c>
      <c r="J9">
        <v>110.6</v>
      </c>
    </row>
    <row r="10" spans="1:10" x14ac:dyDescent="0.35">
      <c r="A10" t="s">
        <v>278</v>
      </c>
      <c r="B10" t="s">
        <v>1143</v>
      </c>
      <c r="C10" t="s">
        <v>900</v>
      </c>
      <c r="D10" t="s">
        <v>975</v>
      </c>
      <c r="E10" t="s">
        <v>885</v>
      </c>
      <c r="F10" t="s">
        <v>1084</v>
      </c>
      <c r="G10" t="s">
        <v>804</v>
      </c>
      <c r="H10" t="s">
        <v>1144</v>
      </c>
      <c r="I10" t="s">
        <v>1216</v>
      </c>
      <c r="J10">
        <v>109.8</v>
      </c>
    </row>
    <row r="11" spans="1:10" x14ac:dyDescent="0.35">
      <c r="A11" t="s">
        <v>162</v>
      </c>
      <c r="B11" t="s">
        <v>1145</v>
      </c>
      <c r="C11" t="s">
        <v>900</v>
      </c>
      <c r="D11" t="s">
        <v>965</v>
      </c>
      <c r="E11" t="s">
        <v>895</v>
      </c>
      <c r="F11" t="s">
        <v>966</v>
      </c>
      <c r="G11" t="s">
        <v>967</v>
      </c>
      <c r="H11" t="s">
        <v>1217</v>
      </c>
      <c r="I11" t="s">
        <v>1218</v>
      </c>
      <c r="J11">
        <v>109.3</v>
      </c>
    </row>
    <row r="12" spans="1:10" x14ac:dyDescent="0.35">
      <c r="A12" t="s">
        <v>276</v>
      </c>
      <c r="B12" t="s">
        <v>1105</v>
      </c>
      <c r="C12" t="s">
        <v>1104</v>
      </c>
      <c r="D12" t="s">
        <v>970</v>
      </c>
      <c r="E12" t="s">
        <v>896</v>
      </c>
      <c r="F12" t="s">
        <v>966</v>
      </c>
      <c r="G12" t="s">
        <v>967</v>
      </c>
      <c r="H12" t="s">
        <v>1146</v>
      </c>
      <c r="I12" t="s">
        <v>1147</v>
      </c>
      <c r="J12">
        <v>109.1</v>
      </c>
    </row>
    <row r="13" spans="1:10" x14ac:dyDescent="0.35">
      <c r="A13" t="s">
        <v>118</v>
      </c>
      <c r="B13" t="s">
        <v>1148</v>
      </c>
      <c r="C13" t="s">
        <v>1104</v>
      </c>
      <c r="D13" t="s">
        <v>1086</v>
      </c>
      <c r="E13" t="s">
        <v>895</v>
      </c>
      <c r="F13" t="s">
        <v>904</v>
      </c>
      <c r="G13" t="s">
        <v>967</v>
      </c>
      <c r="H13" t="s">
        <v>1124</v>
      </c>
      <c r="I13" t="s">
        <v>1219</v>
      </c>
      <c r="J13">
        <v>108.4</v>
      </c>
    </row>
    <row r="14" spans="1:10" x14ac:dyDescent="0.35">
      <c r="A14" t="s">
        <v>156</v>
      </c>
      <c r="B14" t="s">
        <v>1220</v>
      </c>
      <c r="C14" t="s">
        <v>886</v>
      </c>
      <c r="D14" t="s">
        <v>976</v>
      </c>
      <c r="E14" t="s">
        <v>1106</v>
      </c>
      <c r="F14" t="s">
        <v>966</v>
      </c>
      <c r="G14" t="s">
        <v>804</v>
      </c>
      <c r="H14" t="s">
        <v>1149</v>
      </c>
      <c r="I14" t="s">
        <v>1221</v>
      </c>
      <c r="J14">
        <v>108.1</v>
      </c>
    </row>
    <row r="15" spans="1:10" x14ac:dyDescent="0.35">
      <c r="A15" t="s">
        <v>150</v>
      </c>
      <c r="B15" t="s">
        <v>1222</v>
      </c>
      <c r="C15" t="s">
        <v>850</v>
      </c>
      <c r="D15" t="s">
        <v>973</v>
      </c>
      <c r="E15" t="s">
        <v>1150</v>
      </c>
      <c r="F15" t="s">
        <v>966</v>
      </c>
      <c r="G15" t="s">
        <v>967</v>
      </c>
      <c r="H15" t="s">
        <v>1223</v>
      </c>
      <c r="I15" t="s">
        <v>1151</v>
      </c>
      <c r="J15">
        <v>105.3</v>
      </c>
    </row>
    <row r="16" spans="1:10" x14ac:dyDescent="0.35">
      <c r="A16" t="s">
        <v>155</v>
      </c>
      <c r="B16" t="s">
        <v>1152</v>
      </c>
      <c r="C16" t="s">
        <v>1103</v>
      </c>
      <c r="D16" t="s">
        <v>902</v>
      </c>
      <c r="E16" t="s">
        <v>1153</v>
      </c>
      <c r="F16" t="s">
        <v>887</v>
      </c>
      <c r="G16" t="s">
        <v>804</v>
      </c>
      <c r="H16" t="s">
        <v>1154</v>
      </c>
      <c r="I16" t="s">
        <v>1224</v>
      </c>
      <c r="J16">
        <v>105.2</v>
      </c>
    </row>
    <row r="17" spans="1:10" x14ac:dyDescent="0.35">
      <c r="A17" t="s">
        <v>154</v>
      </c>
      <c r="B17" t="s">
        <v>978</v>
      </c>
      <c r="C17" t="s">
        <v>901</v>
      </c>
      <c r="D17" t="s">
        <v>975</v>
      </c>
      <c r="E17" t="s">
        <v>889</v>
      </c>
      <c r="F17" t="s">
        <v>966</v>
      </c>
      <c r="G17" t="s">
        <v>967</v>
      </c>
      <c r="H17" t="s">
        <v>1120</v>
      </c>
      <c r="I17" t="s">
        <v>1225</v>
      </c>
      <c r="J17">
        <v>104.8</v>
      </c>
    </row>
    <row r="18" spans="1:10" x14ac:dyDescent="0.35">
      <c r="A18" t="s">
        <v>584</v>
      </c>
      <c r="B18" t="s">
        <v>1155</v>
      </c>
      <c r="C18" t="s">
        <v>850</v>
      </c>
      <c r="D18" t="s">
        <v>970</v>
      </c>
      <c r="E18" t="s">
        <v>1085</v>
      </c>
      <c r="F18" t="s">
        <v>982</v>
      </c>
      <c r="G18" t="s">
        <v>967</v>
      </c>
      <c r="H18" t="s">
        <v>1156</v>
      </c>
      <c r="I18" t="s">
        <v>1226</v>
      </c>
      <c r="J18">
        <v>104.6</v>
      </c>
    </row>
    <row r="19" spans="1:10" x14ac:dyDescent="0.35">
      <c r="A19" t="s">
        <v>152</v>
      </c>
      <c r="B19" t="s">
        <v>1121</v>
      </c>
      <c r="C19" t="s">
        <v>980</v>
      </c>
      <c r="D19" t="s">
        <v>897</v>
      </c>
      <c r="E19" t="s">
        <v>1108</v>
      </c>
      <c r="F19" t="s">
        <v>904</v>
      </c>
      <c r="G19" t="s">
        <v>804</v>
      </c>
      <c r="H19" t="s">
        <v>1227</v>
      </c>
      <c r="I19" t="s">
        <v>1157</v>
      </c>
      <c r="J19">
        <v>104.2</v>
      </c>
    </row>
    <row r="20" spans="1:10" x14ac:dyDescent="0.35">
      <c r="A20" t="s">
        <v>279</v>
      </c>
      <c r="B20" t="s">
        <v>1228</v>
      </c>
      <c r="C20" t="s">
        <v>901</v>
      </c>
      <c r="D20" t="s">
        <v>976</v>
      </c>
      <c r="E20" t="s">
        <v>885</v>
      </c>
      <c r="F20" t="s">
        <v>904</v>
      </c>
      <c r="G20" t="s">
        <v>804</v>
      </c>
      <c r="H20" t="s">
        <v>1158</v>
      </c>
      <c r="I20" t="s">
        <v>1229</v>
      </c>
      <c r="J20">
        <v>103.9</v>
      </c>
    </row>
    <row r="21" spans="1:10" x14ac:dyDescent="0.35">
      <c r="A21" t="s">
        <v>112</v>
      </c>
      <c r="B21" t="s">
        <v>1159</v>
      </c>
      <c r="C21" t="s">
        <v>969</v>
      </c>
      <c r="D21" t="s">
        <v>963</v>
      </c>
      <c r="E21" t="s">
        <v>1160</v>
      </c>
      <c r="F21" t="s">
        <v>974</v>
      </c>
      <c r="G21" t="s">
        <v>967</v>
      </c>
      <c r="H21" t="s">
        <v>1161</v>
      </c>
      <c r="I21" t="s">
        <v>1230</v>
      </c>
      <c r="J21">
        <v>103</v>
      </c>
    </row>
    <row r="22" spans="1:10" x14ac:dyDescent="0.35">
      <c r="A22" t="s">
        <v>148</v>
      </c>
      <c r="B22" t="s">
        <v>1162</v>
      </c>
      <c r="C22" t="s">
        <v>850</v>
      </c>
      <c r="D22" t="s">
        <v>977</v>
      </c>
      <c r="E22" t="s">
        <v>895</v>
      </c>
      <c r="F22" t="s">
        <v>966</v>
      </c>
      <c r="G22" t="s">
        <v>804</v>
      </c>
      <c r="H22" t="s">
        <v>1163</v>
      </c>
      <c r="I22" t="s">
        <v>1164</v>
      </c>
      <c r="J22">
        <v>103</v>
      </c>
    </row>
    <row r="23" spans="1:10" x14ac:dyDescent="0.35">
      <c r="A23" t="s">
        <v>477</v>
      </c>
      <c r="B23" t="s">
        <v>1122</v>
      </c>
      <c r="C23" t="s">
        <v>890</v>
      </c>
      <c r="D23" t="s">
        <v>963</v>
      </c>
      <c r="E23" t="s">
        <v>1231</v>
      </c>
      <c r="F23" t="s">
        <v>903</v>
      </c>
      <c r="G23" t="s">
        <v>967</v>
      </c>
      <c r="H23" t="s">
        <v>1165</v>
      </c>
      <c r="I23" t="s">
        <v>1232</v>
      </c>
      <c r="J23">
        <v>102.7</v>
      </c>
    </row>
    <row r="24" spans="1:10" x14ac:dyDescent="0.35">
      <c r="A24" t="s">
        <v>122</v>
      </c>
      <c r="B24" t="s">
        <v>1233</v>
      </c>
      <c r="C24" t="s">
        <v>1123</v>
      </c>
      <c r="D24" t="s">
        <v>528</v>
      </c>
      <c r="E24" t="s">
        <v>893</v>
      </c>
      <c r="F24" t="s">
        <v>974</v>
      </c>
      <c r="G24" t="s">
        <v>967</v>
      </c>
      <c r="H24" t="s">
        <v>1166</v>
      </c>
      <c r="I24" t="s">
        <v>1234</v>
      </c>
      <c r="J24">
        <v>102.4</v>
      </c>
    </row>
    <row r="25" spans="1:10" x14ac:dyDescent="0.35">
      <c r="A25" t="s">
        <v>109</v>
      </c>
      <c r="B25" t="s">
        <v>1121</v>
      </c>
      <c r="C25" t="s">
        <v>890</v>
      </c>
      <c r="D25" t="s">
        <v>899</v>
      </c>
      <c r="E25" t="s">
        <v>1167</v>
      </c>
      <c r="F25" t="s">
        <v>966</v>
      </c>
      <c r="G25" t="s">
        <v>967</v>
      </c>
      <c r="H25" t="s">
        <v>1168</v>
      </c>
      <c r="I25" t="s">
        <v>1235</v>
      </c>
      <c r="J25">
        <v>101.5</v>
      </c>
    </row>
    <row r="26" spans="1:10" x14ac:dyDescent="0.35">
      <c r="A26" t="s">
        <v>131</v>
      </c>
      <c r="B26" t="s">
        <v>1169</v>
      </c>
      <c r="C26" t="s">
        <v>980</v>
      </c>
      <c r="D26" t="s">
        <v>708</v>
      </c>
      <c r="E26" t="s">
        <v>1170</v>
      </c>
      <c r="F26" t="s">
        <v>979</v>
      </c>
      <c r="G26" t="s">
        <v>804</v>
      </c>
      <c r="H26" t="s">
        <v>1236</v>
      </c>
      <c r="I26" t="s">
        <v>1237</v>
      </c>
      <c r="J26">
        <v>101.3</v>
      </c>
    </row>
    <row r="27" spans="1:10" x14ac:dyDescent="0.35">
      <c r="A27" t="s">
        <v>274</v>
      </c>
      <c r="B27" t="s">
        <v>1109</v>
      </c>
      <c r="C27" t="s">
        <v>900</v>
      </c>
      <c r="D27" t="s">
        <v>1110</v>
      </c>
      <c r="E27" t="s">
        <v>894</v>
      </c>
      <c r="F27" t="s">
        <v>974</v>
      </c>
      <c r="G27" t="s">
        <v>967</v>
      </c>
      <c r="H27" t="s">
        <v>1238</v>
      </c>
      <c r="I27" t="s">
        <v>1239</v>
      </c>
      <c r="J27">
        <v>100.4</v>
      </c>
    </row>
    <row r="28" spans="1:10" x14ac:dyDescent="0.35">
      <c r="A28" t="s">
        <v>275</v>
      </c>
      <c r="B28" t="s">
        <v>1171</v>
      </c>
      <c r="C28" t="s">
        <v>889</v>
      </c>
      <c r="D28" t="s">
        <v>981</v>
      </c>
      <c r="E28" t="s">
        <v>886</v>
      </c>
      <c r="F28" t="s">
        <v>974</v>
      </c>
      <c r="G28" t="s">
        <v>967</v>
      </c>
      <c r="H28" t="s">
        <v>1172</v>
      </c>
      <c r="I28" t="s">
        <v>1240</v>
      </c>
      <c r="J28">
        <v>99.1</v>
      </c>
    </row>
    <row r="29" spans="1:10" x14ac:dyDescent="0.35">
      <c r="A29" t="s">
        <v>130</v>
      </c>
      <c r="B29" t="s">
        <v>1241</v>
      </c>
      <c r="C29" t="s">
        <v>1087</v>
      </c>
      <c r="D29" t="s">
        <v>983</v>
      </c>
      <c r="E29" t="s">
        <v>891</v>
      </c>
      <c r="F29" t="s">
        <v>974</v>
      </c>
      <c r="G29" t="s">
        <v>967</v>
      </c>
      <c r="H29" t="s">
        <v>1173</v>
      </c>
      <c r="I29" t="s">
        <v>1242</v>
      </c>
      <c r="J29">
        <v>97.5</v>
      </c>
    </row>
    <row r="30" spans="1:10" x14ac:dyDescent="0.35">
      <c r="A30" t="s">
        <v>134</v>
      </c>
      <c r="B30" t="s">
        <v>1174</v>
      </c>
      <c r="C30" t="s">
        <v>899</v>
      </c>
      <c r="D30" t="s">
        <v>975</v>
      </c>
      <c r="E30" t="s">
        <v>1243</v>
      </c>
      <c r="F30" t="s">
        <v>982</v>
      </c>
      <c r="G30" t="s">
        <v>804</v>
      </c>
      <c r="H30" t="s">
        <v>1175</v>
      </c>
      <c r="I30" t="s">
        <v>1244</v>
      </c>
      <c r="J30">
        <v>96.6</v>
      </c>
    </row>
    <row r="31" spans="1:10" x14ac:dyDescent="0.35">
      <c r="A31" t="s">
        <v>125</v>
      </c>
      <c r="B31" t="s">
        <v>1245</v>
      </c>
      <c r="C31" t="s">
        <v>1176</v>
      </c>
      <c r="D31" t="s">
        <v>963</v>
      </c>
      <c r="E31" t="s">
        <v>898</v>
      </c>
      <c r="F31" t="s">
        <v>979</v>
      </c>
      <c r="G31" t="s">
        <v>804</v>
      </c>
      <c r="H31" t="s">
        <v>1246</v>
      </c>
      <c r="I31" t="s">
        <v>1247</v>
      </c>
      <c r="J31">
        <v>93.8</v>
      </c>
    </row>
    <row r="32" spans="1:10" x14ac:dyDescent="0.35">
      <c r="A32" t="s">
        <v>136</v>
      </c>
      <c r="B32" t="s">
        <v>1177</v>
      </c>
      <c r="C32" t="s">
        <v>891</v>
      </c>
      <c r="D32" t="s">
        <v>905</v>
      </c>
      <c r="E32" t="s">
        <v>1178</v>
      </c>
      <c r="F32" t="s">
        <v>979</v>
      </c>
      <c r="G32" t="s">
        <v>804</v>
      </c>
      <c r="H32" t="s">
        <v>1125</v>
      </c>
      <c r="I32" t="s">
        <v>1248</v>
      </c>
      <c r="J32">
        <v>93.5</v>
      </c>
    </row>
    <row r="33" spans="1:10" x14ac:dyDescent="0.35">
      <c r="A33" t="s">
        <v>273</v>
      </c>
      <c r="B33" t="s">
        <v>1179</v>
      </c>
      <c r="C33" t="s">
        <v>1107</v>
      </c>
      <c r="D33" t="s">
        <v>1116</v>
      </c>
      <c r="E33" t="s">
        <v>890</v>
      </c>
      <c r="F33" t="s">
        <v>974</v>
      </c>
      <c r="G33" t="s">
        <v>804</v>
      </c>
      <c r="H33" t="s">
        <v>1111</v>
      </c>
      <c r="I33" t="s">
        <v>1249</v>
      </c>
      <c r="J33">
        <v>89.5</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159EF-650E-4256-92AE-997636079E0E}">
  <sheetPr codeName="Sheet25"/>
  <dimension ref="A1:N48"/>
  <sheetViews>
    <sheetView workbookViewId="0">
      <selection activeCell="E8" sqref="E8"/>
    </sheetView>
  </sheetViews>
  <sheetFormatPr defaultRowHeight="14.5" x14ac:dyDescent="0.35"/>
  <cols>
    <col min="1" max="1" width="6.08984375" bestFit="1" customWidth="1"/>
    <col min="2" max="12" width="19.6328125" customWidth="1"/>
  </cols>
  <sheetData>
    <row r="1" spans="1:14" ht="28.5" customHeight="1" thickBot="1" x14ac:dyDescent="0.4">
      <c r="A1" s="224"/>
      <c r="B1" s="243">
        <f>MATCH("ARIZONA CARDINALS",DepthChart_RAW2!B:B,0)+1</f>
        <v>3</v>
      </c>
      <c r="C1" s="243">
        <f>MATCH("ATLANTA FALCONS",DepthChart_RAW2!B:B,0)+1</f>
        <v>25</v>
      </c>
      <c r="D1" s="244">
        <f>MATCH("BALTIMORE RAVENS",DepthChart_RAW2!B:B,0)+1</f>
        <v>47</v>
      </c>
      <c r="E1" s="243">
        <f>MATCH("BUFFALO BILLS",DepthChart_RAW2!B:B,0)+1</f>
        <v>69</v>
      </c>
      <c r="F1" s="243">
        <f>MATCH("CAROLINA PANTHERS",DepthChart_RAW2!B:B,0)+1</f>
        <v>91</v>
      </c>
      <c r="G1" s="243">
        <f>MATCH("CHICAGO BEARS",DepthChart_RAW2!B:B,0)+1</f>
        <v>113</v>
      </c>
      <c r="H1" s="243">
        <f>MATCH("CINCINNATI BENGALS",DepthChart_RAW2!B:B,0)+1</f>
        <v>135</v>
      </c>
      <c r="I1" s="243">
        <f>MATCH("CLEVELAND BROWNS",DepthChart_RAW2!B:B,0)+1</f>
        <v>157</v>
      </c>
      <c r="J1" s="243">
        <f>MATCH("DALLAS COWBOYS",DepthChart_RAW2!B:B,0)+1</f>
        <v>179</v>
      </c>
      <c r="K1" s="243">
        <f>MATCH("DENVER BRONCOS",DepthChart_RAW2!B:B,0)+1</f>
        <v>201</v>
      </c>
      <c r="L1" s="243">
        <f>MATCH("DETROIT LIONS",DepthChart_RAW2!B:B,0)+1</f>
        <v>223</v>
      </c>
    </row>
    <row r="2" spans="1:14" x14ac:dyDescent="0.35">
      <c r="A2" s="225" t="s">
        <v>679</v>
      </c>
      <c r="B2" s="226" t="str" cm="1">
        <f t="array" aca="1" ref="B2" ca="1">INDIRECT("DepthChart_RAW2!B"&amp;B$1)</f>
        <v>Kyler Murray</v>
      </c>
      <c r="C2" s="226" t="str" cm="1">
        <f t="array" aca="1" ref="C2" ca="1">INDIRECT("DepthChart_RAW2!B"&amp;C$1)</f>
        <v>Kirk Cousins</v>
      </c>
      <c r="D2" s="245" t="str" cm="1">
        <f t="array" aca="1" ref="D2" ca="1">INDIRECT("DepthChart_RAW2!B"&amp;D$1)</f>
        <v>Lamar Jackson</v>
      </c>
      <c r="E2" s="245" t="str" cm="1">
        <f t="array" aca="1" ref="E2" ca="1">INDIRECT("DepthChart_RAW2!B"&amp;E$1)</f>
        <v>Josh Allen</v>
      </c>
      <c r="F2" s="245" t="str" cm="1">
        <f t="array" aca="1" ref="F2" ca="1">INDIRECT("DepthChart_RAW2!B"&amp;F$1)</f>
        <v>Bryce Young</v>
      </c>
      <c r="G2" s="245" t="str" cm="1">
        <f t="array" aca="1" ref="G2" ca="1">INDIRECT("DepthChart_RAW2!B"&amp;G$1)</f>
        <v>Caleb Williams</v>
      </c>
      <c r="H2" s="245" t="str" cm="1">
        <f t="array" aca="1" ref="H2" ca="1">INDIRECT("DepthChart_RAW2!B"&amp;H$1)</f>
        <v>Joe Burrow</v>
      </c>
      <c r="I2" s="245" t="str" cm="1">
        <f t="array" aca="1" ref="I2" ca="1">INDIRECT("DepthChart_RAW2!B"&amp;I$1)</f>
        <v>Deshaun Watson</v>
      </c>
      <c r="J2" s="245" t="str" cm="1">
        <f t="array" aca="1" ref="J2" ca="1">INDIRECT("DepthChart_RAW2!B"&amp;J$1)</f>
        <v>Dak Prescott</v>
      </c>
      <c r="K2" s="245" t="str" cm="1">
        <f t="array" aca="1" ref="K2" ca="1">INDIRECT("DepthChart_RAW2!B"&amp;K$1)</f>
        <v>Bo Nix</v>
      </c>
      <c r="L2" s="245" t="str" cm="1">
        <f t="array" aca="1" ref="L2" ca="1">INDIRECT("DepthChart_RAW2!B"&amp;L$1)</f>
        <v>Jared Goff</v>
      </c>
      <c r="N2" s="74"/>
    </row>
    <row r="3" spans="1:14" x14ac:dyDescent="0.35">
      <c r="A3" s="225" t="s">
        <v>680</v>
      </c>
      <c r="B3" s="226" t="str" cm="1">
        <f t="array" aca="1" ref="B3" ca="1">INDIRECT("DepthChart_RAW2!B"&amp;B$1+1)</f>
        <v>Clayton Tune</v>
      </c>
      <c r="C3" s="226" t="str" cm="1">
        <f t="array" aca="1" ref="C3" ca="1">INDIRECT("DepthChart_RAW2!B"&amp;C$1+1)</f>
        <v>Michael Penix Jr.</v>
      </c>
      <c r="D3" s="245" t="str" cm="1">
        <f t="array" aca="1" ref="D3" ca="1">INDIRECT("DepthChart_RAW2!B"&amp;D$1+1)</f>
        <v>Josh Johnson</v>
      </c>
      <c r="E3" s="245" t="str" cm="1">
        <f t="array" aca="1" ref="E3" ca="1">INDIRECT("DepthChart_RAW2!B"&amp;E$1+1)</f>
        <v>Mitchell Trubisky</v>
      </c>
      <c r="F3" s="245" t="str" cm="1">
        <f t="array" aca="1" ref="F3" ca="1">INDIRECT("DepthChart_RAW2!B"&amp;F$1+1)</f>
        <v>Andy Dalton</v>
      </c>
      <c r="G3" s="245" t="str" cm="1">
        <f t="array" aca="1" ref="G3" ca="1">INDIRECT("DepthChart_RAW2!B"&amp;G$1+1)</f>
        <v>Tyson Bagent</v>
      </c>
      <c r="H3" s="245" t="str" cm="1">
        <f t="array" aca="1" ref="H3" ca="1">INDIRECT("DepthChart_RAW2!B"&amp;H$1+1)</f>
        <v>Jake Browning</v>
      </c>
      <c r="I3" s="245" t="str" cm="1">
        <f t="array" aca="1" ref="I3" ca="1">INDIRECT("DepthChart_RAW2!B"&amp;I$1+1)</f>
        <v>Jameis Winston</v>
      </c>
      <c r="J3" s="245" t="str" cm="1">
        <f t="array" aca="1" ref="J3" ca="1">INDIRECT("DepthChart_RAW2!B"&amp;J$1+1)</f>
        <v>Cooper Rush</v>
      </c>
      <c r="K3" s="245" t="str" cm="1">
        <f t="array" aca="1" ref="K3" ca="1">INDIRECT("DepthChart_RAW2!B"&amp;K$1+1)</f>
        <v>Jarrett Stidham</v>
      </c>
      <c r="L3" s="245" t="str" cm="1">
        <f t="array" aca="1" ref="L3" ca="1">INDIRECT("DepthChart_RAW2!B"&amp;L$1+1)</f>
        <v>Hendon Hooker</v>
      </c>
    </row>
    <row r="4" spans="1:14" x14ac:dyDescent="0.35">
      <c r="A4" s="227" t="s">
        <v>681</v>
      </c>
      <c r="B4" s="228" t="str" cm="1">
        <f t="array" aca="1" ref="B4" ca="1">INDIRECT("DepthChart_RAW2!B"&amp;B$1+3)</f>
        <v>James Conner</v>
      </c>
      <c r="C4" s="233" t="str" cm="1">
        <f t="array" aca="1" ref="C4" ca="1">INDIRECT("DepthChart_RAW2!B"&amp;C$1+3)</f>
        <v>Bijan Robinson</v>
      </c>
      <c r="D4" s="233" t="str" cm="1">
        <f t="array" aca="1" ref="D4" ca="1">INDIRECT("DepthChart_RAW2!B"&amp;D$1+3)</f>
        <v>Derrick Henry</v>
      </c>
      <c r="E4" s="233" t="str" cm="1">
        <f t="array" aca="1" ref="E4" ca="1">INDIRECT("DepthChart_RAW2!B"&amp;E$1+3)</f>
        <v>James Cook</v>
      </c>
      <c r="F4" s="233" t="str" cm="1">
        <f t="array" aca="1" ref="F4" ca="1">INDIRECT("DepthChart_RAW2!B"&amp;F$1+3)</f>
        <v>Jonathon Brooks</v>
      </c>
      <c r="G4" s="233" t="str" cm="1">
        <f t="array" aca="1" ref="G4" ca="1">INDIRECT("DepthChart_RAW2!B"&amp;G$1+3)</f>
        <v>D'Andre Swift</v>
      </c>
      <c r="H4" s="233" t="str" cm="1">
        <f t="array" aca="1" ref="H4" ca="1">INDIRECT("DepthChart_RAW2!B"&amp;H$1+3)</f>
        <v>Zack Moss</v>
      </c>
      <c r="I4" s="233" t="str" cm="1">
        <f t="array" aca="1" ref="I4" ca="1">INDIRECT("DepthChart_RAW2!B"&amp;I$1+3)</f>
        <v>Nick Chubb</v>
      </c>
      <c r="J4" s="233" t="str" cm="1">
        <f t="array" aca="1" ref="J4" ca="1">INDIRECT("DepthChart_RAW2!B"&amp;J$1+3)</f>
        <v>Ezekiel Elliott</v>
      </c>
      <c r="K4" s="233" t="str" cm="1">
        <f t="array" aca="1" ref="K4" ca="1">INDIRECT("DepthChart_RAW2!B"&amp;K$1+3)</f>
        <v>Javonte Williams</v>
      </c>
      <c r="L4" s="233" t="str" cm="1">
        <f t="array" aca="1" ref="L4" ca="1">INDIRECT("DepthChart_RAW2!B"&amp;L$1+3)</f>
        <v>Jahmyr Gibbs</v>
      </c>
      <c r="N4" s="74"/>
    </row>
    <row r="5" spans="1:14" x14ac:dyDescent="0.35">
      <c r="A5" s="227" t="s">
        <v>682</v>
      </c>
      <c r="B5" s="228" t="str" cm="1">
        <f t="array" aca="1" ref="B5" ca="1">INDIRECT("DepthChart_RAW2!B"&amp;B$1+4)</f>
        <v>Trey Benson</v>
      </c>
      <c r="C5" s="233" t="str" cm="1">
        <f t="array" aca="1" ref="C5" ca="1">INDIRECT("DepthChart_RAW2!B"&amp;C$1+4)</f>
        <v>Tyler Allgeier</v>
      </c>
      <c r="D5" s="233" t="str" cm="1">
        <f t="array" aca="1" ref="D5" ca="1">INDIRECT("DepthChart_RAW2!B"&amp;D$1+4)</f>
        <v>Keaton Mitchell</v>
      </c>
      <c r="E5" s="233" t="str" cm="1">
        <f t="array" aca="1" ref="E5" ca="1">INDIRECT("DepthChart_RAW2!B"&amp;E$1+4)</f>
        <v>Ray Davis</v>
      </c>
      <c r="F5" s="233" t="str" cm="1">
        <f t="array" aca="1" ref="F5" ca="1">INDIRECT("DepthChart_RAW2!B"&amp;F$1+4)</f>
        <v>Chuba Hubbard</v>
      </c>
      <c r="G5" s="233" t="str" cm="1">
        <f t="array" aca="1" ref="G5" ca="1">INDIRECT("DepthChart_RAW2!B"&amp;G$1+4)</f>
        <v>Khalil Herbert</v>
      </c>
      <c r="H5" s="233" t="str" cm="1">
        <f t="array" aca="1" ref="H5" ca="1">INDIRECT("DepthChart_RAW2!B"&amp;H$1+4)</f>
        <v>Chase Brown</v>
      </c>
      <c r="I5" s="233" t="str" cm="1">
        <f t="array" aca="1" ref="I5" ca="1">INDIRECT("DepthChart_RAW2!B"&amp;I$1+4)</f>
        <v>Jerome Ford</v>
      </c>
      <c r="J5" s="233" t="str" cm="1">
        <f t="array" aca="1" ref="J5" ca="1">INDIRECT("DepthChart_RAW2!B"&amp;J$1+4)</f>
        <v>Rico Dowdle</v>
      </c>
      <c r="K5" s="233" t="str" cm="1">
        <f t="array" aca="1" ref="K5" ca="1">INDIRECT("DepthChart_RAW2!B"&amp;K$1+4)</f>
        <v>Jaleel McLaughlin</v>
      </c>
      <c r="L5" s="233" t="str" cm="1">
        <f t="array" aca="1" ref="L5" ca="1">INDIRECT("DepthChart_RAW2!B"&amp;L$1+4)</f>
        <v>David Montgomery</v>
      </c>
    </row>
    <row r="6" spans="1:14" x14ac:dyDescent="0.35">
      <c r="A6" s="227" t="s">
        <v>683</v>
      </c>
      <c r="B6" s="228" t="str" cm="1">
        <f t="array" aca="1" ref="B6" ca="1">INDIRECT("DepthChart_RAW2!B"&amp;B$1+5)</f>
        <v>Emari Demercado</v>
      </c>
      <c r="C6" s="233" t="str" cm="1">
        <f t="array" aca="1" ref="C6" ca="1">INDIRECT("DepthChart_RAW2!B"&amp;C$1+5)</f>
        <v>Jase McClellan</v>
      </c>
      <c r="D6" s="233" t="str" cm="1">
        <f t="array" aca="1" ref="D6" ca="1">INDIRECT("DepthChart_RAW2!B"&amp;D$1+5)</f>
        <v>Justice Hill</v>
      </c>
      <c r="E6" s="233" t="str" cm="1">
        <f t="array" aca="1" ref="E6" ca="1">INDIRECT("DepthChart_RAW2!B"&amp;E$1+5)</f>
        <v>Ty Johnson</v>
      </c>
      <c r="F6" s="233" t="str" cm="1">
        <f t="array" aca="1" ref="F6" ca="1">INDIRECT("DepthChart_RAW2!B"&amp;F$1+5)</f>
        <v>Miles Sanders</v>
      </c>
      <c r="G6" s="233" t="str" cm="1">
        <f t="array" aca="1" ref="G6" ca="1">INDIRECT("DepthChart_RAW2!B"&amp;G$1+5)</f>
        <v>Roschon Johnson</v>
      </c>
      <c r="H6" s="233" t="str" cm="1">
        <f t="array" aca="1" ref="H6" ca="1">INDIRECT("DepthChart_RAW2!B"&amp;H$1+5)</f>
        <v>TBA CIN RB</v>
      </c>
      <c r="I6" s="233" t="str" cm="1">
        <f t="array" aca="1" ref="I6" ca="1">INDIRECT("DepthChart_RAW2!B"&amp;I$1+5)</f>
        <v>Pierre Strong Jr.</v>
      </c>
      <c r="J6" s="233" t="str" cm="1">
        <f t="array" aca="1" ref="J6" ca="1">INDIRECT("DepthChart_RAW2!B"&amp;J$1+5)</f>
        <v>Deuce Vaughn</v>
      </c>
      <c r="K6" s="233" t="str" cm="1">
        <f t="array" aca="1" ref="K6" ca="1">INDIRECT("DepthChart_RAW2!B"&amp;K$1+5)</f>
        <v>Audric Estime</v>
      </c>
      <c r="L6" s="233" t="str" cm="1">
        <f t="array" aca="1" ref="L6" ca="1">INDIRECT("DepthChart_RAW2!B"&amp;L$1+5)</f>
        <v>Craig Reynolds</v>
      </c>
    </row>
    <row r="7" spans="1:14" x14ac:dyDescent="0.35">
      <c r="A7" s="227" t="s">
        <v>691</v>
      </c>
      <c r="B7" s="228" t="str" cm="1">
        <f t="array" aca="1" ref="B7" ca="1">INDIRECT("DepthChart_RAW2!B"&amp;B$1+6)</f>
        <v>DeeJay Dallas</v>
      </c>
      <c r="C7" s="233" t="str" cm="1">
        <f t="array" aca="1" ref="C7" ca="1">INDIRECT("DepthChart_RAW2!B"&amp;C$1+6)</f>
        <v>Avery Williams</v>
      </c>
      <c r="D7" s="233" t="str" cm="1">
        <f t="array" aca="1" ref="D7" ca="1">INDIRECT("DepthChart_RAW2!B"&amp;D$1+6)</f>
        <v>Rasheen Ali</v>
      </c>
      <c r="E7" s="233" t="str" cm="1">
        <f t="array" aca="1" ref="E7" ca="1">INDIRECT("DepthChart_RAW2!B"&amp;E$1+6)</f>
        <v/>
      </c>
      <c r="F7" s="233" t="str" cm="1">
        <f t="array" aca="1" ref="F7" ca="1">INDIRECT("DepthChart_RAW2!B"&amp;F$1+6)</f>
        <v>Raheem Blackshear</v>
      </c>
      <c r="G7" s="233" t="str" cm="1">
        <f t="array" aca="1" ref="G7" ca="1">INDIRECT("DepthChart_RAW2!B"&amp;G$1+6)</f>
        <v>Travis Homer</v>
      </c>
      <c r="H7" s="233" t="str" cm="1">
        <f t="array" aca="1" ref="H7" ca="1">INDIRECT("DepthChart_RAW2!B"&amp;H$1+6)</f>
        <v/>
      </c>
      <c r="I7" s="233" t="str" cm="1">
        <f t="array" aca="1" ref="I7" ca="1">INDIRECT("DepthChart_RAW2!B"&amp;I$1+6)</f>
        <v>TBA CLE RB</v>
      </c>
      <c r="J7" s="233" t="str" cm="1">
        <f t="array" aca="1" ref="J7" ca="1">INDIRECT("DepthChart_RAW2!B"&amp;J$1+6)</f>
        <v/>
      </c>
      <c r="K7" s="233" t="str" cm="1">
        <f t="array" aca="1" ref="K7" ca="1">INDIRECT("DepthChart_RAW2!B"&amp;K$1+6)</f>
        <v>Blake Watson</v>
      </c>
      <c r="L7" s="233" t="str" cm="1">
        <f t="array" aca="1" ref="L7" ca="1">INDIRECT("DepthChart_RAW2!B"&amp;L$1+6)</f>
        <v>Sione Vaki</v>
      </c>
    </row>
    <row r="8" spans="1:14" x14ac:dyDescent="0.35">
      <c r="A8" s="229" t="s">
        <v>692</v>
      </c>
      <c r="B8" s="234" t="str" cm="1">
        <f t="array" aca="1" ref="B8" ca="1">INDIRECT("DepthChart_RAW2!B"&amp;B$1+8)</f>
        <v>Marvin Harrison Jr.</v>
      </c>
      <c r="C8" s="230" t="str" cm="1">
        <f t="array" aca="1" ref="C8" ca="1">INDIRECT("DepthChart_RAW2!B"&amp;C$1+8)</f>
        <v>Drake London</v>
      </c>
      <c r="D8" s="246" t="str" cm="1">
        <f t="array" aca="1" ref="D8" ca="1">INDIRECT("DepthChart_RAW2!B"&amp;D$1+8)</f>
        <v>Zay Flowers</v>
      </c>
      <c r="E8" s="230" t="str" cm="1">
        <f t="array" aca="1" ref="E8" ca="1">INDIRECT("DepthChart_RAW2!B"&amp;E$1+8)</f>
        <v>Keon Coleman</v>
      </c>
      <c r="F8" s="230" t="str" cm="1">
        <f t="array" aca="1" ref="F8" ca="1">INDIRECT("DepthChart_RAW2!B"&amp;F$1+8)</f>
        <v>Diontae Johnson</v>
      </c>
      <c r="G8" s="230" t="str" cm="1">
        <f t="array" aca="1" ref="G8" ca="1">INDIRECT("DepthChart_RAW2!B"&amp;G$1+8)</f>
        <v>DJ Moore</v>
      </c>
      <c r="H8" s="230" t="str" cm="1">
        <f t="array" aca="1" ref="H8" ca="1">INDIRECT("DepthChart_RAW2!B"&amp;H$1+8)</f>
        <v>Ja'Marr Chase</v>
      </c>
      <c r="I8" s="230" t="str" cm="1">
        <f t="array" aca="1" ref="I8" ca="1">INDIRECT("DepthChart_RAW2!B"&amp;I$1+8)</f>
        <v>Amari Cooper</v>
      </c>
      <c r="J8" s="230" t="str" cm="1">
        <f t="array" aca="1" ref="J8" ca="1">INDIRECT("DepthChart_RAW2!B"&amp;J$1+8)</f>
        <v>CeeDee Lamb</v>
      </c>
      <c r="K8" s="230" t="str" cm="1">
        <f t="array" aca="1" ref="K8" ca="1">INDIRECT("DepthChart_RAW2!B"&amp;K$1+8)</f>
        <v>Courtland Sutton</v>
      </c>
      <c r="L8" s="230" t="str" cm="1">
        <f t="array" aca="1" ref="L8" ca="1">INDIRECT("DepthChart_RAW2!B"&amp;L$1+8)</f>
        <v>Amon-Ra St. Brown</v>
      </c>
    </row>
    <row r="9" spans="1:14" x14ac:dyDescent="0.35">
      <c r="A9" s="229" t="s">
        <v>693</v>
      </c>
      <c r="B9" s="230" t="str" cm="1">
        <f t="array" aca="1" ref="B9" ca="1">INDIRECT("DepthChart_RAW2!B"&amp;B$1+9)</f>
        <v>Michael Wilson</v>
      </c>
      <c r="C9" s="230" t="str" cm="1">
        <f t="array" aca="1" ref="C9" ca="1">INDIRECT("DepthChart_RAW2!B"&amp;C$1+9)</f>
        <v>Darnell Mooney</v>
      </c>
      <c r="D9" s="246" t="str" cm="1">
        <f t="array" aca="1" ref="D9" ca="1">INDIRECT("DepthChart_RAW2!B"&amp;D$1+9)</f>
        <v>Rashod Bateman</v>
      </c>
      <c r="E9" s="230" t="str" cm="1">
        <f t="array" aca="1" ref="E9" ca="1">INDIRECT("DepthChart_RAW2!B"&amp;E$1+9)</f>
        <v>Curtis Samuel</v>
      </c>
      <c r="F9" s="230" t="str" cm="1">
        <f t="array" aca="1" ref="F9" ca="1">INDIRECT("DepthChart_RAW2!B"&amp;F$1+9)</f>
        <v>Adam Thielen</v>
      </c>
      <c r="G9" s="230" t="str" cm="1">
        <f t="array" aca="1" ref="G9" ca="1">INDIRECT("DepthChart_RAW2!B"&amp;G$1+9)</f>
        <v>Keenan Allen</v>
      </c>
      <c r="H9" s="230" t="str" cm="1">
        <f t="array" aca="1" ref="H9" ca="1">INDIRECT("DepthChart_RAW2!B"&amp;H$1+9)</f>
        <v>Tee Higgins</v>
      </c>
      <c r="I9" s="230" t="str" cm="1">
        <f t="array" aca="1" ref="I9" ca="1">INDIRECT("DepthChart_RAW2!B"&amp;I$1+9)</f>
        <v>Jerry Jeudy</v>
      </c>
      <c r="J9" s="230" t="str" cm="1">
        <f t="array" aca="1" ref="J9" ca="1">INDIRECT("DepthChart_RAW2!B"&amp;J$1+9)</f>
        <v>Brandin Cooks</v>
      </c>
      <c r="K9" s="230" t="str" cm="1">
        <f t="array" aca="1" ref="K9" ca="1">INDIRECT("DepthChart_RAW2!B"&amp;K$1+9)</f>
        <v>Josh Reynolds</v>
      </c>
      <c r="L9" s="230" t="str" cm="1">
        <f t="array" aca="1" ref="L9" ca="1">INDIRECT("DepthChart_RAW2!B"&amp;L$1+9)</f>
        <v>Jameson Williams</v>
      </c>
    </row>
    <row r="10" spans="1:14" x14ac:dyDescent="0.35">
      <c r="A10" s="229" t="s">
        <v>694</v>
      </c>
      <c r="B10" s="230" t="str" cm="1">
        <f t="array" aca="1" ref="B10" ca="1">INDIRECT("DepthChart_RAW2!B"&amp;B$1+10)</f>
        <v>Zay Jones</v>
      </c>
      <c r="C10" s="230" t="str" cm="1">
        <f t="array" aca="1" ref="C10" ca="1">INDIRECT("DepthChart_RAW2!B"&amp;C$1+10)</f>
        <v>Ray-Ray McCloud III</v>
      </c>
      <c r="D10" s="246" t="str" cm="1">
        <f t="array" aca="1" ref="D10" ca="1">INDIRECT("DepthChart_RAW2!B"&amp;D$1+10)</f>
        <v>Nelson Agholor</v>
      </c>
      <c r="E10" s="230" t="str" cm="1">
        <f t="array" aca="1" ref="E10" ca="1">INDIRECT("DepthChart_RAW2!B"&amp;E$1+10)</f>
        <v>Khalil Shakir</v>
      </c>
      <c r="F10" s="230" t="str" cm="1">
        <f t="array" aca="1" ref="F10" ca="1">INDIRECT("DepthChart_RAW2!B"&amp;F$1+10)</f>
        <v>Jonathan Mingo</v>
      </c>
      <c r="G10" s="230" t="str" cm="1">
        <f t="array" aca="1" ref="G10" ca="1">INDIRECT("DepthChart_RAW2!B"&amp;G$1+10)</f>
        <v>Rome Odunze</v>
      </c>
      <c r="H10" s="230" t="str" cm="1">
        <f t="array" aca="1" ref="H10" ca="1">INDIRECT("DepthChart_RAW2!B"&amp;H$1+10)</f>
        <v>Andrei Iosivas</v>
      </c>
      <c r="I10" s="230" t="str" cm="1">
        <f t="array" aca="1" ref="I10" ca="1">INDIRECT("DepthChart_RAW2!B"&amp;I$1+10)</f>
        <v>Cedric Tillman</v>
      </c>
      <c r="J10" s="230" t="str" cm="1">
        <f t="array" aca="1" ref="J10" ca="1">INDIRECT("DepthChart_RAW2!B"&amp;J$1+10)</f>
        <v>Jalen Tolbert</v>
      </c>
      <c r="K10" s="230" t="str" cm="1">
        <f t="array" aca="1" ref="K10" ca="1">INDIRECT("DepthChart_RAW2!B"&amp;K$1+10)</f>
        <v>Marvin Mims Jr.</v>
      </c>
      <c r="L10" s="230" t="str" cm="1">
        <f t="array" aca="1" ref="L10" ca="1">INDIRECT("DepthChart_RAW2!B"&amp;L$1+10)</f>
        <v>Kalif Raymond</v>
      </c>
    </row>
    <row r="11" spans="1:14" x14ac:dyDescent="0.35">
      <c r="A11" s="229" t="s">
        <v>695</v>
      </c>
      <c r="B11" s="230" t="str" cm="1">
        <f t="array" aca="1" ref="B11" ca="1">INDIRECT("DepthChart_RAW2!B"&amp;B$1+11)</f>
        <v>Greg Dortch</v>
      </c>
      <c r="C11" s="230" t="str" cm="1">
        <f t="array" aca="1" ref="C11" ca="1">INDIRECT("DepthChart_RAW2!B"&amp;C$1+11)</f>
        <v>KhaDarel Hodge</v>
      </c>
      <c r="D11" s="246" t="str" cm="1">
        <f t="array" aca="1" ref="D11" ca="1">INDIRECT("DepthChart_RAW2!B"&amp;D$1+11)</f>
        <v>Devontez Walker</v>
      </c>
      <c r="E11" s="230" t="str" cm="1">
        <f t="array" aca="1" ref="E11" ca="1">INDIRECT("DepthChart_RAW2!B"&amp;E$1+11)</f>
        <v>Mack Hollins</v>
      </c>
      <c r="F11" s="230" t="str" cm="1">
        <f t="array" aca="1" ref="F11" ca="1">INDIRECT("DepthChart_RAW2!B"&amp;F$1+11)</f>
        <v>Xavier Legette</v>
      </c>
      <c r="G11" s="230" t="str" cm="1">
        <f t="array" aca="1" ref="G11" ca="1">INDIRECT("DepthChart_RAW2!B"&amp;G$1+11)</f>
        <v>Tyler Scott</v>
      </c>
      <c r="H11" s="230" t="str" cm="1">
        <f t="array" aca="1" ref="H11" ca="1">INDIRECT("DepthChart_RAW2!B"&amp;H$1+11)</f>
        <v>Trenton Irwin</v>
      </c>
      <c r="I11" s="230" t="str" cm="1">
        <f t="array" aca="1" ref="I11" ca="1">INDIRECT("DepthChart_RAW2!B"&amp;I$1+11)</f>
        <v>Elijah Moore</v>
      </c>
      <c r="J11" s="230" t="str" cm="1">
        <f t="array" aca="1" ref="J11" ca="1">INDIRECT("DepthChart_RAW2!B"&amp;J$1+11)</f>
        <v>KaVontae Turpin</v>
      </c>
      <c r="K11" s="230" t="str" cm="1">
        <f t="array" aca="1" ref="K11" ca="1">INDIRECT("DepthChart_RAW2!B"&amp;K$1+11)</f>
        <v>Troy Franklin</v>
      </c>
      <c r="L11" s="230" t="str" cm="1">
        <f t="array" aca="1" ref="L11" ca="1">INDIRECT("DepthChart_RAW2!B"&amp;L$1+11)</f>
        <v>Isaiah Williams</v>
      </c>
    </row>
    <row r="12" spans="1:14" x14ac:dyDescent="0.35">
      <c r="A12" s="229" t="s">
        <v>696</v>
      </c>
      <c r="B12" s="230" t="str" cm="1">
        <f t="array" aca="1" ref="B12" ca="1">INDIRECT("DepthChart_RAW2!B"&amp;B$1+12)</f>
        <v>Chris Moore</v>
      </c>
      <c r="C12" s="230" t="str" cm="1">
        <f t="array" aca="1" ref="C12" ca="1">INDIRECT("DepthChart_RAW2!B"&amp;C$1+12)</f>
        <v>Casey Washington</v>
      </c>
      <c r="D12" s="246" t="str" cm="1">
        <f t="array" aca="1" ref="D12" ca="1">INDIRECT("DepthChart_RAW2!B"&amp;D$1+12)</f>
        <v>Deonte Harty</v>
      </c>
      <c r="E12" s="230" t="str" cm="1">
        <f t="array" aca="1" ref="E12" ca="1">INDIRECT("DepthChart_RAW2!B"&amp;E$1+12)</f>
        <v>Marquez Valdes-Scantling</v>
      </c>
      <c r="F12" s="230" t="str" cm="1">
        <f t="array" aca="1" ref="F12" ca="1">INDIRECT("DepthChart_RAW2!B"&amp;F$1+12)</f>
        <v>David Moore</v>
      </c>
      <c r="G12" s="230" t="str" cm="1">
        <f t="array" aca="1" ref="G12" ca="1">INDIRECT("DepthChart_RAW2!B"&amp;G$1+12)</f>
        <v>Velus Jones Jr.</v>
      </c>
      <c r="H12" s="230" t="str" cm="1">
        <f t="array" aca="1" ref="H12" ca="1">INDIRECT("DepthChart_RAW2!B"&amp;H$1+12)</f>
        <v>Jermaine Burton</v>
      </c>
      <c r="I12" s="230" t="str" cm="1">
        <f t="array" aca="1" ref="I12" ca="1">INDIRECT("DepthChart_RAW2!B"&amp;I$1+12)</f>
        <v>David Bell</v>
      </c>
      <c r="J12" s="230" t="str" cm="1">
        <f t="array" aca="1" ref="J12" ca="1">INDIRECT("DepthChart_RAW2!B"&amp;J$1+12)</f>
        <v>Ryan Flournoy</v>
      </c>
      <c r="K12" s="230" t="str" cm="1">
        <f t="array" aca="1" ref="K12" ca="1">INDIRECT("DepthChart_RAW2!B"&amp;K$1+12)</f>
        <v>Devaughn Vele</v>
      </c>
      <c r="L12" s="230" t="str" cm="1">
        <f t="array" aca="1" ref="L12" ca="1">INDIRECT("DepthChart_RAW2!B"&amp;L$1+12)</f>
        <v/>
      </c>
    </row>
    <row r="13" spans="1:14" x14ac:dyDescent="0.35">
      <c r="A13" s="231" t="s">
        <v>684</v>
      </c>
      <c r="B13" s="236" t="str" cm="1">
        <f t="array" aca="1" ref="B13" ca="1">INDIRECT("DepthChart_RAW2!B"&amp;B$1+14)</f>
        <v>Trey McBride</v>
      </c>
      <c r="C13" s="232" t="str" cm="1">
        <f t="array" aca="1" ref="C13" ca="1">INDIRECT("DepthChart_RAW2!B"&amp;C$1+14)</f>
        <v>Kyle Pitts</v>
      </c>
      <c r="D13" s="247" t="str" cm="1">
        <f t="array" aca="1" ref="D13" ca="1">INDIRECT("DepthChart_RAW2!B"&amp;D$1+14)</f>
        <v>Mark Andrews</v>
      </c>
      <c r="E13" s="232" t="str" cm="1">
        <f t="array" aca="1" ref="E13" ca="1">INDIRECT("DepthChart_RAW2!B"&amp;E$1+14)</f>
        <v>Dalton Kincaid</v>
      </c>
      <c r="F13" s="232" t="str" cm="1">
        <f t="array" aca="1" ref="F13" ca="1">INDIRECT("DepthChart_RAW2!B"&amp;F$1+14)</f>
        <v>Tommy Tremble</v>
      </c>
      <c r="G13" s="232" t="str" cm="1">
        <f t="array" aca="1" ref="G13" ca="1">INDIRECT("DepthChart_RAW2!B"&amp;G$1+14)</f>
        <v>Cole Kmet</v>
      </c>
      <c r="H13" s="232" t="str" cm="1">
        <f t="array" aca="1" ref="H13" ca="1">INDIRECT("DepthChart_RAW2!B"&amp;H$1+14)</f>
        <v>Mike Gesicki</v>
      </c>
      <c r="I13" s="232" t="str" cm="1">
        <f t="array" aca="1" ref="I13" ca="1">INDIRECT("DepthChart_RAW2!B"&amp;I$1+14)</f>
        <v>David Njoku</v>
      </c>
      <c r="J13" s="232" t="str" cm="1">
        <f t="array" aca="1" ref="J13" ca="1">INDIRECT("DepthChart_RAW2!B"&amp;J$1+14)</f>
        <v>Jake Ferguson</v>
      </c>
      <c r="K13" s="232" t="str" cm="1">
        <f t="array" aca="1" ref="K13" ca="1">INDIRECT("DepthChart_RAW2!B"&amp;K$1+14)</f>
        <v>Adam Trautman</v>
      </c>
      <c r="L13" s="232" t="str" cm="1">
        <f t="array" aca="1" ref="L13" ca="1">INDIRECT("DepthChart_RAW2!B"&amp;L$1+14)</f>
        <v>Sam LaPorta</v>
      </c>
    </row>
    <row r="14" spans="1:14" x14ac:dyDescent="0.35">
      <c r="A14" s="231" t="s">
        <v>685</v>
      </c>
      <c r="B14" s="232" t="str" cm="1">
        <f t="array" aca="1" ref="B14" ca="1">INDIRECT("DepthChart_RAW2!B"&amp;B$1+15)</f>
        <v>Elijah Higgins</v>
      </c>
      <c r="C14" s="232" t="str" cm="1">
        <f t="array" aca="1" ref="C14" ca="1">INDIRECT("DepthChart_RAW2!B"&amp;C$1+15)</f>
        <v>Charlie Woerner</v>
      </c>
      <c r="D14" s="247" t="str" cm="1">
        <f t="array" aca="1" ref="D14" ca="1">INDIRECT("DepthChart_RAW2!B"&amp;D$1+15)</f>
        <v>Isaiah Likely</v>
      </c>
      <c r="E14" s="232" t="str" cm="1">
        <f t="array" aca="1" ref="E14" ca="1">INDIRECT("DepthChart_RAW2!B"&amp;E$1+15)</f>
        <v>Dawson Knox</v>
      </c>
      <c r="F14" s="232" t="str" cm="1">
        <f t="array" aca="1" ref="F14" ca="1">INDIRECT("DepthChart_RAW2!B"&amp;F$1+15)</f>
        <v>Ian Thomas</v>
      </c>
      <c r="G14" s="232" t="str" cm="1">
        <f t="array" aca="1" ref="G14" ca="1">INDIRECT("DepthChart_RAW2!B"&amp;G$1+15)</f>
        <v>Gerald Everett</v>
      </c>
      <c r="H14" s="232" t="str" cm="1">
        <f t="array" aca="1" ref="H14" ca="1">INDIRECT("DepthChart_RAW2!B"&amp;H$1+15)</f>
        <v>Drew Sample</v>
      </c>
      <c r="I14" s="232" t="str" cm="1">
        <f t="array" aca="1" ref="I14" ca="1">INDIRECT("DepthChart_RAW2!B"&amp;I$1+15)</f>
        <v>Jordan Akins</v>
      </c>
      <c r="J14" s="232" t="str" cm="1">
        <f t="array" aca="1" ref="J14" ca="1">INDIRECT("DepthChart_RAW2!B"&amp;J$1+15)</f>
        <v>Luke Schoonmaker</v>
      </c>
      <c r="K14" s="232" t="str" cm="1">
        <f t="array" aca="1" ref="K14" ca="1">INDIRECT("DepthChart_RAW2!B"&amp;K$1+15)</f>
        <v>Greg Dulcich</v>
      </c>
      <c r="L14" s="232" t="str" cm="1">
        <f t="array" aca="1" ref="L14" ca="1">INDIRECT("DepthChart_RAW2!B"&amp;L$1+15)</f>
        <v>Brock Wright</v>
      </c>
    </row>
    <row r="15" spans="1:14" x14ac:dyDescent="0.35">
      <c r="A15" s="231" t="s">
        <v>686</v>
      </c>
      <c r="B15" s="232" t="str" cm="1">
        <f t="array" aca="1" ref="B15" ca="1">INDIRECT("DepthChart_RAW2!B"&amp;B$1+16)</f>
        <v>Tip Reiman</v>
      </c>
      <c r="C15" s="232" t="str" cm="1">
        <f t="array" aca="1" ref="C15" ca="1">INDIRECT("DepthChart_RAW2!B"&amp;C$1+16)</f>
        <v>Ross Dwelley</v>
      </c>
      <c r="D15" s="232" t="str" cm="1">
        <f t="array" aca="1" ref="D15" ca="1">INDIRECT("DepthChart_RAW2!B"&amp;D$1+16)</f>
        <v>Charlie Kolar</v>
      </c>
      <c r="E15" s="232" t="str" cm="1">
        <f t="array" aca="1" ref="E15" ca="1">INDIRECT("DepthChart_RAW2!B"&amp;E$1+16)</f>
        <v>Quintin Morris</v>
      </c>
      <c r="F15" s="232" t="str" cm="1">
        <f t="array" aca="1" ref="F15" ca="1">INDIRECT("DepthChart_RAW2!B"&amp;F$1+16)</f>
        <v>Ja'Tavion Sanders</v>
      </c>
      <c r="G15" s="232" t="str" cm="1">
        <f t="array" aca="1" ref="G15" ca="1">INDIRECT("DepthChart_RAW2!B"&amp;G$1+16)</f>
        <v>Marcedes Lewis</v>
      </c>
      <c r="H15" s="232" t="str" cm="1">
        <f t="array" aca="1" ref="H15" ca="1">INDIRECT("DepthChart_RAW2!B"&amp;H$1+16)</f>
        <v>Tanner Hudson</v>
      </c>
      <c r="I15" s="232" t="str" cm="1">
        <f t="array" aca="1" ref="I15" ca="1">INDIRECT("DepthChart_RAW2!B"&amp;I$1+16)</f>
        <v/>
      </c>
      <c r="J15" s="232" t="str" cm="1">
        <f t="array" aca="1" ref="J15" ca="1">INDIRECT("DepthChart_RAW2!B"&amp;J$1+16)</f>
        <v>John Stephens Jr.</v>
      </c>
      <c r="K15" s="232" t="str" cm="1">
        <f t="array" aca="1" ref="K15" ca="1">INDIRECT("DepthChart_RAW2!B"&amp;K$1+16)</f>
        <v>Lucas Krull</v>
      </c>
      <c r="L15" s="232" t="str" cm="1">
        <f t="array" aca="1" ref="L15" ca="1">INDIRECT("DepthChart_RAW2!B"&amp;L$1+16)</f>
        <v>Parker Hesse</v>
      </c>
    </row>
    <row r="16" spans="1:14" ht="15" thickBot="1" x14ac:dyDescent="0.4">
      <c r="A16" s="239" t="s">
        <v>45</v>
      </c>
      <c r="B16" s="242" t="str" cm="1">
        <f t="array" aca="1" ref="B16" ca="1">INDIRECT("DepthChart_RAW2!B"&amp;B$1+19)</f>
        <v>Blake Gillikin</v>
      </c>
      <c r="C16" s="240" t="str" cm="1">
        <f t="array" aca="1" ref="C16" ca="1">INDIRECT("DepthChart_RAW2!B"&amp;C$1+19)</f>
        <v>Bradley Pinion</v>
      </c>
      <c r="D16" s="240" t="str" cm="1">
        <f t="array" aca="1" ref="D16" ca="1">INDIRECT("DepthChart_RAW2!B"&amp;D$1+19)</f>
        <v>Jordan Stout</v>
      </c>
      <c r="E16" s="240" t="str" cm="1">
        <f t="array" aca="1" ref="E16" ca="1">INDIRECT("DepthChart_RAW2!B"&amp;E$1+19)</f>
        <v>Sam Martin</v>
      </c>
      <c r="F16" s="240" t="str" cm="1">
        <f t="array" aca="1" ref="F16" ca="1">INDIRECT("DepthChart_RAW2!B"&amp;F$1+19)</f>
        <v>Johnny Hekker</v>
      </c>
      <c r="G16" s="240" t="str" cm="1">
        <f t="array" aca="1" ref="G16" ca="1">INDIRECT("DepthChart_RAW2!B"&amp;G$1+19)</f>
        <v>Tory Taylor</v>
      </c>
      <c r="H16" s="240" t="str" cm="1">
        <f t="array" aca="1" ref="H16" ca="1">INDIRECT("DepthChart_RAW2!B"&amp;H$1+19)</f>
        <v>Ryan Rehkow</v>
      </c>
      <c r="I16" s="240" t="str" cm="1">
        <f t="array" aca="1" ref="I16" ca="1">INDIRECT("DepthChart_RAW2!B"&amp;I$1+19)</f>
        <v>Corey Bojorquez</v>
      </c>
      <c r="J16" s="240" t="str" cm="1">
        <f t="array" aca="1" ref="J16" ca="1">INDIRECT("DepthChart_RAW2!B"&amp;J$1+19)</f>
        <v>Bryan Anger</v>
      </c>
      <c r="K16" s="240" t="str" cm="1">
        <f t="array" aca="1" ref="K16" ca="1">INDIRECT("DepthChart_RAW2!B"&amp;K$1+19)</f>
        <v>Riley Dixon</v>
      </c>
      <c r="L16" s="240" t="str" cm="1">
        <f t="array" aca="1" ref="L16" ca="1">INDIRECT("DepthChart_RAW2!B"&amp;L$1+19)</f>
        <v>Jack Fox</v>
      </c>
    </row>
    <row r="17" spans="1:14" ht="38.25" customHeight="1" thickBot="1" x14ac:dyDescent="0.4">
      <c r="A17" s="238"/>
      <c r="B17" s="249">
        <f>MATCH("GREEN BAY PACKERS",DepthChart_RAW2!B:B,0)+1</f>
        <v>245</v>
      </c>
      <c r="C17" s="249">
        <f>MATCH("HOUSTON TEXANS",DepthChart_RAW2!B:B,0)+1</f>
        <v>267</v>
      </c>
      <c r="D17" s="249">
        <f>MATCH("INDIANAPOLIS COLTS",DepthChart_RAW2!B:B,0)+1</f>
        <v>289</v>
      </c>
      <c r="E17" s="249">
        <f>MATCH("JACKSONVILLE JAGUARS",DepthChart_RAW2!B:B,0)+1</f>
        <v>311</v>
      </c>
      <c r="F17" s="249">
        <f>MATCH("KANSAS CITY CHIEFS",DepthChart_RAW2!B:B,0)+1</f>
        <v>333</v>
      </c>
      <c r="G17" s="249">
        <f>MATCH("LAS VEGAS RAIDERS",DepthChart_RAW2!B:B,0)+1</f>
        <v>355</v>
      </c>
      <c r="H17" s="249">
        <f>MATCH("LOS ANGELES CHARGERS",DepthChart_RAW2!B:B,0)+1</f>
        <v>377</v>
      </c>
      <c r="I17" s="249">
        <f>MATCH("LOS ANGELES RAMS",DepthChart_RAW2!B:B,0)+1</f>
        <v>399</v>
      </c>
      <c r="J17" s="249">
        <f>MATCH("MIAMI DOLPHINS",DepthChart_RAW2!B:B,0)+1</f>
        <v>421</v>
      </c>
      <c r="K17" s="249">
        <f>MATCH("MINNESOTA VIKINGS",DepthChart_RAW2!B:B,0)+1</f>
        <v>443</v>
      </c>
      <c r="L17" s="249">
        <f>MATCH("NEW ENGLAND PATRIOTS",DepthChart_RAW2!B:B,0)+1</f>
        <v>465</v>
      </c>
    </row>
    <row r="18" spans="1:14" x14ac:dyDescent="0.35">
      <c r="A18" s="225" t="s">
        <v>679</v>
      </c>
      <c r="B18" s="226" t="str" cm="1">
        <f t="array" aca="1" ref="B18" ca="1">INDIRECT("DepthChart_RAW2!B"&amp;B$17)</f>
        <v>Jordan Love</v>
      </c>
      <c r="C18" s="226" t="str" cm="1">
        <f t="array" aca="1" ref="C18" ca="1">INDIRECT("DepthChart_RAW2!B"&amp;C$17)</f>
        <v>C.J. Stroud</v>
      </c>
      <c r="D18" s="226" t="str" cm="1">
        <f t="array" aca="1" ref="D18" ca="1">INDIRECT("DepthChart_RAW2!B"&amp;D$17)</f>
        <v>Anthony Richardson</v>
      </c>
      <c r="E18" s="226" t="str" cm="1">
        <f t="array" aca="1" ref="E18" ca="1">INDIRECT("DepthChart_RAW2!B"&amp;E$17)</f>
        <v>Trevor Lawrence</v>
      </c>
      <c r="F18" s="226" t="str" cm="1">
        <f t="array" aca="1" ref="F18" ca="1">INDIRECT("DepthChart_RAW2!B"&amp;F$17)</f>
        <v>Patrick Mahomes</v>
      </c>
      <c r="G18" s="226" t="str" cm="1">
        <f t="array" aca="1" ref="G18" ca="1">INDIRECT("DepthChart_RAW2!B"&amp;G$17)</f>
        <v>Gardner Minshew II</v>
      </c>
      <c r="H18" s="226" t="str" cm="1">
        <f t="array" aca="1" ref="H18" ca="1">INDIRECT("DepthChart_RAW2!B"&amp;H$17)</f>
        <v>Justin Herbert</v>
      </c>
      <c r="I18" s="226" t="str" cm="1">
        <f t="array" aca="1" ref="I18" ca="1">INDIRECT("DepthChart_RAW2!B"&amp;I$17)</f>
        <v>Matthew Stafford</v>
      </c>
      <c r="J18" s="226" t="str" cm="1">
        <f t="array" aca="1" ref="J18" ca="1">INDIRECT("DepthChart_RAW2!B"&amp;J$17)</f>
        <v>Tua Tagovailoa</v>
      </c>
      <c r="K18" s="226" t="str" cm="1">
        <f t="array" aca="1" ref="K18" ca="1">INDIRECT("DepthChart_RAW2!B"&amp;K$17)</f>
        <v>Sam Darnold</v>
      </c>
      <c r="L18" s="226" t="str" cm="1">
        <f t="array" aca="1" ref="L18" ca="1">INDIRECT("DepthChart_RAW2!B"&amp;L$17)</f>
        <v>Jacoby Brissett</v>
      </c>
    </row>
    <row r="19" spans="1:14" x14ac:dyDescent="0.35">
      <c r="A19" s="225" t="s">
        <v>680</v>
      </c>
      <c r="B19" s="226" t="str" cm="1">
        <f t="array" aca="1" ref="B19" ca="1">INDIRECT("DepthChart_RAW2!B"&amp;B$17+1)</f>
        <v>Malik Willis</v>
      </c>
      <c r="C19" s="226" t="str" cm="1">
        <f t="array" aca="1" ref="C19" ca="1">INDIRECT("DepthChart_RAW2!B"&amp;C$17+1)</f>
        <v>Davis Mills</v>
      </c>
      <c r="D19" s="226" t="str" cm="1">
        <f t="array" aca="1" ref="D19" ca="1">INDIRECT("DepthChart_RAW2!B"&amp;D$17+1)</f>
        <v>Joe Flacco</v>
      </c>
      <c r="E19" s="226" t="str" cm="1">
        <f t="array" aca="1" ref="E19" ca="1">INDIRECT("DepthChart_RAW2!B"&amp;E$17+1)</f>
        <v>Mac Jones</v>
      </c>
      <c r="F19" s="226" t="str" cm="1">
        <f t="array" aca="1" ref="F19" ca="1">INDIRECT("DepthChart_RAW2!B"&amp;F$17+1)</f>
        <v>Carson Wentz</v>
      </c>
      <c r="G19" s="226" t="str" cm="1">
        <f t="array" aca="1" ref="G19" ca="1">INDIRECT("DepthChart_RAW2!B"&amp;G$17+1)</f>
        <v>Aidan O'Connell</v>
      </c>
      <c r="H19" s="226" t="str" cm="1">
        <f t="array" aca="1" ref="H19" ca="1">INDIRECT("DepthChart_RAW2!B"&amp;H$17+1)</f>
        <v>Easton Stick</v>
      </c>
      <c r="I19" s="226" t="str" cm="1">
        <f t="array" aca="1" ref="I19" ca="1">INDIRECT("DepthChart_RAW2!B"&amp;I$17+1)</f>
        <v>Jimmy Garoppolo</v>
      </c>
      <c r="J19" s="226" t="str" cm="1">
        <f t="array" aca="1" ref="J19" ca="1">INDIRECT("DepthChart_RAW2!B"&amp;J$17+1)</f>
        <v>Skylar Thompson</v>
      </c>
      <c r="K19" s="226" t="str" cm="1">
        <f t="array" aca="1" ref="K19" ca="1">INDIRECT("DepthChart_RAW2!B"&amp;K$17+1)</f>
        <v>Nick Mullens</v>
      </c>
      <c r="L19" s="226" t="str" cm="1">
        <f t="array" aca="1" ref="L19" ca="1">INDIRECT("DepthChart_RAW2!B"&amp;L$17+1)</f>
        <v>Drake Maye</v>
      </c>
      <c r="N19" s="74"/>
    </row>
    <row r="20" spans="1:14" x14ac:dyDescent="0.35">
      <c r="A20" s="227" t="s">
        <v>681</v>
      </c>
      <c r="B20" s="228" t="str" cm="1">
        <f t="array" aca="1" ref="B20" ca="1">INDIRECT("DepthChart_RAW2!B"&amp;B$17+3)</f>
        <v>Josh Jacobs</v>
      </c>
      <c r="C20" s="228" t="str" cm="1">
        <f t="array" aca="1" ref="C20" ca="1">INDIRECT("DepthChart_RAW2!B"&amp;C$17+3)</f>
        <v>Joe Mixon</v>
      </c>
      <c r="D20" s="228" t="str" cm="1">
        <f t="array" aca="1" ref="D20" ca="1">INDIRECT("DepthChart_RAW2!B"&amp;D$17+3)</f>
        <v>Jonathan Taylor</v>
      </c>
      <c r="E20" s="228" t="str" cm="1">
        <f t="array" aca="1" ref="E20" ca="1">INDIRECT("DepthChart_RAW2!B"&amp;E$17+3)</f>
        <v>Travis Etienne Jr.</v>
      </c>
      <c r="F20" s="228" t="str" cm="1">
        <f t="array" aca="1" ref="F20" ca="1">INDIRECT("DepthChart_RAW2!B"&amp;F$17+3)</f>
        <v>Isiah Pacheco</v>
      </c>
      <c r="G20" s="228" t="str" cm="1">
        <f t="array" aca="1" ref="G20" ca="1">INDIRECT("DepthChart_RAW2!B"&amp;G$17+3)</f>
        <v>Zamir White</v>
      </c>
      <c r="H20" s="228" t="str" cm="1">
        <f t="array" aca="1" ref="H20" ca="1">INDIRECT("DepthChart_RAW2!B"&amp;H$17+3)</f>
        <v>Gus Edwards</v>
      </c>
      <c r="I20" s="228" t="str" cm="1">
        <f t="array" aca="1" ref="I20" ca="1">INDIRECT("DepthChart_RAW2!B"&amp;I$17+3)</f>
        <v>Kyren Williams</v>
      </c>
      <c r="J20" s="228" t="str" cm="1">
        <f t="array" aca="1" ref="J20" ca="1">INDIRECT("DepthChart_RAW2!B"&amp;J$17+3)</f>
        <v>Raheem Mostert</v>
      </c>
      <c r="K20" s="228" t="str" cm="1">
        <f t="array" aca="1" ref="K20" ca="1">INDIRECT("DepthChart_RAW2!B"&amp;K$17+3)</f>
        <v>Aaron Jones</v>
      </c>
      <c r="L20" s="233" t="str" cm="1">
        <f t="array" aca="1" ref="L20" ca="1">INDIRECT("DepthChart_RAW2!B"&amp;L$17+3)</f>
        <v>Rhamondre Stevenson</v>
      </c>
    </row>
    <row r="21" spans="1:14" x14ac:dyDescent="0.35">
      <c r="A21" s="227" t="s">
        <v>682</v>
      </c>
      <c r="B21" s="228" t="str" cm="1">
        <f t="array" aca="1" ref="B21" ca="1">INDIRECT("DepthChart_RAW2!B"&amp;B$17+4)</f>
        <v>MarShawn Lloyd</v>
      </c>
      <c r="C21" s="228" t="str" cm="1">
        <f t="array" aca="1" ref="C21" ca="1">INDIRECT("DepthChart_RAW2!B"&amp;C$17+4)</f>
        <v>Dameon Pierce</v>
      </c>
      <c r="D21" s="228" t="str" cm="1">
        <f t="array" aca="1" ref="D21" ca="1">INDIRECT("DepthChart_RAW2!B"&amp;D$17+4)</f>
        <v>Trey Sermon</v>
      </c>
      <c r="E21" s="228" t="str" cm="1">
        <f t="array" aca="1" ref="E21" ca="1">INDIRECT("DepthChart_RAW2!B"&amp;E$17+4)</f>
        <v>Tank Bigsby</v>
      </c>
      <c r="F21" s="228" t="str" cm="1">
        <f t="array" aca="1" ref="F21" ca="1">INDIRECT("DepthChart_RAW2!B"&amp;F$17+4)</f>
        <v>Clyde Edwards-Helaire</v>
      </c>
      <c r="G21" s="228" t="str" cm="1">
        <f t="array" aca="1" ref="G21" ca="1">INDIRECT("DepthChart_RAW2!B"&amp;G$17+4)</f>
        <v>Alexander Mattison</v>
      </c>
      <c r="H21" s="228" t="str" cm="1">
        <f t="array" aca="1" ref="H21" ca="1">INDIRECT("DepthChart_RAW2!B"&amp;H$17+4)</f>
        <v>J.K. Dobbins</v>
      </c>
      <c r="I21" s="228" t="str" cm="1">
        <f t="array" aca="1" ref="I21" ca="1">INDIRECT("DepthChart_RAW2!B"&amp;I$17+4)</f>
        <v>Blake Corum</v>
      </c>
      <c r="J21" s="228" t="str" cm="1">
        <f t="array" aca="1" ref="J21" ca="1">INDIRECT("DepthChart_RAW2!B"&amp;J$17+4)</f>
        <v>De'Von Achane</v>
      </c>
      <c r="K21" s="228" t="str" cm="1">
        <f t="array" aca="1" ref="K21" ca="1">INDIRECT("DepthChart_RAW2!B"&amp;K$17+4)</f>
        <v>Ty Chandler</v>
      </c>
      <c r="L21" s="233" t="str" cm="1">
        <f t="array" aca="1" ref="L21" ca="1">INDIRECT("DepthChart_RAW2!B"&amp;L$17+4)</f>
        <v>Antonio Gibson</v>
      </c>
    </row>
    <row r="22" spans="1:14" x14ac:dyDescent="0.35">
      <c r="A22" s="227" t="s">
        <v>683</v>
      </c>
      <c r="B22" s="228" t="str" cm="1">
        <f t="array" aca="1" ref="B22" ca="1">INDIRECT("DepthChart_RAW2!B"&amp;B$17+5)</f>
        <v>Emanuel Wilson</v>
      </c>
      <c r="C22" s="228" t="str" cm="1">
        <f t="array" aca="1" ref="C22" ca="1">INDIRECT("DepthChart_RAW2!B"&amp;C$17+5)</f>
        <v>Dare Ogunbowale</v>
      </c>
      <c r="D22" s="228" t="str" cm="1">
        <f t="array" aca="1" ref="D22" ca="1">INDIRECT("DepthChart_RAW2!B"&amp;D$17+5)</f>
        <v>Tyler Goodson</v>
      </c>
      <c r="E22" s="228" t="str" cm="1">
        <f t="array" aca="1" ref="E22" ca="1">INDIRECT("DepthChart_RAW2!B"&amp;E$17+5)</f>
        <v>D'Ernest Johnson</v>
      </c>
      <c r="F22" s="228" t="str" cm="1">
        <f t="array" aca="1" ref="F22" ca="1">INDIRECT("DepthChart_RAW2!B"&amp;F$17+5)</f>
        <v>Samaje Perine</v>
      </c>
      <c r="G22" s="228" t="str" cm="1">
        <f t="array" aca="1" ref="G22" ca="1">INDIRECT("DepthChart_RAW2!B"&amp;G$17+5)</f>
        <v>Ameer Abdullah</v>
      </c>
      <c r="H22" s="228" t="str" cm="1">
        <f t="array" aca="1" ref="H22" ca="1">INDIRECT("DepthChart_RAW2!B"&amp;H$17+5)</f>
        <v>Kimani Vidal</v>
      </c>
      <c r="I22" s="228" t="str" cm="1">
        <f t="array" aca="1" ref="I22" ca="1">INDIRECT("DepthChart_RAW2!B"&amp;I$17+5)</f>
        <v>Ronnie Rivers</v>
      </c>
      <c r="J22" s="228" t="str" cm="1">
        <f t="array" aca="1" ref="J22" ca="1">INDIRECT("DepthChart_RAW2!B"&amp;J$17+5)</f>
        <v>Jaylen Wright</v>
      </c>
      <c r="K22" s="228" t="str" cm="1">
        <f t="array" aca="1" ref="K22" ca="1">INDIRECT("DepthChart_RAW2!B"&amp;K$17+5)</f>
        <v>TBA MIN RB</v>
      </c>
      <c r="L22" s="233" t="str" cm="1">
        <f t="array" aca="1" ref="L22" ca="1">INDIRECT("DepthChart_RAW2!B"&amp;L$17+5)</f>
        <v>JaMycal Hasty</v>
      </c>
    </row>
    <row r="23" spans="1:14" x14ac:dyDescent="0.35">
      <c r="A23" s="227" t="s">
        <v>691</v>
      </c>
      <c r="B23" s="228" t="str" cm="1">
        <f t="array" aca="1" ref="B23" ca="1">INDIRECT("DepthChart_RAW2!B"&amp;B$17+6)</f>
        <v/>
      </c>
      <c r="C23" s="228" t="str" cm="1">
        <f t="array" aca="1" ref="C23" ca="1">INDIRECT("DepthChart_RAW2!B"&amp;C$17+6)</f>
        <v>Cam Akers</v>
      </c>
      <c r="D23" s="228" t="str" cm="1">
        <f t="array" aca="1" ref="D23" ca="1">INDIRECT("DepthChart_RAW2!B"&amp;D$17+6)</f>
        <v/>
      </c>
      <c r="E23" s="228" t="str" cm="1">
        <f t="array" aca="1" ref="E23" ca="1">INDIRECT("DepthChart_RAW2!B"&amp;E$17+6)</f>
        <v/>
      </c>
      <c r="F23" s="228" t="str" cm="1">
        <f t="array" aca="1" ref="F23" ca="1">INDIRECT("DepthChart_RAW2!B"&amp;F$17+6)</f>
        <v>Carson Steele</v>
      </c>
      <c r="G23" s="228" t="str" cm="1">
        <f t="array" aca="1" ref="G23" ca="1">INDIRECT("DepthChart_RAW2!B"&amp;G$17+6)</f>
        <v>Dylan Laube</v>
      </c>
      <c r="H23" s="228" t="str" cm="1">
        <f t="array" aca="1" ref="H23" ca="1">INDIRECT("DepthChart_RAW2!B"&amp;H$17+6)</f>
        <v>Jaret Patterson</v>
      </c>
      <c r="I23" s="228" t="str" cm="1">
        <f t="array" aca="1" ref="I23" ca="1">INDIRECT("DepthChart_RAW2!B"&amp;I$17+6)</f>
        <v>Cody Schrader</v>
      </c>
      <c r="J23" s="228" t="str" cm="1">
        <f t="array" aca="1" ref="J23" ca="1">INDIRECT("DepthChart_RAW2!B"&amp;J$17+6)</f>
        <v>Jeff Wilson Jr.</v>
      </c>
      <c r="K23" s="228" t="str" cm="1">
        <f t="array" aca="1" ref="K23" ca="1">INDIRECT("DepthChart_RAW2!B"&amp;K$17+6)</f>
        <v/>
      </c>
      <c r="L23" s="228" t="str" cm="1">
        <f t="array" aca="1" ref="L23" ca="1">INDIRECT("DepthChart_RAW2!B"&amp;L$17+6)</f>
        <v/>
      </c>
    </row>
    <row r="24" spans="1:14" x14ac:dyDescent="0.35">
      <c r="A24" s="229" t="s">
        <v>692</v>
      </c>
      <c r="B24" s="234" t="str" cm="1">
        <f t="array" aca="1" ref="B24" ca="1">INDIRECT("DepthChart_RAW2!B"&amp;B$17+8)</f>
        <v>Christian Watson</v>
      </c>
      <c r="C24" s="234" t="str" cm="1">
        <f t="array" aca="1" ref="C24" ca="1">INDIRECT("DepthChart_RAW2!B"&amp;C$17+8)</f>
        <v>Stefon Diggs</v>
      </c>
      <c r="D24" s="234" t="str" cm="1">
        <f t="array" aca="1" ref="D24" ca="1">INDIRECT("DepthChart_RAW2!B"&amp;D$17+8)</f>
        <v>Michael Pittman Jr.</v>
      </c>
      <c r="E24" s="234" t="str" cm="1">
        <f t="array" aca="1" ref="E24" ca="1">INDIRECT("DepthChart_RAW2!B"&amp;E$17+8)</f>
        <v>Christian Kirk</v>
      </c>
      <c r="F24" s="234" t="str" cm="1">
        <f t="array" aca="1" ref="F24" ca="1">INDIRECT("DepthChart_RAW2!B"&amp;F$17+8)</f>
        <v>Rashee Rice</v>
      </c>
      <c r="G24" s="234" t="str" cm="1">
        <f t="array" aca="1" ref="G24" ca="1">INDIRECT("DepthChart_RAW2!B"&amp;G$17+8)</f>
        <v>Davante Adams</v>
      </c>
      <c r="H24" s="234" t="str" cm="1">
        <f t="array" aca="1" ref="H24" ca="1">INDIRECT("DepthChart_RAW2!B"&amp;H$17+8)</f>
        <v>Ladd McConkey</v>
      </c>
      <c r="I24" s="234" t="str" cm="1">
        <f t="array" aca="1" ref="I24" ca="1">INDIRECT("DepthChart_RAW2!B"&amp;I$17+8)</f>
        <v>Puka Nacua</v>
      </c>
      <c r="J24" s="234" t="str" cm="1">
        <f t="array" aca="1" ref="J24" ca="1">INDIRECT("DepthChart_RAW2!B"&amp;J$17+8)</f>
        <v>Tyreek Hill</v>
      </c>
      <c r="K24" s="234" t="str" cm="1">
        <f t="array" aca="1" ref="K24" ca="1">INDIRECT("DepthChart_RAW2!B"&amp;K$17+8)</f>
        <v>Justin Jefferson</v>
      </c>
      <c r="L24" s="230" t="str" cm="1">
        <f t="array" aca="1" ref="L24" ca="1">INDIRECT("DepthChart_RAW2!B"&amp;L$17+8)</f>
        <v>DeMario Douglas</v>
      </c>
    </row>
    <row r="25" spans="1:14" x14ac:dyDescent="0.35">
      <c r="A25" s="229" t="s">
        <v>693</v>
      </c>
      <c r="B25" s="234" t="str" cm="1">
        <f t="array" aca="1" ref="B25" ca="1">INDIRECT("DepthChart_RAW2!B"&amp;B$17+9)</f>
        <v>Romeo Doubs</v>
      </c>
      <c r="C25" s="234" t="str" cm="1">
        <f t="array" aca="1" ref="C25" ca="1">INDIRECT("DepthChart_RAW2!B"&amp;C$17+9)</f>
        <v>Nico Collins</v>
      </c>
      <c r="D25" s="234" t="str" cm="1">
        <f t="array" aca="1" ref="D25" ca="1">INDIRECT("DepthChart_RAW2!B"&amp;D$17+9)</f>
        <v>Adonai Mitchell</v>
      </c>
      <c r="E25" s="234" t="str" cm="1">
        <f t="array" aca="1" ref="E25" ca="1">INDIRECT("DepthChart_RAW2!B"&amp;E$17+9)</f>
        <v>Brian Thomas Jr.</v>
      </c>
      <c r="F25" s="234" t="str" cm="1">
        <f t="array" aca="1" ref="F25" ca="1">INDIRECT("DepthChart_RAW2!B"&amp;F$17+9)</f>
        <v>Marquise Brown</v>
      </c>
      <c r="G25" s="234" t="str" cm="1">
        <f t="array" aca="1" ref="G25" ca="1">INDIRECT("DepthChart_RAW2!B"&amp;G$17+9)</f>
        <v>Jakobi Meyers</v>
      </c>
      <c r="H25" s="234" t="str" cm="1">
        <f t="array" aca="1" ref="H25" ca="1">INDIRECT("DepthChart_RAW2!B"&amp;H$17+9)</f>
        <v>Joshua Palmer</v>
      </c>
      <c r="I25" s="234" t="str" cm="1">
        <f t="array" aca="1" ref="I25" ca="1">INDIRECT("DepthChart_RAW2!B"&amp;I$17+9)</f>
        <v>Cooper Kupp</v>
      </c>
      <c r="J25" s="234" t="str" cm="1">
        <f t="array" aca="1" ref="J25" ca="1">INDIRECT("DepthChart_RAW2!B"&amp;J$17+9)</f>
        <v>Jaylen Waddle</v>
      </c>
      <c r="K25" s="234" t="str" cm="1">
        <f t="array" aca="1" ref="K25" ca="1">INDIRECT("DepthChart_RAW2!B"&amp;K$17+9)</f>
        <v>Jordan Addison</v>
      </c>
      <c r="L25" s="230" t="str" cm="1">
        <f t="array" aca="1" ref="L25" ca="1">INDIRECT("DepthChart_RAW2!B"&amp;L$17+9)</f>
        <v>Ja'Lynn Polk</v>
      </c>
    </row>
    <row r="26" spans="1:14" x14ac:dyDescent="0.35">
      <c r="A26" s="229" t="s">
        <v>694</v>
      </c>
      <c r="B26" s="234" t="str" cm="1">
        <f t="array" aca="1" ref="B26" ca="1">INDIRECT("DepthChart_RAW2!B"&amp;B$17+10)</f>
        <v>Jayden Reed</v>
      </c>
      <c r="C26" s="234" t="str" cm="1">
        <f t="array" aca="1" ref="C26" ca="1">INDIRECT("DepthChart_RAW2!B"&amp;C$17+10)</f>
        <v>Tank Dell</v>
      </c>
      <c r="D26" s="234" t="str" cm="1">
        <f t="array" aca="1" ref="D26" ca="1">INDIRECT("DepthChart_RAW2!B"&amp;D$17+10)</f>
        <v>Josh Downs</v>
      </c>
      <c r="E26" s="234" t="str" cm="1">
        <f t="array" aca="1" ref="E26" ca="1">INDIRECT("DepthChart_RAW2!B"&amp;E$17+10)</f>
        <v>Gabe Davis</v>
      </c>
      <c r="F26" s="234" t="str" cm="1">
        <f t="array" aca="1" ref="F26" ca="1">INDIRECT("DepthChart_RAW2!B"&amp;F$17+10)</f>
        <v>Xavier Worthy</v>
      </c>
      <c r="G26" s="234" t="str" cm="1">
        <f t="array" aca="1" ref="G26" ca="1">INDIRECT("DepthChart_RAW2!B"&amp;G$17+10)</f>
        <v>Tre Tucker</v>
      </c>
      <c r="H26" s="234" t="str" cm="1">
        <f t="array" aca="1" ref="H26" ca="1">INDIRECT("DepthChart_RAW2!B"&amp;H$17+10)</f>
        <v>DJ Chark Jr.</v>
      </c>
      <c r="I26" s="234" t="str" cm="1">
        <f t="array" aca="1" ref="I26" ca="1">INDIRECT("DepthChart_RAW2!B"&amp;I$17+10)</f>
        <v>Demarcus Robinson</v>
      </c>
      <c r="J26" s="234" t="str" cm="1">
        <f t="array" aca="1" ref="J26" ca="1">INDIRECT("DepthChart_RAW2!B"&amp;J$17+10)</f>
        <v>Odell Beckham Jr.</v>
      </c>
      <c r="K26" s="234" t="str" cm="1">
        <f t="array" aca="1" ref="K26" ca="1">INDIRECT("DepthChart_RAW2!B"&amp;K$17+10)</f>
        <v>Jalen Nailor</v>
      </c>
      <c r="L26" s="230" t="str" cm="1">
        <f t="array" aca="1" ref="L26" ca="1">INDIRECT("DepthChart_RAW2!B"&amp;L$17+10)</f>
        <v>Kendrick Bourne</v>
      </c>
    </row>
    <row r="27" spans="1:14" x14ac:dyDescent="0.35">
      <c r="A27" s="229" t="s">
        <v>695</v>
      </c>
      <c r="B27" s="234" t="str" cm="1">
        <f t="array" aca="1" ref="B27" ca="1">INDIRECT("DepthChart_RAW2!B"&amp;B$17+11)</f>
        <v>Dontayvion Wicks</v>
      </c>
      <c r="C27" s="234" t="str" cm="1">
        <f t="array" aca="1" ref="C27" ca="1">INDIRECT("DepthChart_RAW2!B"&amp;C$17+11)</f>
        <v>John Metchie III</v>
      </c>
      <c r="D27" s="234" t="str" cm="1">
        <f t="array" aca="1" ref="D27" ca="1">INDIRECT("DepthChart_RAW2!B"&amp;D$17+11)</f>
        <v>Alec Pierce</v>
      </c>
      <c r="E27" s="234" t="str" cm="1">
        <f t="array" aca="1" ref="E27" ca="1">INDIRECT("DepthChart_RAW2!B"&amp;E$17+11)</f>
        <v>Devin Duvernay</v>
      </c>
      <c r="F27" s="234" t="str" cm="1">
        <f t="array" aca="1" ref="F27" ca="1">INDIRECT("DepthChart_RAW2!B"&amp;F$17+11)</f>
        <v>Justin Watson</v>
      </c>
      <c r="G27" s="234" t="str" cm="1">
        <f t="array" aca="1" ref="G27" ca="1">INDIRECT("DepthChart_RAW2!B"&amp;G$17+11)</f>
        <v>DJ Turner</v>
      </c>
      <c r="H27" s="234" t="str" cm="1">
        <f t="array" aca="1" ref="H27" ca="1">INDIRECT("DepthChart_RAW2!B"&amp;H$17+11)</f>
        <v>Quentin Johnston</v>
      </c>
      <c r="I27" s="234" t="str" cm="1">
        <f t="array" aca="1" ref="I27" ca="1">INDIRECT("DepthChart_RAW2!B"&amp;I$17+11)</f>
        <v>Tutu Atwell</v>
      </c>
      <c r="J27" s="234" t="str" cm="1">
        <f t="array" aca="1" ref="J27" ca="1">INDIRECT("DepthChart_RAW2!B"&amp;J$17+11)</f>
        <v>Malik Washington</v>
      </c>
      <c r="K27" s="234" t="str" cm="1">
        <f t="array" aca="1" ref="K27" ca="1">INDIRECT("DepthChart_RAW2!B"&amp;K$17+11)</f>
        <v>Brandon Powell</v>
      </c>
      <c r="L27" s="230" t="str" cm="1">
        <f t="array" aca="1" ref="L27" ca="1">INDIRECT("DepthChart_RAW2!B"&amp;L$17+11)</f>
        <v>Tyquan Thornton</v>
      </c>
    </row>
    <row r="28" spans="1:14" x14ac:dyDescent="0.35">
      <c r="A28" s="229" t="s">
        <v>696</v>
      </c>
      <c r="B28" s="234" t="str" cm="1">
        <f t="array" aca="1" ref="B28" ca="1">INDIRECT("DepthChart_RAW2!B"&amp;B$17+12)</f>
        <v>Bo Melton</v>
      </c>
      <c r="C28" s="234" t="str" cm="1">
        <f t="array" aca="1" ref="C28" ca="1">INDIRECT("DepthChart_RAW2!B"&amp;C$17+12)</f>
        <v>Robert Woods</v>
      </c>
      <c r="D28" s="234" t="str" cm="1">
        <f t="array" aca="1" ref="D28" ca="1">INDIRECT("DepthChart_RAW2!B"&amp;D$17+12)</f>
        <v>Anthony Gould</v>
      </c>
      <c r="E28" s="234" t="str" cm="1">
        <f t="array" aca="1" ref="E28" ca="1">INDIRECT("DepthChart_RAW2!B"&amp;E$17+12)</f>
        <v>Parker Washington</v>
      </c>
      <c r="F28" s="234" t="str" cm="1">
        <f t="array" aca="1" ref="F28" ca="1">INDIRECT("DepthChart_RAW2!B"&amp;F$17+12)</f>
        <v>Skyy Moore</v>
      </c>
      <c r="G28" s="234" t="str" cm="1">
        <f t="array" aca="1" ref="G28" ca="1">INDIRECT("DepthChart_RAW2!B"&amp;G$17+12)</f>
        <v>Ramel Keyton</v>
      </c>
      <c r="H28" s="234" t="str" cm="1">
        <f t="array" aca="1" ref="H28" ca="1">INDIRECT("DepthChart_RAW2!B"&amp;H$17+12)</f>
        <v>Derius Davis</v>
      </c>
      <c r="I28" s="234" t="str" cm="1">
        <f t="array" aca="1" ref="I28" ca="1">INDIRECT("DepthChart_RAW2!B"&amp;I$17+12)</f>
        <v>Jordan Whittington</v>
      </c>
      <c r="J28" s="234" t="str" cm="1">
        <f t="array" aca="1" ref="J28" ca="1">INDIRECT("DepthChart_RAW2!B"&amp;J$17+12)</f>
        <v>Braxton Berrios</v>
      </c>
      <c r="K28" s="234" t="str" cm="1">
        <f t="array" aca="1" ref="K28" ca="1">INDIRECT("DepthChart_RAW2!B"&amp;K$17+12)</f>
        <v>Trent Sherfield</v>
      </c>
      <c r="L28" s="230" t="str" cm="1">
        <f t="array" aca="1" ref="L28" ca="1">INDIRECT("DepthChart_RAW2!B"&amp;L$17+12)</f>
        <v>Javon Baker</v>
      </c>
    </row>
    <row r="29" spans="1:14" x14ac:dyDescent="0.35">
      <c r="A29" s="231" t="s">
        <v>684</v>
      </c>
      <c r="B29" s="236" t="str" cm="1">
        <f t="array" aca="1" ref="B29" ca="1">INDIRECT("DepthChart_RAW2!B"&amp;B$17+14)</f>
        <v>Tucker Kraft</v>
      </c>
      <c r="C29" s="236" t="str" cm="1">
        <f t="array" aca="1" ref="C29" ca="1">INDIRECT("DepthChart_RAW2!B"&amp;C$17+14)</f>
        <v>Dalton Schultz</v>
      </c>
      <c r="D29" s="236" t="str" cm="1">
        <f t="array" aca="1" ref="D29" ca="1">INDIRECT("DepthChart_RAW2!B"&amp;D$17+14)</f>
        <v>Kylen Granson</v>
      </c>
      <c r="E29" s="236" t="str" cm="1">
        <f t="array" aca="1" ref="E29" ca="1">INDIRECT("DepthChart_RAW2!B"&amp;E$17+14)</f>
        <v>Evan Engram</v>
      </c>
      <c r="F29" s="236" t="str" cm="1">
        <f t="array" aca="1" ref="F29" ca="1">INDIRECT("DepthChart_RAW2!B"&amp;F$17+14)</f>
        <v>Travis Kelce</v>
      </c>
      <c r="G29" s="236" t="str" cm="1">
        <f t="array" aca="1" ref="G29" ca="1">INDIRECT("DepthChart_RAW2!B"&amp;G$17+14)</f>
        <v>Brock Bowers</v>
      </c>
      <c r="H29" s="236" t="str" cm="1">
        <f t="array" aca="1" ref="H29" ca="1">INDIRECT("DepthChart_RAW2!B"&amp;H$17+14)</f>
        <v>Hayden Hurst</v>
      </c>
      <c r="I29" s="236" t="str" cm="1">
        <f t="array" aca="1" ref="I29" ca="1">INDIRECT("DepthChart_RAW2!B"&amp;I$17+14)</f>
        <v>Tyler Higbee</v>
      </c>
      <c r="J29" s="236" t="str" cm="1">
        <f t="array" aca="1" ref="J29" ca="1">INDIRECT("DepthChart_RAW2!B"&amp;J$17+14)</f>
        <v>Jonnu Smith</v>
      </c>
      <c r="K29" s="236" t="str" cm="1">
        <f t="array" aca="1" ref="K29" ca="1">INDIRECT("DepthChart_RAW2!B"&amp;K$17+14)</f>
        <v>T.J. Hockenson</v>
      </c>
      <c r="L29" s="232" t="str" cm="1">
        <f t="array" aca="1" ref="L29" ca="1">INDIRECT("DepthChart_RAW2!B"&amp;L$17+14)</f>
        <v>Hunter Henry</v>
      </c>
    </row>
    <row r="30" spans="1:14" x14ac:dyDescent="0.35">
      <c r="A30" s="231" t="s">
        <v>685</v>
      </c>
      <c r="B30" s="236" t="str" cm="1">
        <f t="array" aca="1" ref="B30" ca="1">INDIRECT("DepthChart_RAW2!B"&amp;B$17+15)</f>
        <v>Luke Musgrave</v>
      </c>
      <c r="C30" s="236" t="str" cm="1">
        <f t="array" aca="1" ref="C30" ca="1">INDIRECT("DepthChart_RAW2!B"&amp;C$17+15)</f>
        <v>Brevin Jordan</v>
      </c>
      <c r="D30" s="236" t="str" cm="1">
        <f t="array" aca="1" ref="D30" ca="1">INDIRECT("DepthChart_RAW2!B"&amp;D$17+15)</f>
        <v>Mo Alie-Cox</v>
      </c>
      <c r="E30" s="236" t="str" cm="1">
        <f t="array" aca="1" ref="E30" ca="1">INDIRECT("DepthChart_RAW2!B"&amp;E$17+15)</f>
        <v>Brenton Strange</v>
      </c>
      <c r="F30" s="236" t="str" cm="1">
        <f t="array" aca="1" ref="F30" ca="1">INDIRECT("DepthChart_RAW2!B"&amp;F$17+15)</f>
        <v>Noah Gray</v>
      </c>
      <c r="G30" s="236" t="str" cm="1">
        <f t="array" aca="1" ref="G30" ca="1">INDIRECT("DepthChart_RAW2!B"&amp;G$17+15)</f>
        <v>Michael Mayer</v>
      </c>
      <c r="H30" s="236" t="str" cm="1">
        <f t="array" aca="1" ref="H30" ca="1">INDIRECT("DepthChart_RAW2!B"&amp;H$17+15)</f>
        <v>Will Dissly</v>
      </c>
      <c r="I30" s="236" t="str" cm="1">
        <f t="array" aca="1" ref="I30" ca="1">INDIRECT("DepthChart_RAW2!B"&amp;I$17+15)</f>
        <v>Colby Parkinson</v>
      </c>
      <c r="J30" s="236" t="str" cm="1">
        <f t="array" aca="1" ref="J30" ca="1">INDIRECT("DepthChart_RAW2!B"&amp;J$17+15)</f>
        <v>Durham Smythe</v>
      </c>
      <c r="K30" s="236" t="str" cm="1">
        <f t="array" aca="1" ref="K30" ca="1">INDIRECT("DepthChart_RAW2!B"&amp;K$17+15)</f>
        <v>Josh Oliver</v>
      </c>
      <c r="L30" s="232" t="str" cm="1">
        <f t="array" aca="1" ref="L30" ca="1">INDIRECT("DepthChart_RAW2!B"&amp;L$17+15)</f>
        <v>Austin Hooper</v>
      </c>
    </row>
    <row r="31" spans="1:14" x14ac:dyDescent="0.35">
      <c r="A31" s="231" t="s">
        <v>686</v>
      </c>
      <c r="B31" s="236" t="str" cm="1">
        <f t="array" aca="1" ref="B31" ca="1">INDIRECT("DepthChart_RAW2!B"&amp;B$17+16)</f>
        <v>Ben Sims</v>
      </c>
      <c r="C31" s="236" t="str" cm="1">
        <f t="array" aca="1" ref="C31" ca="1">INDIRECT("DepthChart_RAW2!B"&amp;C$17+16)</f>
        <v>Cade Stover</v>
      </c>
      <c r="D31" s="236" t="str" cm="1">
        <f t="array" aca="1" ref="D31" ca="1">INDIRECT("DepthChart_RAW2!B"&amp;D$17+16)</f>
        <v>Andrew Ogletree</v>
      </c>
      <c r="E31" s="236" t="str" cm="1">
        <f t="array" aca="1" ref="E31" ca="1">INDIRECT("DepthChart_RAW2!B"&amp;E$17+16)</f>
        <v>Luke Farrell</v>
      </c>
      <c r="F31" s="236" t="str" cm="1">
        <f t="array" aca="1" ref="F31" ca="1">INDIRECT("DepthChart_RAW2!B"&amp;F$17+16)</f>
        <v>Jared Wiley</v>
      </c>
      <c r="G31" s="236" t="str" cm="1">
        <f t="array" aca="1" ref="G31" ca="1">INDIRECT("DepthChart_RAW2!B"&amp;G$17+16)</f>
        <v>Harrison Bryant</v>
      </c>
      <c r="H31" s="236" t="str" cm="1">
        <f t="array" aca="1" ref="H31" ca="1">INDIRECT("DepthChart_RAW2!B"&amp;H$17+16)</f>
        <v>Stone Smartt</v>
      </c>
      <c r="I31" s="236" t="str" cm="1">
        <f t="array" aca="1" ref="I31" ca="1">INDIRECT("DepthChart_RAW2!B"&amp;I$17+16)</f>
        <v>Davis Allen</v>
      </c>
      <c r="J31" s="236" t="str" cm="1">
        <f t="array" aca="1" ref="J31" ca="1">INDIRECT("DepthChart_RAW2!B"&amp;J$17+16)</f>
        <v>Julian Hill</v>
      </c>
      <c r="K31" s="236" t="str" cm="1">
        <f t="array" aca="1" ref="K31" ca="1">INDIRECT("DepthChart_RAW2!B"&amp;K$17+16)</f>
        <v>Johnny Mundt</v>
      </c>
      <c r="L31" s="232" t="str" cm="1">
        <f t="array" aca="1" ref="L31" ca="1">INDIRECT("DepthChart_RAW2!B"&amp;L$17+16)</f>
        <v>Jaheim Bell</v>
      </c>
    </row>
    <row r="32" spans="1:14" ht="15" thickBot="1" x14ac:dyDescent="0.4">
      <c r="A32" s="239" t="s">
        <v>45</v>
      </c>
      <c r="B32" s="240" t="str" cm="1">
        <f t="array" aca="1" ref="B32" ca="1">INDIRECT("DepthChart_RAW2!B"&amp;B$17+18)</f>
        <v>Brayden Narveson</v>
      </c>
      <c r="C32" s="240" t="str" cm="1">
        <f t="array" aca="1" ref="C32" ca="1">INDIRECT("DepthChart_RAW2!B"&amp;C$17+18)</f>
        <v>Ka'imi Fairbairn</v>
      </c>
      <c r="D32" s="240" t="str" cm="1">
        <f t="array" aca="1" ref="D32" ca="1">INDIRECT("DepthChart_RAW2!B"&amp;D$17+18)</f>
        <v>Matt Gay</v>
      </c>
      <c r="E32" s="240" t="str" cm="1">
        <f t="array" aca="1" ref="E32" ca="1">INDIRECT("DepthChart_RAW2!B"&amp;E$17+18)</f>
        <v>Cam Little</v>
      </c>
      <c r="F32" s="240" t="str" cm="1">
        <f t="array" aca="1" ref="F32" ca="1">INDIRECT("DepthChart_RAW2!B"&amp;F$17+18)</f>
        <v>Harrison Butker</v>
      </c>
      <c r="G32" s="240" t="str" cm="1">
        <f t="array" aca="1" ref="G32" ca="1">INDIRECT("DepthChart_RAW2!B"&amp;G$17+18)</f>
        <v>Daniel Carlson</v>
      </c>
      <c r="H32" s="240" t="str" cm="1">
        <f t="array" aca="1" ref="H32" ca="1">INDIRECT("DepthChart_RAW2!B"&amp;H$17+18)</f>
        <v>Cameron Dicker</v>
      </c>
      <c r="I32" s="240" t="str" cm="1">
        <f t="array" aca="1" ref="I32" ca="1">INDIRECT("DepthChart_RAW2!B"&amp;I$17+18)</f>
        <v>Joshua Karty</v>
      </c>
      <c r="J32" s="240" t="str" cm="1">
        <f t="array" aca="1" ref="J32" ca="1">INDIRECT("DepthChart_RAW2!B"&amp;J$17+18)</f>
        <v>Jason Sanders</v>
      </c>
      <c r="K32" s="240" t="str" cm="1">
        <f t="array" aca="1" ref="K32" ca="1">INDIRECT("DepthChart_RAW2!B"&amp;K$17+18)</f>
        <v>Will Reichard</v>
      </c>
      <c r="L32" s="240" t="str" cm="1">
        <f t="array" aca="1" ref="L32" ca="1">INDIRECT("DepthChart_RAW2!B"&amp;L$17+18)</f>
        <v>Joey Slye</v>
      </c>
    </row>
    <row r="33" spans="1:12" ht="36" customHeight="1" thickBot="1" x14ac:dyDescent="0.4">
      <c r="A33" s="224"/>
      <c r="B33" s="243">
        <f>MATCH("NEW ORLEANS SAINTS",DepthChart_RAW2!B:B,0)+1</f>
        <v>487</v>
      </c>
      <c r="C33" s="243">
        <f>MATCH("NEW YORK GIANTS",DepthChart_RAW2!B:B,0)+1</f>
        <v>509</v>
      </c>
      <c r="D33" s="243">
        <f>MATCH("NEW YORK JETS",DepthChart_RAW2!B:B,0)+1</f>
        <v>531</v>
      </c>
      <c r="E33" s="243">
        <f>MATCH("PHILADELPHIA EAGLES",DepthChart_RAW2!B:B,0)+1</f>
        <v>553</v>
      </c>
      <c r="F33" s="243">
        <f>MATCH("PITTSBURGH STEELERS",DepthChart_RAW2!B:B,0)+1</f>
        <v>575</v>
      </c>
      <c r="G33" s="243">
        <f>MATCH("SAN FRANCISCO 49ERS",DepthChart_RAW2!B:B,0)+1</f>
        <v>597</v>
      </c>
      <c r="H33" s="243">
        <f>MATCH("SEATTLE SEAHAWKS",DepthChart_RAW2!B:B,0)+1</f>
        <v>619</v>
      </c>
      <c r="I33" s="243">
        <f>MATCH("TAMPA BAY BUCCANEERS",DepthChart_RAW2!B:B,0)+1</f>
        <v>641</v>
      </c>
      <c r="J33" s="243">
        <f>MATCH("TENNESSEE TITANS",DepthChart_RAW2!B:B,0)+1</f>
        <v>663</v>
      </c>
      <c r="K33" s="243">
        <f>MATCH("WASHINGTON COMMANDERS",DepthChart_RAW2!B:B,0)+1</f>
        <v>685</v>
      </c>
      <c r="L33" s="248"/>
    </row>
    <row r="34" spans="1:12" x14ac:dyDescent="0.35">
      <c r="A34" s="225" t="s">
        <v>679</v>
      </c>
      <c r="B34" s="226" t="str" cm="1">
        <f t="array" aca="1" ref="B34" ca="1">INDIRECT("DepthChart_RAW2!B"&amp;B$33)</f>
        <v>Derek Carr</v>
      </c>
      <c r="C34" s="226" t="str" cm="1">
        <f t="array" aca="1" ref="C34" ca="1">INDIRECT("DepthChart_RAW2!B"&amp;C$33)</f>
        <v>Daniel Jones</v>
      </c>
      <c r="D34" s="226" t="str" cm="1">
        <f t="array" aca="1" ref="D34" ca="1">INDIRECT("DepthChart_RAW2!B"&amp;D$33)</f>
        <v>Aaron Rodgers</v>
      </c>
      <c r="E34" s="226" t="str" cm="1">
        <f t="array" aca="1" ref="E34" ca="1">INDIRECT("DepthChart_RAW2!B"&amp;E$33)</f>
        <v>Jalen Hurts</v>
      </c>
      <c r="F34" s="226" t="str" cm="1">
        <f t="array" aca="1" ref="F34" ca="1">INDIRECT("DepthChart_RAW2!B"&amp;F$33)</f>
        <v>Russell Wilson</v>
      </c>
      <c r="G34" s="226" t="str" cm="1">
        <f t="array" aca="1" ref="G34" ca="1">INDIRECT("DepthChart_RAW2!B"&amp;G$33)</f>
        <v>Brock Purdy</v>
      </c>
      <c r="H34" s="226" t="str" cm="1">
        <f t="array" aca="1" ref="H34" ca="1">INDIRECT("DepthChart_RAW2!B"&amp;H$33)</f>
        <v>Geno Smith</v>
      </c>
      <c r="I34" s="226" t="str" cm="1">
        <f t="array" aca="1" ref="I34" ca="1">INDIRECT("DepthChart_RAW2!B"&amp;I$33)</f>
        <v>Baker Mayfield</v>
      </c>
      <c r="J34" s="226" t="str" cm="1">
        <f t="array" aca="1" ref="J34" ca="1">INDIRECT("DepthChart_RAW2!B"&amp;J$33)</f>
        <v>Will Levis</v>
      </c>
      <c r="K34" s="226" t="str" cm="1">
        <f t="array" aca="1" ref="K34" ca="1">INDIRECT("DepthChart_RAW2!B"&amp;K$33)</f>
        <v>Jayden Daniels</v>
      </c>
      <c r="L34" s="237"/>
    </row>
    <row r="35" spans="1:12" x14ac:dyDescent="0.35">
      <c r="A35" s="225" t="s">
        <v>680</v>
      </c>
      <c r="B35" s="226" t="str" cm="1">
        <f t="array" aca="1" ref="B35" ca="1">INDIRECT("DepthChart_RAW2!B"&amp;B$33+1)</f>
        <v>Spencer Rattler</v>
      </c>
      <c r="C35" s="226" t="str" cm="1">
        <f t="array" aca="1" ref="C35" ca="1">INDIRECT("DepthChart_RAW2!B"&amp;C$33+1)</f>
        <v>Drew Lock</v>
      </c>
      <c r="D35" s="226" t="str" cm="1">
        <f t="array" aca="1" ref="D35" ca="1">INDIRECT("DepthChart_RAW2!B"&amp;D$33+1)</f>
        <v>Tyrod Taylor</v>
      </c>
      <c r="E35" s="226" t="str" cm="1">
        <f t="array" aca="1" ref="E35" ca="1">INDIRECT("DepthChart_RAW2!B"&amp;E$33+1)</f>
        <v>Kenny Pickett</v>
      </c>
      <c r="F35" s="226" t="str" cm="1">
        <f t="array" aca="1" ref="F35" ca="1">INDIRECT("DepthChart_RAW2!B"&amp;F$33+1)</f>
        <v>Justin Fields</v>
      </c>
      <c r="G35" s="226" t="str" cm="1">
        <f t="array" aca="1" ref="G35" ca="1">INDIRECT("DepthChart_RAW2!B"&amp;G$33+1)</f>
        <v>Joshua Dobbs</v>
      </c>
      <c r="H35" s="226" t="str" cm="1">
        <f t="array" aca="1" ref="H35" ca="1">INDIRECT("DepthChart_RAW2!B"&amp;H$33+1)</f>
        <v>Sam Howell</v>
      </c>
      <c r="I35" s="226" t="str" cm="1">
        <f t="array" aca="1" ref="I35" ca="1">INDIRECT("DepthChart_RAW2!B"&amp;I$33+1)</f>
        <v>Kyle Trask</v>
      </c>
      <c r="J35" s="226" t="str" cm="1">
        <f t="array" aca="1" ref="J35" ca="1">INDIRECT("DepthChart_RAW2!B"&amp;J$33+1)</f>
        <v>Mason Rudolph</v>
      </c>
      <c r="K35" s="226" t="str" cm="1">
        <f t="array" aca="1" ref="K35" ca="1">INDIRECT("DepthChart_RAW2!B"&amp;K$33+1)</f>
        <v>Marcus Mariota</v>
      </c>
      <c r="L35" s="235"/>
    </row>
    <row r="36" spans="1:12" x14ac:dyDescent="0.35">
      <c r="A36" s="227" t="s">
        <v>681</v>
      </c>
      <c r="B36" s="228" t="str" cm="1">
        <f t="array" aca="1" ref="B36" ca="1">INDIRECT("DepthChart_RAW2!B"&amp;B$33+3)</f>
        <v>Alvin Kamara</v>
      </c>
      <c r="C36" s="228" t="str" cm="1">
        <f t="array" aca="1" ref="C36" ca="1">INDIRECT("DepthChart_RAW2!B"&amp;C$33+3)</f>
        <v>Devin Singletary</v>
      </c>
      <c r="D36" s="228" t="str" cm="1">
        <f t="array" aca="1" ref="D36" ca="1">INDIRECT("DepthChart_RAW2!B"&amp;D$33+3)</f>
        <v>Breece Hall</v>
      </c>
      <c r="E36" s="228" t="str" cm="1">
        <f t="array" aca="1" ref="E36" ca="1">INDIRECT("DepthChart_RAW2!B"&amp;E$33+3)</f>
        <v>Saquon Barkley</v>
      </c>
      <c r="F36" s="228" t="str" cm="1">
        <f t="array" aca="1" ref="F36" ca="1">INDIRECT("DepthChart_RAW2!B"&amp;F$33+3)</f>
        <v>Najee Harris</v>
      </c>
      <c r="G36" s="228" t="str" cm="1">
        <f t="array" aca="1" ref="G36" ca="1">INDIRECT("DepthChart_RAW2!B"&amp;G$33+3)</f>
        <v>Christian McCaffrey</v>
      </c>
      <c r="H36" s="228" t="str" cm="1">
        <f t="array" aca="1" ref="H36" ca="1">INDIRECT("DepthChart_RAW2!B"&amp;H$33+3)</f>
        <v>Kenneth Walker III</v>
      </c>
      <c r="I36" s="228" t="str" cm="1">
        <f t="array" aca="1" ref="I36" ca="1">INDIRECT("DepthChart_RAW2!B"&amp;I$33+3)</f>
        <v>Rachaad White</v>
      </c>
      <c r="J36" s="228" t="str" cm="1">
        <f t="array" aca="1" ref="J36" ca="1">INDIRECT("DepthChart_RAW2!B"&amp;J$33+3)</f>
        <v>Tony Pollard</v>
      </c>
      <c r="K36" s="228" t="str" cm="1">
        <f t="array" aca="1" ref="K36" ca="1">INDIRECT("DepthChart_RAW2!B"&amp;K$33+3)</f>
        <v>Brian Robinson Jr.</v>
      </c>
      <c r="L36" s="235"/>
    </row>
    <row r="37" spans="1:12" x14ac:dyDescent="0.35">
      <c r="A37" s="227" t="s">
        <v>682</v>
      </c>
      <c r="B37" s="228" t="str" cm="1">
        <f t="array" aca="1" ref="B37" ca="1">INDIRECT("DepthChart_RAW2!B"&amp;B$33+4)</f>
        <v>Jamaal Williams</v>
      </c>
      <c r="C37" s="228" t="str" cm="1">
        <f t="array" aca="1" ref="C37" ca="1">INDIRECT("DepthChart_RAW2!B"&amp;C$33+4)</f>
        <v>Tyrone Tracy Jr.</v>
      </c>
      <c r="D37" s="228" t="str" cm="1">
        <f t="array" aca="1" ref="D37" ca="1">INDIRECT("DepthChart_RAW2!B"&amp;D$33+4)</f>
        <v>Braelon Allen</v>
      </c>
      <c r="E37" s="228" t="str" cm="1">
        <f t="array" aca="1" ref="E37" ca="1">INDIRECT("DepthChart_RAW2!B"&amp;E$33+4)</f>
        <v>Kenneth Gainwell</v>
      </c>
      <c r="F37" s="228" t="str" cm="1">
        <f t="array" aca="1" ref="F37" ca="1">INDIRECT("DepthChart_RAW2!B"&amp;F$33+4)</f>
        <v>Jaylen Warren</v>
      </c>
      <c r="G37" s="228" t="str" cm="1">
        <f t="array" aca="1" ref="G37" ca="1">INDIRECT("DepthChart_RAW2!B"&amp;G$33+4)</f>
        <v>Jordan Mason</v>
      </c>
      <c r="H37" s="228" t="str" cm="1">
        <f t="array" aca="1" ref="H37" ca="1">INDIRECT("DepthChart_RAW2!B"&amp;H$33+4)</f>
        <v>Zach Charbonnet</v>
      </c>
      <c r="I37" s="228" t="str" cm="1">
        <f t="array" aca="1" ref="I37" ca="1">INDIRECT("DepthChart_RAW2!B"&amp;I$33+4)</f>
        <v>Bucky Irving</v>
      </c>
      <c r="J37" s="228" t="str" cm="1">
        <f t="array" aca="1" ref="J37" ca="1">INDIRECT("DepthChart_RAW2!B"&amp;J$33+4)</f>
        <v>Tyjae Spears</v>
      </c>
      <c r="K37" s="228" t="str" cm="1">
        <f t="array" aca="1" ref="K37" ca="1">INDIRECT("DepthChart_RAW2!B"&amp;K$33+4)</f>
        <v>Austin Ekeler</v>
      </c>
      <c r="L37" s="235"/>
    </row>
    <row r="38" spans="1:12" x14ac:dyDescent="0.35">
      <c r="A38" s="227" t="s">
        <v>683</v>
      </c>
      <c r="B38" s="228" t="str" cm="1">
        <f t="array" aca="1" ref="B38" ca="1">INDIRECT("DepthChart_RAW2!B"&amp;B$33+5)</f>
        <v>Kendre Miller</v>
      </c>
      <c r="C38" s="228" t="str" cm="1">
        <f t="array" aca="1" ref="C38" ca="1">INDIRECT("DepthChart_RAW2!B"&amp;C$33+5)</f>
        <v>Eric Gray</v>
      </c>
      <c r="D38" s="228" t="str" cm="1">
        <f t="array" aca="1" ref="D38" ca="1">INDIRECT("DepthChart_RAW2!B"&amp;D$33+5)</f>
        <v>Isaiah Davis</v>
      </c>
      <c r="E38" s="228" t="str" cm="1">
        <f t="array" aca="1" ref="E38" ca="1">INDIRECT("DepthChart_RAW2!B"&amp;E$33+5)</f>
        <v>Will Shipley</v>
      </c>
      <c r="F38" s="228" t="str" cm="1">
        <f t="array" aca="1" ref="F38" ca="1">INDIRECT("DepthChart_RAW2!B"&amp;F$33+5)</f>
        <v>Cordarrelle Patterson</v>
      </c>
      <c r="G38" s="228" t="str" cm="1">
        <f t="array" aca="1" ref="G38" ca="1">INDIRECT("DepthChart_RAW2!B"&amp;G$33+5)</f>
        <v>Isaac Guerendo</v>
      </c>
      <c r="H38" s="228" t="str" cm="1">
        <f t="array" aca="1" ref="H38" ca="1">INDIRECT("DepthChart_RAW2!B"&amp;H$33+5)</f>
        <v>Kenny McIntosh</v>
      </c>
      <c r="I38" s="228" t="str" cm="1">
        <f t="array" aca="1" ref="I38" ca="1">INDIRECT("DepthChart_RAW2!B"&amp;I$33+5)</f>
        <v>Sean Tucker</v>
      </c>
      <c r="J38" s="228" t="str" cm="1">
        <f t="array" aca="1" ref="J38" ca="1">INDIRECT("DepthChart_RAW2!B"&amp;J$33+5)</f>
        <v>Julius Chestnut</v>
      </c>
      <c r="K38" s="228" t="str" cm="1">
        <f t="array" aca="1" ref="K38" ca="1">INDIRECT("DepthChart_RAW2!B"&amp;K$33+5)</f>
        <v>Jeremy McNichols</v>
      </c>
      <c r="L38" s="235"/>
    </row>
    <row r="39" spans="1:12" x14ac:dyDescent="0.35">
      <c r="A39" s="227" t="s">
        <v>691</v>
      </c>
      <c r="B39" s="228" t="str" cm="1">
        <f t="array" aca="1" ref="B39" ca="1">INDIRECT("DepthChart_RAW2!B"&amp;B$33+6)</f>
        <v>Jordan Mims</v>
      </c>
      <c r="C39" s="228" t="str" cm="1">
        <f t="array" aca="1" ref="C39" ca="1">INDIRECT("DepthChart_RAW2!B"&amp;C$33+6)</f>
        <v/>
      </c>
      <c r="D39" s="228" t="str" cm="1">
        <f t="array" aca="1" ref="D39" ca="1">INDIRECT("DepthChart_RAW2!B"&amp;D$33+6)</f>
        <v>Israel Abanikanda</v>
      </c>
      <c r="E39" s="228" t="str" cm="1">
        <f t="array" aca="1" ref="E39" ca="1">INDIRECT("DepthChart_RAW2!B"&amp;E$33+6)</f>
        <v/>
      </c>
      <c r="F39" s="228" t="str" cm="1">
        <f t="array" aca="1" ref="F39" ca="1">INDIRECT("DepthChart_RAW2!B"&amp;F$33+6)</f>
        <v/>
      </c>
      <c r="G39" s="228" t="str" cm="1">
        <f t="array" aca="1" ref="G39" ca="1">INDIRECT("DepthChart_RAW2!B"&amp;G$33+6)</f>
        <v>Patrick Taylor</v>
      </c>
      <c r="H39" s="228" t="str" cm="1">
        <f t="array" aca="1" ref="H39" ca="1">INDIRECT("DepthChart_RAW2!B"&amp;H$33+6)</f>
        <v/>
      </c>
      <c r="I39" s="228" t="str" cm="1">
        <f t="array" aca="1" ref="I39" ca="1">INDIRECT("DepthChart_RAW2!B"&amp;I$33+6)</f>
        <v/>
      </c>
      <c r="J39" s="228" t="str" cm="1">
        <f t="array" aca="1" ref="J39" ca="1">INDIRECT("DepthChart_RAW2!B"&amp;J$33+6)</f>
        <v/>
      </c>
      <c r="K39" s="228" t="str" cm="1">
        <f t="array" aca="1" ref="K39" ca="1">INDIRECT("DepthChart_RAW2!B"&amp;K$33+6)</f>
        <v/>
      </c>
      <c r="L39" s="235"/>
    </row>
    <row r="40" spans="1:12" x14ac:dyDescent="0.35">
      <c r="A40" s="229" t="s">
        <v>692</v>
      </c>
      <c r="B40" s="234" t="str" cm="1">
        <f t="array" aca="1" ref="B40" ca="1">INDIRECT("DepthChart_RAW2!B"&amp;B$33+8)</f>
        <v>Chris Olave</v>
      </c>
      <c r="C40" s="234" t="str" cm="1">
        <f t="array" aca="1" ref="C40" ca="1">INDIRECT("DepthChart_RAW2!B"&amp;C$33+8)</f>
        <v>Malik Nabers</v>
      </c>
      <c r="D40" s="234" t="str" cm="1">
        <f t="array" aca="1" ref="D40" ca="1">INDIRECT("DepthChart_RAW2!B"&amp;D$33+8)</f>
        <v>Garrett Wilson</v>
      </c>
      <c r="E40" s="234" t="str" cm="1">
        <f t="array" aca="1" ref="E40" ca="1">INDIRECT("DepthChart_RAW2!B"&amp;E$33+8)</f>
        <v>A.J. Brown</v>
      </c>
      <c r="F40" s="234" t="str" cm="1">
        <f t="array" aca="1" ref="F40" ca="1">INDIRECT("DepthChart_RAW2!B"&amp;F$33+8)</f>
        <v>George Pickens</v>
      </c>
      <c r="G40" s="234" t="str" cm="1">
        <f t="array" aca="1" ref="G40" ca="1">INDIRECT("DepthChart_RAW2!B"&amp;G$33+8)</f>
        <v>Deebo Samuel Sr.</v>
      </c>
      <c r="H40" s="234" t="str" cm="1">
        <f t="array" aca="1" ref="H40" ca="1">INDIRECT("DepthChart_RAW2!B"&amp;H$33+8)</f>
        <v>DK Metcalf</v>
      </c>
      <c r="I40" s="234" t="str" cm="1">
        <f t="array" aca="1" ref="I40" ca="1">INDIRECT("DepthChart_RAW2!B"&amp;I$33+8)</f>
        <v>Mike Evans</v>
      </c>
      <c r="J40" s="234" t="str" cm="1">
        <f t="array" aca="1" ref="J40" ca="1">INDIRECT("DepthChart_RAW2!B"&amp;J$33+8)</f>
        <v>Calvin Ridley</v>
      </c>
      <c r="K40" s="234" t="str" cm="1">
        <f t="array" aca="1" ref="K40" ca="1">INDIRECT("DepthChart_RAW2!B"&amp;K$33+8)</f>
        <v>Terry McLaurin</v>
      </c>
      <c r="L40" s="235"/>
    </row>
    <row r="41" spans="1:12" x14ac:dyDescent="0.35">
      <c r="A41" s="229" t="s">
        <v>693</v>
      </c>
      <c r="B41" s="234" t="str" cm="1">
        <f t="array" aca="1" ref="B41" ca="1">INDIRECT("DepthChart_RAW2!B"&amp;B$33+9)</f>
        <v>Rashid Shaheed</v>
      </c>
      <c r="C41" s="234" t="str" cm="1">
        <f t="array" aca="1" ref="C41" ca="1">INDIRECT("DepthChart_RAW2!B"&amp;C$33+9)</f>
        <v>Darius Slayton</v>
      </c>
      <c r="D41" s="234" t="str" cm="1">
        <f t="array" aca="1" ref="D41" ca="1">INDIRECT("DepthChart_RAW2!B"&amp;D$33+9)</f>
        <v>Mike Williams</v>
      </c>
      <c r="E41" s="234" t="str" cm="1">
        <f t="array" aca="1" ref="E41" ca="1">INDIRECT("DepthChart_RAW2!B"&amp;E$33+9)</f>
        <v>DeVonta Smith</v>
      </c>
      <c r="F41" s="234" t="str" cm="1">
        <f t="array" aca="1" ref="F41" ca="1">INDIRECT("DepthChart_RAW2!B"&amp;F$33+9)</f>
        <v>Van Jefferson</v>
      </c>
      <c r="G41" s="234" t="str" cm="1">
        <f t="array" aca="1" ref="G41" ca="1">INDIRECT("DepthChart_RAW2!B"&amp;G$33+9)</f>
        <v>Brandon Aiyuk</v>
      </c>
      <c r="H41" s="234" t="str" cm="1">
        <f t="array" aca="1" ref="H41" ca="1">INDIRECT("DepthChart_RAW2!B"&amp;H$33+9)</f>
        <v>Tyler Lockett</v>
      </c>
      <c r="I41" s="234" t="str" cm="1">
        <f t="array" aca="1" ref="I41" ca="1">INDIRECT("DepthChart_RAW2!B"&amp;I$33+9)</f>
        <v>Chris Godwin</v>
      </c>
      <c r="J41" s="234" t="str" cm="1">
        <f t="array" aca="1" ref="J41" ca="1">INDIRECT("DepthChart_RAW2!B"&amp;J$33+9)</f>
        <v>DeAndre Hopkins</v>
      </c>
      <c r="K41" s="234" t="str" cm="1">
        <f t="array" aca="1" ref="K41" ca="1">INDIRECT("DepthChart_RAW2!B"&amp;K$33+9)</f>
        <v>Dyami Brown</v>
      </c>
      <c r="L41" s="235"/>
    </row>
    <row r="42" spans="1:12" x14ac:dyDescent="0.35">
      <c r="A42" s="229" t="s">
        <v>694</v>
      </c>
      <c r="B42" s="234" t="str" cm="1">
        <f t="array" aca="1" ref="B42" ca="1">INDIRECT("DepthChart_RAW2!B"&amp;B$33+10)</f>
        <v>Cedrick Wilson</v>
      </c>
      <c r="C42" s="234" t="str" cm="1">
        <f t="array" aca="1" ref="C42" ca="1">INDIRECT("DepthChart_RAW2!B"&amp;C$33+10)</f>
        <v>Wan'Dale Robinson</v>
      </c>
      <c r="D42" s="234" t="str" cm="1">
        <f t="array" aca="1" ref="D42" ca="1">INDIRECT("DepthChart_RAW2!B"&amp;D$33+10)</f>
        <v>Xavier Gipson</v>
      </c>
      <c r="E42" s="234" t="str" cm="1">
        <f t="array" aca="1" ref="E42" ca="1">INDIRECT("DepthChart_RAW2!B"&amp;E$33+10)</f>
        <v>Jahan Dotson</v>
      </c>
      <c r="F42" s="234" t="str" cm="1">
        <f t="array" aca="1" ref="F42" ca="1">INDIRECT("DepthChart_RAW2!B"&amp;F$33+10)</f>
        <v>Calvin Austin III</v>
      </c>
      <c r="G42" s="234" t="str" cm="1">
        <f t="array" aca="1" ref="G42" ca="1">INDIRECT("DepthChart_RAW2!B"&amp;G$33+10)</f>
        <v>Ricky Pearsall</v>
      </c>
      <c r="H42" s="234" t="str" cm="1">
        <f t="array" aca="1" ref="H42" ca="1">INDIRECT("DepthChart_RAW2!B"&amp;H$33+10)</f>
        <v>Jaxon Smith-Njigba</v>
      </c>
      <c r="I42" s="234" t="str" cm="1">
        <f t="array" aca="1" ref="I42" ca="1">INDIRECT("DepthChart_RAW2!B"&amp;I$33+10)</f>
        <v>Jalen McMillan</v>
      </c>
      <c r="J42" s="234" t="str" cm="1">
        <f t="array" aca="1" ref="J42" ca="1">INDIRECT("DepthChart_RAW2!B"&amp;J$33+10)</f>
        <v>Tyler Boyd</v>
      </c>
      <c r="K42" s="234" t="str" cm="1">
        <f t="array" aca="1" ref="K42" ca="1">INDIRECT("DepthChart_RAW2!B"&amp;K$33+10)</f>
        <v>Olamide Zaccheaus</v>
      </c>
      <c r="L42" s="235"/>
    </row>
    <row r="43" spans="1:12" x14ac:dyDescent="0.35">
      <c r="A43" s="229" t="s">
        <v>695</v>
      </c>
      <c r="B43" s="234" t="str" cm="1">
        <f t="array" aca="1" ref="B43" ca="1">INDIRECT("DepthChart_RAW2!B"&amp;B$33+11)</f>
        <v>Bub Means</v>
      </c>
      <c r="C43" s="230" t="str" cm="1">
        <f t="array" aca="1" ref="C43" ca="1">INDIRECT("DepthChart_RAW2!B"&amp;C$33+11)</f>
        <v>Jalin Hyatt</v>
      </c>
      <c r="D43" s="230" t="str" cm="1">
        <f t="array" aca="1" ref="D43" ca="1">INDIRECT("DepthChart_RAW2!B"&amp;D$33+11)</f>
        <v>Allen Lazard</v>
      </c>
      <c r="E43" s="230" t="str" cm="1">
        <f t="array" aca="1" ref="E43" ca="1">INDIRECT("DepthChart_RAW2!B"&amp;E$33+11)</f>
        <v>Johnny Wilson</v>
      </c>
      <c r="F43" s="230" t="str" cm="1">
        <f t="array" aca="1" ref="F43" ca="1">INDIRECT("DepthChart_RAW2!B"&amp;F$33+11)</f>
        <v>Roman Wilson</v>
      </c>
      <c r="G43" s="230" t="str" cm="1">
        <f t="array" aca="1" ref="G43" ca="1">INDIRECT("DepthChart_RAW2!B"&amp;G$33+11)</f>
        <v>Jauan Jennings</v>
      </c>
      <c r="H43" s="230" t="str" cm="1">
        <f t="array" aca="1" ref="H43" ca="1">INDIRECT("DepthChart_RAW2!B"&amp;H$33+11)</f>
        <v>Jake Bobo</v>
      </c>
      <c r="I43" s="230" t="str" cm="1">
        <f t="array" aca="1" ref="I43" ca="1">INDIRECT("DepthChart_RAW2!B"&amp;I$33+11)</f>
        <v>Trey Palmer</v>
      </c>
      <c r="J43" s="230" t="str" cm="1">
        <f t="array" aca="1" ref="J43" ca="1">INDIRECT("DepthChart_RAW2!B"&amp;J$33+11)</f>
        <v>Treylon Burks</v>
      </c>
      <c r="K43" s="230" t="str" cm="1">
        <f t="array" aca="1" ref="K43" ca="1">INDIRECT("DepthChart_RAW2!B"&amp;K$33+11)</f>
        <v>Luke McCaffrey</v>
      </c>
      <c r="L43" s="235"/>
    </row>
    <row r="44" spans="1:12" x14ac:dyDescent="0.35">
      <c r="A44" s="229" t="s">
        <v>696</v>
      </c>
      <c r="B44" s="234" t="str" cm="1">
        <f t="array" aca="1" ref="B44" ca="1">INDIRECT("DepthChart_RAW2!B"&amp;B$33+12)</f>
        <v>A.T. Perry</v>
      </c>
      <c r="C44" s="230" t="str" cm="1">
        <f t="array" aca="1" ref="C44" ca="1">INDIRECT("DepthChart_RAW2!B"&amp;C$33+12)</f>
        <v>Bryce Ford-Wheaton</v>
      </c>
      <c r="D44" s="230" t="str" cm="1">
        <f t="array" aca="1" ref="D44" ca="1">INDIRECT("DepthChart_RAW2!B"&amp;D$33+12)</f>
        <v>Malachi Corley</v>
      </c>
      <c r="E44" s="230" t="str" cm="1">
        <f t="array" aca="1" ref="E44" ca="1">INDIRECT("DepthChart_RAW2!B"&amp;E$33+12)</f>
        <v>Britain Covey</v>
      </c>
      <c r="F44" s="230" t="str" cm="1">
        <f t="array" aca="1" ref="F44" ca="1">INDIRECT("DepthChart_RAW2!B"&amp;F$33+12)</f>
        <v>Scotty Miller</v>
      </c>
      <c r="G44" s="230" t="str" cm="1">
        <f t="array" aca="1" ref="G44" ca="1">INDIRECT("DepthChart_RAW2!B"&amp;G$33+12)</f>
        <v>Jacob Cowing</v>
      </c>
      <c r="H44" s="230" t="str" cm="1">
        <f t="array" aca="1" ref="H44" ca="1">INDIRECT("DepthChart_RAW2!B"&amp;H$33+12)</f>
        <v>Laviska Shenault Jr.</v>
      </c>
      <c r="I44" s="230" t="str" cm="1">
        <f t="array" aca="1" ref="I44" ca="1">INDIRECT("DepthChart_RAW2!B"&amp;I$33+12)</f>
        <v>Kameron Johnson</v>
      </c>
      <c r="J44" s="230" t="str" cm="1">
        <f t="array" aca="1" ref="J44" ca="1">INDIRECT("DepthChart_RAW2!B"&amp;J$33+12)</f>
        <v>Nick Westbrook-Ikhine</v>
      </c>
      <c r="K44" s="230" t="str" cm="1">
        <f t="array" aca="1" ref="K44" ca="1">INDIRECT("DepthChart_RAW2!B"&amp;K$33+12)</f>
        <v>Jamison Crowder</v>
      </c>
      <c r="L44" s="235"/>
    </row>
    <row r="45" spans="1:12" x14ac:dyDescent="0.35">
      <c r="A45" s="231" t="s">
        <v>684</v>
      </c>
      <c r="B45" s="236" t="str" cm="1">
        <f t="array" aca="1" ref="B45" ca="1">INDIRECT("DepthChart_RAW2!B"&amp;B$33+14)</f>
        <v>Juwan Johnson</v>
      </c>
      <c r="C45" s="232" t="str" cm="1">
        <f t="array" aca="1" ref="C45" ca="1">INDIRECT("DepthChart_RAW2!B"&amp;C$33+14)</f>
        <v>Theo Johnson</v>
      </c>
      <c r="D45" s="232" t="str" cm="1">
        <f t="array" aca="1" ref="D45" ca="1">INDIRECT("DepthChart_RAW2!B"&amp;D$33+14)</f>
        <v>Tyler Conklin</v>
      </c>
      <c r="E45" s="232" t="str" cm="1">
        <f t="array" aca="1" ref="E45" ca="1">INDIRECT("DepthChart_RAW2!B"&amp;E$33+14)</f>
        <v>Dallas Goedert</v>
      </c>
      <c r="F45" s="232" t="str" cm="1">
        <f t="array" aca="1" ref="F45" ca="1">INDIRECT("DepthChart_RAW2!B"&amp;F$33+14)</f>
        <v>Pat Freiermuth</v>
      </c>
      <c r="G45" s="232" t="str" cm="1">
        <f t="array" aca="1" ref="G45" ca="1">INDIRECT("DepthChart_RAW2!B"&amp;G$33+14)</f>
        <v>George Kittle</v>
      </c>
      <c r="H45" s="232" t="str" cm="1">
        <f t="array" aca="1" ref="H45" ca="1">INDIRECT("DepthChart_RAW2!B"&amp;H$33+14)</f>
        <v>Noah Fant</v>
      </c>
      <c r="I45" s="232" t="str" cm="1">
        <f t="array" aca="1" ref="I45" ca="1">INDIRECT("DepthChart_RAW2!B"&amp;I$33+14)</f>
        <v>Cade Otton</v>
      </c>
      <c r="J45" s="232" t="str" cm="1">
        <f t="array" aca="1" ref="J45" ca="1">INDIRECT("DepthChart_RAW2!B"&amp;J$33+14)</f>
        <v>Chigoziem Okonkwo</v>
      </c>
      <c r="K45" s="232" t="str" cm="1">
        <f t="array" aca="1" ref="K45" ca="1">INDIRECT("DepthChart_RAW2!B"&amp;K$33+14)</f>
        <v>Zach Ertz</v>
      </c>
      <c r="L45" s="235"/>
    </row>
    <row r="46" spans="1:12" x14ac:dyDescent="0.35">
      <c r="A46" s="231" t="s">
        <v>685</v>
      </c>
      <c r="B46" s="236" t="str" cm="1">
        <f t="array" aca="1" ref="B46" ca="1">INDIRECT("DepthChart_RAW2!B"&amp;B$33+15)</f>
        <v>Foster Moreau</v>
      </c>
      <c r="C46" s="232" t="str" cm="1">
        <f t="array" aca="1" ref="C46" ca="1">INDIRECT("DepthChart_RAW2!B"&amp;C$33+15)</f>
        <v>Daniel Bellinger</v>
      </c>
      <c r="D46" s="232" t="str" cm="1">
        <f t="array" aca="1" ref="D46" ca="1">INDIRECT("DepthChart_RAW2!B"&amp;D$33+15)</f>
        <v>Jeremy Ruckert</v>
      </c>
      <c r="E46" s="232" t="str" cm="1">
        <f t="array" aca="1" ref="E46" ca="1">INDIRECT("DepthChart_RAW2!B"&amp;E$33+15)</f>
        <v>Grant Calcaterra</v>
      </c>
      <c r="F46" s="232" t="str" cm="1">
        <f t="array" aca="1" ref="F46" ca="1">INDIRECT("DepthChart_RAW2!B"&amp;F$33+15)</f>
        <v>Connor Heyward</v>
      </c>
      <c r="G46" s="232" t="str" cm="1">
        <f t="array" aca="1" ref="G46" ca="1">INDIRECT("DepthChart_RAW2!B"&amp;G$33+15)</f>
        <v>Jake Tonges</v>
      </c>
      <c r="H46" s="232" t="str" cm="1">
        <f t="array" aca="1" ref="H46" ca="1">INDIRECT("DepthChart_RAW2!B"&amp;H$33+15)</f>
        <v>Pharaoh Brown</v>
      </c>
      <c r="I46" s="232" t="str" cm="1">
        <f t="array" aca="1" ref="I46" ca="1">INDIRECT("DepthChart_RAW2!B"&amp;I$33+15)</f>
        <v>Payne Durham</v>
      </c>
      <c r="J46" s="232" t="str" cm="1">
        <f t="array" aca="1" ref="J46" ca="1">INDIRECT("DepthChart_RAW2!B"&amp;J$33+15)</f>
        <v>Josh Whyle</v>
      </c>
      <c r="K46" s="232" t="str" cm="1">
        <f t="array" aca="1" ref="K46" ca="1">INDIRECT("DepthChart_RAW2!B"&amp;K$33+15)</f>
        <v>Ben Sinnott</v>
      </c>
      <c r="L46" s="235"/>
    </row>
    <row r="47" spans="1:12" x14ac:dyDescent="0.35">
      <c r="A47" s="231" t="s">
        <v>686</v>
      </c>
      <c r="B47" s="236" t="str" cm="1">
        <f t="array" aca="1" ref="B47" ca="1">INDIRECT("DepthChart_RAW2!B"&amp;B$33+16)</f>
        <v>Taysom Hill</v>
      </c>
      <c r="C47" s="236" t="str" cm="1">
        <f t="array" aca="1" ref="C47" ca="1">INDIRECT("DepthChart_RAW2!B"&amp;C$33+16)</f>
        <v>Chris Manhertz</v>
      </c>
      <c r="D47" s="236" t="str" cm="1">
        <f t="array" aca="1" ref="D47" ca="1">INDIRECT("DepthChart_RAW2!B"&amp;D$33+16)</f>
        <v>Brenden Bates</v>
      </c>
      <c r="E47" s="236" t="str" cm="1">
        <f t="array" aca="1" ref="E47" ca="1">INDIRECT("DepthChart_RAW2!B"&amp;E$33+16)</f>
        <v/>
      </c>
      <c r="F47" s="236" t="str" cm="1">
        <f t="array" aca="1" ref="F47" ca="1">INDIRECT("DepthChart_RAW2!B"&amp;F$33+16)</f>
        <v>Darnell Washington</v>
      </c>
      <c r="G47" s="236" t="str" cm="1">
        <f t="array" aca="1" ref="G47" ca="1">INDIRECT("DepthChart_RAW2!B"&amp;G$33+16)</f>
        <v/>
      </c>
      <c r="H47" s="236" t="str" cm="1">
        <f t="array" aca="1" ref="H47" ca="1">INDIRECT("DepthChart_RAW2!B"&amp;H$33+16)</f>
        <v>AJ Barner</v>
      </c>
      <c r="I47" s="236" t="str" cm="1">
        <f t="array" aca="1" ref="I47" ca="1">INDIRECT("DepthChart_RAW2!B"&amp;I$33+16)</f>
        <v>Ko Kieft</v>
      </c>
      <c r="J47" s="236" t="str" cm="1">
        <f t="array" aca="1" ref="J47" ca="1">INDIRECT("DepthChart_RAW2!B"&amp;J$33+16)</f>
        <v>Thomas Odukoya</v>
      </c>
      <c r="K47" s="236" t="str" cm="1">
        <f t="array" aca="1" ref="K47" ca="1">INDIRECT("DepthChart_RAW2!B"&amp;K$33+16)</f>
        <v>John Bates</v>
      </c>
      <c r="L47" s="235"/>
    </row>
    <row r="48" spans="1:12" ht="15" thickBot="1" x14ac:dyDescent="0.4">
      <c r="A48" s="239" t="s">
        <v>45</v>
      </c>
      <c r="B48" s="240" t="str" cm="1">
        <f t="array" aca="1" ref="B48" ca="1">INDIRECT("DepthChart_RAW2!B"&amp;B$33+19)</f>
        <v>Matthew Hayball</v>
      </c>
      <c r="C48" s="240" t="str" cm="1">
        <f t="array" aca="1" ref="C48" ca="1">INDIRECT("DepthChart_RAW2!B"&amp;C$33+19)</f>
        <v>Jamie Gillan</v>
      </c>
      <c r="D48" s="240" t="str" cm="1">
        <f t="array" aca="1" ref="D48" ca="1">INDIRECT("DepthChart_RAW2!B"&amp;D$33+19)</f>
        <v>Thomas Morstead</v>
      </c>
      <c r="E48" s="240" t="str" cm="1">
        <f t="array" aca="1" ref="E48" ca="1">INDIRECT("DepthChart_RAW2!B"&amp;E$33+19)</f>
        <v>Braden Mann</v>
      </c>
      <c r="F48" s="240" t="str" cm="1">
        <f t="array" aca="1" ref="F48" ca="1">INDIRECT("DepthChart_RAW2!B"&amp;F$33+19)</f>
        <v>Cameron Johnston</v>
      </c>
      <c r="G48" s="240" t="str" cm="1">
        <f t="array" aca="1" ref="G48" ca="1">INDIRECT("DepthChart_RAW2!B"&amp;G$33+19)</f>
        <v>Mitch Wishnowsky</v>
      </c>
      <c r="H48" s="240" t="str" cm="1">
        <f t="array" aca="1" ref="H48" ca="1">INDIRECT("DepthChart_RAW2!B"&amp;H$33+19)</f>
        <v>Michael Dickson</v>
      </c>
      <c r="I48" s="240" t="str" cm="1">
        <f t="array" aca="1" ref="I48" ca="1">INDIRECT("DepthChart_RAW2!B"&amp;I$33+19)</f>
        <v>Jake Camarda</v>
      </c>
      <c r="J48" s="240" t="str" cm="1">
        <f t="array" aca="1" ref="J48" ca="1">INDIRECT("DepthChart_RAW2!B"&amp;J$33+19)</f>
        <v>Ryan Stonehouse</v>
      </c>
      <c r="K48" s="240" t="str" cm="1">
        <f t="array" aca="1" ref="K48" ca="1">INDIRECT("DepthChart_RAW2!B"&amp;K$33+19)</f>
        <v>Tress Way</v>
      </c>
      <c r="L48" s="235"/>
    </row>
  </sheetData>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371" id="{439A9F85-8C80-4F80-86B0-59C503AB4F47}">
            <xm:f>INDEX(Auction!$H$13:$H$426,MATCH(B2,Auction!$A$13:$A$426,0))&gt;0</xm:f>
            <x14:dxf>
              <font>
                <b val="0"/>
                <i/>
                <strike/>
                <color theme="0" tint="-0.499984740745262"/>
              </font>
            </x14:dxf>
          </x14:cfRule>
          <xm:sqref>B2:L16 B18:L32 B34:K48</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30580-C9F0-473C-AC86-9621C0A2A5FD}">
  <sheetPr codeName="Sheet24"/>
  <dimension ref="A1:B705"/>
  <sheetViews>
    <sheetView workbookViewId="0">
      <selection activeCell="B2" sqref="B2"/>
    </sheetView>
  </sheetViews>
  <sheetFormatPr defaultRowHeight="14.5" x14ac:dyDescent="0.35"/>
  <cols>
    <col min="1" max="1" width="12" bestFit="1" customWidth="1"/>
    <col min="2" max="2" width="26.453125" bestFit="1" customWidth="1"/>
  </cols>
  <sheetData>
    <row r="1" spans="1:2" x14ac:dyDescent="0.35">
      <c r="A1" t="s">
        <v>1030</v>
      </c>
      <c r="B1" t="s">
        <v>1031</v>
      </c>
    </row>
    <row r="2" spans="1:2" x14ac:dyDescent="0.35">
      <c r="A2" t="s">
        <v>1032</v>
      </c>
      <c r="B2" t="s">
        <v>1033</v>
      </c>
    </row>
    <row r="3" spans="1:2" x14ac:dyDescent="0.35">
      <c r="A3" t="s">
        <v>26</v>
      </c>
      <c r="B3" t="s">
        <v>412</v>
      </c>
    </row>
    <row r="4" spans="1:2" x14ac:dyDescent="0.35">
      <c r="A4" t="s">
        <v>1032</v>
      </c>
      <c r="B4" t="s">
        <v>776</v>
      </c>
    </row>
    <row r="5" spans="1:2" x14ac:dyDescent="0.35">
      <c r="A5" t="s">
        <v>1032</v>
      </c>
      <c r="B5" t="s">
        <v>1032</v>
      </c>
    </row>
    <row r="6" spans="1:2" x14ac:dyDescent="0.35">
      <c r="A6" t="s">
        <v>25</v>
      </c>
      <c r="B6" t="s">
        <v>230</v>
      </c>
    </row>
    <row r="7" spans="1:2" x14ac:dyDescent="0.35">
      <c r="A7" t="s">
        <v>1032</v>
      </c>
      <c r="B7" t="s">
        <v>862</v>
      </c>
    </row>
    <row r="8" spans="1:2" x14ac:dyDescent="0.35">
      <c r="A8" t="s">
        <v>1032</v>
      </c>
      <c r="B8" t="s">
        <v>837</v>
      </c>
    </row>
    <row r="9" spans="1:2" x14ac:dyDescent="0.35">
      <c r="A9" t="s">
        <v>1032</v>
      </c>
      <c r="B9" t="s">
        <v>522</v>
      </c>
    </row>
    <row r="10" spans="1:2" x14ac:dyDescent="0.35">
      <c r="A10" t="s">
        <v>1032</v>
      </c>
      <c r="B10" t="s">
        <v>1032</v>
      </c>
    </row>
    <row r="11" spans="1:2" x14ac:dyDescent="0.35">
      <c r="A11" t="s">
        <v>32</v>
      </c>
      <c r="B11" t="s">
        <v>907</v>
      </c>
    </row>
    <row r="12" spans="1:2" x14ac:dyDescent="0.35">
      <c r="A12" t="s">
        <v>1032</v>
      </c>
      <c r="B12" t="s">
        <v>709</v>
      </c>
    </row>
    <row r="13" spans="1:2" x14ac:dyDescent="0.35">
      <c r="A13" t="s">
        <v>1032</v>
      </c>
      <c r="B13" t="s">
        <v>143</v>
      </c>
    </row>
    <row r="14" spans="1:2" x14ac:dyDescent="0.35">
      <c r="A14" t="s">
        <v>1032</v>
      </c>
      <c r="B14" t="s">
        <v>445</v>
      </c>
    </row>
    <row r="15" spans="1:2" x14ac:dyDescent="0.35">
      <c r="A15" t="s">
        <v>1032</v>
      </c>
      <c r="B15" t="s">
        <v>246</v>
      </c>
    </row>
    <row r="16" spans="1:2" x14ac:dyDescent="0.35">
      <c r="A16" t="s">
        <v>1032</v>
      </c>
      <c r="B16" t="s">
        <v>1032</v>
      </c>
    </row>
    <row r="17" spans="1:2" x14ac:dyDescent="0.35">
      <c r="A17" t="s">
        <v>40</v>
      </c>
      <c r="B17" t="s">
        <v>634</v>
      </c>
    </row>
    <row r="18" spans="1:2" x14ac:dyDescent="0.35">
      <c r="A18" t="s">
        <v>1032</v>
      </c>
      <c r="B18" t="s">
        <v>799</v>
      </c>
    </row>
    <row r="19" spans="1:2" x14ac:dyDescent="0.35">
      <c r="A19" t="s">
        <v>1032</v>
      </c>
      <c r="B19" t="s">
        <v>951</v>
      </c>
    </row>
    <row r="20" spans="1:2" x14ac:dyDescent="0.35">
      <c r="A20" t="s">
        <v>1032</v>
      </c>
      <c r="B20" t="s">
        <v>1032</v>
      </c>
    </row>
    <row r="21" spans="1:2" x14ac:dyDescent="0.35">
      <c r="A21" t="s">
        <v>45</v>
      </c>
      <c r="B21" t="s">
        <v>158</v>
      </c>
    </row>
    <row r="22" spans="1:2" x14ac:dyDescent="0.35">
      <c r="A22" t="s">
        <v>654</v>
      </c>
      <c r="B22" t="s">
        <v>671</v>
      </c>
    </row>
    <row r="23" spans="1:2" x14ac:dyDescent="0.35">
      <c r="A23" t="s">
        <v>831</v>
      </c>
      <c r="B23" t="s">
        <v>1032</v>
      </c>
    </row>
    <row r="24" spans="1:2" x14ac:dyDescent="0.35">
      <c r="A24" t="s">
        <v>1032</v>
      </c>
      <c r="B24" t="s">
        <v>1034</v>
      </c>
    </row>
    <row r="25" spans="1:2" x14ac:dyDescent="0.35">
      <c r="A25" t="s">
        <v>26</v>
      </c>
      <c r="B25" t="s">
        <v>119</v>
      </c>
    </row>
    <row r="26" spans="1:2" x14ac:dyDescent="0.35">
      <c r="A26" t="s">
        <v>1032</v>
      </c>
      <c r="B26" t="s">
        <v>857</v>
      </c>
    </row>
    <row r="27" spans="1:2" x14ac:dyDescent="0.35">
      <c r="A27" t="s">
        <v>1032</v>
      </c>
      <c r="B27" t="s">
        <v>1032</v>
      </c>
    </row>
    <row r="28" spans="1:2" x14ac:dyDescent="0.35">
      <c r="A28" t="s">
        <v>25</v>
      </c>
      <c r="B28" t="s">
        <v>710</v>
      </c>
    </row>
    <row r="29" spans="1:2" x14ac:dyDescent="0.35">
      <c r="A29" t="s">
        <v>1032</v>
      </c>
      <c r="B29" t="s">
        <v>619</v>
      </c>
    </row>
    <row r="30" spans="1:2" x14ac:dyDescent="0.35">
      <c r="A30" t="s">
        <v>1032</v>
      </c>
      <c r="B30" t="s">
        <v>875</v>
      </c>
    </row>
    <row r="31" spans="1:2" x14ac:dyDescent="0.35">
      <c r="A31" t="s">
        <v>1032</v>
      </c>
      <c r="B31" t="s">
        <v>884</v>
      </c>
    </row>
    <row r="32" spans="1:2" x14ac:dyDescent="0.35">
      <c r="A32" t="s">
        <v>1032</v>
      </c>
      <c r="B32" t="s">
        <v>1032</v>
      </c>
    </row>
    <row r="33" spans="1:2" x14ac:dyDescent="0.35">
      <c r="A33" t="s">
        <v>32</v>
      </c>
      <c r="B33" t="s">
        <v>588</v>
      </c>
    </row>
    <row r="34" spans="1:2" x14ac:dyDescent="0.35">
      <c r="A34" t="s">
        <v>1032</v>
      </c>
      <c r="B34" t="s">
        <v>502</v>
      </c>
    </row>
    <row r="35" spans="1:2" x14ac:dyDescent="0.35">
      <c r="A35" t="s">
        <v>1032</v>
      </c>
      <c r="B35" t="s">
        <v>674</v>
      </c>
    </row>
    <row r="36" spans="1:2" x14ac:dyDescent="0.35">
      <c r="A36" t="s">
        <v>1032</v>
      </c>
      <c r="B36" t="s">
        <v>470</v>
      </c>
    </row>
    <row r="37" spans="1:2" x14ac:dyDescent="0.35">
      <c r="A37" t="s">
        <v>1032</v>
      </c>
      <c r="B37" t="s">
        <v>1079</v>
      </c>
    </row>
    <row r="38" spans="1:2" x14ac:dyDescent="0.35">
      <c r="A38" t="s">
        <v>1032</v>
      </c>
      <c r="B38" t="s">
        <v>1032</v>
      </c>
    </row>
    <row r="39" spans="1:2" x14ac:dyDescent="0.35">
      <c r="A39" t="s">
        <v>40</v>
      </c>
      <c r="B39" t="s">
        <v>567</v>
      </c>
    </row>
    <row r="40" spans="1:2" x14ac:dyDescent="0.35">
      <c r="A40" t="s">
        <v>1032</v>
      </c>
      <c r="B40" t="s">
        <v>486</v>
      </c>
    </row>
    <row r="41" spans="1:2" x14ac:dyDescent="0.35">
      <c r="A41" t="s">
        <v>1032</v>
      </c>
      <c r="B41" t="s">
        <v>458</v>
      </c>
    </row>
    <row r="42" spans="1:2" x14ac:dyDescent="0.35">
      <c r="A42" t="s">
        <v>1032</v>
      </c>
      <c r="B42" t="s">
        <v>1032</v>
      </c>
    </row>
    <row r="43" spans="1:2" x14ac:dyDescent="0.35">
      <c r="A43" t="s">
        <v>45</v>
      </c>
      <c r="B43" t="s">
        <v>469</v>
      </c>
    </row>
    <row r="44" spans="1:2" x14ac:dyDescent="0.35">
      <c r="A44" t="s">
        <v>654</v>
      </c>
      <c r="B44" t="s">
        <v>655</v>
      </c>
    </row>
    <row r="45" spans="1:2" x14ac:dyDescent="0.35">
      <c r="A45" t="s">
        <v>831</v>
      </c>
      <c r="B45" t="s">
        <v>1032</v>
      </c>
    </row>
    <row r="46" spans="1:2" x14ac:dyDescent="0.35">
      <c r="A46" t="s">
        <v>1032</v>
      </c>
      <c r="B46" t="s">
        <v>1035</v>
      </c>
    </row>
    <row r="47" spans="1:2" x14ac:dyDescent="0.35">
      <c r="A47" t="s">
        <v>26</v>
      </c>
      <c r="B47" t="s">
        <v>345</v>
      </c>
    </row>
    <row r="48" spans="1:2" x14ac:dyDescent="0.35">
      <c r="A48" t="s">
        <v>1032</v>
      </c>
      <c r="B48" t="s">
        <v>856</v>
      </c>
    </row>
    <row r="49" spans="1:2" x14ac:dyDescent="0.35">
      <c r="A49" t="s">
        <v>1032</v>
      </c>
      <c r="B49" t="s">
        <v>1032</v>
      </c>
    </row>
    <row r="50" spans="1:2" x14ac:dyDescent="0.35">
      <c r="A50" t="s">
        <v>25</v>
      </c>
      <c r="B50" t="s">
        <v>107</v>
      </c>
    </row>
    <row r="51" spans="1:2" x14ac:dyDescent="0.35">
      <c r="A51" t="s">
        <v>1032</v>
      </c>
      <c r="B51" t="s">
        <v>782</v>
      </c>
    </row>
    <row r="52" spans="1:2" x14ac:dyDescent="0.35">
      <c r="A52" t="s">
        <v>1032</v>
      </c>
      <c r="B52" t="s">
        <v>425</v>
      </c>
    </row>
    <row r="53" spans="1:2" x14ac:dyDescent="0.35">
      <c r="A53" t="s">
        <v>1032</v>
      </c>
      <c r="B53" t="s">
        <v>878</v>
      </c>
    </row>
    <row r="54" spans="1:2" x14ac:dyDescent="0.35">
      <c r="A54" t="s">
        <v>1032</v>
      </c>
      <c r="B54" t="s">
        <v>1032</v>
      </c>
    </row>
    <row r="55" spans="1:2" x14ac:dyDescent="0.35">
      <c r="A55" t="s">
        <v>32</v>
      </c>
      <c r="B55" t="s">
        <v>711</v>
      </c>
    </row>
    <row r="56" spans="1:2" x14ac:dyDescent="0.35">
      <c r="A56" t="s">
        <v>1032</v>
      </c>
      <c r="B56" t="s">
        <v>553</v>
      </c>
    </row>
    <row r="57" spans="1:2" x14ac:dyDescent="0.35">
      <c r="A57" t="s">
        <v>1032</v>
      </c>
      <c r="B57" t="s">
        <v>242</v>
      </c>
    </row>
    <row r="58" spans="1:2" x14ac:dyDescent="0.35">
      <c r="A58" t="s">
        <v>1032</v>
      </c>
      <c r="B58" t="s">
        <v>926</v>
      </c>
    </row>
    <row r="59" spans="1:2" x14ac:dyDescent="0.35">
      <c r="A59" t="s">
        <v>1032</v>
      </c>
      <c r="B59" t="s">
        <v>609</v>
      </c>
    </row>
    <row r="60" spans="1:2" x14ac:dyDescent="0.35">
      <c r="A60" t="s">
        <v>1032</v>
      </c>
      <c r="B60" t="s">
        <v>1032</v>
      </c>
    </row>
    <row r="61" spans="1:2" x14ac:dyDescent="0.35">
      <c r="A61" t="s">
        <v>40</v>
      </c>
      <c r="B61" t="s">
        <v>371</v>
      </c>
    </row>
    <row r="62" spans="1:2" x14ac:dyDescent="0.35">
      <c r="A62" t="s">
        <v>1032</v>
      </c>
      <c r="B62" t="s">
        <v>643</v>
      </c>
    </row>
    <row r="63" spans="1:2" x14ac:dyDescent="0.35">
      <c r="A63" t="s">
        <v>1032</v>
      </c>
      <c r="B63" t="s">
        <v>636</v>
      </c>
    </row>
    <row r="64" spans="1:2" x14ac:dyDescent="0.35">
      <c r="A64" t="s">
        <v>1032</v>
      </c>
      <c r="B64" t="s">
        <v>1032</v>
      </c>
    </row>
    <row r="65" spans="1:2" x14ac:dyDescent="0.35">
      <c r="A65" t="s">
        <v>45</v>
      </c>
      <c r="B65" t="s">
        <v>110</v>
      </c>
    </row>
    <row r="66" spans="1:2" x14ac:dyDescent="0.35">
      <c r="A66" t="s">
        <v>654</v>
      </c>
      <c r="B66" t="s">
        <v>656</v>
      </c>
    </row>
    <row r="67" spans="1:2" x14ac:dyDescent="0.35">
      <c r="A67" t="s">
        <v>831</v>
      </c>
      <c r="B67" t="s">
        <v>1032</v>
      </c>
    </row>
    <row r="68" spans="1:2" x14ac:dyDescent="0.35">
      <c r="A68" t="s">
        <v>1032</v>
      </c>
      <c r="B68" t="s">
        <v>1036</v>
      </c>
    </row>
    <row r="69" spans="1:2" x14ac:dyDescent="0.35">
      <c r="A69" t="s">
        <v>26</v>
      </c>
      <c r="B69" t="s">
        <v>342</v>
      </c>
    </row>
    <row r="70" spans="1:2" x14ac:dyDescent="0.35">
      <c r="A70" t="s">
        <v>1032</v>
      </c>
      <c r="B70" t="s">
        <v>673</v>
      </c>
    </row>
    <row r="71" spans="1:2" x14ac:dyDescent="0.35">
      <c r="A71" t="s">
        <v>1032</v>
      </c>
      <c r="B71" t="s">
        <v>1032</v>
      </c>
    </row>
    <row r="72" spans="1:2" x14ac:dyDescent="0.35">
      <c r="A72" t="s">
        <v>25</v>
      </c>
      <c r="B72" t="s">
        <v>615</v>
      </c>
    </row>
    <row r="73" spans="1:2" x14ac:dyDescent="0.35">
      <c r="A73" t="s">
        <v>1032</v>
      </c>
      <c r="B73" t="s">
        <v>868</v>
      </c>
    </row>
    <row r="74" spans="1:2" x14ac:dyDescent="0.35">
      <c r="A74" t="s">
        <v>1032</v>
      </c>
      <c r="B74" t="s">
        <v>811</v>
      </c>
    </row>
    <row r="75" spans="1:2" x14ac:dyDescent="0.35">
      <c r="A75" t="s">
        <v>1032</v>
      </c>
      <c r="B75" t="s">
        <v>1032</v>
      </c>
    </row>
    <row r="76" spans="1:2" x14ac:dyDescent="0.35">
      <c r="A76" t="s">
        <v>1032</v>
      </c>
      <c r="B76" t="s">
        <v>1032</v>
      </c>
    </row>
    <row r="77" spans="1:2" x14ac:dyDescent="0.35">
      <c r="A77" t="s">
        <v>32</v>
      </c>
      <c r="B77" t="s">
        <v>913</v>
      </c>
    </row>
    <row r="78" spans="1:2" x14ac:dyDescent="0.35">
      <c r="A78" t="s">
        <v>1032</v>
      </c>
      <c r="B78" t="s">
        <v>236</v>
      </c>
    </row>
    <row r="79" spans="1:2" x14ac:dyDescent="0.35">
      <c r="A79" t="s">
        <v>1032</v>
      </c>
      <c r="B79" t="s">
        <v>607</v>
      </c>
    </row>
    <row r="80" spans="1:2" x14ac:dyDescent="0.35">
      <c r="A80" t="s">
        <v>1032</v>
      </c>
      <c r="B80" t="s">
        <v>249</v>
      </c>
    </row>
    <row r="81" spans="1:2" x14ac:dyDescent="0.35">
      <c r="A81" t="s">
        <v>1032</v>
      </c>
      <c r="B81" t="s">
        <v>365</v>
      </c>
    </row>
    <row r="82" spans="1:2" x14ac:dyDescent="0.35">
      <c r="A82" t="s">
        <v>1032</v>
      </c>
      <c r="B82" t="s">
        <v>1032</v>
      </c>
    </row>
    <row r="83" spans="1:2" x14ac:dyDescent="0.35">
      <c r="A83" t="s">
        <v>40</v>
      </c>
      <c r="B83" t="s">
        <v>712</v>
      </c>
    </row>
    <row r="84" spans="1:2" x14ac:dyDescent="0.35">
      <c r="A84" t="s">
        <v>1032</v>
      </c>
      <c r="B84" t="s">
        <v>452</v>
      </c>
    </row>
    <row r="85" spans="1:2" x14ac:dyDescent="0.35">
      <c r="A85" t="s">
        <v>1032</v>
      </c>
      <c r="B85" t="s">
        <v>705</v>
      </c>
    </row>
    <row r="86" spans="1:2" x14ac:dyDescent="0.35">
      <c r="A86" t="s">
        <v>1032</v>
      </c>
      <c r="B86" t="s">
        <v>1032</v>
      </c>
    </row>
    <row r="87" spans="1:2" x14ac:dyDescent="0.35">
      <c r="A87" t="s">
        <v>45</v>
      </c>
      <c r="B87" t="s">
        <v>479</v>
      </c>
    </row>
    <row r="88" spans="1:2" x14ac:dyDescent="0.35">
      <c r="A88" t="s">
        <v>654</v>
      </c>
      <c r="B88" t="s">
        <v>661</v>
      </c>
    </row>
    <row r="89" spans="1:2" x14ac:dyDescent="0.35">
      <c r="A89" t="s">
        <v>831</v>
      </c>
      <c r="B89" t="s">
        <v>1032</v>
      </c>
    </row>
    <row r="90" spans="1:2" x14ac:dyDescent="0.35">
      <c r="A90" t="s">
        <v>1032</v>
      </c>
      <c r="B90" t="s">
        <v>1037</v>
      </c>
    </row>
    <row r="91" spans="1:2" x14ac:dyDescent="0.35">
      <c r="A91" t="s">
        <v>26</v>
      </c>
      <c r="B91" t="s">
        <v>713</v>
      </c>
    </row>
    <row r="92" spans="1:2" x14ac:dyDescent="0.35">
      <c r="A92" t="s">
        <v>1032</v>
      </c>
      <c r="B92" t="s">
        <v>132</v>
      </c>
    </row>
    <row r="93" spans="1:2" x14ac:dyDescent="0.35">
      <c r="A93" t="s">
        <v>1032</v>
      </c>
      <c r="B93" t="s">
        <v>1032</v>
      </c>
    </row>
    <row r="94" spans="1:2" x14ac:dyDescent="0.35">
      <c r="A94" t="s">
        <v>25</v>
      </c>
      <c r="B94" t="s">
        <v>861</v>
      </c>
    </row>
    <row r="95" spans="1:2" x14ac:dyDescent="0.35">
      <c r="A95" t="s">
        <v>1032</v>
      </c>
      <c r="B95" t="s">
        <v>544</v>
      </c>
    </row>
    <row r="96" spans="1:2" x14ac:dyDescent="0.35">
      <c r="A96" t="s">
        <v>1032</v>
      </c>
      <c r="B96" t="s">
        <v>423</v>
      </c>
    </row>
    <row r="97" spans="1:2" x14ac:dyDescent="0.35">
      <c r="A97" t="s">
        <v>1032</v>
      </c>
      <c r="B97" t="s">
        <v>714</v>
      </c>
    </row>
    <row r="98" spans="1:2" x14ac:dyDescent="0.35">
      <c r="A98" t="s">
        <v>1032</v>
      </c>
      <c r="B98" t="s">
        <v>1032</v>
      </c>
    </row>
    <row r="99" spans="1:2" x14ac:dyDescent="0.35">
      <c r="A99" t="s">
        <v>32</v>
      </c>
      <c r="B99" t="s">
        <v>437</v>
      </c>
    </row>
    <row r="100" spans="1:2" x14ac:dyDescent="0.35">
      <c r="A100" t="s">
        <v>1032</v>
      </c>
      <c r="B100" t="s">
        <v>138</v>
      </c>
    </row>
    <row r="101" spans="1:2" x14ac:dyDescent="0.35">
      <c r="A101" t="s">
        <v>1032</v>
      </c>
      <c r="B101" t="s">
        <v>715</v>
      </c>
    </row>
    <row r="102" spans="1:2" x14ac:dyDescent="0.35">
      <c r="A102" t="s">
        <v>1032</v>
      </c>
      <c r="B102" t="s">
        <v>916</v>
      </c>
    </row>
    <row r="103" spans="1:2" x14ac:dyDescent="0.35">
      <c r="A103" t="s">
        <v>1032</v>
      </c>
      <c r="B103" t="s">
        <v>409</v>
      </c>
    </row>
    <row r="104" spans="1:2" x14ac:dyDescent="0.35">
      <c r="A104" t="s">
        <v>1032</v>
      </c>
      <c r="B104" t="s">
        <v>1032</v>
      </c>
    </row>
    <row r="105" spans="1:2" x14ac:dyDescent="0.35">
      <c r="A105" t="s">
        <v>40</v>
      </c>
      <c r="B105" t="s">
        <v>575</v>
      </c>
    </row>
    <row r="106" spans="1:2" x14ac:dyDescent="0.35">
      <c r="A106" t="s">
        <v>1032</v>
      </c>
      <c r="B106" t="s">
        <v>375</v>
      </c>
    </row>
    <row r="107" spans="1:2" x14ac:dyDescent="0.35">
      <c r="A107" t="s">
        <v>1032</v>
      </c>
      <c r="B107" t="s">
        <v>939</v>
      </c>
    </row>
    <row r="108" spans="1:2" x14ac:dyDescent="0.35">
      <c r="A108" t="s">
        <v>1032</v>
      </c>
      <c r="B108" t="s">
        <v>1032</v>
      </c>
    </row>
    <row r="109" spans="1:2" x14ac:dyDescent="0.35">
      <c r="A109" t="s">
        <v>45</v>
      </c>
      <c r="B109" t="s">
        <v>706</v>
      </c>
    </row>
    <row r="110" spans="1:2" x14ac:dyDescent="0.35">
      <c r="A110" t="s">
        <v>654</v>
      </c>
      <c r="B110" t="s">
        <v>657</v>
      </c>
    </row>
    <row r="111" spans="1:2" x14ac:dyDescent="0.35">
      <c r="A111" t="s">
        <v>831</v>
      </c>
      <c r="B111" t="s">
        <v>1032</v>
      </c>
    </row>
    <row r="112" spans="1:2" x14ac:dyDescent="0.35">
      <c r="A112" t="s">
        <v>1032</v>
      </c>
      <c r="B112" t="s">
        <v>1038</v>
      </c>
    </row>
    <row r="113" spans="1:2" x14ac:dyDescent="0.35">
      <c r="A113" t="s">
        <v>26</v>
      </c>
      <c r="B113" t="s">
        <v>852</v>
      </c>
    </row>
    <row r="114" spans="1:2" x14ac:dyDescent="0.35">
      <c r="A114" t="s">
        <v>1032</v>
      </c>
      <c r="B114" t="s">
        <v>835</v>
      </c>
    </row>
    <row r="115" spans="1:2" x14ac:dyDescent="0.35">
      <c r="A115" t="s">
        <v>1032</v>
      </c>
      <c r="B115" t="s">
        <v>1032</v>
      </c>
    </row>
    <row r="116" spans="1:2" x14ac:dyDescent="0.35">
      <c r="A116" t="s">
        <v>25</v>
      </c>
      <c r="B116" t="s">
        <v>517</v>
      </c>
    </row>
    <row r="117" spans="1:2" x14ac:dyDescent="0.35">
      <c r="A117" t="s">
        <v>1032</v>
      </c>
      <c r="B117" t="s">
        <v>548</v>
      </c>
    </row>
    <row r="118" spans="1:2" x14ac:dyDescent="0.35">
      <c r="A118" t="s">
        <v>1032</v>
      </c>
      <c r="B118" t="s">
        <v>716</v>
      </c>
    </row>
    <row r="119" spans="1:2" x14ac:dyDescent="0.35">
      <c r="A119" t="s">
        <v>1032</v>
      </c>
      <c r="B119" t="s">
        <v>429</v>
      </c>
    </row>
    <row r="120" spans="1:2" x14ac:dyDescent="0.35">
      <c r="A120" t="s">
        <v>1032</v>
      </c>
      <c r="B120" t="s">
        <v>1032</v>
      </c>
    </row>
    <row r="121" spans="1:2" x14ac:dyDescent="0.35">
      <c r="A121" t="s">
        <v>32</v>
      </c>
      <c r="B121" t="s">
        <v>585</v>
      </c>
    </row>
    <row r="122" spans="1:2" x14ac:dyDescent="0.35">
      <c r="A122" t="s">
        <v>1032</v>
      </c>
      <c r="B122" t="s">
        <v>101</v>
      </c>
    </row>
    <row r="123" spans="1:2" x14ac:dyDescent="0.35">
      <c r="A123" t="s">
        <v>1032</v>
      </c>
      <c r="B123" t="s">
        <v>912</v>
      </c>
    </row>
    <row r="124" spans="1:2" x14ac:dyDescent="0.35">
      <c r="A124" t="s">
        <v>1032</v>
      </c>
      <c r="B124" t="s">
        <v>793</v>
      </c>
    </row>
    <row r="125" spans="1:2" x14ac:dyDescent="0.35">
      <c r="A125" t="s">
        <v>1032</v>
      </c>
      <c r="B125" t="s">
        <v>601</v>
      </c>
    </row>
    <row r="126" spans="1:2" x14ac:dyDescent="0.35">
      <c r="A126" t="s">
        <v>1032</v>
      </c>
      <c r="B126" t="s">
        <v>1032</v>
      </c>
    </row>
    <row r="127" spans="1:2" x14ac:dyDescent="0.35">
      <c r="A127" t="s">
        <v>40</v>
      </c>
      <c r="B127" t="s">
        <v>480</v>
      </c>
    </row>
    <row r="128" spans="1:2" x14ac:dyDescent="0.35">
      <c r="A128" t="s">
        <v>1032</v>
      </c>
      <c r="B128" t="s">
        <v>256</v>
      </c>
    </row>
    <row r="129" spans="1:2" x14ac:dyDescent="0.35">
      <c r="A129" t="s">
        <v>1032</v>
      </c>
      <c r="B129" t="s">
        <v>806</v>
      </c>
    </row>
    <row r="130" spans="1:2" x14ac:dyDescent="0.35">
      <c r="A130" t="s">
        <v>1032</v>
      </c>
      <c r="B130" t="s">
        <v>1032</v>
      </c>
    </row>
    <row r="131" spans="1:2" x14ac:dyDescent="0.35">
      <c r="A131" t="s">
        <v>45</v>
      </c>
      <c r="B131" t="s">
        <v>159</v>
      </c>
    </row>
    <row r="132" spans="1:2" x14ac:dyDescent="0.35">
      <c r="A132" t="s">
        <v>654</v>
      </c>
      <c r="B132" t="s">
        <v>1039</v>
      </c>
    </row>
    <row r="133" spans="1:2" x14ac:dyDescent="0.35">
      <c r="A133" t="s">
        <v>831</v>
      </c>
      <c r="B133" t="s">
        <v>1032</v>
      </c>
    </row>
    <row r="134" spans="1:2" x14ac:dyDescent="0.35">
      <c r="A134" t="s">
        <v>1032</v>
      </c>
      <c r="B134" t="s">
        <v>1040</v>
      </c>
    </row>
    <row r="135" spans="1:2" x14ac:dyDescent="0.35">
      <c r="A135" t="s">
        <v>26</v>
      </c>
      <c r="B135" t="s">
        <v>510</v>
      </c>
    </row>
    <row r="136" spans="1:2" x14ac:dyDescent="0.35">
      <c r="A136" t="s">
        <v>1032</v>
      </c>
      <c r="B136" t="s">
        <v>836</v>
      </c>
    </row>
    <row r="137" spans="1:2" x14ac:dyDescent="0.35">
      <c r="A137" t="s">
        <v>1032</v>
      </c>
      <c r="B137" t="s">
        <v>1032</v>
      </c>
    </row>
    <row r="138" spans="1:2" x14ac:dyDescent="0.35">
      <c r="A138" t="s">
        <v>25</v>
      </c>
      <c r="B138" t="s">
        <v>520</v>
      </c>
    </row>
    <row r="139" spans="1:2" x14ac:dyDescent="0.35">
      <c r="A139" t="s">
        <v>1032</v>
      </c>
      <c r="B139" t="s">
        <v>717</v>
      </c>
    </row>
    <row r="140" spans="1:2" x14ac:dyDescent="0.35">
      <c r="A140" t="s">
        <v>1032</v>
      </c>
      <c r="B140" t="s">
        <v>1187</v>
      </c>
    </row>
    <row r="141" spans="1:2" x14ac:dyDescent="0.35">
      <c r="A141" t="s">
        <v>1032</v>
      </c>
      <c r="B141" t="s">
        <v>1032</v>
      </c>
    </row>
    <row r="142" spans="1:2" x14ac:dyDescent="0.35">
      <c r="A142" t="s">
        <v>1032</v>
      </c>
      <c r="B142" t="s">
        <v>1032</v>
      </c>
    </row>
    <row r="143" spans="1:2" x14ac:dyDescent="0.35">
      <c r="A143" t="s">
        <v>32</v>
      </c>
      <c r="B143" t="s">
        <v>550</v>
      </c>
    </row>
    <row r="144" spans="1:2" x14ac:dyDescent="0.35">
      <c r="A144" t="s">
        <v>1032</v>
      </c>
      <c r="B144" t="s">
        <v>493</v>
      </c>
    </row>
    <row r="145" spans="1:2" x14ac:dyDescent="0.35">
      <c r="A145" t="s">
        <v>1032</v>
      </c>
      <c r="B145" t="s">
        <v>796</v>
      </c>
    </row>
    <row r="146" spans="1:2" x14ac:dyDescent="0.35">
      <c r="A146" t="s">
        <v>1032</v>
      </c>
      <c r="B146" t="s">
        <v>508</v>
      </c>
    </row>
    <row r="147" spans="1:2" x14ac:dyDescent="0.35">
      <c r="A147" t="s">
        <v>1032</v>
      </c>
      <c r="B147" t="s">
        <v>918</v>
      </c>
    </row>
    <row r="148" spans="1:2" x14ac:dyDescent="0.35">
      <c r="A148" t="s">
        <v>1032</v>
      </c>
      <c r="B148" t="s">
        <v>1032</v>
      </c>
    </row>
    <row r="149" spans="1:2" x14ac:dyDescent="0.35">
      <c r="A149" t="s">
        <v>40</v>
      </c>
      <c r="B149" t="s">
        <v>368</v>
      </c>
    </row>
    <row r="150" spans="1:2" x14ac:dyDescent="0.35">
      <c r="A150" t="s">
        <v>1032</v>
      </c>
      <c r="B150" t="s">
        <v>454</v>
      </c>
    </row>
    <row r="151" spans="1:2" x14ac:dyDescent="0.35">
      <c r="A151" t="s">
        <v>1032</v>
      </c>
      <c r="B151" t="s">
        <v>453</v>
      </c>
    </row>
    <row r="152" spans="1:2" x14ac:dyDescent="0.35">
      <c r="A152" t="s">
        <v>1032</v>
      </c>
      <c r="B152" t="s">
        <v>1032</v>
      </c>
    </row>
    <row r="153" spans="1:2" x14ac:dyDescent="0.35">
      <c r="A153" t="s">
        <v>45</v>
      </c>
      <c r="B153" t="s">
        <v>530</v>
      </c>
    </row>
    <row r="154" spans="1:2" x14ac:dyDescent="0.35">
      <c r="A154" t="s">
        <v>654</v>
      </c>
      <c r="B154" t="s">
        <v>1188</v>
      </c>
    </row>
    <row r="155" spans="1:2" x14ac:dyDescent="0.35">
      <c r="A155" t="s">
        <v>831</v>
      </c>
      <c r="B155" t="s">
        <v>1032</v>
      </c>
    </row>
    <row r="156" spans="1:2" x14ac:dyDescent="0.35">
      <c r="A156" t="s">
        <v>1032</v>
      </c>
      <c r="B156" t="s">
        <v>1041</v>
      </c>
    </row>
    <row r="157" spans="1:2" x14ac:dyDescent="0.35">
      <c r="A157" t="s">
        <v>26</v>
      </c>
      <c r="B157" t="s">
        <v>137</v>
      </c>
    </row>
    <row r="158" spans="1:2" x14ac:dyDescent="0.35">
      <c r="A158" t="s">
        <v>1032</v>
      </c>
      <c r="B158" t="s">
        <v>114</v>
      </c>
    </row>
    <row r="159" spans="1:2" x14ac:dyDescent="0.35">
      <c r="A159" t="s">
        <v>1032</v>
      </c>
      <c r="B159" t="s">
        <v>1032</v>
      </c>
    </row>
    <row r="160" spans="1:2" x14ac:dyDescent="0.35">
      <c r="A160" t="s">
        <v>25</v>
      </c>
      <c r="B160" t="s">
        <v>354</v>
      </c>
    </row>
    <row r="161" spans="1:2" x14ac:dyDescent="0.35">
      <c r="A161" t="s">
        <v>1032</v>
      </c>
      <c r="B161" t="s">
        <v>627</v>
      </c>
    </row>
    <row r="162" spans="1:2" x14ac:dyDescent="0.35">
      <c r="A162" t="s">
        <v>1032</v>
      </c>
      <c r="B162" t="s">
        <v>624</v>
      </c>
    </row>
    <row r="163" spans="1:2" x14ac:dyDescent="0.35">
      <c r="A163" t="s">
        <v>1032</v>
      </c>
      <c r="B163" t="s">
        <v>1189</v>
      </c>
    </row>
    <row r="164" spans="1:2" x14ac:dyDescent="0.35">
      <c r="A164" t="s">
        <v>1032</v>
      </c>
      <c r="B164" t="s">
        <v>1032</v>
      </c>
    </row>
    <row r="165" spans="1:2" x14ac:dyDescent="0.35">
      <c r="A165" t="s">
        <v>32</v>
      </c>
      <c r="B165" t="s">
        <v>92</v>
      </c>
    </row>
    <row r="166" spans="1:2" x14ac:dyDescent="0.35">
      <c r="A166" t="s">
        <v>1032</v>
      </c>
      <c r="B166" t="s">
        <v>489</v>
      </c>
    </row>
    <row r="167" spans="1:2" x14ac:dyDescent="0.35">
      <c r="A167" t="s">
        <v>1032</v>
      </c>
      <c r="B167" t="s">
        <v>719</v>
      </c>
    </row>
    <row r="168" spans="1:2" x14ac:dyDescent="0.35">
      <c r="A168" t="s">
        <v>1032</v>
      </c>
      <c r="B168" t="s">
        <v>554</v>
      </c>
    </row>
    <row r="169" spans="1:2" x14ac:dyDescent="0.35">
      <c r="A169" t="s">
        <v>1032</v>
      </c>
      <c r="B169" t="s">
        <v>600</v>
      </c>
    </row>
    <row r="170" spans="1:2" x14ac:dyDescent="0.35">
      <c r="A170" t="s">
        <v>1032</v>
      </c>
      <c r="B170" t="s">
        <v>1032</v>
      </c>
    </row>
    <row r="171" spans="1:2" x14ac:dyDescent="0.35">
      <c r="A171" t="s">
        <v>40</v>
      </c>
      <c r="B171" t="s">
        <v>142</v>
      </c>
    </row>
    <row r="172" spans="1:2" x14ac:dyDescent="0.35">
      <c r="A172" t="s">
        <v>1032</v>
      </c>
      <c r="B172" t="s">
        <v>372</v>
      </c>
    </row>
    <row r="173" spans="1:2" x14ac:dyDescent="0.35">
      <c r="A173" t="s">
        <v>1032</v>
      </c>
      <c r="B173" t="s">
        <v>1032</v>
      </c>
    </row>
    <row r="174" spans="1:2" x14ac:dyDescent="0.35">
      <c r="A174" t="s">
        <v>1032</v>
      </c>
      <c r="B174" t="s">
        <v>1032</v>
      </c>
    </row>
    <row r="175" spans="1:2" x14ac:dyDescent="0.35">
      <c r="A175" t="s">
        <v>45</v>
      </c>
      <c r="B175" t="s">
        <v>164</v>
      </c>
    </row>
    <row r="176" spans="1:2" x14ac:dyDescent="0.35">
      <c r="A176" t="s">
        <v>654</v>
      </c>
      <c r="B176" t="s">
        <v>658</v>
      </c>
    </row>
    <row r="177" spans="1:2" x14ac:dyDescent="0.35">
      <c r="A177" t="s">
        <v>831</v>
      </c>
      <c r="B177" t="s">
        <v>1032</v>
      </c>
    </row>
    <row r="178" spans="1:2" x14ac:dyDescent="0.35">
      <c r="A178" t="s">
        <v>1032</v>
      </c>
      <c r="B178" t="s">
        <v>1042</v>
      </c>
    </row>
    <row r="179" spans="1:2" x14ac:dyDescent="0.35">
      <c r="A179" t="s">
        <v>26</v>
      </c>
      <c r="B179" t="s">
        <v>115</v>
      </c>
    </row>
    <row r="180" spans="1:2" x14ac:dyDescent="0.35">
      <c r="A180" t="s">
        <v>1032</v>
      </c>
      <c r="B180" t="s">
        <v>347</v>
      </c>
    </row>
    <row r="181" spans="1:2" x14ac:dyDescent="0.35">
      <c r="A181" t="s">
        <v>1032</v>
      </c>
      <c r="B181" t="s">
        <v>1032</v>
      </c>
    </row>
    <row r="182" spans="1:2" x14ac:dyDescent="0.35">
      <c r="A182" t="s">
        <v>25</v>
      </c>
      <c r="B182" t="s">
        <v>88</v>
      </c>
    </row>
    <row r="183" spans="1:2" x14ac:dyDescent="0.35">
      <c r="A183" t="s">
        <v>1032</v>
      </c>
      <c r="B183" t="s">
        <v>529</v>
      </c>
    </row>
    <row r="184" spans="1:2" x14ac:dyDescent="0.35">
      <c r="A184" t="s">
        <v>1032</v>
      </c>
      <c r="B184" t="s">
        <v>720</v>
      </c>
    </row>
    <row r="185" spans="1:2" x14ac:dyDescent="0.35">
      <c r="A185" t="s">
        <v>1032</v>
      </c>
      <c r="B185" t="s">
        <v>1032</v>
      </c>
    </row>
    <row r="186" spans="1:2" x14ac:dyDescent="0.35">
      <c r="A186" t="s">
        <v>1032</v>
      </c>
      <c r="B186" t="s">
        <v>1032</v>
      </c>
    </row>
    <row r="187" spans="1:2" x14ac:dyDescent="0.35">
      <c r="A187" t="s">
        <v>32</v>
      </c>
      <c r="B187" t="s">
        <v>488</v>
      </c>
    </row>
    <row r="188" spans="1:2" x14ac:dyDescent="0.35">
      <c r="A188" t="s">
        <v>1032</v>
      </c>
      <c r="B188" t="s">
        <v>96</v>
      </c>
    </row>
    <row r="189" spans="1:2" x14ac:dyDescent="0.35">
      <c r="A189" t="s">
        <v>1032</v>
      </c>
      <c r="B189" t="s">
        <v>592</v>
      </c>
    </row>
    <row r="190" spans="1:2" x14ac:dyDescent="0.35">
      <c r="A190" t="s">
        <v>1032</v>
      </c>
      <c r="B190" t="s">
        <v>703</v>
      </c>
    </row>
    <row r="191" spans="1:2" x14ac:dyDescent="0.35">
      <c r="A191" t="s">
        <v>1032</v>
      </c>
      <c r="B191" t="s">
        <v>928</v>
      </c>
    </row>
    <row r="192" spans="1:2" x14ac:dyDescent="0.35">
      <c r="A192" t="s">
        <v>1032</v>
      </c>
      <c r="B192" t="s">
        <v>1032</v>
      </c>
    </row>
    <row r="193" spans="1:2" x14ac:dyDescent="0.35">
      <c r="A193" t="s">
        <v>40</v>
      </c>
      <c r="B193" t="s">
        <v>638</v>
      </c>
    </row>
    <row r="194" spans="1:2" x14ac:dyDescent="0.35">
      <c r="A194" t="s">
        <v>1032</v>
      </c>
      <c r="B194" t="s">
        <v>721</v>
      </c>
    </row>
    <row r="195" spans="1:2" x14ac:dyDescent="0.35">
      <c r="A195" t="s">
        <v>1032</v>
      </c>
      <c r="B195" t="s">
        <v>1082</v>
      </c>
    </row>
    <row r="196" spans="1:2" x14ac:dyDescent="0.35">
      <c r="A196" t="s">
        <v>1032</v>
      </c>
      <c r="B196" t="s">
        <v>1032</v>
      </c>
    </row>
    <row r="197" spans="1:2" x14ac:dyDescent="0.35">
      <c r="A197" t="s">
        <v>45</v>
      </c>
      <c r="B197" t="s">
        <v>829</v>
      </c>
    </row>
    <row r="198" spans="1:2" x14ac:dyDescent="0.35">
      <c r="A198" t="s">
        <v>654</v>
      </c>
      <c r="B198" t="s">
        <v>660</v>
      </c>
    </row>
    <row r="199" spans="1:2" x14ac:dyDescent="0.35">
      <c r="A199" t="s">
        <v>831</v>
      </c>
      <c r="B199" t="s">
        <v>1032</v>
      </c>
    </row>
    <row r="200" spans="1:2" x14ac:dyDescent="0.35">
      <c r="A200" t="s">
        <v>1032</v>
      </c>
      <c r="B200" t="s">
        <v>1043</v>
      </c>
    </row>
    <row r="201" spans="1:2" x14ac:dyDescent="0.35">
      <c r="A201" t="s">
        <v>26</v>
      </c>
      <c r="B201" t="s">
        <v>854</v>
      </c>
    </row>
    <row r="202" spans="1:2" x14ac:dyDescent="0.35">
      <c r="A202" t="s">
        <v>1032</v>
      </c>
      <c r="B202" t="s">
        <v>417</v>
      </c>
    </row>
    <row r="203" spans="1:2" x14ac:dyDescent="0.35">
      <c r="A203" t="s">
        <v>1032</v>
      </c>
      <c r="B203" t="s">
        <v>1032</v>
      </c>
    </row>
    <row r="204" spans="1:2" x14ac:dyDescent="0.35">
      <c r="A204" t="s">
        <v>25</v>
      </c>
      <c r="B204" t="s">
        <v>541</v>
      </c>
    </row>
    <row r="205" spans="1:2" x14ac:dyDescent="0.35">
      <c r="A205" t="s">
        <v>1032</v>
      </c>
      <c r="B205" t="s">
        <v>830</v>
      </c>
    </row>
    <row r="206" spans="1:2" x14ac:dyDescent="0.35">
      <c r="A206" t="s">
        <v>1032</v>
      </c>
      <c r="B206" t="s">
        <v>871</v>
      </c>
    </row>
    <row r="207" spans="1:2" x14ac:dyDescent="0.35">
      <c r="A207" t="s">
        <v>1032</v>
      </c>
      <c r="B207" t="s">
        <v>994</v>
      </c>
    </row>
    <row r="208" spans="1:2" x14ac:dyDescent="0.35">
      <c r="A208" t="s">
        <v>1032</v>
      </c>
      <c r="B208" t="s">
        <v>1032</v>
      </c>
    </row>
    <row r="209" spans="1:2" x14ac:dyDescent="0.35">
      <c r="A209" t="s">
        <v>32</v>
      </c>
      <c r="B209" t="s">
        <v>360</v>
      </c>
    </row>
    <row r="210" spans="1:2" x14ac:dyDescent="0.35">
      <c r="A210" t="s">
        <v>1032</v>
      </c>
      <c r="B210" t="s">
        <v>243</v>
      </c>
    </row>
    <row r="211" spans="1:2" x14ac:dyDescent="0.35">
      <c r="A211" t="s">
        <v>1032</v>
      </c>
      <c r="B211" t="s">
        <v>722</v>
      </c>
    </row>
    <row r="212" spans="1:2" x14ac:dyDescent="0.35">
      <c r="A212" t="s">
        <v>1032</v>
      </c>
      <c r="B212" t="s">
        <v>922</v>
      </c>
    </row>
    <row r="213" spans="1:2" x14ac:dyDescent="0.35">
      <c r="A213" t="s">
        <v>1032</v>
      </c>
      <c r="B213" t="s">
        <v>1096</v>
      </c>
    </row>
    <row r="214" spans="1:2" x14ac:dyDescent="0.35">
      <c r="A214" t="s">
        <v>1032</v>
      </c>
      <c r="B214" t="s">
        <v>1032</v>
      </c>
    </row>
    <row r="215" spans="1:2" x14ac:dyDescent="0.35">
      <c r="A215" t="s">
        <v>40</v>
      </c>
      <c r="B215" t="s">
        <v>485</v>
      </c>
    </row>
    <row r="216" spans="1:2" x14ac:dyDescent="0.35">
      <c r="A216" t="s">
        <v>1032</v>
      </c>
      <c r="B216" t="s">
        <v>635</v>
      </c>
    </row>
    <row r="217" spans="1:2" x14ac:dyDescent="0.35">
      <c r="A217" t="s">
        <v>1032</v>
      </c>
      <c r="B217" t="s">
        <v>953</v>
      </c>
    </row>
    <row r="218" spans="1:2" x14ac:dyDescent="0.35">
      <c r="A218" t="s">
        <v>1032</v>
      </c>
      <c r="B218" t="s">
        <v>1032</v>
      </c>
    </row>
    <row r="219" spans="1:2" x14ac:dyDescent="0.35">
      <c r="A219" t="s">
        <v>45</v>
      </c>
      <c r="B219" t="s">
        <v>146</v>
      </c>
    </row>
    <row r="220" spans="1:2" x14ac:dyDescent="0.35">
      <c r="A220" t="s">
        <v>654</v>
      </c>
      <c r="B220" t="s">
        <v>667</v>
      </c>
    </row>
    <row r="221" spans="1:2" x14ac:dyDescent="0.35">
      <c r="A221" t="s">
        <v>831</v>
      </c>
      <c r="B221" t="s">
        <v>1032</v>
      </c>
    </row>
    <row r="222" spans="1:2" x14ac:dyDescent="0.35">
      <c r="A222" t="s">
        <v>1032</v>
      </c>
      <c r="B222" t="s">
        <v>1044</v>
      </c>
    </row>
    <row r="223" spans="1:2" x14ac:dyDescent="0.35">
      <c r="A223" t="s">
        <v>26</v>
      </c>
      <c r="B223" t="s">
        <v>215</v>
      </c>
    </row>
    <row r="224" spans="1:2" x14ac:dyDescent="0.35">
      <c r="A224" t="s">
        <v>1032</v>
      </c>
      <c r="B224" t="s">
        <v>723</v>
      </c>
    </row>
    <row r="225" spans="1:2" x14ac:dyDescent="0.35">
      <c r="A225" t="s">
        <v>1032</v>
      </c>
      <c r="B225" t="s">
        <v>1032</v>
      </c>
    </row>
    <row r="226" spans="1:2" x14ac:dyDescent="0.35">
      <c r="A226" t="s">
        <v>25</v>
      </c>
      <c r="B226" t="s">
        <v>724</v>
      </c>
    </row>
    <row r="227" spans="1:2" x14ac:dyDescent="0.35">
      <c r="A227" t="s">
        <v>1032</v>
      </c>
      <c r="B227" t="s">
        <v>422</v>
      </c>
    </row>
    <row r="228" spans="1:2" x14ac:dyDescent="0.35">
      <c r="A228" t="s">
        <v>1032</v>
      </c>
      <c r="B228" t="s">
        <v>526</v>
      </c>
    </row>
    <row r="229" spans="1:2" x14ac:dyDescent="0.35">
      <c r="A229" t="s">
        <v>1032</v>
      </c>
      <c r="B229" t="s">
        <v>883</v>
      </c>
    </row>
    <row r="230" spans="1:2" x14ac:dyDescent="0.35">
      <c r="A230" t="s">
        <v>1032</v>
      </c>
      <c r="B230" t="s">
        <v>1032</v>
      </c>
    </row>
    <row r="231" spans="1:2" x14ac:dyDescent="0.35">
      <c r="A231" t="s">
        <v>32</v>
      </c>
      <c r="B231" t="s">
        <v>557</v>
      </c>
    </row>
    <row r="232" spans="1:2" x14ac:dyDescent="0.35">
      <c r="A232" t="s">
        <v>1032</v>
      </c>
      <c r="B232" t="s">
        <v>596</v>
      </c>
    </row>
    <row r="233" spans="1:2" x14ac:dyDescent="0.35">
      <c r="A233" t="s">
        <v>1032</v>
      </c>
      <c r="B233" t="s">
        <v>441</v>
      </c>
    </row>
    <row r="234" spans="1:2" x14ac:dyDescent="0.35">
      <c r="A234" t="s">
        <v>1032</v>
      </c>
      <c r="B234" t="s">
        <v>1127</v>
      </c>
    </row>
    <row r="235" spans="1:2" x14ac:dyDescent="0.35">
      <c r="A235" t="s">
        <v>1032</v>
      </c>
      <c r="B235" t="s">
        <v>1032</v>
      </c>
    </row>
    <row r="236" spans="1:2" x14ac:dyDescent="0.35">
      <c r="A236" t="s">
        <v>1032</v>
      </c>
      <c r="B236" t="s">
        <v>1032</v>
      </c>
    </row>
    <row r="237" spans="1:2" x14ac:dyDescent="0.35">
      <c r="A237" t="s">
        <v>40</v>
      </c>
      <c r="B237" t="s">
        <v>725</v>
      </c>
    </row>
    <row r="238" spans="1:2" x14ac:dyDescent="0.35">
      <c r="A238" t="s">
        <v>1032</v>
      </c>
      <c r="B238" t="s">
        <v>639</v>
      </c>
    </row>
    <row r="239" spans="1:2" x14ac:dyDescent="0.35">
      <c r="A239" t="s">
        <v>1032</v>
      </c>
      <c r="B239" t="s">
        <v>1182</v>
      </c>
    </row>
    <row r="240" spans="1:2" x14ac:dyDescent="0.35">
      <c r="A240" t="s">
        <v>1032</v>
      </c>
      <c r="B240" t="s">
        <v>1032</v>
      </c>
    </row>
    <row r="241" spans="1:2" x14ac:dyDescent="0.35">
      <c r="A241" t="s">
        <v>45</v>
      </c>
      <c r="B241" t="s">
        <v>954</v>
      </c>
    </row>
    <row r="242" spans="1:2" x14ac:dyDescent="0.35">
      <c r="A242" t="s">
        <v>654</v>
      </c>
      <c r="B242" t="s">
        <v>662</v>
      </c>
    </row>
    <row r="243" spans="1:2" x14ac:dyDescent="0.35">
      <c r="A243" t="s">
        <v>831</v>
      </c>
      <c r="B243" t="s">
        <v>1032</v>
      </c>
    </row>
    <row r="244" spans="1:2" x14ac:dyDescent="0.35">
      <c r="A244" t="s">
        <v>1032</v>
      </c>
      <c r="B244" t="s">
        <v>1045</v>
      </c>
    </row>
    <row r="245" spans="1:2" x14ac:dyDescent="0.35">
      <c r="A245" t="s">
        <v>26</v>
      </c>
      <c r="B245" t="s">
        <v>514</v>
      </c>
    </row>
    <row r="246" spans="1:2" x14ac:dyDescent="0.35">
      <c r="A246" t="s">
        <v>1032</v>
      </c>
      <c r="B246" t="s">
        <v>582</v>
      </c>
    </row>
    <row r="247" spans="1:2" x14ac:dyDescent="0.35">
      <c r="A247" t="s">
        <v>1032</v>
      </c>
      <c r="B247" t="s">
        <v>1032</v>
      </c>
    </row>
    <row r="248" spans="1:2" x14ac:dyDescent="0.35">
      <c r="A248" t="s">
        <v>25</v>
      </c>
      <c r="B248" t="s">
        <v>421</v>
      </c>
    </row>
    <row r="249" spans="1:2" x14ac:dyDescent="0.35">
      <c r="A249" t="s">
        <v>1032</v>
      </c>
      <c r="B249" t="s">
        <v>864</v>
      </c>
    </row>
    <row r="250" spans="1:2" x14ac:dyDescent="0.35">
      <c r="A250" t="s">
        <v>1032</v>
      </c>
      <c r="B250" t="s">
        <v>840</v>
      </c>
    </row>
    <row r="251" spans="1:2" x14ac:dyDescent="0.35">
      <c r="A251" t="s">
        <v>1032</v>
      </c>
      <c r="B251" t="s">
        <v>1032</v>
      </c>
    </row>
    <row r="252" spans="1:2" x14ac:dyDescent="0.35">
      <c r="A252" t="s">
        <v>1032</v>
      </c>
      <c r="B252" t="s">
        <v>1032</v>
      </c>
    </row>
    <row r="253" spans="1:2" x14ac:dyDescent="0.35">
      <c r="A253" t="s">
        <v>32</v>
      </c>
      <c r="B253" t="s">
        <v>595</v>
      </c>
    </row>
    <row r="254" spans="1:2" x14ac:dyDescent="0.35">
      <c r="A254" t="s">
        <v>1032</v>
      </c>
      <c r="B254" t="s">
        <v>604</v>
      </c>
    </row>
    <row r="255" spans="1:2" x14ac:dyDescent="0.35">
      <c r="A255" t="s">
        <v>1032</v>
      </c>
      <c r="B255" t="s">
        <v>727</v>
      </c>
    </row>
    <row r="256" spans="1:2" x14ac:dyDescent="0.35">
      <c r="A256" t="s">
        <v>1032</v>
      </c>
      <c r="B256" t="s">
        <v>728</v>
      </c>
    </row>
    <row r="257" spans="1:2" x14ac:dyDescent="0.35">
      <c r="A257" t="s">
        <v>1032</v>
      </c>
      <c r="B257" t="s">
        <v>612</v>
      </c>
    </row>
    <row r="258" spans="1:2" x14ac:dyDescent="0.35">
      <c r="A258" t="s">
        <v>1032</v>
      </c>
      <c r="B258" t="s">
        <v>1032</v>
      </c>
    </row>
    <row r="259" spans="1:2" x14ac:dyDescent="0.35">
      <c r="A259" t="s">
        <v>40</v>
      </c>
      <c r="B259" t="s">
        <v>730</v>
      </c>
    </row>
    <row r="260" spans="1:2" x14ac:dyDescent="0.35">
      <c r="A260" t="s">
        <v>1032</v>
      </c>
      <c r="B260" t="s">
        <v>729</v>
      </c>
    </row>
    <row r="261" spans="1:2" x14ac:dyDescent="0.35">
      <c r="A261" t="s">
        <v>1032</v>
      </c>
      <c r="B261" t="s">
        <v>843</v>
      </c>
    </row>
    <row r="262" spans="1:2" x14ac:dyDescent="0.35">
      <c r="A262" t="s">
        <v>1032</v>
      </c>
      <c r="B262" t="s">
        <v>1032</v>
      </c>
    </row>
    <row r="263" spans="1:2" x14ac:dyDescent="0.35">
      <c r="A263" t="s">
        <v>45</v>
      </c>
      <c r="B263" t="s">
        <v>1185</v>
      </c>
    </row>
    <row r="264" spans="1:2" x14ac:dyDescent="0.35">
      <c r="A264" t="s">
        <v>654</v>
      </c>
      <c r="B264" t="s">
        <v>959</v>
      </c>
    </row>
    <row r="265" spans="1:2" x14ac:dyDescent="0.35">
      <c r="A265" t="s">
        <v>831</v>
      </c>
      <c r="B265" t="s">
        <v>1032</v>
      </c>
    </row>
    <row r="266" spans="1:2" x14ac:dyDescent="0.35">
      <c r="A266" t="s">
        <v>1032</v>
      </c>
      <c r="B266" t="s">
        <v>1046</v>
      </c>
    </row>
    <row r="267" spans="1:2" x14ac:dyDescent="0.35">
      <c r="A267" t="s">
        <v>26</v>
      </c>
      <c r="B267" t="s">
        <v>732</v>
      </c>
    </row>
    <row r="268" spans="1:2" x14ac:dyDescent="0.35">
      <c r="A268" t="s">
        <v>1032</v>
      </c>
      <c r="B268" t="s">
        <v>537</v>
      </c>
    </row>
    <row r="269" spans="1:2" x14ac:dyDescent="0.35">
      <c r="A269" t="s">
        <v>1032</v>
      </c>
      <c r="B269" t="s">
        <v>1032</v>
      </c>
    </row>
    <row r="270" spans="1:2" x14ac:dyDescent="0.35">
      <c r="A270" t="s">
        <v>25</v>
      </c>
      <c r="B270" t="s">
        <v>98</v>
      </c>
    </row>
    <row r="271" spans="1:2" x14ac:dyDescent="0.35">
      <c r="A271" t="s">
        <v>1032</v>
      </c>
      <c r="B271" t="s">
        <v>616</v>
      </c>
    </row>
    <row r="272" spans="1:2" x14ac:dyDescent="0.35">
      <c r="A272" t="s">
        <v>1032</v>
      </c>
      <c r="B272" t="s">
        <v>431</v>
      </c>
    </row>
    <row r="273" spans="1:2" x14ac:dyDescent="0.35">
      <c r="A273" t="s">
        <v>1032</v>
      </c>
      <c r="B273" t="s">
        <v>518</v>
      </c>
    </row>
    <row r="274" spans="1:2" x14ac:dyDescent="0.35">
      <c r="A274" t="s">
        <v>1032</v>
      </c>
      <c r="B274" t="s">
        <v>1032</v>
      </c>
    </row>
    <row r="275" spans="1:2" x14ac:dyDescent="0.35">
      <c r="A275" t="s">
        <v>32</v>
      </c>
      <c r="B275" t="s">
        <v>120</v>
      </c>
    </row>
    <row r="276" spans="1:2" x14ac:dyDescent="0.35">
      <c r="A276" t="s">
        <v>1032</v>
      </c>
      <c r="B276" t="s">
        <v>559</v>
      </c>
    </row>
    <row r="277" spans="1:2" x14ac:dyDescent="0.35">
      <c r="A277" t="s">
        <v>1032</v>
      </c>
      <c r="B277" t="s">
        <v>790</v>
      </c>
    </row>
    <row r="278" spans="1:2" x14ac:dyDescent="0.35">
      <c r="A278" t="s">
        <v>1032</v>
      </c>
      <c r="B278" t="s">
        <v>733</v>
      </c>
    </row>
    <row r="279" spans="1:2" x14ac:dyDescent="0.35">
      <c r="A279" t="s">
        <v>1032</v>
      </c>
      <c r="B279" t="s">
        <v>235</v>
      </c>
    </row>
    <row r="280" spans="1:2" x14ac:dyDescent="0.35">
      <c r="A280" t="s">
        <v>1032</v>
      </c>
      <c r="B280" t="s">
        <v>1032</v>
      </c>
    </row>
    <row r="281" spans="1:2" x14ac:dyDescent="0.35">
      <c r="A281" t="s">
        <v>40</v>
      </c>
      <c r="B281" t="s">
        <v>376</v>
      </c>
    </row>
    <row r="282" spans="1:2" x14ac:dyDescent="0.35">
      <c r="A282" t="s">
        <v>1032</v>
      </c>
      <c r="B282" t="s">
        <v>572</v>
      </c>
    </row>
    <row r="283" spans="1:2" x14ac:dyDescent="0.35">
      <c r="A283" t="s">
        <v>1032</v>
      </c>
      <c r="B283" t="s">
        <v>942</v>
      </c>
    </row>
    <row r="284" spans="1:2" x14ac:dyDescent="0.35">
      <c r="A284" t="s">
        <v>1032</v>
      </c>
      <c r="B284" t="s">
        <v>1032</v>
      </c>
    </row>
    <row r="285" spans="1:2" x14ac:dyDescent="0.35">
      <c r="A285" t="s">
        <v>45</v>
      </c>
      <c r="B285" t="s">
        <v>379</v>
      </c>
    </row>
    <row r="286" spans="1:2" x14ac:dyDescent="0.35">
      <c r="A286" t="s">
        <v>654</v>
      </c>
      <c r="B286" t="s">
        <v>665</v>
      </c>
    </row>
    <row r="287" spans="1:2" x14ac:dyDescent="0.35">
      <c r="A287" t="s">
        <v>831</v>
      </c>
      <c r="B287" t="s">
        <v>1032</v>
      </c>
    </row>
    <row r="288" spans="1:2" x14ac:dyDescent="0.35">
      <c r="A288" t="s">
        <v>1032</v>
      </c>
      <c r="B288" t="s">
        <v>1047</v>
      </c>
    </row>
    <row r="289" spans="1:2" x14ac:dyDescent="0.35">
      <c r="A289" t="s">
        <v>26</v>
      </c>
      <c r="B289" t="s">
        <v>734</v>
      </c>
    </row>
    <row r="290" spans="1:2" x14ac:dyDescent="0.35">
      <c r="A290" t="s">
        <v>1032</v>
      </c>
      <c r="B290" t="s">
        <v>858</v>
      </c>
    </row>
    <row r="291" spans="1:2" x14ac:dyDescent="0.35">
      <c r="A291" t="s">
        <v>1032</v>
      </c>
      <c r="B291" t="s">
        <v>1032</v>
      </c>
    </row>
    <row r="292" spans="1:2" x14ac:dyDescent="0.35">
      <c r="A292" t="s">
        <v>25</v>
      </c>
      <c r="B292" t="s">
        <v>516</v>
      </c>
    </row>
    <row r="293" spans="1:2" x14ac:dyDescent="0.35">
      <c r="A293" t="s">
        <v>1032</v>
      </c>
      <c r="B293" t="s">
        <v>707</v>
      </c>
    </row>
    <row r="294" spans="1:2" x14ac:dyDescent="0.35">
      <c r="A294" t="s">
        <v>1032</v>
      </c>
      <c r="B294" t="s">
        <v>960</v>
      </c>
    </row>
    <row r="295" spans="1:2" x14ac:dyDescent="0.35">
      <c r="A295" t="s">
        <v>1032</v>
      </c>
      <c r="B295" t="s">
        <v>1032</v>
      </c>
    </row>
    <row r="296" spans="1:2" x14ac:dyDescent="0.35">
      <c r="A296" t="s">
        <v>1032</v>
      </c>
      <c r="B296" t="s">
        <v>1032</v>
      </c>
    </row>
    <row r="297" spans="1:2" x14ac:dyDescent="0.35">
      <c r="A297" t="s">
        <v>32</v>
      </c>
      <c r="B297" t="s">
        <v>491</v>
      </c>
    </row>
    <row r="298" spans="1:2" x14ac:dyDescent="0.35">
      <c r="A298" t="s">
        <v>1032</v>
      </c>
      <c r="B298" t="s">
        <v>917</v>
      </c>
    </row>
    <row r="299" spans="1:2" x14ac:dyDescent="0.35">
      <c r="A299" t="s">
        <v>1032</v>
      </c>
      <c r="B299" t="s">
        <v>736</v>
      </c>
    </row>
    <row r="300" spans="1:2" x14ac:dyDescent="0.35">
      <c r="A300" t="s">
        <v>1032</v>
      </c>
      <c r="B300" t="s">
        <v>598</v>
      </c>
    </row>
    <row r="301" spans="1:2" x14ac:dyDescent="0.35">
      <c r="A301" t="s">
        <v>1032</v>
      </c>
      <c r="B301" t="s">
        <v>935</v>
      </c>
    </row>
    <row r="302" spans="1:2" x14ac:dyDescent="0.35">
      <c r="A302" t="s">
        <v>1032</v>
      </c>
      <c r="B302" t="s">
        <v>1032</v>
      </c>
    </row>
    <row r="303" spans="1:2" x14ac:dyDescent="0.35">
      <c r="A303" t="s">
        <v>40</v>
      </c>
      <c r="B303" t="s">
        <v>577</v>
      </c>
    </row>
    <row r="304" spans="1:2" x14ac:dyDescent="0.35">
      <c r="A304" t="s">
        <v>1032</v>
      </c>
      <c r="B304" t="s">
        <v>451</v>
      </c>
    </row>
    <row r="305" spans="1:2" x14ac:dyDescent="0.35">
      <c r="A305" t="s">
        <v>1032</v>
      </c>
      <c r="B305" t="s">
        <v>1048</v>
      </c>
    </row>
    <row r="306" spans="1:2" x14ac:dyDescent="0.35">
      <c r="A306" t="s">
        <v>1032</v>
      </c>
      <c r="B306" t="s">
        <v>1032</v>
      </c>
    </row>
    <row r="307" spans="1:2" x14ac:dyDescent="0.35">
      <c r="A307" t="s">
        <v>45</v>
      </c>
      <c r="B307" t="s">
        <v>460</v>
      </c>
    </row>
    <row r="308" spans="1:2" x14ac:dyDescent="0.35">
      <c r="A308" t="s">
        <v>654</v>
      </c>
      <c r="B308" t="s">
        <v>738</v>
      </c>
    </row>
    <row r="309" spans="1:2" x14ac:dyDescent="0.35">
      <c r="A309" t="s">
        <v>831</v>
      </c>
      <c r="B309" t="s">
        <v>1032</v>
      </c>
    </row>
    <row r="310" spans="1:2" x14ac:dyDescent="0.35">
      <c r="A310" t="s">
        <v>1032</v>
      </c>
      <c r="B310" t="s">
        <v>1049</v>
      </c>
    </row>
    <row r="311" spans="1:2" x14ac:dyDescent="0.35">
      <c r="A311" t="s">
        <v>26</v>
      </c>
      <c r="B311" t="s">
        <v>532</v>
      </c>
    </row>
    <row r="312" spans="1:2" x14ac:dyDescent="0.35">
      <c r="A312" t="s">
        <v>1032</v>
      </c>
      <c r="B312" t="s">
        <v>536</v>
      </c>
    </row>
    <row r="313" spans="1:2" x14ac:dyDescent="0.35">
      <c r="A313" t="s">
        <v>1032</v>
      </c>
      <c r="B313" t="s">
        <v>1032</v>
      </c>
    </row>
    <row r="314" spans="1:2" x14ac:dyDescent="0.35">
      <c r="A314" t="s">
        <v>25</v>
      </c>
      <c r="B314" t="s">
        <v>614</v>
      </c>
    </row>
    <row r="315" spans="1:2" x14ac:dyDescent="0.35">
      <c r="A315" t="s">
        <v>1032</v>
      </c>
      <c r="B315" t="s">
        <v>739</v>
      </c>
    </row>
    <row r="316" spans="1:2" x14ac:dyDescent="0.35">
      <c r="A316" t="s">
        <v>1032</v>
      </c>
      <c r="B316" t="s">
        <v>476</v>
      </c>
    </row>
    <row r="317" spans="1:2" x14ac:dyDescent="0.35">
      <c r="A317" t="s">
        <v>1032</v>
      </c>
      <c r="B317" t="s">
        <v>1032</v>
      </c>
    </row>
    <row r="318" spans="1:2" x14ac:dyDescent="0.35">
      <c r="A318" t="s">
        <v>1032</v>
      </c>
      <c r="B318" t="s">
        <v>1032</v>
      </c>
    </row>
    <row r="319" spans="1:2" x14ac:dyDescent="0.35">
      <c r="A319" t="s">
        <v>32</v>
      </c>
      <c r="B319" t="s">
        <v>362</v>
      </c>
    </row>
    <row r="320" spans="1:2" x14ac:dyDescent="0.35">
      <c r="A320" t="s">
        <v>1032</v>
      </c>
      <c r="B320" t="s">
        <v>914</v>
      </c>
    </row>
    <row r="321" spans="1:2" x14ac:dyDescent="0.35">
      <c r="A321" t="s">
        <v>1032</v>
      </c>
      <c r="B321" t="s">
        <v>785</v>
      </c>
    </row>
    <row r="322" spans="1:2" x14ac:dyDescent="0.35">
      <c r="A322" t="s">
        <v>1032</v>
      </c>
      <c r="B322" t="s">
        <v>497</v>
      </c>
    </row>
    <row r="323" spans="1:2" x14ac:dyDescent="0.35">
      <c r="A323" t="s">
        <v>1032</v>
      </c>
      <c r="B323" t="s">
        <v>740</v>
      </c>
    </row>
    <row r="324" spans="1:2" x14ac:dyDescent="0.35">
      <c r="A324" t="s">
        <v>1032</v>
      </c>
      <c r="B324" t="s">
        <v>1032</v>
      </c>
    </row>
    <row r="325" spans="1:2" x14ac:dyDescent="0.35">
      <c r="A325" t="s">
        <v>40</v>
      </c>
      <c r="B325" t="s">
        <v>145</v>
      </c>
    </row>
    <row r="326" spans="1:2" x14ac:dyDescent="0.35">
      <c r="A326" t="s">
        <v>1032</v>
      </c>
      <c r="B326" t="s">
        <v>741</v>
      </c>
    </row>
    <row r="327" spans="1:2" x14ac:dyDescent="0.35">
      <c r="A327" t="s">
        <v>1032</v>
      </c>
      <c r="B327" t="s">
        <v>573</v>
      </c>
    </row>
    <row r="328" spans="1:2" x14ac:dyDescent="0.35">
      <c r="A328" t="s">
        <v>1032</v>
      </c>
      <c r="B328" t="s">
        <v>1032</v>
      </c>
    </row>
    <row r="329" spans="1:2" x14ac:dyDescent="0.35">
      <c r="A329" t="s">
        <v>45</v>
      </c>
      <c r="B329" t="s">
        <v>958</v>
      </c>
    </row>
    <row r="330" spans="1:2" x14ac:dyDescent="0.35">
      <c r="A330" t="s">
        <v>654</v>
      </c>
      <c r="B330" t="s">
        <v>664</v>
      </c>
    </row>
    <row r="331" spans="1:2" x14ac:dyDescent="0.35">
      <c r="A331" t="s">
        <v>831</v>
      </c>
      <c r="B331" t="s">
        <v>1032</v>
      </c>
    </row>
    <row r="332" spans="1:2" x14ac:dyDescent="0.35">
      <c r="A332" t="s">
        <v>1032</v>
      </c>
      <c r="B332" t="s">
        <v>1050</v>
      </c>
    </row>
    <row r="333" spans="1:2" x14ac:dyDescent="0.35">
      <c r="A333" t="s">
        <v>26</v>
      </c>
      <c r="B333" t="s">
        <v>221</v>
      </c>
    </row>
    <row r="334" spans="1:2" x14ac:dyDescent="0.35">
      <c r="A334" t="s">
        <v>1032</v>
      </c>
      <c r="B334" t="s">
        <v>135</v>
      </c>
    </row>
    <row r="335" spans="1:2" x14ac:dyDescent="0.35">
      <c r="A335" t="s">
        <v>1032</v>
      </c>
      <c r="B335" t="s">
        <v>1032</v>
      </c>
    </row>
    <row r="336" spans="1:2" x14ac:dyDescent="0.35">
      <c r="A336" t="s">
        <v>25</v>
      </c>
      <c r="B336" t="s">
        <v>629</v>
      </c>
    </row>
    <row r="337" spans="1:2" x14ac:dyDescent="0.35">
      <c r="A337" t="s">
        <v>1032</v>
      </c>
      <c r="B337" t="s">
        <v>515</v>
      </c>
    </row>
    <row r="338" spans="1:2" x14ac:dyDescent="0.35">
      <c r="A338" t="s">
        <v>1032</v>
      </c>
      <c r="B338" t="s">
        <v>116</v>
      </c>
    </row>
    <row r="339" spans="1:2" x14ac:dyDescent="0.35">
      <c r="A339" t="s">
        <v>1032</v>
      </c>
      <c r="B339" t="s">
        <v>1092</v>
      </c>
    </row>
    <row r="340" spans="1:2" x14ac:dyDescent="0.35">
      <c r="A340" t="s">
        <v>1032</v>
      </c>
      <c r="B340" t="s">
        <v>1032</v>
      </c>
    </row>
    <row r="341" spans="1:2" x14ac:dyDescent="0.35">
      <c r="A341" t="s">
        <v>32</v>
      </c>
      <c r="B341" t="s">
        <v>743</v>
      </c>
    </row>
    <row r="342" spans="1:2" x14ac:dyDescent="0.35">
      <c r="A342" t="s">
        <v>1032</v>
      </c>
      <c r="B342" t="s">
        <v>433</v>
      </c>
    </row>
    <row r="343" spans="1:2" x14ac:dyDescent="0.35">
      <c r="A343" t="s">
        <v>1032</v>
      </c>
      <c r="B343" t="s">
        <v>910</v>
      </c>
    </row>
    <row r="344" spans="1:2" x14ac:dyDescent="0.35">
      <c r="A344" t="s">
        <v>1032</v>
      </c>
      <c r="B344" t="s">
        <v>367</v>
      </c>
    </row>
    <row r="345" spans="1:2" x14ac:dyDescent="0.35">
      <c r="A345" t="s">
        <v>1032</v>
      </c>
      <c r="B345" t="s">
        <v>593</v>
      </c>
    </row>
    <row r="346" spans="1:2" x14ac:dyDescent="0.35">
      <c r="A346" t="s">
        <v>1032</v>
      </c>
      <c r="B346" t="s">
        <v>1032</v>
      </c>
    </row>
    <row r="347" spans="1:2" x14ac:dyDescent="0.35">
      <c r="A347" t="s">
        <v>40</v>
      </c>
      <c r="B347" t="s">
        <v>99</v>
      </c>
    </row>
    <row r="348" spans="1:2" x14ac:dyDescent="0.35">
      <c r="A348" t="s">
        <v>1032</v>
      </c>
      <c r="B348" t="s">
        <v>571</v>
      </c>
    </row>
    <row r="349" spans="1:2" x14ac:dyDescent="0.35">
      <c r="A349" t="s">
        <v>1032</v>
      </c>
      <c r="B349" t="s">
        <v>952</v>
      </c>
    </row>
    <row r="350" spans="1:2" x14ac:dyDescent="0.35">
      <c r="A350" t="s">
        <v>1032</v>
      </c>
      <c r="B350" t="s">
        <v>1032</v>
      </c>
    </row>
    <row r="351" spans="1:2" x14ac:dyDescent="0.35">
      <c r="A351" t="s">
        <v>45</v>
      </c>
      <c r="B351" t="s">
        <v>271</v>
      </c>
    </row>
    <row r="352" spans="1:2" x14ac:dyDescent="0.35">
      <c r="A352" t="s">
        <v>654</v>
      </c>
      <c r="B352" t="s">
        <v>1051</v>
      </c>
    </row>
    <row r="353" spans="1:2" x14ac:dyDescent="0.35">
      <c r="A353" t="s">
        <v>831</v>
      </c>
      <c r="B353" t="s">
        <v>1032</v>
      </c>
    </row>
    <row r="354" spans="1:2" x14ac:dyDescent="0.35">
      <c r="A354" t="s">
        <v>1032</v>
      </c>
      <c r="B354" t="s">
        <v>1052</v>
      </c>
    </row>
    <row r="355" spans="1:2" x14ac:dyDescent="0.35">
      <c r="A355" t="s">
        <v>26</v>
      </c>
      <c r="B355" t="s">
        <v>509</v>
      </c>
    </row>
    <row r="356" spans="1:2" x14ac:dyDescent="0.35">
      <c r="A356" t="s">
        <v>1032</v>
      </c>
      <c r="B356" t="s">
        <v>777</v>
      </c>
    </row>
    <row r="357" spans="1:2" x14ac:dyDescent="0.35">
      <c r="A357" t="s">
        <v>1032</v>
      </c>
      <c r="B357" t="s">
        <v>1032</v>
      </c>
    </row>
    <row r="358" spans="1:2" x14ac:dyDescent="0.35">
      <c r="A358" t="s">
        <v>25</v>
      </c>
      <c r="B358" t="s">
        <v>621</v>
      </c>
    </row>
    <row r="359" spans="1:2" x14ac:dyDescent="0.35">
      <c r="A359" t="s">
        <v>1032</v>
      </c>
      <c r="B359" t="s">
        <v>424</v>
      </c>
    </row>
    <row r="360" spans="1:2" x14ac:dyDescent="0.35">
      <c r="A360" t="s">
        <v>1032</v>
      </c>
      <c r="B360" t="s">
        <v>111</v>
      </c>
    </row>
    <row r="361" spans="1:2" x14ac:dyDescent="0.35">
      <c r="A361" t="s">
        <v>1032</v>
      </c>
      <c r="B361" t="s">
        <v>879</v>
      </c>
    </row>
    <row r="362" spans="1:2" x14ac:dyDescent="0.35">
      <c r="A362" t="s">
        <v>1032</v>
      </c>
      <c r="B362" t="s">
        <v>1032</v>
      </c>
    </row>
    <row r="363" spans="1:2" x14ac:dyDescent="0.35">
      <c r="A363" t="s">
        <v>32</v>
      </c>
      <c r="B363" t="s">
        <v>100</v>
      </c>
    </row>
    <row r="364" spans="1:2" x14ac:dyDescent="0.35">
      <c r="A364" t="s">
        <v>1032</v>
      </c>
      <c r="B364" t="s">
        <v>466</v>
      </c>
    </row>
    <row r="365" spans="1:2" x14ac:dyDescent="0.35">
      <c r="A365" t="s">
        <v>1032</v>
      </c>
      <c r="B365" t="s">
        <v>744</v>
      </c>
    </row>
    <row r="366" spans="1:2" x14ac:dyDescent="0.35">
      <c r="A366" t="s">
        <v>1032</v>
      </c>
      <c r="B366" t="s">
        <v>1024</v>
      </c>
    </row>
    <row r="367" spans="1:2" x14ac:dyDescent="0.35">
      <c r="A367" t="s">
        <v>1032</v>
      </c>
      <c r="B367" t="s">
        <v>1190</v>
      </c>
    </row>
    <row r="368" spans="1:2" x14ac:dyDescent="0.35">
      <c r="A368" t="s">
        <v>1032</v>
      </c>
      <c r="B368" t="s">
        <v>1032</v>
      </c>
    </row>
    <row r="369" spans="1:2" x14ac:dyDescent="0.35">
      <c r="A369" t="s">
        <v>40</v>
      </c>
      <c r="B369" t="s">
        <v>936</v>
      </c>
    </row>
    <row r="370" spans="1:2" x14ac:dyDescent="0.35">
      <c r="A370" t="s">
        <v>1032</v>
      </c>
      <c r="B370" t="s">
        <v>745</v>
      </c>
    </row>
    <row r="371" spans="1:2" x14ac:dyDescent="0.35">
      <c r="A371" t="s">
        <v>1032</v>
      </c>
      <c r="B371" t="s">
        <v>483</v>
      </c>
    </row>
    <row r="372" spans="1:2" x14ac:dyDescent="0.35">
      <c r="A372" t="s">
        <v>1032</v>
      </c>
      <c r="B372" t="s">
        <v>1032</v>
      </c>
    </row>
    <row r="373" spans="1:2" x14ac:dyDescent="0.35">
      <c r="A373" t="s">
        <v>45</v>
      </c>
      <c r="B373" t="s">
        <v>378</v>
      </c>
    </row>
    <row r="374" spans="1:2" x14ac:dyDescent="0.35">
      <c r="A374" t="s">
        <v>654</v>
      </c>
      <c r="B374" t="s">
        <v>666</v>
      </c>
    </row>
    <row r="375" spans="1:2" x14ac:dyDescent="0.35">
      <c r="A375" t="s">
        <v>831</v>
      </c>
      <c r="B375" t="s">
        <v>1032</v>
      </c>
    </row>
    <row r="376" spans="1:2" x14ac:dyDescent="0.35">
      <c r="A376" t="s">
        <v>1032</v>
      </c>
      <c r="B376" t="s">
        <v>1053</v>
      </c>
    </row>
    <row r="377" spans="1:2" x14ac:dyDescent="0.35">
      <c r="A377" t="s">
        <v>26</v>
      </c>
      <c r="B377" t="s">
        <v>512</v>
      </c>
    </row>
    <row r="378" spans="1:2" x14ac:dyDescent="0.35">
      <c r="A378" t="s">
        <v>1032</v>
      </c>
      <c r="B378" t="s">
        <v>419</v>
      </c>
    </row>
    <row r="379" spans="1:2" x14ac:dyDescent="0.35">
      <c r="A379" t="s">
        <v>1032</v>
      </c>
      <c r="B379" t="s">
        <v>1032</v>
      </c>
    </row>
    <row r="380" spans="1:2" x14ac:dyDescent="0.35">
      <c r="A380" t="s">
        <v>25</v>
      </c>
      <c r="B380" t="s">
        <v>406</v>
      </c>
    </row>
    <row r="381" spans="1:2" x14ac:dyDescent="0.35">
      <c r="A381" t="s">
        <v>1032</v>
      </c>
      <c r="B381" t="s">
        <v>519</v>
      </c>
    </row>
    <row r="382" spans="1:2" x14ac:dyDescent="0.35">
      <c r="A382" t="s">
        <v>1032</v>
      </c>
      <c r="B382" t="s">
        <v>880</v>
      </c>
    </row>
    <row r="383" spans="1:2" x14ac:dyDescent="0.35">
      <c r="A383" t="s">
        <v>1032</v>
      </c>
      <c r="B383" t="s">
        <v>1081</v>
      </c>
    </row>
    <row r="384" spans="1:2" x14ac:dyDescent="0.35">
      <c r="A384" t="s">
        <v>1032</v>
      </c>
      <c r="B384" t="s">
        <v>1032</v>
      </c>
    </row>
    <row r="385" spans="1:2" x14ac:dyDescent="0.35">
      <c r="A385" t="s">
        <v>32</v>
      </c>
      <c r="B385" t="s">
        <v>911</v>
      </c>
    </row>
    <row r="386" spans="1:2" x14ac:dyDescent="0.35">
      <c r="A386" t="s">
        <v>1032</v>
      </c>
      <c r="B386" t="s">
        <v>578</v>
      </c>
    </row>
    <row r="387" spans="1:2" x14ac:dyDescent="0.35">
      <c r="A387" t="s">
        <v>1032</v>
      </c>
      <c r="B387" t="s">
        <v>591</v>
      </c>
    </row>
    <row r="388" spans="1:2" x14ac:dyDescent="0.35">
      <c r="A388" t="s">
        <v>1032</v>
      </c>
      <c r="B388" t="s">
        <v>746</v>
      </c>
    </row>
    <row r="389" spans="1:2" x14ac:dyDescent="0.35">
      <c r="A389" t="s">
        <v>1032</v>
      </c>
      <c r="B389" t="s">
        <v>808</v>
      </c>
    </row>
    <row r="390" spans="1:2" x14ac:dyDescent="0.35">
      <c r="A390" t="s">
        <v>1032</v>
      </c>
      <c r="B390" t="s">
        <v>1032</v>
      </c>
    </row>
    <row r="391" spans="1:2" x14ac:dyDescent="0.35">
      <c r="A391" t="s">
        <v>40</v>
      </c>
      <c r="B391" t="s">
        <v>369</v>
      </c>
    </row>
    <row r="392" spans="1:2" x14ac:dyDescent="0.35">
      <c r="A392" t="s">
        <v>1032</v>
      </c>
      <c r="B392" t="s">
        <v>373</v>
      </c>
    </row>
    <row r="393" spans="1:2" x14ac:dyDescent="0.35">
      <c r="A393" t="s">
        <v>1032</v>
      </c>
      <c r="B393" t="s">
        <v>700</v>
      </c>
    </row>
    <row r="394" spans="1:2" x14ac:dyDescent="0.35">
      <c r="A394" t="s">
        <v>1032</v>
      </c>
      <c r="B394" t="s">
        <v>1032</v>
      </c>
    </row>
    <row r="395" spans="1:2" x14ac:dyDescent="0.35">
      <c r="A395" t="s">
        <v>45</v>
      </c>
      <c r="B395" t="s">
        <v>747</v>
      </c>
    </row>
    <row r="396" spans="1:2" x14ac:dyDescent="0.35">
      <c r="A396" t="s">
        <v>654</v>
      </c>
      <c r="B396" t="s">
        <v>748</v>
      </c>
    </row>
    <row r="397" spans="1:2" x14ac:dyDescent="0.35">
      <c r="A397" t="s">
        <v>831</v>
      </c>
      <c r="B397" t="s">
        <v>1032</v>
      </c>
    </row>
    <row r="398" spans="1:2" x14ac:dyDescent="0.35">
      <c r="A398" t="s">
        <v>1032</v>
      </c>
      <c r="B398" t="s">
        <v>1054</v>
      </c>
    </row>
    <row r="399" spans="1:2" x14ac:dyDescent="0.35">
      <c r="A399" t="s">
        <v>26</v>
      </c>
      <c r="B399" t="s">
        <v>129</v>
      </c>
    </row>
    <row r="400" spans="1:2" x14ac:dyDescent="0.35">
      <c r="A400" t="s">
        <v>1032</v>
      </c>
      <c r="B400" t="s">
        <v>224</v>
      </c>
    </row>
    <row r="401" spans="1:2" x14ac:dyDescent="0.35">
      <c r="A401" t="s">
        <v>1032</v>
      </c>
      <c r="B401" t="s">
        <v>1032</v>
      </c>
    </row>
    <row r="402" spans="1:2" x14ac:dyDescent="0.35">
      <c r="A402" t="s">
        <v>25</v>
      </c>
      <c r="B402" t="s">
        <v>626</v>
      </c>
    </row>
    <row r="403" spans="1:2" x14ac:dyDescent="0.35">
      <c r="A403" t="s">
        <v>1032</v>
      </c>
      <c r="B403" t="s">
        <v>863</v>
      </c>
    </row>
    <row r="404" spans="1:2" x14ac:dyDescent="0.35">
      <c r="A404" t="s">
        <v>1032</v>
      </c>
      <c r="B404" t="s">
        <v>783</v>
      </c>
    </row>
    <row r="405" spans="1:2" x14ac:dyDescent="0.35">
      <c r="A405" t="s">
        <v>1032</v>
      </c>
      <c r="B405" t="s">
        <v>876</v>
      </c>
    </row>
    <row r="406" spans="1:2" x14ac:dyDescent="0.35">
      <c r="A406" t="s">
        <v>1032</v>
      </c>
      <c r="B406" t="s">
        <v>1032</v>
      </c>
    </row>
    <row r="407" spans="1:2" x14ac:dyDescent="0.35">
      <c r="A407" t="s">
        <v>32</v>
      </c>
      <c r="B407" t="s">
        <v>789</v>
      </c>
    </row>
    <row r="408" spans="1:2" x14ac:dyDescent="0.35">
      <c r="A408" t="s">
        <v>1032</v>
      </c>
      <c r="B408" t="s">
        <v>239</v>
      </c>
    </row>
    <row r="409" spans="1:2" x14ac:dyDescent="0.35">
      <c r="A409" t="s">
        <v>1032</v>
      </c>
      <c r="B409" t="s">
        <v>245</v>
      </c>
    </row>
    <row r="410" spans="1:2" x14ac:dyDescent="0.35">
      <c r="A410" t="s">
        <v>1032</v>
      </c>
      <c r="B410" t="s">
        <v>561</v>
      </c>
    </row>
    <row r="411" spans="1:2" x14ac:dyDescent="0.35">
      <c r="A411" t="s">
        <v>1032</v>
      </c>
      <c r="B411" t="s">
        <v>930</v>
      </c>
    </row>
    <row r="412" spans="1:2" x14ac:dyDescent="0.35">
      <c r="A412" t="s">
        <v>1032</v>
      </c>
      <c r="B412" t="s">
        <v>1032</v>
      </c>
    </row>
    <row r="413" spans="1:2" x14ac:dyDescent="0.35">
      <c r="A413" t="s">
        <v>40</v>
      </c>
      <c r="B413" t="s">
        <v>255</v>
      </c>
    </row>
    <row r="414" spans="1:2" x14ac:dyDescent="0.35">
      <c r="A414" t="s">
        <v>1032</v>
      </c>
      <c r="B414" t="s">
        <v>487</v>
      </c>
    </row>
    <row r="415" spans="1:2" x14ac:dyDescent="0.35">
      <c r="A415" t="s">
        <v>1032</v>
      </c>
      <c r="B415" t="s">
        <v>800</v>
      </c>
    </row>
    <row r="416" spans="1:2" x14ac:dyDescent="0.35">
      <c r="A416" t="s">
        <v>1032</v>
      </c>
      <c r="B416" t="s">
        <v>1032</v>
      </c>
    </row>
    <row r="417" spans="1:2" x14ac:dyDescent="0.35">
      <c r="A417" t="s">
        <v>45</v>
      </c>
      <c r="B417" t="s">
        <v>955</v>
      </c>
    </row>
    <row r="418" spans="1:2" x14ac:dyDescent="0.35">
      <c r="A418" t="s">
        <v>654</v>
      </c>
      <c r="B418" t="s">
        <v>751</v>
      </c>
    </row>
    <row r="419" spans="1:2" x14ac:dyDescent="0.35">
      <c r="A419" t="s">
        <v>831</v>
      </c>
      <c r="B419" t="s">
        <v>1032</v>
      </c>
    </row>
    <row r="420" spans="1:2" x14ac:dyDescent="0.35">
      <c r="A420" t="s">
        <v>1032</v>
      </c>
      <c r="B420" t="s">
        <v>1055</v>
      </c>
    </row>
    <row r="421" spans="1:2" x14ac:dyDescent="0.35">
      <c r="A421" t="s">
        <v>26</v>
      </c>
      <c r="B421" t="s">
        <v>511</v>
      </c>
    </row>
    <row r="422" spans="1:2" x14ac:dyDescent="0.35">
      <c r="A422" t="s">
        <v>1032</v>
      </c>
      <c r="B422" t="s">
        <v>986</v>
      </c>
    </row>
    <row r="423" spans="1:2" x14ac:dyDescent="0.35">
      <c r="A423" t="s">
        <v>1032</v>
      </c>
      <c r="B423" t="s">
        <v>1032</v>
      </c>
    </row>
    <row r="424" spans="1:2" x14ac:dyDescent="0.35">
      <c r="A424" t="s">
        <v>25</v>
      </c>
      <c r="B424" t="s">
        <v>233</v>
      </c>
    </row>
    <row r="425" spans="1:2" x14ac:dyDescent="0.35">
      <c r="A425" t="s">
        <v>1032</v>
      </c>
      <c r="B425" t="s">
        <v>780</v>
      </c>
    </row>
    <row r="426" spans="1:2" x14ac:dyDescent="0.35">
      <c r="A426" t="s">
        <v>1032</v>
      </c>
      <c r="B426" t="s">
        <v>865</v>
      </c>
    </row>
    <row r="427" spans="1:2" x14ac:dyDescent="0.35">
      <c r="A427" t="s">
        <v>1032</v>
      </c>
      <c r="B427" t="s">
        <v>467</v>
      </c>
    </row>
    <row r="428" spans="1:2" x14ac:dyDescent="0.35">
      <c r="A428" t="s">
        <v>1032</v>
      </c>
      <c r="B428" t="s">
        <v>1032</v>
      </c>
    </row>
    <row r="429" spans="1:2" x14ac:dyDescent="0.35">
      <c r="A429" t="s">
        <v>32</v>
      </c>
      <c r="B429" t="s">
        <v>102</v>
      </c>
    </row>
    <row r="430" spans="1:2" x14ac:dyDescent="0.35">
      <c r="A430" t="s">
        <v>1032</v>
      </c>
      <c r="B430" t="s">
        <v>552</v>
      </c>
    </row>
    <row r="431" spans="1:2" x14ac:dyDescent="0.35">
      <c r="A431" t="s">
        <v>1032</v>
      </c>
      <c r="B431" t="s">
        <v>89</v>
      </c>
    </row>
    <row r="432" spans="1:2" x14ac:dyDescent="0.35">
      <c r="A432" t="s">
        <v>1032</v>
      </c>
      <c r="B432" t="s">
        <v>929</v>
      </c>
    </row>
    <row r="433" spans="1:2" x14ac:dyDescent="0.35">
      <c r="A433" t="s">
        <v>1032</v>
      </c>
      <c r="B433" t="s">
        <v>440</v>
      </c>
    </row>
    <row r="434" spans="1:2" x14ac:dyDescent="0.35">
      <c r="A434" t="s">
        <v>1032</v>
      </c>
      <c r="B434" t="s">
        <v>1032</v>
      </c>
    </row>
    <row r="435" spans="1:2" x14ac:dyDescent="0.35">
      <c r="A435" t="s">
        <v>40</v>
      </c>
      <c r="B435" t="s">
        <v>258</v>
      </c>
    </row>
    <row r="436" spans="1:2" x14ac:dyDescent="0.35">
      <c r="A436" t="s">
        <v>1032</v>
      </c>
      <c r="B436" t="s">
        <v>374</v>
      </c>
    </row>
    <row r="437" spans="1:2" x14ac:dyDescent="0.35">
      <c r="A437" t="s">
        <v>1032</v>
      </c>
      <c r="B437" t="s">
        <v>838</v>
      </c>
    </row>
    <row r="438" spans="1:2" x14ac:dyDescent="0.35">
      <c r="A438" t="s">
        <v>1032</v>
      </c>
      <c r="B438" t="s">
        <v>1032</v>
      </c>
    </row>
    <row r="439" spans="1:2" x14ac:dyDescent="0.35">
      <c r="A439" t="s">
        <v>45</v>
      </c>
      <c r="B439" t="s">
        <v>380</v>
      </c>
    </row>
    <row r="440" spans="1:2" x14ac:dyDescent="0.35">
      <c r="A440" t="s">
        <v>654</v>
      </c>
      <c r="B440" t="s">
        <v>670</v>
      </c>
    </row>
    <row r="441" spans="1:2" x14ac:dyDescent="0.35">
      <c r="A441" t="s">
        <v>831</v>
      </c>
      <c r="B441" t="s">
        <v>1032</v>
      </c>
    </row>
    <row r="442" spans="1:2" x14ac:dyDescent="0.35">
      <c r="A442" t="s">
        <v>1032</v>
      </c>
      <c r="B442" t="s">
        <v>1056</v>
      </c>
    </row>
    <row r="443" spans="1:2" x14ac:dyDescent="0.35">
      <c r="A443" t="s">
        <v>26</v>
      </c>
      <c r="B443" t="s">
        <v>343</v>
      </c>
    </row>
    <row r="444" spans="1:2" x14ac:dyDescent="0.35">
      <c r="A444" t="s">
        <v>1032</v>
      </c>
      <c r="B444" t="s">
        <v>415</v>
      </c>
    </row>
    <row r="445" spans="1:2" x14ac:dyDescent="0.35">
      <c r="A445" t="s">
        <v>1032</v>
      </c>
      <c r="B445" t="s">
        <v>1032</v>
      </c>
    </row>
    <row r="446" spans="1:2" x14ac:dyDescent="0.35">
      <c r="A446" t="s">
        <v>25</v>
      </c>
      <c r="B446" t="s">
        <v>232</v>
      </c>
    </row>
    <row r="447" spans="1:2" x14ac:dyDescent="0.35">
      <c r="A447" t="s">
        <v>1032</v>
      </c>
      <c r="B447" t="s">
        <v>628</v>
      </c>
    </row>
    <row r="448" spans="1:2" x14ac:dyDescent="0.35">
      <c r="A448" t="s">
        <v>1032</v>
      </c>
      <c r="B448" t="s">
        <v>1191</v>
      </c>
    </row>
    <row r="449" spans="1:2" x14ac:dyDescent="0.35">
      <c r="A449" t="s">
        <v>1032</v>
      </c>
      <c r="B449" t="s">
        <v>1032</v>
      </c>
    </row>
    <row r="450" spans="1:2" x14ac:dyDescent="0.35">
      <c r="A450" t="s">
        <v>1032</v>
      </c>
      <c r="B450" t="s">
        <v>1032</v>
      </c>
    </row>
    <row r="451" spans="1:2" x14ac:dyDescent="0.35">
      <c r="A451" t="s">
        <v>32</v>
      </c>
      <c r="B451" t="s">
        <v>490</v>
      </c>
    </row>
    <row r="452" spans="1:2" x14ac:dyDescent="0.35">
      <c r="A452" t="s">
        <v>1032</v>
      </c>
      <c r="B452" t="s">
        <v>753</v>
      </c>
    </row>
    <row r="453" spans="1:2" x14ac:dyDescent="0.35">
      <c r="A453" t="s">
        <v>1032</v>
      </c>
      <c r="B453" t="s">
        <v>611</v>
      </c>
    </row>
    <row r="454" spans="1:2" x14ac:dyDescent="0.35">
      <c r="A454" t="s">
        <v>1032</v>
      </c>
      <c r="B454" t="s">
        <v>439</v>
      </c>
    </row>
    <row r="455" spans="1:2" x14ac:dyDescent="0.35">
      <c r="A455" t="s">
        <v>1032</v>
      </c>
      <c r="B455" t="s">
        <v>443</v>
      </c>
    </row>
    <row r="456" spans="1:2" x14ac:dyDescent="0.35">
      <c r="A456" t="s">
        <v>1032</v>
      </c>
      <c r="B456" t="s">
        <v>1032</v>
      </c>
    </row>
    <row r="457" spans="1:2" x14ac:dyDescent="0.35">
      <c r="A457" t="s">
        <v>40</v>
      </c>
      <c r="B457" t="s">
        <v>448</v>
      </c>
    </row>
    <row r="458" spans="1:2" x14ac:dyDescent="0.35">
      <c r="A458" t="s">
        <v>1032</v>
      </c>
      <c r="B458" t="s">
        <v>449</v>
      </c>
    </row>
    <row r="459" spans="1:2" x14ac:dyDescent="0.35">
      <c r="A459" t="s">
        <v>1032</v>
      </c>
      <c r="B459" t="s">
        <v>457</v>
      </c>
    </row>
    <row r="460" spans="1:2" x14ac:dyDescent="0.35">
      <c r="A460" t="s">
        <v>1032</v>
      </c>
      <c r="B460" t="s">
        <v>1032</v>
      </c>
    </row>
    <row r="461" spans="1:2" x14ac:dyDescent="0.35">
      <c r="A461" t="s">
        <v>45</v>
      </c>
      <c r="B461" t="s">
        <v>956</v>
      </c>
    </row>
    <row r="462" spans="1:2" x14ac:dyDescent="0.35">
      <c r="A462" t="s">
        <v>654</v>
      </c>
      <c r="B462" t="s">
        <v>697</v>
      </c>
    </row>
    <row r="463" spans="1:2" x14ac:dyDescent="0.35">
      <c r="A463" t="s">
        <v>831</v>
      </c>
      <c r="B463" t="s">
        <v>1032</v>
      </c>
    </row>
    <row r="464" spans="1:2" x14ac:dyDescent="0.35">
      <c r="A464" t="s">
        <v>1032</v>
      </c>
      <c r="B464" t="s">
        <v>1057</v>
      </c>
    </row>
    <row r="465" spans="1:2" x14ac:dyDescent="0.35">
      <c r="A465" t="s">
        <v>26</v>
      </c>
      <c r="B465" t="s">
        <v>346</v>
      </c>
    </row>
    <row r="466" spans="1:2" x14ac:dyDescent="0.35">
      <c r="A466" t="s">
        <v>1032</v>
      </c>
      <c r="B466" t="s">
        <v>855</v>
      </c>
    </row>
    <row r="467" spans="1:2" x14ac:dyDescent="0.35">
      <c r="A467" t="s">
        <v>1032</v>
      </c>
      <c r="B467" t="s">
        <v>1032</v>
      </c>
    </row>
    <row r="468" spans="1:2" x14ac:dyDescent="0.35">
      <c r="A468" t="s">
        <v>25</v>
      </c>
      <c r="B468" t="s">
        <v>545</v>
      </c>
    </row>
    <row r="469" spans="1:2" x14ac:dyDescent="0.35">
      <c r="A469" t="s">
        <v>1032</v>
      </c>
      <c r="B469" t="s">
        <v>499</v>
      </c>
    </row>
    <row r="470" spans="1:2" x14ac:dyDescent="0.35">
      <c r="A470" t="s">
        <v>1032</v>
      </c>
      <c r="B470" t="s">
        <v>524</v>
      </c>
    </row>
    <row r="471" spans="1:2" x14ac:dyDescent="0.35">
      <c r="A471" t="s">
        <v>1032</v>
      </c>
      <c r="B471" t="s">
        <v>1032</v>
      </c>
    </row>
    <row r="472" spans="1:2" x14ac:dyDescent="0.35">
      <c r="A472" t="s">
        <v>1032</v>
      </c>
      <c r="B472" t="s">
        <v>1032</v>
      </c>
    </row>
    <row r="473" spans="1:2" x14ac:dyDescent="0.35">
      <c r="A473" t="s">
        <v>32</v>
      </c>
      <c r="B473" t="s">
        <v>915</v>
      </c>
    </row>
    <row r="474" spans="1:2" x14ac:dyDescent="0.35">
      <c r="A474" t="s">
        <v>1032</v>
      </c>
      <c r="B474" t="s">
        <v>919</v>
      </c>
    </row>
    <row r="475" spans="1:2" x14ac:dyDescent="0.35">
      <c r="A475" t="s">
        <v>1032</v>
      </c>
      <c r="B475" t="s">
        <v>364</v>
      </c>
    </row>
    <row r="476" spans="1:2" x14ac:dyDescent="0.35">
      <c r="A476" t="s">
        <v>1032</v>
      </c>
      <c r="B476" t="s">
        <v>606</v>
      </c>
    </row>
    <row r="477" spans="1:2" x14ac:dyDescent="0.35">
      <c r="A477" t="s">
        <v>1032</v>
      </c>
      <c r="B477" t="s">
        <v>933</v>
      </c>
    </row>
    <row r="478" spans="1:2" x14ac:dyDescent="0.35">
      <c r="A478" t="s">
        <v>1032</v>
      </c>
      <c r="B478" t="s">
        <v>1032</v>
      </c>
    </row>
    <row r="479" spans="1:2" x14ac:dyDescent="0.35">
      <c r="A479" t="s">
        <v>40</v>
      </c>
      <c r="B479" t="s">
        <v>446</v>
      </c>
    </row>
    <row r="480" spans="1:2" x14ac:dyDescent="0.35">
      <c r="A480" t="s">
        <v>1032</v>
      </c>
      <c r="B480" t="s">
        <v>149</v>
      </c>
    </row>
    <row r="481" spans="1:2" x14ac:dyDescent="0.35">
      <c r="A481" t="s">
        <v>1032</v>
      </c>
      <c r="B481" t="s">
        <v>949</v>
      </c>
    </row>
    <row r="482" spans="1:2" x14ac:dyDescent="0.35">
      <c r="A482" t="s">
        <v>1032</v>
      </c>
      <c r="B482" t="s">
        <v>1032</v>
      </c>
    </row>
    <row r="483" spans="1:2" x14ac:dyDescent="0.35">
      <c r="A483" t="s">
        <v>45</v>
      </c>
      <c r="B483" t="s">
        <v>1186</v>
      </c>
    </row>
    <row r="484" spans="1:2" x14ac:dyDescent="0.35">
      <c r="A484" t="s">
        <v>654</v>
      </c>
      <c r="B484" t="s">
        <v>757</v>
      </c>
    </row>
    <row r="485" spans="1:2" x14ac:dyDescent="0.35">
      <c r="A485" t="s">
        <v>831</v>
      </c>
      <c r="B485" t="s">
        <v>1032</v>
      </c>
    </row>
    <row r="486" spans="1:2" x14ac:dyDescent="0.35">
      <c r="A486" t="s">
        <v>1032</v>
      </c>
      <c r="B486" t="s">
        <v>1058</v>
      </c>
    </row>
    <row r="487" spans="1:2" x14ac:dyDescent="0.35">
      <c r="A487" t="s">
        <v>26</v>
      </c>
      <c r="B487" t="s">
        <v>117</v>
      </c>
    </row>
    <row r="488" spans="1:2" x14ac:dyDescent="0.35">
      <c r="A488" t="s">
        <v>1032</v>
      </c>
      <c r="B488" t="s">
        <v>860</v>
      </c>
    </row>
    <row r="489" spans="1:2" x14ac:dyDescent="0.35">
      <c r="A489" t="s">
        <v>1032</v>
      </c>
      <c r="B489" t="s">
        <v>1032</v>
      </c>
    </row>
    <row r="490" spans="1:2" x14ac:dyDescent="0.35">
      <c r="A490" t="s">
        <v>25</v>
      </c>
      <c r="B490" t="s">
        <v>229</v>
      </c>
    </row>
    <row r="491" spans="1:2" x14ac:dyDescent="0.35">
      <c r="A491" t="s">
        <v>1032</v>
      </c>
      <c r="B491" t="s">
        <v>126</v>
      </c>
    </row>
    <row r="492" spans="1:2" x14ac:dyDescent="0.35">
      <c r="A492" t="s">
        <v>1032</v>
      </c>
      <c r="B492" t="s">
        <v>758</v>
      </c>
    </row>
    <row r="493" spans="1:2" x14ac:dyDescent="0.35">
      <c r="A493" t="s">
        <v>1032</v>
      </c>
      <c r="B493" t="s">
        <v>961</v>
      </c>
    </row>
    <row r="494" spans="1:2" x14ac:dyDescent="0.35">
      <c r="A494" t="s">
        <v>1032</v>
      </c>
      <c r="B494" t="s">
        <v>1032</v>
      </c>
    </row>
    <row r="495" spans="1:2" x14ac:dyDescent="0.35">
      <c r="A495" t="s">
        <v>32</v>
      </c>
      <c r="B495" t="s">
        <v>589</v>
      </c>
    </row>
    <row r="496" spans="1:2" x14ac:dyDescent="0.35">
      <c r="A496" t="s">
        <v>1032</v>
      </c>
      <c r="B496" t="s">
        <v>759</v>
      </c>
    </row>
    <row r="497" spans="1:2" x14ac:dyDescent="0.35">
      <c r="A497" t="s">
        <v>1032</v>
      </c>
      <c r="B497" t="s">
        <v>668</v>
      </c>
    </row>
    <row r="498" spans="1:2" x14ac:dyDescent="0.35">
      <c r="A498" t="s">
        <v>1032</v>
      </c>
      <c r="B498" t="s">
        <v>927</v>
      </c>
    </row>
    <row r="499" spans="1:2" x14ac:dyDescent="0.35">
      <c r="A499" t="s">
        <v>1032</v>
      </c>
      <c r="B499" t="s">
        <v>792</v>
      </c>
    </row>
    <row r="500" spans="1:2" x14ac:dyDescent="0.35">
      <c r="A500" t="s">
        <v>1032</v>
      </c>
      <c r="B500" t="s">
        <v>1032</v>
      </c>
    </row>
    <row r="501" spans="1:2" x14ac:dyDescent="0.35">
      <c r="A501" t="s">
        <v>40</v>
      </c>
      <c r="B501" t="s">
        <v>562</v>
      </c>
    </row>
    <row r="502" spans="1:2" x14ac:dyDescent="0.35">
      <c r="A502" t="s">
        <v>1032</v>
      </c>
      <c r="B502" t="s">
        <v>455</v>
      </c>
    </row>
    <row r="503" spans="1:2" x14ac:dyDescent="0.35">
      <c r="A503" t="s">
        <v>1032</v>
      </c>
      <c r="B503" t="s">
        <v>350</v>
      </c>
    </row>
    <row r="504" spans="1:2" x14ac:dyDescent="0.35">
      <c r="A504" t="s">
        <v>1032</v>
      </c>
      <c r="B504" t="s">
        <v>1032</v>
      </c>
    </row>
    <row r="505" spans="1:2" x14ac:dyDescent="0.35">
      <c r="A505" t="s">
        <v>45</v>
      </c>
      <c r="B505" t="s">
        <v>834</v>
      </c>
    </row>
    <row r="506" spans="1:2" x14ac:dyDescent="0.35">
      <c r="A506" t="s">
        <v>654</v>
      </c>
      <c r="B506" t="s">
        <v>1192</v>
      </c>
    </row>
    <row r="507" spans="1:2" x14ac:dyDescent="0.35">
      <c r="A507" t="s">
        <v>831</v>
      </c>
      <c r="B507" t="s">
        <v>1032</v>
      </c>
    </row>
    <row r="508" spans="1:2" x14ac:dyDescent="0.35">
      <c r="A508" t="s">
        <v>1032</v>
      </c>
      <c r="B508" t="s">
        <v>1059</v>
      </c>
    </row>
    <row r="509" spans="1:2" x14ac:dyDescent="0.35">
      <c r="A509" t="s">
        <v>26</v>
      </c>
      <c r="B509" t="s">
        <v>414</v>
      </c>
    </row>
    <row r="510" spans="1:2" x14ac:dyDescent="0.35">
      <c r="A510" t="s">
        <v>1032</v>
      </c>
      <c r="B510" t="s">
        <v>413</v>
      </c>
    </row>
    <row r="511" spans="1:2" x14ac:dyDescent="0.35">
      <c r="A511" t="s">
        <v>1032</v>
      </c>
      <c r="B511" t="s">
        <v>1032</v>
      </c>
    </row>
    <row r="512" spans="1:2" x14ac:dyDescent="0.35">
      <c r="A512" t="s">
        <v>25</v>
      </c>
      <c r="B512" t="s">
        <v>426</v>
      </c>
    </row>
    <row r="513" spans="1:2" x14ac:dyDescent="0.35">
      <c r="A513" t="s">
        <v>1032</v>
      </c>
      <c r="B513" t="s">
        <v>866</v>
      </c>
    </row>
    <row r="514" spans="1:2" x14ac:dyDescent="0.35">
      <c r="A514" t="s">
        <v>1032</v>
      </c>
      <c r="B514" t="s">
        <v>760</v>
      </c>
    </row>
    <row r="515" spans="1:2" x14ac:dyDescent="0.35">
      <c r="A515" t="s">
        <v>1032</v>
      </c>
      <c r="B515" t="s">
        <v>1032</v>
      </c>
    </row>
    <row r="516" spans="1:2" x14ac:dyDescent="0.35">
      <c r="A516" t="s">
        <v>1032</v>
      </c>
      <c r="B516" t="s">
        <v>1032</v>
      </c>
    </row>
    <row r="517" spans="1:2" x14ac:dyDescent="0.35">
      <c r="A517" t="s">
        <v>32</v>
      </c>
      <c r="B517" t="s">
        <v>908</v>
      </c>
    </row>
    <row r="518" spans="1:2" x14ac:dyDescent="0.35">
      <c r="A518" t="s">
        <v>1032</v>
      </c>
      <c r="B518" t="s">
        <v>438</v>
      </c>
    </row>
    <row r="519" spans="1:2" x14ac:dyDescent="0.35">
      <c r="A519" t="s">
        <v>1032</v>
      </c>
      <c r="B519" t="s">
        <v>602</v>
      </c>
    </row>
    <row r="520" spans="1:2" x14ac:dyDescent="0.35">
      <c r="A520" t="s">
        <v>1032</v>
      </c>
      <c r="B520" t="s">
        <v>787</v>
      </c>
    </row>
    <row r="521" spans="1:2" x14ac:dyDescent="0.35">
      <c r="A521" t="s">
        <v>1032</v>
      </c>
      <c r="B521" t="s">
        <v>1128</v>
      </c>
    </row>
    <row r="522" spans="1:2" x14ac:dyDescent="0.35">
      <c r="A522" t="s">
        <v>1032</v>
      </c>
      <c r="B522" t="s">
        <v>1032</v>
      </c>
    </row>
    <row r="523" spans="1:2" x14ac:dyDescent="0.35">
      <c r="A523" t="s">
        <v>40</v>
      </c>
      <c r="B523" t="s">
        <v>938</v>
      </c>
    </row>
    <row r="524" spans="1:2" x14ac:dyDescent="0.35">
      <c r="A524" t="s">
        <v>1032</v>
      </c>
      <c r="B524" t="s">
        <v>637</v>
      </c>
    </row>
    <row r="525" spans="1:2" x14ac:dyDescent="0.35">
      <c r="A525" t="s">
        <v>1032</v>
      </c>
      <c r="B525" t="s">
        <v>1008</v>
      </c>
    </row>
    <row r="526" spans="1:2" x14ac:dyDescent="0.35">
      <c r="A526" t="s">
        <v>1032</v>
      </c>
      <c r="B526" t="s">
        <v>1032</v>
      </c>
    </row>
    <row r="527" spans="1:2" x14ac:dyDescent="0.35">
      <c r="A527" t="s">
        <v>45</v>
      </c>
      <c r="B527" t="s">
        <v>161</v>
      </c>
    </row>
    <row r="528" spans="1:2" x14ac:dyDescent="0.35">
      <c r="A528" t="s">
        <v>654</v>
      </c>
      <c r="B528" t="s">
        <v>672</v>
      </c>
    </row>
    <row r="529" spans="1:2" x14ac:dyDescent="0.35">
      <c r="A529" t="s">
        <v>831</v>
      </c>
      <c r="B529" t="s">
        <v>1032</v>
      </c>
    </row>
    <row r="530" spans="1:2" x14ac:dyDescent="0.35">
      <c r="A530" t="s">
        <v>1032</v>
      </c>
      <c r="B530" t="s">
        <v>1060</v>
      </c>
    </row>
    <row r="531" spans="1:2" x14ac:dyDescent="0.35">
      <c r="A531" t="s">
        <v>26</v>
      </c>
      <c r="B531" t="s">
        <v>95</v>
      </c>
    </row>
    <row r="532" spans="1:2" x14ac:dyDescent="0.35">
      <c r="A532" t="s">
        <v>1032</v>
      </c>
      <c r="B532" t="s">
        <v>133</v>
      </c>
    </row>
    <row r="533" spans="1:2" x14ac:dyDescent="0.35">
      <c r="A533" t="s">
        <v>1032</v>
      </c>
      <c r="B533" t="s">
        <v>1032</v>
      </c>
    </row>
    <row r="534" spans="1:2" x14ac:dyDescent="0.35">
      <c r="A534" t="s">
        <v>25</v>
      </c>
      <c r="B534" t="s">
        <v>613</v>
      </c>
    </row>
    <row r="535" spans="1:2" x14ac:dyDescent="0.35">
      <c r="A535" t="s">
        <v>1032</v>
      </c>
      <c r="B535" t="s">
        <v>867</v>
      </c>
    </row>
    <row r="536" spans="1:2" x14ac:dyDescent="0.35">
      <c r="A536" t="s">
        <v>1032</v>
      </c>
      <c r="B536" t="s">
        <v>870</v>
      </c>
    </row>
    <row r="537" spans="1:2" x14ac:dyDescent="0.35">
      <c r="A537" t="s">
        <v>1032</v>
      </c>
      <c r="B537" t="s">
        <v>762</v>
      </c>
    </row>
    <row r="538" spans="1:2" x14ac:dyDescent="0.35">
      <c r="A538" t="s">
        <v>1032</v>
      </c>
      <c r="B538" t="s">
        <v>1032</v>
      </c>
    </row>
    <row r="539" spans="1:2" x14ac:dyDescent="0.35">
      <c r="A539" t="s">
        <v>32</v>
      </c>
      <c r="B539" t="s">
        <v>590</v>
      </c>
    </row>
    <row r="540" spans="1:2" x14ac:dyDescent="0.35">
      <c r="A540" t="s">
        <v>1032</v>
      </c>
      <c r="B540" t="s">
        <v>127</v>
      </c>
    </row>
    <row r="541" spans="1:2" x14ac:dyDescent="0.35">
      <c r="A541" t="s">
        <v>1032</v>
      </c>
      <c r="B541" t="s">
        <v>847</v>
      </c>
    </row>
    <row r="542" spans="1:2" x14ac:dyDescent="0.35">
      <c r="A542" t="s">
        <v>1032</v>
      </c>
      <c r="B542" t="s">
        <v>442</v>
      </c>
    </row>
    <row r="543" spans="1:2" x14ac:dyDescent="0.35">
      <c r="A543" t="s">
        <v>1032</v>
      </c>
      <c r="B543" t="s">
        <v>921</v>
      </c>
    </row>
    <row r="544" spans="1:2" x14ac:dyDescent="0.35">
      <c r="A544" t="s">
        <v>1032</v>
      </c>
      <c r="B544" t="s">
        <v>1032</v>
      </c>
    </row>
    <row r="545" spans="1:2" x14ac:dyDescent="0.35">
      <c r="A545" t="s">
        <v>40</v>
      </c>
      <c r="B545" t="s">
        <v>377</v>
      </c>
    </row>
    <row r="546" spans="1:2" x14ac:dyDescent="0.35">
      <c r="A546" t="s">
        <v>1032</v>
      </c>
      <c r="B546" t="s">
        <v>649</v>
      </c>
    </row>
    <row r="547" spans="1:2" x14ac:dyDescent="0.35">
      <c r="A547" t="s">
        <v>1032</v>
      </c>
      <c r="B547" t="s">
        <v>1180</v>
      </c>
    </row>
    <row r="548" spans="1:2" x14ac:dyDescent="0.35">
      <c r="A548" t="s">
        <v>1032</v>
      </c>
      <c r="B548" t="s">
        <v>1032</v>
      </c>
    </row>
    <row r="549" spans="1:2" x14ac:dyDescent="0.35">
      <c r="A549" t="s">
        <v>45</v>
      </c>
      <c r="B549" t="s">
        <v>269</v>
      </c>
    </row>
    <row r="550" spans="1:2" x14ac:dyDescent="0.35">
      <c r="A550" t="s">
        <v>654</v>
      </c>
      <c r="B550" t="s">
        <v>669</v>
      </c>
    </row>
    <row r="551" spans="1:2" x14ac:dyDescent="0.35">
      <c r="A551" t="s">
        <v>831</v>
      </c>
      <c r="B551" t="s">
        <v>1032</v>
      </c>
    </row>
    <row r="552" spans="1:2" x14ac:dyDescent="0.35">
      <c r="A552" t="s">
        <v>1032</v>
      </c>
      <c r="B552" t="s">
        <v>1061</v>
      </c>
    </row>
    <row r="553" spans="1:2" x14ac:dyDescent="0.35">
      <c r="A553" t="s">
        <v>26</v>
      </c>
      <c r="B553" t="s">
        <v>513</v>
      </c>
    </row>
    <row r="554" spans="1:2" x14ac:dyDescent="0.35">
      <c r="A554" t="s">
        <v>1032</v>
      </c>
      <c r="B554" t="s">
        <v>580</v>
      </c>
    </row>
    <row r="555" spans="1:2" x14ac:dyDescent="0.35">
      <c r="A555" t="s">
        <v>1032</v>
      </c>
      <c r="B555" t="s">
        <v>1032</v>
      </c>
    </row>
    <row r="556" spans="1:2" x14ac:dyDescent="0.35">
      <c r="A556" t="s">
        <v>25</v>
      </c>
      <c r="B556" t="s">
        <v>351</v>
      </c>
    </row>
    <row r="557" spans="1:2" x14ac:dyDescent="0.35">
      <c r="A557" t="s">
        <v>1032</v>
      </c>
      <c r="B557" t="s">
        <v>543</v>
      </c>
    </row>
    <row r="558" spans="1:2" x14ac:dyDescent="0.35">
      <c r="A558" t="s">
        <v>1032</v>
      </c>
      <c r="B558" t="s">
        <v>873</v>
      </c>
    </row>
    <row r="559" spans="1:2" x14ac:dyDescent="0.35">
      <c r="A559" t="s">
        <v>1032</v>
      </c>
      <c r="B559" t="s">
        <v>1032</v>
      </c>
    </row>
    <row r="560" spans="1:2" x14ac:dyDescent="0.35">
      <c r="A560" t="s">
        <v>1032</v>
      </c>
      <c r="B560" t="s">
        <v>1032</v>
      </c>
    </row>
    <row r="561" spans="1:2" x14ac:dyDescent="0.35">
      <c r="A561" t="s">
        <v>32</v>
      </c>
      <c r="B561" t="s">
        <v>434</v>
      </c>
    </row>
    <row r="562" spans="1:2" x14ac:dyDescent="0.35">
      <c r="A562" t="s">
        <v>1032</v>
      </c>
      <c r="B562" t="s">
        <v>551</v>
      </c>
    </row>
    <row r="563" spans="1:2" x14ac:dyDescent="0.35">
      <c r="A563" t="s">
        <v>1032</v>
      </c>
      <c r="B563" t="s">
        <v>594</v>
      </c>
    </row>
    <row r="564" spans="1:2" x14ac:dyDescent="0.35">
      <c r="A564" t="s">
        <v>1032</v>
      </c>
      <c r="B564" t="s">
        <v>934</v>
      </c>
    </row>
    <row r="565" spans="1:2" x14ac:dyDescent="0.35">
      <c r="A565" t="s">
        <v>1032</v>
      </c>
      <c r="B565" t="s">
        <v>1023</v>
      </c>
    </row>
    <row r="566" spans="1:2" x14ac:dyDescent="0.35">
      <c r="A566" t="s">
        <v>1032</v>
      </c>
      <c r="B566" t="s">
        <v>1032</v>
      </c>
    </row>
    <row r="567" spans="1:2" x14ac:dyDescent="0.35">
      <c r="A567" t="s">
        <v>40</v>
      </c>
      <c r="B567" t="s">
        <v>370</v>
      </c>
    </row>
    <row r="568" spans="1:2" x14ac:dyDescent="0.35">
      <c r="A568" t="s">
        <v>1032</v>
      </c>
      <c r="B568" t="s">
        <v>645</v>
      </c>
    </row>
    <row r="569" spans="1:2" x14ac:dyDescent="0.35">
      <c r="A569" t="s">
        <v>1032</v>
      </c>
      <c r="B569" t="s">
        <v>1032</v>
      </c>
    </row>
    <row r="570" spans="1:2" x14ac:dyDescent="0.35">
      <c r="A570" t="s">
        <v>1032</v>
      </c>
      <c r="B570" t="s">
        <v>1032</v>
      </c>
    </row>
    <row r="571" spans="1:2" x14ac:dyDescent="0.35">
      <c r="A571" t="s">
        <v>45</v>
      </c>
      <c r="B571" t="s">
        <v>270</v>
      </c>
    </row>
    <row r="572" spans="1:2" x14ac:dyDescent="0.35">
      <c r="A572" t="s">
        <v>654</v>
      </c>
      <c r="B572" t="s">
        <v>962</v>
      </c>
    </row>
    <row r="573" spans="1:2" x14ac:dyDescent="0.35">
      <c r="A573" t="s">
        <v>831</v>
      </c>
      <c r="B573" t="s">
        <v>1032</v>
      </c>
    </row>
    <row r="574" spans="1:2" x14ac:dyDescent="0.35">
      <c r="A574" t="s">
        <v>1032</v>
      </c>
      <c r="B574" t="s">
        <v>1062</v>
      </c>
    </row>
    <row r="575" spans="1:2" x14ac:dyDescent="0.35">
      <c r="A575" t="s">
        <v>26</v>
      </c>
      <c r="B575" t="s">
        <v>106</v>
      </c>
    </row>
    <row r="576" spans="1:2" x14ac:dyDescent="0.35">
      <c r="A576" t="s">
        <v>1032</v>
      </c>
      <c r="B576" t="s">
        <v>534</v>
      </c>
    </row>
    <row r="577" spans="1:2" x14ac:dyDescent="0.35">
      <c r="A577" t="s">
        <v>1032</v>
      </c>
      <c r="B577" t="s">
        <v>1032</v>
      </c>
    </row>
    <row r="578" spans="1:2" x14ac:dyDescent="0.35">
      <c r="A578" t="s">
        <v>25</v>
      </c>
      <c r="B578" t="s">
        <v>540</v>
      </c>
    </row>
    <row r="579" spans="1:2" x14ac:dyDescent="0.35">
      <c r="A579" t="s">
        <v>1032</v>
      </c>
      <c r="B579" t="s">
        <v>688</v>
      </c>
    </row>
    <row r="580" spans="1:2" x14ac:dyDescent="0.35">
      <c r="A580" t="s">
        <v>1032</v>
      </c>
      <c r="B580" t="s">
        <v>244</v>
      </c>
    </row>
    <row r="581" spans="1:2" x14ac:dyDescent="0.35">
      <c r="A581" t="s">
        <v>1032</v>
      </c>
      <c r="B581" t="s">
        <v>1032</v>
      </c>
    </row>
    <row r="582" spans="1:2" x14ac:dyDescent="0.35">
      <c r="A582" t="s">
        <v>1032</v>
      </c>
      <c r="B582" t="s">
        <v>1032</v>
      </c>
    </row>
    <row r="583" spans="1:2" x14ac:dyDescent="0.35">
      <c r="A583" t="s">
        <v>32</v>
      </c>
      <c r="B583" t="s">
        <v>597</v>
      </c>
    </row>
    <row r="584" spans="1:2" x14ac:dyDescent="0.35">
      <c r="A584" t="s">
        <v>1032</v>
      </c>
      <c r="B584" t="s">
        <v>498</v>
      </c>
    </row>
    <row r="585" spans="1:2" x14ac:dyDescent="0.35">
      <c r="A585" t="s">
        <v>1032</v>
      </c>
      <c r="B585" t="s">
        <v>605</v>
      </c>
    </row>
    <row r="586" spans="1:2" x14ac:dyDescent="0.35">
      <c r="A586" t="s">
        <v>1032</v>
      </c>
      <c r="B586" t="s">
        <v>920</v>
      </c>
    </row>
    <row r="587" spans="1:2" x14ac:dyDescent="0.35">
      <c r="A587" t="s">
        <v>1032</v>
      </c>
      <c r="B587" t="s">
        <v>471</v>
      </c>
    </row>
    <row r="588" spans="1:2" x14ac:dyDescent="0.35">
      <c r="A588" t="s">
        <v>1032</v>
      </c>
      <c r="B588" t="s">
        <v>1032</v>
      </c>
    </row>
    <row r="589" spans="1:2" x14ac:dyDescent="0.35">
      <c r="A589" t="s">
        <v>40</v>
      </c>
      <c r="B589" t="s">
        <v>569</v>
      </c>
    </row>
    <row r="590" spans="1:2" x14ac:dyDescent="0.35">
      <c r="A590" t="s">
        <v>1032</v>
      </c>
      <c r="B590" t="s">
        <v>640</v>
      </c>
    </row>
    <row r="591" spans="1:2" x14ac:dyDescent="0.35">
      <c r="A591" t="s">
        <v>1032</v>
      </c>
      <c r="B591" t="s">
        <v>763</v>
      </c>
    </row>
    <row r="592" spans="1:2" x14ac:dyDescent="0.35">
      <c r="A592" t="s">
        <v>1032</v>
      </c>
      <c r="B592" t="s">
        <v>1032</v>
      </c>
    </row>
    <row r="593" spans="1:2" x14ac:dyDescent="0.35">
      <c r="A593" t="s">
        <v>45</v>
      </c>
      <c r="B593" t="s">
        <v>123</v>
      </c>
    </row>
    <row r="594" spans="1:2" x14ac:dyDescent="0.35">
      <c r="A594" t="s">
        <v>654</v>
      </c>
      <c r="B594" t="s">
        <v>663</v>
      </c>
    </row>
    <row r="595" spans="1:2" x14ac:dyDescent="0.35">
      <c r="A595" t="s">
        <v>831</v>
      </c>
      <c r="B595" t="s">
        <v>1032</v>
      </c>
    </row>
    <row r="596" spans="1:2" x14ac:dyDescent="0.35">
      <c r="A596" t="s">
        <v>1032</v>
      </c>
      <c r="B596" t="s">
        <v>1063</v>
      </c>
    </row>
    <row r="597" spans="1:2" x14ac:dyDescent="0.35">
      <c r="A597" t="s">
        <v>26</v>
      </c>
      <c r="B597" t="s">
        <v>764</v>
      </c>
    </row>
    <row r="598" spans="1:2" x14ac:dyDescent="0.35">
      <c r="A598" t="s">
        <v>1032</v>
      </c>
      <c r="B598" t="s">
        <v>416</v>
      </c>
    </row>
    <row r="599" spans="1:2" x14ac:dyDescent="0.35">
      <c r="A599" t="s">
        <v>1032</v>
      </c>
      <c r="B599" t="s">
        <v>1032</v>
      </c>
    </row>
    <row r="600" spans="1:2" x14ac:dyDescent="0.35">
      <c r="A600" t="s">
        <v>25</v>
      </c>
      <c r="B600" t="s">
        <v>97</v>
      </c>
    </row>
    <row r="601" spans="1:2" x14ac:dyDescent="0.35">
      <c r="A601" t="s">
        <v>1032</v>
      </c>
      <c r="B601" t="s">
        <v>701</v>
      </c>
    </row>
    <row r="602" spans="1:2" x14ac:dyDescent="0.35">
      <c r="A602" t="s">
        <v>1032</v>
      </c>
      <c r="B602" t="s">
        <v>877</v>
      </c>
    </row>
    <row r="603" spans="1:2" x14ac:dyDescent="0.35">
      <c r="A603" t="s">
        <v>1032</v>
      </c>
      <c r="B603" t="s">
        <v>1193</v>
      </c>
    </row>
    <row r="604" spans="1:2" x14ac:dyDescent="0.35">
      <c r="A604" t="s">
        <v>1032</v>
      </c>
      <c r="B604" t="s">
        <v>1032</v>
      </c>
    </row>
    <row r="605" spans="1:2" x14ac:dyDescent="0.35">
      <c r="A605" t="s">
        <v>32</v>
      </c>
      <c r="B605" t="s">
        <v>906</v>
      </c>
    </row>
    <row r="606" spans="1:2" x14ac:dyDescent="0.35">
      <c r="A606" t="s">
        <v>1032</v>
      </c>
      <c r="B606" t="s">
        <v>492</v>
      </c>
    </row>
    <row r="607" spans="1:2" x14ac:dyDescent="0.35">
      <c r="A607" t="s">
        <v>1032</v>
      </c>
      <c r="B607" t="s">
        <v>923</v>
      </c>
    </row>
    <row r="608" spans="1:2" x14ac:dyDescent="0.35">
      <c r="A608" t="s">
        <v>1032</v>
      </c>
      <c r="B608" t="s">
        <v>506</v>
      </c>
    </row>
    <row r="609" spans="1:2" x14ac:dyDescent="0.35">
      <c r="A609" t="s">
        <v>1032</v>
      </c>
      <c r="B609" t="s">
        <v>1011</v>
      </c>
    </row>
    <row r="610" spans="1:2" x14ac:dyDescent="0.35">
      <c r="A610" t="s">
        <v>1032</v>
      </c>
      <c r="B610" t="s">
        <v>1032</v>
      </c>
    </row>
    <row r="611" spans="1:2" x14ac:dyDescent="0.35">
      <c r="A611" t="s">
        <v>40</v>
      </c>
      <c r="B611" t="s">
        <v>257</v>
      </c>
    </row>
    <row r="612" spans="1:2" x14ac:dyDescent="0.35">
      <c r="A612" t="s">
        <v>1032</v>
      </c>
      <c r="B612" t="s">
        <v>1181</v>
      </c>
    </row>
    <row r="613" spans="1:2" x14ac:dyDescent="0.35">
      <c r="A613" t="s">
        <v>1032</v>
      </c>
      <c r="B613" t="s">
        <v>1032</v>
      </c>
    </row>
    <row r="614" spans="1:2" x14ac:dyDescent="0.35">
      <c r="A614" t="s">
        <v>1032</v>
      </c>
      <c r="B614" t="s">
        <v>1032</v>
      </c>
    </row>
    <row r="615" spans="1:2" x14ac:dyDescent="0.35">
      <c r="A615" t="s">
        <v>45</v>
      </c>
      <c r="B615" t="s">
        <v>766</v>
      </c>
    </row>
    <row r="616" spans="1:2" x14ac:dyDescent="0.35">
      <c r="A616" t="s">
        <v>654</v>
      </c>
      <c r="B616" t="s">
        <v>675</v>
      </c>
    </row>
    <row r="617" spans="1:2" x14ac:dyDescent="0.35">
      <c r="A617" t="s">
        <v>831</v>
      </c>
      <c r="B617" t="s">
        <v>1032</v>
      </c>
    </row>
    <row r="618" spans="1:2" x14ac:dyDescent="0.35">
      <c r="A618" t="s">
        <v>1032</v>
      </c>
      <c r="B618" t="s">
        <v>1064</v>
      </c>
    </row>
    <row r="619" spans="1:2" x14ac:dyDescent="0.35">
      <c r="A619" t="s">
        <v>26</v>
      </c>
      <c r="B619" t="s">
        <v>222</v>
      </c>
    </row>
    <row r="620" spans="1:2" x14ac:dyDescent="0.35">
      <c r="A620" t="s">
        <v>1032</v>
      </c>
      <c r="B620" t="s">
        <v>583</v>
      </c>
    </row>
    <row r="621" spans="1:2" x14ac:dyDescent="0.35">
      <c r="A621" t="s">
        <v>1032</v>
      </c>
      <c r="B621" t="s">
        <v>1032</v>
      </c>
    </row>
    <row r="622" spans="1:2" x14ac:dyDescent="0.35">
      <c r="A622" t="s">
        <v>25</v>
      </c>
      <c r="B622" t="s">
        <v>779</v>
      </c>
    </row>
    <row r="623" spans="1:2" x14ac:dyDescent="0.35">
      <c r="A623" t="s">
        <v>1032</v>
      </c>
      <c r="B623" t="s">
        <v>767</v>
      </c>
    </row>
    <row r="624" spans="1:2" x14ac:dyDescent="0.35">
      <c r="A624" t="s">
        <v>1032</v>
      </c>
      <c r="B624" t="s">
        <v>768</v>
      </c>
    </row>
    <row r="625" spans="1:2" x14ac:dyDescent="0.35">
      <c r="A625" t="s">
        <v>1032</v>
      </c>
      <c r="B625" t="s">
        <v>1032</v>
      </c>
    </row>
    <row r="626" spans="1:2" x14ac:dyDescent="0.35">
      <c r="A626" t="s">
        <v>1032</v>
      </c>
      <c r="B626" t="s">
        <v>1032</v>
      </c>
    </row>
    <row r="627" spans="1:2" x14ac:dyDescent="0.35">
      <c r="A627" t="s">
        <v>32</v>
      </c>
      <c r="B627" t="s">
        <v>586</v>
      </c>
    </row>
    <row r="628" spans="1:2" x14ac:dyDescent="0.35">
      <c r="A628" t="s">
        <v>1032</v>
      </c>
      <c r="B628" t="s">
        <v>139</v>
      </c>
    </row>
    <row r="629" spans="1:2" x14ac:dyDescent="0.35">
      <c r="A629" t="s">
        <v>1032</v>
      </c>
      <c r="B629" t="s">
        <v>769</v>
      </c>
    </row>
    <row r="630" spans="1:2" x14ac:dyDescent="0.35">
      <c r="A630" t="s">
        <v>1032</v>
      </c>
      <c r="B630" t="s">
        <v>845</v>
      </c>
    </row>
    <row r="631" spans="1:2" x14ac:dyDescent="0.35">
      <c r="A631" t="s">
        <v>1032</v>
      </c>
      <c r="B631" t="s">
        <v>496</v>
      </c>
    </row>
    <row r="632" spans="1:2" x14ac:dyDescent="0.35">
      <c r="A632" t="s">
        <v>1032</v>
      </c>
      <c r="B632" t="s">
        <v>1032</v>
      </c>
    </row>
    <row r="633" spans="1:2" x14ac:dyDescent="0.35">
      <c r="A633" t="s">
        <v>40</v>
      </c>
      <c r="B633" t="s">
        <v>447</v>
      </c>
    </row>
    <row r="634" spans="1:2" x14ac:dyDescent="0.35">
      <c r="A634" t="s">
        <v>1032</v>
      </c>
      <c r="B634" t="s">
        <v>844</v>
      </c>
    </row>
    <row r="635" spans="1:2" x14ac:dyDescent="0.35">
      <c r="A635" t="s">
        <v>1032</v>
      </c>
      <c r="B635" t="s">
        <v>950</v>
      </c>
    </row>
    <row r="636" spans="1:2" x14ac:dyDescent="0.35">
      <c r="A636" t="s">
        <v>1032</v>
      </c>
      <c r="B636" t="s">
        <v>1032</v>
      </c>
    </row>
    <row r="637" spans="1:2" x14ac:dyDescent="0.35">
      <c r="A637" t="s">
        <v>45</v>
      </c>
      <c r="B637" t="s">
        <v>268</v>
      </c>
    </row>
    <row r="638" spans="1:2" x14ac:dyDescent="0.35">
      <c r="A638" t="s">
        <v>654</v>
      </c>
      <c r="B638" t="s">
        <v>676</v>
      </c>
    </row>
    <row r="639" spans="1:2" x14ac:dyDescent="0.35">
      <c r="A639" t="s">
        <v>831</v>
      </c>
      <c r="B639" t="s">
        <v>1032</v>
      </c>
    </row>
    <row r="640" spans="1:2" x14ac:dyDescent="0.35">
      <c r="A640" t="s">
        <v>1032</v>
      </c>
      <c r="B640" t="s">
        <v>1065</v>
      </c>
    </row>
    <row r="641" spans="1:2" x14ac:dyDescent="0.35">
      <c r="A641" t="s">
        <v>26</v>
      </c>
      <c r="B641" t="s">
        <v>344</v>
      </c>
    </row>
    <row r="642" spans="1:2" x14ac:dyDescent="0.35">
      <c r="A642" t="s">
        <v>1032</v>
      </c>
      <c r="B642" t="s">
        <v>538</v>
      </c>
    </row>
    <row r="643" spans="1:2" x14ac:dyDescent="0.35">
      <c r="A643" t="s">
        <v>1032</v>
      </c>
      <c r="B643" t="s">
        <v>1032</v>
      </c>
    </row>
    <row r="644" spans="1:2" x14ac:dyDescent="0.35">
      <c r="A644" t="s">
        <v>25</v>
      </c>
      <c r="B644" t="s">
        <v>617</v>
      </c>
    </row>
    <row r="645" spans="1:2" x14ac:dyDescent="0.35">
      <c r="A645" t="s">
        <v>1032</v>
      </c>
      <c r="B645" t="s">
        <v>869</v>
      </c>
    </row>
    <row r="646" spans="1:2" x14ac:dyDescent="0.35">
      <c r="A646" t="s">
        <v>1032</v>
      </c>
      <c r="B646" t="s">
        <v>770</v>
      </c>
    </row>
    <row r="647" spans="1:2" x14ac:dyDescent="0.35">
      <c r="A647" t="s">
        <v>1032</v>
      </c>
      <c r="B647" t="s">
        <v>1032</v>
      </c>
    </row>
    <row r="648" spans="1:2" x14ac:dyDescent="0.35">
      <c r="A648" t="s">
        <v>1032</v>
      </c>
      <c r="B648" t="s">
        <v>1032</v>
      </c>
    </row>
    <row r="649" spans="1:2" x14ac:dyDescent="0.35">
      <c r="A649" t="s">
        <v>32</v>
      </c>
      <c r="B649" t="s">
        <v>90</v>
      </c>
    </row>
    <row r="650" spans="1:2" x14ac:dyDescent="0.35">
      <c r="A650" t="s">
        <v>1032</v>
      </c>
      <c r="B650" t="s">
        <v>240</v>
      </c>
    </row>
    <row r="651" spans="1:2" x14ac:dyDescent="0.35">
      <c r="A651" t="s">
        <v>1032</v>
      </c>
      <c r="B651" t="s">
        <v>925</v>
      </c>
    </row>
    <row r="652" spans="1:2" x14ac:dyDescent="0.35">
      <c r="A652" t="s">
        <v>1032</v>
      </c>
      <c r="B652" t="s">
        <v>794</v>
      </c>
    </row>
    <row r="653" spans="1:2" x14ac:dyDescent="0.35">
      <c r="A653" t="s">
        <v>1032</v>
      </c>
      <c r="B653" t="s">
        <v>1129</v>
      </c>
    </row>
    <row r="654" spans="1:2" x14ac:dyDescent="0.35">
      <c r="A654" t="s">
        <v>1032</v>
      </c>
      <c r="B654" t="s">
        <v>1032</v>
      </c>
    </row>
    <row r="655" spans="1:2" x14ac:dyDescent="0.35">
      <c r="A655" t="s">
        <v>40</v>
      </c>
      <c r="B655" t="s">
        <v>633</v>
      </c>
    </row>
    <row r="656" spans="1:2" x14ac:dyDescent="0.35">
      <c r="A656" t="s">
        <v>1032</v>
      </c>
      <c r="B656" t="s">
        <v>772</v>
      </c>
    </row>
    <row r="657" spans="1:2" x14ac:dyDescent="0.35">
      <c r="A657" t="s">
        <v>1032</v>
      </c>
      <c r="B657" t="s">
        <v>641</v>
      </c>
    </row>
    <row r="658" spans="1:2" x14ac:dyDescent="0.35">
      <c r="A658" t="s">
        <v>1032</v>
      </c>
      <c r="B658" t="s">
        <v>1032</v>
      </c>
    </row>
    <row r="659" spans="1:2" x14ac:dyDescent="0.35">
      <c r="A659" t="s">
        <v>45</v>
      </c>
      <c r="B659" t="s">
        <v>773</v>
      </c>
    </row>
    <row r="660" spans="1:2" x14ac:dyDescent="0.35">
      <c r="A660" t="s">
        <v>654</v>
      </c>
      <c r="B660" t="s">
        <v>677</v>
      </c>
    </row>
    <row r="661" spans="1:2" x14ac:dyDescent="0.35">
      <c r="A661" t="s">
        <v>831</v>
      </c>
      <c r="B661" t="s">
        <v>1032</v>
      </c>
    </row>
    <row r="662" spans="1:2" x14ac:dyDescent="0.35">
      <c r="A662" t="s">
        <v>1032</v>
      </c>
      <c r="B662" t="s">
        <v>1066</v>
      </c>
    </row>
    <row r="663" spans="1:2" x14ac:dyDescent="0.35">
      <c r="A663" t="s">
        <v>26</v>
      </c>
      <c r="B663" t="s">
        <v>774</v>
      </c>
    </row>
    <row r="664" spans="1:2" x14ac:dyDescent="0.35">
      <c r="A664" t="s">
        <v>1032</v>
      </c>
      <c r="B664" t="s">
        <v>348</v>
      </c>
    </row>
    <row r="665" spans="1:2" x14ac:dyDescent="0.35">
      <c r="A665" t="s">
        <v>1032</v>
      </c>
      <c r="B665" t="s">
        <v>1032</v>
      </c>
    </row>
    <row r="666" spans="1:2" x14ac:dyDescent="0.35">
      <c r="A666" t="s">
        <v>25</v>
      </c>
      <c r="B666" t="s">
        <v>427</v>
      </c>
    </row>
    <row r="667" spans="1:2" x14ac:dyDescent="0.35">
      <c r="A667" t="s">
        <v>1032</v>
      </c>
      <c r="B667" t="s">
        <v>775</v>
      </c>
    </row>
    <row r="668" spans="1:2" x14ac:dyDescent="0.35">
      <c r="A668" t="s">
        <v>1032</v>
      </c>
      <c r="B668" t="s">
        <v>690</v>
      </c>
    </row>
    <row r="669" spans="1:2" x14ac:dyDescent="0.35">
      <c r="A669" t="s">
        <v>1032</v>
      </c>
      <c r="B669" t="s">
        <v>1032</v>
      </c>
    </row>
    <row r="670" spans="1:2" x14ac:dyDescent="0.35">
      <c r="A670" t="s">
        <v>1032</v>
      </c>
      <c r="B670" t="s">
        <v>1032</v>
      </c>
    </row>
    <row r="671" spans="1:2" x14ac:dyDescent="0.35">
      <c r="A671" t="s">
        <v>32</v>
      </c>
      <c r="B671" t="s">
        <v>359</v>
      </c>
    </row>
    <row r="672" spans="1:2" x14ac:dyDescent="0.35">
      <c r="A672" t="s">
        <v>1032</v>
      </c>
      <c r="B672" t="s">
        <v>93</v>
      </c>
    </row>
    <row r="673" spans="1:2" x14ac:dyDescent="0.35">
      <c r="A673" t="s">
        <v>1032</v>
      </c>
      <c r="B673" t="s">
        <v>238</v>
      </c>
    </row>
    <row r="674" spans="1:2" x14ac:dyDescent="0.35">
      <c r="A674" t="s">
        <v>1032</v>
      </c>
      <c r="B674" t="s">
        <v>587</v>
      </c>
    </row>
    <row r="675" spans="1:2" x14ac:dyDescent="0.35">
      <c r="A675" t="s">
        <v>1032</v>
      </c>
      <c r="B675" t="s">
        <v>563</v>
      </c>
    </row>
    <row r="676" spans="1:2" x14ac:dyDescent="0.35">
      <c r="A676" t="s">
        <v>1032</v>
      </c>
      <c r="B676" t="s">
        <v>1032</v>
      </c>
    </row>
    <row r="677" spans="1:2" x14ac:dyDescent="0.35">
      <c r="A677" t="s">
        <v>40</v>
      </c>
      <c r="B677" t="s">
        <v>647</v>
      </c>
    </row>
    <row r="678" spans="1:2" x14ac:dyDescent="0.35">
      <c r="A678" t="s">
        <v>1032</v>
      </c>
      <c r="B678" t="s">
        <v>802</v>
      </c>
    </row>
    <row r="679" spans="1:2" x14ac:dyDescent="0.35">
      <c r="A679" t="s">
        <v>1032</v>
      </c>
      <c r="B679" t="s">
        <v>1194</v>
      </c>
    </row>
    <row r="680" spans="1:2" x14ac:dyDescent="0.35">
      <c r="A680" t="s">
        <v>1032</v>
      </c>
      <c r="B680" t="s">
        <v>1032</v>
      </c>
    </row>
    <row r="681" spans="1:2" x14ac:dyDescent="0.35">
      <c r="A681" t="s">
        <v>45</v>
      </c>
      <c r="B681" t="s">
        <v>468</v>
      </c>
    </row>
    <row r="682" spans="1:2" x14ac:dyDescent="0.35">
      <c r="A682" t="s">
        <v>654</v>
      </c>
      <c r="B682" t="s">
        <v>1067</v>
      </c>
    </row>
    <row r="683" spans="1:2" x14ac:dyDescent="0.35">
      <c r="A683" t="s">
        <v>831</v>
      </c>
      <c r="B683" t="s">
        <v>1032</v>
      </c>
    </row>
    <row r="684" spans="1:2" x14ac:dyDescent="0.35">
      <c r="A684" t="s">
        <v>1032</v>
      </c>
      <c r="B684" t="s">
        <v>1068</v>
      </c>
    </row>
    <row r="685" spans="1:2" x14ac:dyDescent="0.35">
      <c r="A685" t="s">
        <v>26</v>
      </c>
      <c r="B685" t="s">
        <v>851</v>
      </c>
    </row>
    <row r="686" spans="1:2" x14ac:dyDescent="0.35">
      <c r="A686" t="s">
        <v>1032</v>
      </c>
      <c r="B686" t="s">
        <v>105</v>
      </c>
    </row>
    <row r="687" spans="1:2" x14ac:dyDescent="0.35">
      <c r="A687" t="s">
        <v>1032</v>
      </c>
      <c r="B687" t="s">
        <v>1032</v>
      </c>
    </row>
    <row r="688" spans="1:2" x14ac:dyDescent="0.35">
      <c r="A688" t="s">
        <v>25</v>
      </c>
      <c r="B688" t="s">
        <v>620</v>
      </c>
    </row>
    <row r="689" spans="1:2" x14ac:dyDescent="0.35">
      <c r="A689" t="s">
        <v>1032</v>
      </c>
      <c r="B689" t="s">
        <v>355</v>
      </c>
    </row>
    <row r="690" spans="1:2" x14ac:dyDescent="0.35">
      <c r="A690" t="s">
        <v>1032</v>
      </c>
      <c r="B690" t="s">
        <v>874</v>
      </c>
    </row>
    <row r="691" spans="1:2" x14ac:dyDescent="0.35">
      <c r="A691" t="s">
        <v>1032</v>
      </c>
      <c r="B691" t="s">
        <v>1032</v>
      </c>
    </row>
    <row r="692" spans="1:2" x14ac:dyDescent="0.35">
      <c r="A692" t="s">
        <v>1032</v>
      </c>
      <c r="B692" t="s">
        <v>1032</v>
      </c>
    </row>
    <row r="693" spans="1:2" x14ac:dyDescent="0.35">
      <c r="A693" t="s">
        <v>32</v>
      </c>
      <c r="B693" t="s">
        <v>435</v>
      </c>
    </row>
    <row r="694" spans="1:2" x14ac:dyDescent="0.35">
      <c r="A694" t="s">
        <v>1032</v>
      </c>
      <c r="B694" t="s">
        <v>560</v>
      </c>
    </row>
    <row r="695" spans="1:2" x14ac:dyDescent="0.35">
      <c r="A695" t="s">
        <v>1032</v>
      </c>
      <c r="B695" t="s">
        <v>500</v>
      </c>
    </row>
    <row r="696" spans="1:2" x14ac:dyDescent="0.35">
      <c r="A696" t="s">
        <v>1032</v>
      </c>
      <c r="B696" t="s">
        <v>924</v>
      </c>
    </row>
    <row r="697" spans="1:2" x14ac:dyDescent="0.35">
      <c r="A697" t="s">
        <v>1032</v>
      </c>
      <c r="B697" t="s">
        <v>108</v>
      </c>
    </row>
    <row r="698" spans="1:2" x14ac:dyDescent="0.35">
      <c r="A698" t="s">
        <v>1032</v>
      </c>
      <c r="B698" t="s">
        <v>1032</v>
      </c>
    </row>
    <row r="699" spans="1:2" x14ac:dyDescent="0.35">
      <c r="A699" t="s">
        <v>40</v>
      </c>
      <c r="B699" t="s">
        <v>128</v>
      </c>
    </row>
    <row r="700" spans="1:2" x14ac:dyDescent="0.35">
      <c r="A700" t="s">
        <v>1032</v>
      </c>
      <c r="B700" t="s">
        <v>937</v>
      </c>
    </row>
    <row r="701" spans="1:2" x14ac:dyDescent="0.35">
      <c r="A701" t="s">
        <v>1032</v>
      </c>
      <c r="B701" t="s">
        <v>574</v>
      </c>
    </row>
    <row r="702" spans="1:2" x14ac:dyDescent="0.35">
      <c r="A702" t="s">
        <v>1032</v>
      </c>
      <c r="B702" t="s">
        <v>1032</v>
      </c>
    </row>
    <row r="703" spans="1:2" x14ac:dyDescent="0.35">
      <c r="A703" t="s">
        <v>45</v>
      </c>
      <c r="B703" t="s">
        <v>1117</v>
      </c>
    </row>
    <row r="704" spans="1:2" x14ac:dyDescent="0.35">
      <c r="A704" t="s">
        <v>654</v>
      </c>
      <c r="B704" t="s">
        <v>678</v>
      </c>
    </row>
    <row r="705" spans="1:2" x14ac:dyDescent="0.35">
      <c r="A705" t="s">
        <v>831</v>
      </c>
      <c r="B705" t="s">
        <v>1032</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Q619"/>
  <sheetViews>
    <sheetView zoomScaleNormal="100" workbookViewId="0">
      <selection activeCell="A13" sqref="A13:O619"/>
    </sheetView>
  </sheetViews>
  <sheetFormatPr defaultColWidth="8.90625" defaultRowHeight="14.5" x14ac:dyDescent="0.35"/>
  <cols>
    <col min="1" max="1" width="22.453125" bestFit="1" customWidth="1"/>
    <col min="2" max="2" width="19.453125" bestFit="1" customWidth="1"/>
    <col min="3" max="3" width="6.453125" customWidth="1"/>
    <col min="4" max="4" width="9.08984375" customWidth="1"/>
    <col min="5" max="5" width="16.90625" style="5" bestFit="1" customWidth="1"/>
    <col min="6" max="6" width="13.08984375" customWidth="1"/>
    <col min="7" max="7" width="7.90625" bestFit="1" customWidth="1"/>
    <col min="8" max="8" width="17.453125" bestFit="1" customWidth="1"/>
    <col min="9" max="9" width="11.453125" bestFit="1" customWidth="1"/>
    <col min="10" max="10" width="10.453125" style="3" bestFit="1" customWidth="1"/>
    <col min="11" max="11" width="10.453125" bestFit="1" customWidth="1"/>
    <col min="12" max="12" width="11.90625" customWidth="1"/>
    <col min="13" max="13" width="13.453125" bestFit="1" customWidth="1"/>
    <col min="14" max="14" width="10.453125" bestFit="1" customWidth="1"/>
    <col min="15" max="15" width="9.90625" bestFit="1" customWidth="1"/>
    <col min="16" max="16" width="8.453125" bestFit="1" customWidth="1"/>
    <col min="17" max="17" width="7.453125" bestFit="1" customWidth="1"/>
    <col min="18" max="18" width="5" bestFit="1" customWidth="1"/>
    <col min="19" max="19" width="5.453125" customWidth="1"/>
    <col min="20" max="20" width="7.08984375" customWidth="1"/>
    <col min="21" max="21" width="22.453125" customWidth="1"/>
    <col min="22" max="22" width="4.453125" customWidth="1"/>
    <col min="23" max="23" width="5.453125" customWidth="1"/>
    <col min="24" max="24" width="3.453125" customWidth="1"/>
    <col min="25" max="25" width="4.08984375" customWidth="1"/>
  </cols>
  <sheetData>
    <row r="1" spans="1:17" x14ac:dyDescent="0.35">
      <c r="A1" s="63" t="str">
        <f ca="1">IF(A2&gt;=1,"Overall Inflation %","Overall Deflation %")</f>
        <v>Overall Inflation %</v>
      </c>
      <c r="B1" s="63" t="s">
        <v>281</v>
      </c>
      <c r="C1" s="64" t="s">
        <v>282</v>
      </c>
      <c r="D1" s="65"/>
      <c r="E1" s="66" t="s">
        <v>283</v>
      </c>
      <c r="F1" s="67" t="s">
        <v>11</v>
      </c>
      <c r="G1" s="68" t="s">
        <v>181</v>
      </c>
      <c r="H1" s="66" t="s">
        <v>284</v>
      </c>
      <c r="I1" s="67" t="s">
        <v>11</v>
      </c>
      <c r="J1" s="68" t="s">
        <v>181</v>
      </c>
      <c r="K1" s="68" t="s">
        <v>285</v>
      </c>
      <c r="L1" s="172"/>
      <c r="M1" s="4"/>
    </row>
    <row r="2" spans="1:17" x14ac:dyDescent="0.35">
      <c r="A2" s="212">
        <f ca="1">(SUMIF($F$13:$F$249,"&gt;0")-SUM($H$13:$H$249))/SUMIFS($F$13:$F$249,$H$13:$H$249,"",$F$13:$F$249,"&gt;0")</f>
        <v>1</v>
      </c>
      <c r="B2" s="69">
        <f>IFERROR(SUMIFS(H$13:H$249,H$13:H$249,"&gt;0",B$13:B$249,"RB",$J$13:$J$249,"No")/SUMIFS(F$13:F$249,H$13:H$249,"&gt;0",B$13:B$249,"RB",$J$13:$J$249,"No"),0)</f>
        <v>0</v>
      </c>
      <c r="C2" s="265">
        <f ca="1">AVERAGEIFS($I$13:$I$249, $G$13:$G$249, 0, $B$13:$B$249, "RB",$I$13:$I$249,"&gt;0")</f>
        <v>14.904892324158389</v>
      </c>
      <c r="D2" s="266"/>
      <c r="E2" s="70" t="str">
        <f t="array" aca="1" ref="E2" ca="1">INDEX(IF($B$13:$B$249="RB",$A$13:$A$249,0),MATCH(F2,$N$13:$N$249,0))</f>
        <v>Christian McCaffrey</v>
      </c>
      <c r="F2" s="167">
        <f t="array" aca="1" ref="F2" ca="1">MAX(IF(($H$13:$H$249=0)*($B$13:$B$249="RB"),$N$13:$N$249,0))</f>
        <v>182.15000000000003</v>
      </c>
      <c r="G2" s="168">
        <f ca="1">INDEX($I$13:$I$249,MATCH(F2,$N$13:$N$249,0))</f>
        <v>58.004454831713801</v>
      </c>
      <c r="H2" s="70" t="str">
        <f t="array" aca="1" ref="H2" ca="1">INDEX(IF($B$13:$B$249="RB",$A$13:$A$249,0),MATCH(I2,$N$13:$N$249,0))</f>
        <v>Breece Hall</v>
      </c>
      <c r="I2" s="169">
        <f t="array" aca="1" ref="I2" ca="1">LARGE(IF(($H$13:$H$249=0)*($B$13:$B$249="RB"),$N$13:$N$249,0),2)</f>
        <v>134.45999999999998</v>
      </c>
      <c r="J2" s="168">
        <f ca="1">INDEX($I$13:$I$249,MATCH(I2,$N$13:$N$249,0))</f>
        <v>42.925270904814283</v>
      </c>
      <c r="K2" s="103">
        <f ca="1">IFERROR((F2-I2)/F2,0)</f>
        <v>0.26181718363985751</v>
      </c>
      <c r="L2" s="173"/>
    </row>
    <row r="3" spans="1:17" x14ac:dyDescent="0.35">
      <c r="A3" s="63" t="s">
        <v>286</v>
      </c>
      <c r="B3" s="63" t="s">
        <v>287</v>
      </c>
      <c r="C3" s="71" t="s">
        <v>288</v>
      </c>
      <c r="D3" s="65"/>
      <c r="E3" s="66" t="s">
        <v>289</v>
      </c>
      <c r="F3" s="67" t="s">
        <v>11</v>
      </c>
      <c r="G3" s="68" t="s">
        <v>181</v>
      </c>
      <c r="H3" s="66" t="s">
        <v>290</v>
      </c>
      <c r="I3" s="67" t="s">
        <v>11</v>
      </c>
      <c r="J3" s="68" t="s">
        <v>181</v>
      </c>
      <c r="K3" s="72"/>
      <c r="L3" s="172"/>
    </row>
    <row r="4" spans="1:17" x14ac:dyDescent="0.35">
      <c r="A4" s="73">
        <f>LeagueInfo!F3-SUM(Teams!$C$3:$C$22)</f>
        <v>200</v>
      </c>
      <c r="B4" s="69">
        <f>IFERROR(SUMIFS(H$13:H$249,H$13:H$249,"&gt;0",B$13:B$249,"WR",$J$13:$J$249,"No")/SUMIFS(F$13:F$249,H$13:H$249,"&gt;0",B$13:B$249,"WR",$J$13:$J$249,"No"),0)</f>
        <v>0</v>
      </c>
      <c r="C4" s="265">
        <f ca="1">AVERAGEIFS($I$13:$I$249, $G$13:$G$249, 0, $B$13:$B$249, "WR",$I$13:$I$249,"&gt;0")</f>
        <v>12.272014483573102</v>
      </c>
      <c r="D4" s="266"/>
      <c r="E4" s="70" t="str">
        <f t="array" aca="1" ref="E4" ca="1">INDEX(IF($B$13:$B$249="WR",$A$13:$A$249,0),MATCH(F4,$N$13:$N$249,0))</f>
        <v>CeeDee Lamb</v>
      </c>
      <c r="F4" s="167">
        <f t="array" aca="1" ref="F4" ca="1">MAX(IF(($H$13:$H$249=0)*($B$13:$B$249="WR"),$N$13:$N$249,0))</f>
        <v>135.19</v>
      </c>
      <c r="G4" s="168">
        <f ca="1">INDEX($I$13:$I$249,MATCH(F4,$N$13:$N$249,0))</f>
        <v>43.112172959634535</v>
      </c>
      <c r="H4" s="70" t="str">
        <f t="array" aca="1" ref="H4" ca="1">INDEX(IF($B$13:$B$249="WR",$A$13:$A$249,0),MATCH(I4,$N$13:$N$249,0))</f>
        <v>Tyreek Hill</v>
      </c>
      <c r="I4" s="169">
        <f t="array" aca="1" ref="I4" ca="1">LARGE(IF(($H$13:$H$249=0)*($B$13:$B$249="WR"),$N$13:$N$249,0),2)</f>
        <v>131.18</v>
      </c>
      <c r="J4" s="168">
        <f ca="1">INDEX($I$13:$I$249,MATCH(I4,$N$13:$N$249,0))</f>
        <v>41.844244095158402</v>
      </c>
      <c r="K4" s="103">
        <f ca="1">IFERROR((F4-I4)/F4,0)</f>
        <v>2.9661957245358316E-2</v>
      </c>
      <c r="L4" s="173"/>
    </row>
    <row r="5" spans="1:17" x14ac:dyDescent="0.35">
      <c r="A5" s="63" t="s">
        <v>291</v>
      </c>
      <c r="B5" s="63" t="s">
        <v>292</v>
      </c>
      <c r="C5" s="71" t="s">
        <v>293</v>
      </c>
      <c r="D5" s="65"/>
      <c r="E5" s="66" t="s">
        <v>294</v>
      </c>
      <c r="F5" s="67" t="s">
        <v>11</v>
      </c>
      <c r="G5" s="68" t="s">
        <v>181</v>
      </c>
      <c r="H5" s="66" t="s">
        <v>295</v>
      </c>
      <c r="I5" s="67" t="s">
        <v>11</v>
      </c>
      <c r="J5" s="68" t="s">
        <v>181</v>
      </c>
      <c r="K5" s="72"/>
      <c r="L5" s="172"/>
      <c r="M5" s="62"/>
    </row>
    <row r="6" spans="1:17" x14ac:dyDescent="0.35">
      <c r="A6" s="73">
        <f>Teams!J3</f>
        <v>185</v>
      </c>
      <c r="B6" s="69">
        <f>IFERROR(SUMIFS(H$13:H$249,H$13:H$249,"&gt;0",B$13:B$249,"QB",$J$13:$J$249,"No")/SUMIFS(F$13:F$249,H$13:H$249,"&gt;0",B$13:B$249,"QB",$J$13:$J$249,"No"),0)</f>
        <v>0</v>
      </c>
      <c r="C6" s="265">
        <f ca="1">AVERAGEIFS($I$13:$I$249, $G$13:$G$249, 0, $B$13:$B$249, "QB",$I$13:$I$249,"&gt;0")</f>
        <v>21.259836627661961</v>
      </c>
      <c r="D6" s="266"/>
      <c r="E6" s="70" t="str">
        <f t="array" aca="1" ref="E6" ca="1">INDEX(IF($B$13:$B$249="QB",$A$13:$A$249,0),MATCH(F6,$N$13:$N$249,0))</f>
        <v>Josh Allen</v>
      </c>
      <c r="F6" s="167">
        <f t="array" aca="1" ref="F6" ca="1">MAX(IF(($H$13:$H$249=0)*($B$13:$B$249="QB"),$N$13:$N$249,0))</f>
        <v>144.71600000000001</v>
      </c>
      <c r="G6" s="168">
        <f ca="1">INDEX($I$13:$I$249,MATCH(F6,$N$13:$N$249,0))</f>
        <v>46.212739638769918</v>
      </c>
      <c r="H6" s="70" t="str">
        <f t="array" aca="1" ref="H6" ca="1">INDEX(IF($B$13:$B$249="QB",$A$13:$A$249,0),MATCH(I6,$N$13:$N$249,0))</f>
        <v>Jalen Hurts</v>
      </c>
      <c r="I6" s="169">
        <f t="array" aca="1" ref="I6" ca="1">LARGE(IF(($H$13:$H$249=0)*($B$13:$B$249="QB"),$N$13:$N$249,0),2)</f>
        <v>144.51599999999996</v>
      </c>
      <c r="J6" s="168">
        <f ca="1">INDEX($I$13:$I$249,MATCH(I6,$N$13:$N$249,0))</f>
        <v>46.149501291414488</v>
      </c>
      <c r="K6" s="103">
        <f ca="1">IFERROR((F6-I6)/F6,0)</f>
        <v>1.3820171922941864E-3</v>
      </c>
      <c r="L6" s="173"/>
    </row>
    <row r="7" spans="1:17" x14ac:dyDescent="0.35">
      <c r="A7" s="63" t="s">
        <v>296</v>
      </c>
      <c r="B7" s="63" t="s">
        <v>297</v>
      </c>
      <c r="C7" s="71" t="s">
        <v>298</v>
      </c>
      <c r="D7" s="65"/>
      <c r="E7" s="66" t="s">
        <v>299</v>
      </c>
      <c r="F7" s="67" t="s">
        <v>11</v>
      </c>
      <c r="G7" s="68" t="s">
        <v>181</v>
      </c>
      <c r="H7" s="66" t="s">
        <v>300</v>
      </c>
      <c r="I7" s="67" t="s">
        <v>11</v>
      </c>
      <c r="J7" s="68" t="s">
        <v>181</v>
      </c>
      <c r="K7" s="72"/>
      <c r="L7" s="172"/>
    </row>
    <row r="8" spans="1:17" x14ac:dyDescent="0.35">
      <c r="A8" s="165">
        <f>A4/(LeagueInfo!F4-COUNTIF(Teams!$C$3:$C$22,"&gt;0"))</f>
        <v>12.5</v>
      </c>
      <c r="B8" s="69">
        <f>IFERROR(SUMIFS(H$13:H$249,H$13:H$249,"&gt;0",B$13:B$249,"TE",$J$13:$J$249,"No")/SUMIFS(F$13:F$249,H$13:H$249,"&gt;0",B$13:B$249,"TE",$J$13:$J$249,"No"),0)</f>
        <v>0</v>
      </c>
      <c r="C8" s="265">
        <f ca="1">AVERAGEIFS($I$13:$I$249, $G$13:$G$249, 0, $B$13:$B$249, "TE",$I$13:$I$249,"&gt;0")</f>
        <v>9.44621996132331</v>
      </c>
      <c r="D8" s="266"/>
      <c r="E8" s="70" t="str">
        <f t="array" aca="1" ref="E8" ca="1">INDEX(IF($B$13:$B$249="TE",$A$13:$A$249,0),MATCH(F8,$N$13:$N$249,0))</f>
        <v>Travis Kelce</v>
      </c>
      <c r="F8" s="167">
        <f t="array" aca="1" ref="F8" ca="1">MAX(IF(($H$13:$H$249=0)*($B$13:$B$249="TE"),$N$13:$N$249,0))</f>
        <v>76.17</v>
      </c>
      <c r="G8" s="168">
        <f ca="1">INDEX($I$13:$I$249,MATCH(F8,$N$13:$N$249,0))</f>
        <v>24.31823222113529</v>
      </c>
      <c r="H8" s="70" t="str">
        <f t="array" aca="1" ref="H8" ca="1">INDEX(IF($B$13:$B$249="TE",$A$13:$A$249,0),MATCH(I8,$N$13:$N$249,0))</f>
        <v>Sam LaPorta</v>
      </c>
      <c r="I8" s="169">
        <f t="array" aca="1" ref="I8" ca="1">LARGE(IF(($H$13:$H$249=0)*($B$13:$B$249="TE"),$N$13:$N$249,0),2)</f>
        <v>69.86</v>
      </c>
      <c r="J8" s="168">
        <f ca="1">INDEX($I$13:$I$249,MATCH(I8,$N$13:$N$249,0))</f>
        <v>22.323062362071845</v>
      </c>
      <c r="K8" s="103">
        <f ca="1">IFERROR((F8-I8)/F8,0)</f>
        <v>8.2841013522384169E-2</v>
      </c>
      <c r="L8" s="173"/>
    </row>
    <row r="9" spans="1:17" x14ac:dyDescent="0.35">
      <c r="J9"/>
    </row>
    <row r="10" spans="1:17" x14ac:dyDescent="0.35">
      <c r="A10" s="4"/>
    </row>
    <row r="11" spans="1:17" x14ac:dyDescent="0.35">
      <c r="A11" s="161"/>
      <c r="B11" s="161"/>
      <c r="C11" s="161"/>
      <c r="D11" s="161"/>
      <c r="E11" s="161"/>
      <c r="F11" s="162"/>
      <c r="G11" s="161"/>
      <c r="H11" s="161"/>
      <c r="I11" s="163"/>
      <c r="J11" s="161"/>
      <c r="K11" s="164"/>
      <c r="L11" s="161"/>
      <c r="M11" s="161"/>
      <c r="N11" s="161"/>
      <c r="O11" s="161"/>
    </row>
    <row r="12" spans="1:17" x14ac:dyDescent="0.35">
      <c r="A12" s="79" t="s">
        <v>82</v>
      </c>
      <c r="B12" s="80" t="s">
        <v>17</v>
      </c>
      <c r="C12" s="80" t="s">
        <v>262</v>
      </c>
      <c r="D12" s="80" t="s">
        <v>272</v>
      </c>
      <c r="E12" s="80" t="s">
        <v>187</v>
      </c>
      <c r="F12" s="80" t="s">
        <v>301</v>
      </c>
      <c r="G12" s="80" t="s">
        <v>302</v>
      </c>
      <c r="H12" s="81" t="s">
        <v>303</v>
      </c>
      <c r="I12" s="80" t="str">
        <f ca="1">IF(A2&gt;=1,"Inflated $","Deflated $")</f>
        <v>Inflated $</v>
      </c>
      <c r="J12" s="82" t="s">
        <v>304</v>
      </c>
      <c r="K12" s="209" t="str">
        <f>CONCATENATE(LeagueInfo!F7," $")</f>
        <v>Yahoo $</v>
      </c>
      <c r="L12" s="83" t="s">
        <v>305</v>
      </c>
      <c r="M12" s="4" t="s">
        <v>306</v>
      </c>
      <c r="N12" s="83" t="s">
        <v>186</v>
      </c>
      <c r="O12" s="83" t="s">
        <v>184</v>
      </c>
      <c r="P12" s="3"/>
      <c r="Q12" s="174"/>
    </row>
    <row r="13" spans="1:17" x14ac:dyDescent="0.35">
      <c r="A13" s="157" t="s">
        <v>97</v>
      </c>
      <c r="B13" s="157" t="s">
        <v>25</v>
      </c>
      <c r="C13" s="157">
        <f ca="1">IFERROR(INDEX(BYEs!$B$2:$B$33,MATCH(D13,BYEs!$A$2:$A$33,0)),"N/A")</f>
        <v>9</v>
      </c>
      <c r="D13" s="214" t="str">
        <f t="shared" ref="D13:D76" ca="1" si="0">INDEX(INDIRECT(""&amp;B13&amp;"!F2:F628"),MATCH(A13,INDIRECT(""&amp;B13&amp;"!B2:B628"),0))</f>
        <v>SF</v>
      </c>
      <c r="E13" s="213" t="str">
        <f t="shared" ref="E13:E76" ca="1" si="1">INDEX(INDIRECT(""&amp;$B13&amp;"!AA2:AA628"),MATCH($A13,INDIRECT(""&amp;$B13&amp;"!B2:B628"),0))</f>
        <v>RB1</v>
      </c>
      <c r="F13" s="158">
        <f ca="1">IF(LeagueInfo!$H$7="Starter/Bench",INDEX(INDIRECT(""&amp;B13&amp;"!T2:T628"),MATCH(A13,INDIRECT(""&amp;B13&amp;"!B2:B628"),0)),INDEX(INDIRECT(""&amp;B13&amp;"!AB2:AB628"),MATCH(A13,INDIRECT(""&amp;B13&amp;"!B2:B628"),0)))</f>
        <v>58.004454831713801</v>
      </c>
      <c r="G13" s="159">
        <f t="shared" ref="G13:G76" si="2">IF(H13&gt;0,F13-H13,0)</f>
        <v>0</v>
      </c>
      <c r="H13" s="160"/>
      <c r="I13" s="159">
        <f t="shared" ref="I13:I76" ca="1" si="3">F13*$A$2</f>
        <v>58.004454831713801</v>
      </c>
      <c r="J13" s="159" t="s">
        <v>73</v>
      </c>
      <c r="K13" s="159">
        <f>IF(LeagueInfo!$F$7="Yahoo",IFERROR(INDEX(DefaultAuctionValues!$B$2:$B$331,MATCH(A13,DefaultAuctionValues!$A$2:$A$331,0)),0),IF(LeagueInfo!$F$7="ESPN",IFERROR(INDEX(DefaultAuctionValues!$C$2:$C$331,MATCH(A13,DefaultAuctionValues!$A$2:$A$331,0)),0),IF(LeagueInfo!$F$7="Custom",IFERROR(INDEX(DefaultAuctionValues!$D$2:$D$331,MATCH(A13,DefaultAuctionValues!$A$2:$A$331,0)),0))))</f>
        <v>74.7</v>
      </c>
      <c r="L13" s="159">
        <f t="shared" ref="L13:L76" ca="1" si="4">I13-K13</f>
        <v>-16.695545168286202</v>
      </c>
      <c r="M13" s="171"/>
      <c r="N13" s="166">
        <f t="shared" ref="N13:N76" ca="1" si="5">INDEX(INDIRECT(""&amp;$B13&amp;"!Z2:Z628"),MATCH($A13,INDIRECT(""&amp;$B13&amp;"!B2:B628"),0))</f>
        <v>182.15000000000003</v>
      </c>
      <c r="O13" s="157" t="str">
        <f t="shared" ref="O13:O76" ca="1" si="6">IF(INDEX(INDIRECT(""&amp;$B13&amp;"!W2:W628"),MATCH($A13,INDIRECT(""&amp;$B13&amp;"!B2:B628"),0))=0,"",INDEX(INDIRECT(""&amp;$B13&amp;"!W2:W628"),MATCH($A13,INDIRECT(""&amp;$B13&amp;"!B2:B628"),0)))</f>
        <v/>
      </c>
    </row>
    <row r="14" spans="1:17" x14ac:dyDescent="0.35">
      <c r="A14" s="157" t="s">
        <v>342</v>
      </c>
      <c r="B14" s="157" t="s">
        <v>26</v>
      </c>
      <c r="C14" s="157">
        <f ca="1">IFERROR(INDEX(BYEs!$B$2:$B$33,MATCH(D14,BYEs!$A$2:$A$33,0)),"N/A")</f>
        <v>12</v>
      </c>
      <c r="D14" s="214" t="str">
        <f t="shared" ca="1" si="0"/>
        <v>BUF</v>
      </c>
      <c r="E14" s="213" t="str">
        <f t="shared" ca="1" si="1"/>
        <v>QB1</v>
      </c>
      <c r="F14" s="158">
        <f ca="1">IF(LeagueInfo!$H$7="Starter/Bench",INDEX(INDIRECT(""&amp;B14&amp;"!T2:T628"),MATCH(A14,INDIRECT(""&amp;B14&amp;"!B2:B628"),0)),INDEX(INDIRECT(""&amp;B14&amp;"!AB2:AB628"),MATCH(A14,INDIRECT(""&amp;B14&amp;"!B2:B628"),0)))</f>
        <v>46.212739638769918</v>
      </c>
      <c r="G14" s="159">
        <f t="shared" si="2"/>
        <v>0</v>
      </c>
      <c r="H14" s="160"/>
      <c r="I14" s="159">
        <f t="shared" ca="1" si="3"/>
        <v>46.212739638769918</v>
      </c>
      <c r="J14" s="159" t="s">
        <v>73</v>
      </c>
      <c r="K14" s="159">
        <f>IF(LeagueInfo!$F$7="Yahoo",IFERROR(INDEX(DefaultAuctionValues!$B$2:$B$331,MATCH(A14,DefaultAuctionValues!$A$2:$A$331,0)),0),IF(LeagueInfo!$F$7="ESPN",IFERROR(INDEX(DefaultAuctionValues!$C$2:$C$331,MATCH(A14,DefaultAuctionValues!$A$2:$A$331,0)),0),IF(LeagueInfo!$F$7="Custom",IFERROR(INDEX(DefaultAuctionValues!$D$2:$D$331,MATCH(A14,DefaultAuctionValues!$A$2:$A$331,0)),0))))</f>
        <v>29.9</v>
      </c>
      <c r="L14" s="159">
        <f t="shared" ca="1" si="4"/>
        <v>16.312739638769919</v>
      </c>
      <c r="M14" s="171"/>
      <c r="N14" s="166">
        <f t="shared" ca="1" si="5"/>
        <v>144.71600000000001</v>
      </c>
      <c r="O14" s="157" t="str">
        <f t="shared" ca="1" si="6"/>
        <v/>
      </c>
    </row>
    <row r="15" spans="1:17" x14ac:dyDescent="0.35">
      <c r="A15" s="157" t="s">
        <v>513</v>
      </c>
      <c r="B15" s="157" t="s">
        <v>26</v>
      </c>
      <c r="C15" s="157">
        <f ca="1">IFERROR(INDEX(BYEs!$B$2:$B$33,MATCH(D15,BYEs!$A$2:$A$33,0)),"N/A")</f>
        <v>5</v>
      </c>
      <c r="D15" s="214" t="str">
        <f t="shared" ca="1" si="0"/>
        <v>PHI</v>
      </c>
      <c r="E15" s="213" t="str">
        <f t="shared" ca="1" si="1"/>
        <v>QB1</v>
      </c>
      <c r="F15" s="158">
        <f ca="1">IF(LeagueInfo!$H$7="Starter/Bench",INDEX(INDIRECT(""&amp;B15&amp;"!T2:T628"),MATCH(A15,INDIRECT(""&amp;B15&amp;"!B2:B628"),0)),INDEX(INDIRECT(""&amp;B15&amp;"!AB2:AB628"),MATCH(A15,INDIRECT(""&amp;B15&amp;"!B2:B628"),0)))</f>
        <v>46.149501291414488</v>
      </c>
      <c r="G15" s="159">
        <f t="shared" si="2"/>
        <v>0</v>
      </c>
      <c r="H15" s="160"/>
      <c r="I15" s="159">
        <f t="shared" ca="1" si="3"/>
        <v>46.149501291414488</v>
      </c>
      <c r="J15" s="159" t="s">
        <v>73</v>
      </c>
      <c r="K15" s="159">
        <f>IF(LeagueInfo!$F$7="Yahoo",IFERROR(INDEX(DefaultAuctionValues!$B$2:$B$331,MATCH(A15,DefaultAuctionValues!$A$2:$A$331,0)),0),IF(LeagueInfo!$F$7="ESPN",IFERROR(INDEX(DefaultAuctionValues!$C$2:$C$331,MATCH(A15,DefaultAuctionValues!$A$2:$A$331,0)),0),IF(LeagueInfo!$F$7="Custom",IFERROR(INDEX(DefaultAuctionValues!$D$2:$D$331,MATCH(A15,DefaultAuctionValues!$A$2:$A$331,0)),0))))</f>
        <v>21</v>
      </c>
      <c r="L15" s="159">
        <f t="shared" ca="1" si="4"/>
        <v>25.149501291414488</v>
      </c>
      <c r="M15" s="171"/>
      <c r="N15" s="166">
        <f t="shared" ca="1" si="5"/>
        <v>144.51599999999996</v>
      </c>
      <c r="O15" s="157" t="str">
        <f t="shared" ca="1" si="6"/>
        <v/>
      </c>
    </row>
    <row r="16" spans="1:17" x14ac:dyDescent="0.35">
      <c r="A16" s="157" t="s">
        <v>488</v>
      </c>
      <c r="B16" s="157" t="s">
        <v>32</v>
      </c>
      <c r="C16" s="157">
        <f ca="1">IFERROR(INDEX(BYEs!$B$2:$B$33,MATCH(D16,BYEs!$A$2:$A$33,0)),"N/A")</f>
        <v>7</v>
      </c>
      <c r="D16" s="214" t="str">
        <f t="shared" ca="1" si="0"/>
        <v>DAL</v>
      </c>
      <c r="E16" s="213" t="str">
        <f t="shared" ca="1" si="1"/>
        <v>WR1</v>
      </c>
      <c r="F16" s="158">
        <f ca="1">IF(LeagueInfo!$H$7="Starter/Bench",INDEX(INDIRECT(""&amp;B16&amp;"!T2:T628"),MATCH(A16,INDIRECT(""&amp;B16&amp;"!B2:B628"),0)),INDEX(INDIRECT(""&amp;B16&amp;"!AB2:AB628"),MATCH(A16,INDIRECT(""&amp;B16&amp;"!B2:B628"),0)))</f>
        <v>43.112172959634535</v>
      </c>
      <c r="G16" s="159">
        <f t="shared" si="2"/>
        <v>0</v>
      </c>
      <c r="H16" s="160"/>
      <c r="I16" s="159">
        <f t="shared" ca="1" si="3"/>
        <v>43.112172959634535</v>
      </c>
      <c r="J16" s="159" t="s">
        <v>73</v>
      </c>
      <c r="K16" s="159">
        <f>IF(LeagueInfo!$F$7="Yahoo",IFERROR(INDEX(DefaultAuctionValues!$B$2:$B$331,MATCH(A16,DefaultAuctionValues!$A$2:$A$331,0)),0),IF(LeagueInfo!$F$7="ESPN",IFERROR(INDEX(DefaultAuctionValues!$C$2:$C$331,MATCH(A16,DefaultAuctionValues!$A$2:$A$331,0)),0),IF(LeagueInfo!$F$7="Custom",IFERROR(INDEX(DefaultAuctionValues!$D$2:$D$331,MATCH(A16,DefaultAuctionValues!$A$2:$A$331,0)),0))))</f>
        <v>65.8</v>
      </c>
      <c r="L16" s="159">
        <f t="shared" ca="1" si="4"/>
        <v>-22.687827040365462</v>
      </c>
      <c r="M16" s="171"/>
      <c r="N16" s="166">
        <f t="shared" ca="1" si="5"/>
        <v>135.19</v>
      </c>
      <c r="O16" s="157" t="str">
        <f t="shared" ca="1" si="6"/>
        <v/>
      </c>
    </row>
    <row r="17" spans="1:15" x14ac:dyDescent="0.35">
      <c r="A17" s="157" t="s">
        <v>613</v>
      </c>
      <c r="B17" s="157" t="s">
        <v>25</v>
      </c>
      <c r="C17" s="157">
        <f ca="1">IFERROR(INDEX(BYEs!$B$2:$B$33,MATCH(D17,BYEs!$A$2:$A$33,0)),"N/A")</f>
        <v>12</v>
      </c>
      <c r="D17" s="214" t="str">
        <f t="shared" ca="1" si="0"/>
        <v>NYJ</v>
      </c>
      <c r="E17" s="213" t="str">
        <f t="shared" ca="1" si="1"/>
        <v>RB2</v>
      </c>
      <c r="F17" s="158">
        <f ca="1">IF(LeagueInfo!$H$7="Starter/Bench",INDEX(INDIRECT(""&amp;B17&amp;"!T2:T628"),MATCH(A17,INDIRECT(""&amp;B17&amp;"!B2:B628"),0)),INDEX(INDIRECT(""&amp;B17&amp;"!AB2:AB628"),MATCH(A17,INDIRECT(""&amp;B17&amp;"!B2:B628"),0)))</f>
        <v>42.925270904814283</v>
      </c>
      <c r="G17" s="159">
        <f t="shared" si="2"/>
        <v>0</v>
      </c>
      <c r="H17" s="160"/>
      <c r="I17" s="159">
        <f t="shared" ca="1" si="3"/>
        <v>42.925270904814283</v>
      </c>
      <c r="J17" s="159" t="s">
        <v>73</v>
      </c>
      <c r="K17" s="159">
        <f>IF(LeagueInfo!$F$7="Yahoo",IFERROR(INDEX(DefaultAuctionValues!$B$2:$B$331,MATCH(A17,DefaultAuctionValues!$A$2:$A$331,0)),0),IF(LeagueInfo!$F$7="ESPN",IFERROR(INDEX(DefaultAuctionValues!$C$2:$C$331,MATCH(A17,DefaultAuctionValues!$A$2:$A$331,0)),0),IF(LeagueInfo!$F$7="Custom",IFERROR(INDEX(DefaultAuctionValues!$D$2:$D$331,MATCH(A17,DefaultAuctionValues!$A$2:$A$331,0)),0))))</f>
        <v>64.8</v>
      </c>
      <c r="L17" s="159">
        <f t="shared" ca="1" si="4"/>
        <v>-21.874729095185714</v>
      </c>
      <c r="M17" s="171"/>
      <c r="N17" s="166">
        <f t="shared" ca="1" si="5"/>
        <v>134.45999999999998</v>
      </c>
      <c r="O17" s="157" t="str">
        <f t="shared" ca="1" si="6"/>
        <v/>
      </c>
    </row>
    <row r="18" spans="1:15" x14ac:dyDescent="0.35">
      <c r="A18" s="157" t="s">
        <v>102</v>
      </c>
      <c r="B18" s="157" t="s">
        <v>32</v>
      </c>
      <c r="C18" s="157">
        <f ca="1">IFERROR(INDEX(BYEs!$B$2:$B$33,MATCH(D18,BYEs!$A$2:$A$33,0)),"N/A")</f>
        <v>6</v>
      </c>
      <c r="D18" s="214" t="str">
        <f t="shared" ca="1" si="0"/>
        <v>MIA</v>
      </c>
      <c r="E18" s="213" t="str">
        <f t="shared" ca="1" si="1"/>
        <v>WR1</v>
      </c>
      <c r="F18" s="158">
        <f ca="1">IF(LeagueInfo!$H$7="Starter/Bench",INDEX(INDIRECT(""&amp;B18&amp;"!T2:T628"),MATCH(A18,INDIRECT(""&amp;B18&amp;"!B2:B628"),0)),INDEX(INDIRECT(""&amp;B18&amp;"!AB2:AB628"),MATCH(A18,INDIRECT(""&amp;B18&amp;"!B2:B628"),0)))</f>
        <v>41.844244095158402</v>
      </c>
      <c r="G18" s="159">
        <f t="shared" si="2"/>
        <v>0</v>
      </c>
      <c r="H18" s="160"/>
      <c r="I18" s="159">
        <f t="shared" ca="1" si="3"/>
        <v>41.844244095158402</v>
      </c>
      <c r="J18" s="159" t="s">
        <v>73</v>
      </c>
      <c r="K18" s="159">
        <f>IF(LeagueInfo!$F$7="Yahoo",IFERROR(INDEX(DefaultAuctionValues!$B$2:$B$331,MATCH(A18,DefaultAuctionValues!$A$2:$A$331,0)),0),IF(LeagueInfo!$F$7="ESPN",IFERROR(INDEX(DefaultAuctionValues!$C$2:$C$331,MATCH(A18,DefaultAuctionValues!$A$2:$A$331,0)),0),IF(LeagueInfo!$F$7="Custom",IFERROR(INDEX(DefaultAuctionValues!$D$2:$D$331,MATCH(A18,DefaultAuctionValues!$A$2:$A$331,0)),0))))</f>
        <v>66.7</v>
      </c>
      <c r="L18" s="159">
        <f t="shared" ca="1" si="4"/>
        <v>-24.855755904841601</v>
      </c>
      <c r="M18" s="171"/>
      <c r="N18" s="166">
        <f t="shared" ca="1" si="5"/>
        <v>131.18</v>
      </c>
      <c r="O18" s="157" t="str">
        <f t="shared" ca="1" si="6"/>
        <v/>
      </c>
    </row>
    <row r="19" spans="1:15" x14ac:dyDescent="0.35">
      <c r="A19" s="157" t="s">
        <v>710</v>
      </c>
      <c r="B19" s="157" t="s">
        <v>25</v>
      </c>
      <c r="C19" s="157">
        <f ca="1">IFERROR(INDEX(BYEs!$B$2:$B$33,MATCH(D19,BYEs!$A$2:$A$33,0)),"N/A")</f>
        <v>12</v>
      </c>
      <c r="D19" s="214" t="str">
        <f t="shared" ca="1" si="0"/>
        <v>ATL</v>
      </c>
      <c r="E19" s="213" t="str">
        <f t="shared" ca="1" si="1"/>
        <v>RB2</v>
      </c>
      <c r="F19" s="158">
        <f ca="1">IF(LeagueInfo!$H$7="Starter/Bench",INDEX(INDIRECT(""&amp;B19&amp;"!T2:T628"),MATCH(A19,INDIRECT(""&amp;B19&amp;"!B2:B628"),0)),INDEX(INDIRECT(""&amp;B19&amp;"!AB2:AB628"),MATCH(A19,INDIRECT(""&amp;B19&amp;"!B2:B628"),0)))</f>
        <v>41.451817411433041</v>
      </c>
      <c r="G19" s="159">
        <f t="shared" si="2"/>
        <v>0</v>
      </c>
      <c r="H19" s="160"/>
      <c r="I19" s="159">
        <f t="shared" ca="1" si="3"/>
        <v>41.451817411433041</v>
      </c>
      <c r="J19" s="159" t="s">
        <v>73</v>
      </c>
      <c r="K19" s="159">
        <f>IF(LeagueInfo!$F$7="Yahoo",IFERROR(INDEX(DefaultAuctionValues!$B$2:$B$331,MATCH(A19,DefaultAuctionValues!$A$2:$A$331,0)),0),IF(LeagueInfo!$F$7="ESPN",IFERROR(INDEX(DefaultAuctionValues!$C$2:$C$331,MATCH(A19,DefaultAuctionValues!$A$2:$A$331,0)),0),IF(LeagueInfo!$F$7="Custom",IFERROR(INDEX(DefaultAuctionValues!$D$2:$D$331,MATCH(A19,DefaultAuctionValues!$A$2:$A$331,0)),0))))</f>
        <v>64.2</v>
      </c>
      <c r="L19" s="159">
        <f t="shared" ca="1" si="4"/>
        <v>-22.748182588566962</v>
      </c>
      <c r="M19" s="171"/>
      <c r="N19" s="166">
        <f t="shared" ca="1" si="5"/>
        <v>129.80000000000001</v>
      </c>
      <c r="O19" s="157" t="str">
        <f t="shared" ca="1" si="6"/>
        <v/>
      </c>
    </row>
    <row r="20" spans="1:15" x14ac:dyDescent="0.35">
      <c r="A20" s="157" t="s">
        <v>345</v>
      </c>
      <c r="B20" s="157" t="s">
        <v>26</v>
      </c>
      <c r="C20" s="157">
        <f ca="1">IFERROR(INDEX(BYEs!$B$2:$B$33,MATCH(D20,BYEs!$A$2:$A$33,0)),"N/A")</f>
        <v>14</v>
      </c>
      <c r="D20" s="214" t="str">
        <f t="shared" ca="1" si="0"/>
        <v>BAL</v>
      </c>
      <c r="E20" s="213" t="str">
        <f t="shared" ca="1" si="1"/>
        <v>QB1</v>
      </c>
      <c r="F20" s="158">
        <f ca="1">IF(LeagueInfo!$H$7="Starter/Bench",INDEX(INDIRECT(""&amp;B20&amp;"!T2:T628"),MATCH(A20,INDIRECT(""&amp;B20&amp;"!B2:B628"),0)),INDEX(INDIRECT(""&amp;B20&amp;"!AB2:AB628"),MATCH(A20,INDIRECT(""&amp;B20&amp;"!B2:B628"),0)))</f>
        <v>39.489870931415389</v>
      </c>
      <c r="G20" s="159">
        <f t="shared" si="2"/>
        <v>0</v>
      </c>
      <c r="H20" s="160"/>
      <c r="I20" s="159">
        <f t="shared" ca="1" si="3"/>
        <v>39.489870931415389</v>
      </c>
      <c r="J20" s="159" t="s">
        <v>73</v>
      </c>
      <c r="K20" s="159">
        <f>IF(LeagueInfo!$F$7="Yahoo",IFERROR(INDEX(DefaultAuctionValues!$B$2:$B$331,MATCH(A20,DefaultAuctionValues!$A$2:$A$331,0)),0),IF(LeagueInfo!$F$7="ESPN",IFERROR(INDEX(DefaultAuctionValues!$C$2:$C$331,MATCH(A20,DefaultAuctionValues!$A$2:$A$331,0)),0),IF(LeagueInfo!$F$7="Custom",IFERROR(INDEX(DefaultAuctionValues!$D$2:$D$331,MATCH(A20,DefaultAuctionValues!$A$2:$A$331,0)),0))))</f>
        <v>17.8</v>
      </c>
      <c r="L20" s="159">
        <f t="shared" ca="1" si="4"/>
        <v>21.689870931415388</v>
      </c>
      <c r="M20" s="171"/>
      <c r="N20" s="166">
        <f t="shared" ca="1" si="5"/>
        <v>123.45400000000002</v>
      </c>
      <c r="O20" s="157" t="str">
        <f t="shared" ca="1" si="6"/>
        <v/>
      </c>
    </row>
    <row r="21" spans="1:15" x14ac:dyDescent="0.35">
      <c r="A21" s="157" t="s">
        <v>531</v>
      </c>
      <c r="B21" s="157" t="s">
        <v>26</v>
      </c>
      <c r="C21" s="157">
        <f ca="1">IFERROR(INDEX(BYEs!$B$2:$B$33,MATCH(D21,BYEs!$A$2:$A$33,0)),"N/A")</f>
        <v>6</v>
      </c>
      <c r="D21" s="214" t="str">
        <f t="shared" ca="1" si="0"/>
        <v>KC</v>
      </c>
      <c r="E21" s="213" t="str">
        <f t="shared" ca="1" si="1"/>
        <v>QB2</v>
      </c>
      <c r="F21" s="158">
        <f ca="1">IF(LeagueInfo!$H$7="Starter/Bench",INDEX(INDIRECT(""&amp;B21&amp;"!T2:T628"),MATCH(A21,INDIRECT(""&amp;B21&amp;"!B2:B628"),0)),INDEX(INDIRECT(""&amp;B21&amp;"!AB2:AB628"),MATCH(A21,INDIRECT(""&amp;B21&amp;"!B2:B628"),0)))</f>
        <v>38.668404799268501</v>
      </c>
      <c r="G21" s="159">
        <f t="shared" si="2"/>
        <v>0</v>
      </c>
      <c r="H21" s="160"/>
      <c r="I21" s="159">
        <f t="shared" ca="1" si="3"/>
        <v>38.668404799268501</v>
      </c>
      <c r="J21" s="159" t="s">
        <v>73</v>
      </c>
      <c r="K21" s="159">
        <f>IF(LeagueInfo!$F$7="Yahoo",IFERROR(INDEX(DefaultAuctionValues!$B$2:$B$331,MATCH(A21,DefaultAuctionValues!$A$2:$A$331,0)),0),IF(LeagueInfo!$F$7="ESPN",IFERROR(INDEX(DefaultAuctionValues!$C$2:$C$331,MATCH(A21,DefaultAuctionValues!$A$2:$A$331,0)),0),IF(LeagueInfo!$F$7="Custom",IFERROR(INDEX(DefaultAuctionValues!$D$2:$D$331,MATCH(A21,DefaultAuctionValues!$A$2:$A$331,0)),0))))</f>
        <v>19.5</v>
      </c>
      <c r="L21" s="159">
        <f t="shared" ca="1" si="4"/>
        <v>19.168404799268501</v>
      </c>
      <c r="M21" s="171"/>
      <c r="N21" s="166">
        <f t="shared" ca="1" si="5"/>
        <v>120.85600000000001</v>
      </c>
      <c r="O21" s="157" t="str">
        <f t="shared" ca="1" si="6"/>
        <v/>
      </c>
    </row>
    <row r="22" spans="1:15" x14ac:dyDescent="0.35">
      <c r="A22" s="157" t="s">
        <v>351</v>
      </c>
      <c r="B22" s="157" t="s">
        <v>25</v>
      </c>
      <c r="C22" s="157">
        <f ca="1">IFERROR(INDEX(BYEs!$B$2:$B$33,MATCH(D22,BYEs!$A$2:$A$33,0)),"N/A")</f>
        <v>5</v>
      </c>
      <c r="D22" s="214" t="str">
        <f t="shared" ca="1" si="0"/>
        <v>PHI</v>
      </c>
      <c r="E22" s="213" t="str">
        <f t="shared" ca="1" si="1"/>
        <v>RB3</v>
      </c>
      <c r="F22" s="158">
        <f ca="1">IF(LeagueInfo!$H$7="Starter/Bench",INDEX(INDIRECT(""&amp;B22&amp;"!T2:T628"),MATCH(A22,INDIRECT(""&amp;B22&amp;"!B2:B628"),0)),INDEX(INDIRECT(""&amp;B22&amp;"!AB2:AB628"),MATCH(A22,INDIRECT(""&amp;B22&amp;"!B2:B628"),0)))</f>
        <v>34.625237814415613</v>
      </c>
      <c r="G22" s="159">
        <f t="shared" si="2"/>
        <v>0</v>
      </c>
      <c r="H22" s="160"/>
      <c r="I22" s="159">
        <f t="shared" ca="1" si="3"/>
        <v>34.625237814415613</v>
      </c>
      <c r="J22" s="159" t="s">
        <v>73</v>
      </c>
      <c r="K22" s="159">
        <f>IF(LeagueInfo!$F$7="Yahoo",IFERROR(INDEX(DefaultAuctionValues!$B$2:$B$331,MATCH(A22,DefaultAuctionValues!$A$2:$A$331,0)),0),IF(LeagueInfo!$F$7="ESPN",IFERROR(INDEX(DefaultAuctionValues!$C$2:$C$331,MATCH(A22,DefaultAuctionValues!$A$2:$A$331,0)),0),IF(LeagueInfo!$F$7="Custom",IFERROR(INDEX(DefaultAuctionValues!$D$2:$D$331,MATCH(A22,DefaultAuctionValues!$A$2:$A$331,0)),0))))</f>
        <v>47.6</v>
      </c>
      <c r="L22" s="159">
        <f t="shared" ca="1" si="4"/>
        <v>-12.974762185584389</v>
      </c>
      <c r="M22" s="171"/>
      <c r="N22" s="166">
        <f t="shared" ca="1" si="5"/>
        <v>108.20999999999997</v>
      </c>
      <c r="O22" s="157" t="str">
        <f t="shared" ca="1" si="6"/>
        <v/>
      </c>
    </row>
    <row r="23" spans="1:15" x14ac:dyDescent="0.35">
      <c r="A23" s="157" t="s">
        <v>516</v>
      </c>
      <c r="B23" s="157" t="s">
        <v>25</v>
      </c>
      <c r="C23" s="157">
        <f ca="1">IFERROR(INDEX(BYEs!$B$2:$B$33,MATCH(D23,BYEs!$A$2:$A$33,0)),"N/A")</f>
        <v>14</v>
      </c>
      <c r="D23" s="214" t="str">
        <f t="shared" ca="1" si="0"/>
        <v>IND</v>
      </c>
      <c r="E23" s="213" t="str">
        <f t="shared" ca="1" si="1"/>
        <v>RB3</v>
      </c>
      <c r="F23" s="158">
        <f ca="1">IF(LeagueInfo!$H$7="Starter/Bench",INDEX(INDIRECT(""&amp;B23&amp;"!T2:T628"),MATCH(A23,INDIRECT(""&amp;B23&amp;"!B2:B628"),0)),INDEX(INDIRECT(""&amp;B23&amp;"!AB2:AB628"),MATCH(A23,INDIRECT(""&amp;B23&amp;"!B2:B628"),0)))</f>
        <v>34.426037020246042</v>
      </c>
      <c r="G23" s="159">
        <f t="shared" si="2"/>
        <v>0</v>
      </c>
      <c r="H23" s="160"/>
      <c r="I23" s="159">
        <f t="shared" ca="1" si="3"/>
        <v>34.426037020246042</v>
      </c>
      <c r="J23" s="159" t="s">
        <v>73</v>
      </c>
      <c r="K23" s="159">
        <f>IF(LeagueInfo!$F$7="Yahoo",IFERROR(INDEX(DefaultAuctionValues!$B$2:$B$331,MATCH(A23,DefaultAuctionValues!$A$2:$A$331,0)),0),IF(LeagueInfo!$F$7="ESPN",IFERROR(INDEX(DefaultAuctionValues!$C$2:$C$331,MATCH(A23,DefaultAuctionValues!$A$2:$A$331,0)),0),IF(LeagueInfo!$F$7="Custom",IFERROR(INDEX(DefaultAuctionValues!$D$2:$D$331,MATCH(A23,DefaultAuctionValues!$A$2:$A$331,0)),0))))</f>
        <v>53.2</v>
      </c>
      <c r="L23" s="159">
        <f t="shared" ca="1" si="4"/>
        <v>-18.773962979753961</v>
      </c>
      <c r="M23" s="171"/>
      <c r="N23" s="166">
        <f t="shared" ca="1" si="5"/>
        <v>107.57999999999997</v>
      </c>
      <c r="O23" s="157" t="str">
        <f t="shared" ca="1" si="6"/>
        <v/>
      </c>
    </row>
    <row r="24" spans="1:15" x14ac:dyDescent="0.35">
      <c r="A24" s="157" t="s">
        <v>550</v>
      </c>
      <c r="B24" s="157" t="s">
        <v>32</v>
      </c>
      <c r="C24" s="157">
        <f ca="1">IFERROR(INDEX(BYEs!$B$2:$B$33,MATCH(D24,BYEs!$A$2:$A$33,0)),"N/A")</f>
        <v>12</v>
      </c>
      <c r="D24" s="214" t="str">
        <f t="shared" ca="1" si="0"/>
        <v>CIN</v>
      </c>
      <c r="E24" s="213" t="str">
        <f t="shared" ca="1" si="1"/>
        <v>WR2</v>
      </c>
      <c r="F24" s="158">
        <f ca="1">IF(LeagueInfo!$H$7="Starter/Bench",INDEX(INDIRECT(""&amp;B24&amp;"!T2:T628"),MATCH(A24,INDIRECT(""&amp;B24&amp;"!B2:B628"),0)),INDEX(INDIRECT(""&amp;B24&amp;"!AB2:AB628"),MATCH(A24,INDIRECT(""&amp;B24&amp;"!B2:B628"),0)))</f>
        <v>33.468324987933237</v>
      </c>
      <c r="G24" s="159">
        <f t="shared" si="2"/>
        <v>0</v>
      </c>
      <c r="H24" s="160"/>
      <c r="I24" s="159">
        <f t="shared" ca="1" si="3"/>
        <v>33.468324987933237</v>
      </c>
      <c r="J24" s="159" t="s">
        <v>73</v>
      </c>
      <c r="K24" s="159">
        <f>IF(LeagueInfo!$F$7="Yahoo",IFERROR(INDEX(DefaultAuctionValues!$B$2:$B$331,MATCH(A24,DefaultAuctionValues!$A$2:$A$331,0)),0),IF(LeagueInfo!$F$7="ESPN",IFERROR(INDEX(DefaultAuctionValues!$C$2:$C$331,MATCH(A24,DefaultAuctionValues!$A$2:$A$331,0)),0),IF(LeagueInfo!$F$7="Custom",IFERROR(INDEX(DefaultAuctionValues!$D$2:$D$331,MATCH(A24,DefaultAuctionValues!$A$2:$A$331,0)),0))))</f>
        <v>60.8</v>
      </c>
      <c r="L24" s="159">
        <f t="shared" ca="1" si="4"/>
        <v>-27.331675012066761</v>
      </c>
      <c r="M24" s="171"/>
      <c r="N24" s="166">
        <f t="shared" ca="1" si="5"/>
        <v>104.69000000000001</v>
      </c>
      <c r="O24" s="157" t="str">
        <f t="shared" ca="1" si="6"/>
        <v/>
      </c>
    </row>
    <row r="25" spans="1:15" x14ac:dyDescent="0.35">
      <c r="A25" s="157" t="s">
        <v>557</v>
      </c>
      <c r="B25" s="157" t="s">
        <v>32</v>
      </c>
      <c r="C25" s="157">
        <f ca="1">IFERROR(INDEX(BYEs!$B$2:$B$33,MATCH(D25,BYEs!$A$2:$A$33,0)),"N/A")</f>
        <v>5</v>
      </c>
      <c r="D25" s="214" t="str">
        <f t="shared" ca="1" si="0"/>
        <v>DET</v>
      </c>
      <c r="E25" s="213" t="str">
        <f t="shared" ca="1" si="1"/>
        <v>WR2</v>
      </c>
      <c r="F25" s="158">
        <f ca="1">IF(LeagueInfo!$H$7="Starter/Bench",INDEX(INDIRECT(""&amp;B25&amp;"!T2:T628"),MATCH(A25,INDIRECT(""&amp;B25&amp;"!B2:B628"),0)),INDEX(INDIRECT(""&amp;B25&amp;"!AB2:AB628"),MATCH(A25,INDIRECT(""&amp;B25&amp;"!B2:B628"),0)))</f>
        <v>32.734760158610371</v>
      </c>
      <c r="G25" s="159">
        <f t="shared" si="2"/>
        <v>0</v>
      </c>
      <c r="H25" s="160"/>
      <c r="I25" s="159">
        <f t="shared" ca="1" si="3"/>
        <v>32.734760158610371</v>
      </c>
      <c r="J25" s="159" t="s">
        <v>73</v>
      </c>
      <c r="K25" s="159">
        <f>IF(LeagueInfo!$F$7="Yahoo",IFERROR(INDEX(DefaultAuctionValues!$B$2:$B$331,MATCH(A25,DefaultAuctionValues!$A$2:$A$331,0)),0),IF(LeagueInfo!$F$7="ESPN",IFERROR(INDEX(DefaultAuctionValues!$C$2:$C$331,MATCH(A25,DefaultAuctionValues!$A$2:$A$331,0)),0),IF(LeagueInfo!$F$7="Custom",IFERROR(INDEX(DefaultAuctionValues!$D$2:$D$331,MATCH(A25,DefaultAuctionValues!$A$2:$A$331,0)),0))))</f>
        <v>59.9</v>
      </c>
      <c r="L25" s="159">
        <f t="shared" ca="1" si="4"/>
        <v>-27.165239841389628</v>
      </c>
      <c r="M25" s="171"/>
      <c r="N25" s="166">
        <f t="shared" ca="1" si="5"/>
        <v>102.36999999999996</v>
      </c>
      <c r="O25" s="157" t="str">
        <f t="shared" ca="1" si="6"/>
        <v/>
      </c>
    </row>
    <row r="26" spans="1:15" x14ac:dyDescent="0.35">
      <c r="A26" s="157" t="s">
        <v>490</v>
      </c>
      <c r="B26" s="157" t="s">
        <v>32</v>
      </c>
      <c r="C26" s="157">
        <f ca="1">IFERROR(INDEX(BYEs!$B$2:$B$33,MATCH(D26,BYEs!$A$2:$A$33,0)),"N/A")</f>
        <v>6</v>
      </c>
      <c r="D26" s="214" t="str">
        <f t="shared" ca="1" si="0"/>
        <v>MIN</v>
      </c>
      <c r="E26" s="213" t="str">
        <f t="shared" ca="1" si="1"/>
        <v>WR2</v>
      </c>
      <c r="F26" s="158">
        <f ca="1">IF(LeagueInfo!$H$7="Starter/Bench",INDEX(INDIRECT(""&amp;B26&amp;"!T2:T628"),MATCH(A26,INDIRECT(""&amp;B26&amp;"!B2:B628"),0)),INDEX(INDIRECT(""&amp;B26&amp;"!AB2:AB628"),MATCH(A26,INDIRECT(""&amp;B26&amp;"!B2:B628"),0)))</f>
        <v>32.279444057651361</v>
      </c>
      <c r="G26" s="159">
        <f t="shared" si="2"/>
        <v>0</v>
      </c>
      <c r="H26" s="160"/>
      <c r="I26" s="159">
        <f t="shared" ca="1" si="3"/>
        <v>32.279444057651361</v>
      </c>
      <c r="J26" s="159" t="s">
        <v>73</v>
      </c>
      <c r="K26" s="159">
        <f>IF(LeagueInfo!$F$7="Yahoo",IFERROR(INDEX(DefaultAuctionValues!$B$2:$B$331,MATCH(A26,DefaultAuctionValues!$A$2:$A$331,0)),0),IF(LeagueInfo!$F$7="ESPN",IFERROR(INDEX(DefaultAuctionValues!$C$2:$C$331,MATCH(A26,DefaultAuctionValues!$A$2:$A$331,0)),0),IF(LeagueInfo!$F$7="Custom",IFERROR(INDEX(DefaultAuctionValues!$D$2:$D$331,MATCH(A26,DefaultAuctionValues!$A$2:$A$331,0)),0))))</f>
        <v>60.5</v>
      </c>
      <c r="L26" s="159">
        <f t="shared" ca="1" si="4"/>
        <v>-28.220555942348639</v>
      </c>
      <c r="M26" s="171"/>
      <c r="N26" s="166">
        <f t="shared" ca="1" si="5"/>
        <v>100.92999999999998</v>
      </c>
      <c r="O26" s="157" t="str">
        <f t="shared" ca="1" si="6"/>
        <v/>
      </c>
    </row>
    <row r="27" spans="1:15" x14ac:dyDescent="0.35">
      <c r="A27" s="157" t="s">
        <v>734</v>
      </c>
      <c r="B27" s="157" t="s">
        <v>26</v>
      </c>
      <c r="C27" s="157">
        <f ca="1">IFERROR(INDEX(BYEs!$B$2:$B$33,MATCH(D27,BYEs!$A$2:$A$33,0)),"N/A")</f>
        <v>14</v>
      </c>
      <c r="D27" s="214" t="str">
        <f t="shared" ca="1" si="0"/>
        <v>IND</v>
      </c>
      <c r="E27" s="213" t="str">
        <f t="shared" ca="1" si="1"/>
        <v>QB2</v>
      </c>
      <c r="F27" s="158">
        <f ca="1">IF(LeagueInfo!$H$7="Starter/Bench",INDEX(INDIRECT(""&amp;B27&amp;"!T2:T628"),MATCH(A27,INDIRECT(""&amp;B27&amp;"!B2:B628"),0)),INDEX(INDIRECT(""&amp;B27&amp;"!AB2:AB628"),MATCH(A27,INDIRECT(""&amp;B27&amp;"!B2:B628"),0)))</f>
        <v>30.407579484230212</v>
      </c>
      <c r="G27" s="159">
        <f t="shared" si="2"/>
        <v>0</v>
      </c>
      <c r="H27" s="160"/>
      <c r="I27" s="159">
        <f t="shared" ca="1" si="3"/>
        <v>30.407579484230212</v>
      </c>
      <c r="J27" s="159" t="s">
        <v>73</v>
      </c>
      <c r="K27" s="159">
        <f>IF(LeagueInfo!$F$7="Yahoo",IFERROR(INDEX(DefaultAuctionValues!$B$2:$B$331,MATCH(A27,DefaultAuctionValues!$A$2:$A$331,0)),0),IF(LeagueInfo!$F$7="ESPN",IFERROR(INDEX(DefaultAuctionValues!$C$2:$C$331,MATCH(A27,DefaultAuctionValues!$A$2:$A$331,0)),0),IF(LeagueInfo!$F$7="Custom",IFERROR(INDEX(DefaultAuctionValues!$D$2:$D$331,MATCH(A27,DefaultAuctionValues!$A$2:$A$331,0)),0))))</f>
        <v>11.9</v>
      </c>
      <c r="L27" s="159">
        <f t="shared" ca="1" si="4"/>
        <v>18.507579484230213</v>
      </c>
      <c r="M27" s="171"/>
      <c r="N27" s="166">
        <f t="shared" ca="1" si="5"/>
        <v>94.730000000000032</v>
      </c>
      <c r="O27" s="157" t="str">
        <f t="shared" ca="1" si="6"/>
        <v/>
      </c>
    </row>
    <row r="28" spans="1:15" x14ac:dyDescent="0.35">
      <c r="A28" s="157" t="s">
        <v>115</v>
      </c>
      <c r="B28" s="157" t="s">
        <v>26</v>
      </c>
      <c r="C28" s="157">
        <f ca="1">IFERROR(INDEX(BYEs!$B$2:$B$33,MATCH(D28,BYEs!$A$2:$A$33,0)),"N/A")</f>
        <v>7</v>
      </c>
      <c r="D28" s="214" t="str">
        <f t="shared" ca="1" si="0"/>
        <v>DAL</v>
      </c>
      <c r="E28" s="213" t="str">
        <f t="shared" ca="1" si="1"/>
        <v>QB2</v>
      </c>
      <c r="F28" s="158">
        <f ca="1">IF(LeagueInfo!$H$7="Starter/Bench",INDEX(INDIRECT(""&amp;B28&amp;"!T2:T628"),MATCH(A28,INDIRECT(""&amp;B28&amp;"!B2:B628"),0)),INDEX(INDIRECT(""&amp;B28&amp;"!AB2:AB628"),MATCH(A28,INDIRECT(""&amp;B28&amp;"!B2:B628"),0)))</f>
        <v>29.407148829067459</v>
      </c>
      <c r="G28" s="159">
        <f t="shared" si="2"/>
        <v>0</v>
      </c>
      <c r="H28" s="160"/>
      <c r="I28" s="159">
        <f t="shared" ca="1" si="3"/>
        <v>29.407148829067459</v>
      </c>
      <c r="J28" s="159" t="s">
        <v>73</v>
      </c>
      <c r="K28" s="159">
        <f>IF(LeagueInfo!$F$7="Yahoo",IFERROR(INDEX(DefaultAuctionValues!$B$2:$B$331,MATCH(A28,DefaultAuctionValues!$A$2:$A$331,0)),0),IF(LeagueInfo!$F$7="ESPN",IFERROR(INDEX(DefaultAuctionValues!$C$2:$C$331,MATCH(A28,DefaultAuctionValues!$A$2:$A$331,0)),0),IF(LeagueInfo!$F$7="Custom",IFERROR(INDEX(DefaultAuctionValues!$D$2:$D$331,MATCH(A28,DefaultAuctionValues!$A$2:$A$331,0)),0))))</f>
        <v>4.0999999999999996</v>
      </c>
      <c r="L28" s="159">
        <f t="shared" ca="1" si="4"/>
        <v>25.307148829067458</v>
      </c>
      <c r="M28" s="171"/>
      <c r="N28" s="166">
        <f t="shared" ca="1" si="5"/>
        <v>91.565999999999931</v>
      </c>
      <c r="O28" s="157" t="str">
        <f t="shared" ca="1" si="6"/>
        <v/>
      </c>
    </row>
    <row r="29" spans="1:15" x14ac:dyDescent="0.35">
      <c r="A29" s="157" t="s">
        <v>732</v>
      </c>
      <c r="B29" s="157" t="s">
        <v>26</v>
      </c>
      <c r="C29" s="157">
        <f ca="1">IFERROR(INDEX(BYEs!$B$2:$B$33,MATCH(D29,BYEs!$A$2:$A$33,0)),"N/A")</f>
        <v>14</v>
      </c>
      <c r="D29" s="214" t="str">
        <f t="shared" ca="1" si="0"/>
        <v>HOU</v>
      </c>
      <c r="E29" s="213" t="str">
        <f t="shared" ca="1" si="1"/>
        <v>QB2</v>
      </c>
      <c r="F29" s="158">
        <f ca="1">IF(LeagueInfo!$H$7="Starter/Bench",INDEX(INDIRECT(""&amp;B29&amp;"!T2:T628"),MATCH(A29,INDIRECT(""&amp;B29&amp;"!B2:B628"),0)),INDEX(INDIRECT(""&amp;B29&amp;"!AB2:AB628"),MATCH(A29,INDIRECT(""&amp;B29&amp;"!B2:B628"),0)))</f>
        <v>29.113090513864762</v>
      </c>
      <c r="G29" s="159">
        <f t="shared" si="2"/>
        <v>0</v>
      </c>
      <c r="H29" s="160"/>
      <c r="I29" s="159">
        <f t="shared" ca="1" si="3"/>
        <v>29.113090513864762</v>
      </c>
      <c r="J29" s="159" t="s">
        <v>73</v>
      </c>
      <c r="K29" s="159">
        <f>IF(LeagueInfo!$F$7="Yahoo",IFERROR(INDEX(DefaultAuctionValues!$B$2:$B$331,MATCH(A29,DefaultAuctionValues!$A$2:$A$331,0)),0),IF(LeagueInfo!$F$7="ESPN",IFERROR(INDEX(DefaultAuctionValues!$C$2:$C$331,MATCH(A29,DefaultAuctionValues!$A$2:$A$331,0)),0),IF(LeagueInfo!$F$7="Custom",IFERROR(INDEX(DefaultAuctionValues!$D$2:$D$331,MATCH(A29,DefaultAuctionValues!$A$2:$A$331,0)),0))))</f>
        <v>11</v>
      </c>
      <c r="L29" s="159">
        <f t="shared" ca="1" si="4"/>
        <v>18.113090513864762</v>
      </c>
      <c r="M29" s="171"/>
      <c r="N29" s="166">
        <f t="shared" ca="1" si="5"/>
        <v>90.635999999999925</v>
      </c>
      <c r="O29" s="157" t="str">
        <f t="shared" ca="1" si="6"/>
        <v/>
      </c>
    </row>
    <row r="30" spans="1:15" x14ac:dyDescent="0.35">
      <c r="A30" s="157" t="s">
        <v>107</v>
      </c>
      <c r="B30" s="157" t="s">
        <v>25</v>
      </c>
      <c r="C30" s="157">
        <f ca="1">IFERROR(INDEX(BYEs!$B$2:$B$33,MATCH(D30,BYEs!$A$2:$A$33,0)),"N/A")</f>
        <v>14</v>
      </c>
      <c r="D30" s="214" t="str">
        <f t="shared" ca="1" si="0"/>
        <v>BAL</v>
      </c>
      <c r="E30" s="213" t="str">
        <f t="shared" ca="1" si="1"/>
        <v>RB3</v>
      </c>
      <c r="F30" s="158">
        <f ca="1">IF(LeagueInfo!$H$7="Starter/Bench",INDEX(INDIRECT(""&amp;B30&amp;"!T2:T628"),MATCH(A30,INDIRECT(""&amp;B30&amp;"!B2:B628"),0)),INDEX(INDIRECT(""&amp;B30&amp;"!AB2:AB628"),MATCH(A30,INDIRECT(""&amp;B30&amp;"!B2:B628"),0)))</f>
        <v>28.810471775084892</v>
      </c>
      <c r="G30" s="159">
        <f t="shared" si="2"/>
        <v>0</v>
      </c>
      <c r="H30" s="160"/>
      <c r="I30" s="159">
        <f t="shared" ca="1" si="3"/>
        <v>28.810471775084892</v>
      </c>
      <c r="J30" s="159" t="s">
        <v>73</v>
      </c>
      <c r="K30" s="159">
        <f>IF(LeagueInfo!$F$7="Yahoo",IFERROR(INDEX(DefaultAuctionValues!$B$2:$B$331,MATCH(A30,DefaultAuctionValues!$A$2:$A$331,0)),0),IF(LeagueInfo!$F$7="ESPN",IFERROR(INDEX(DefaultAuctionValues!$C$2:$C$331,MATCH(A30,DefaultAuctionValues!$A$2:$A$331,0)),0),IF(LeagueInfo!$F$7="Custom",IFERROR(INDEX(DefaultAuctionValues!$D$2:$D$331,MATCH(A30,DefaultAuctionValues!$A$2:$A$331,0)),0))))</f>
        <v>44.4</v>
      </c>
      <c r="L30" s="159">
        <f t="shared" ca="1" si="4"/>
        <v>-15.589528224915107</v>
      </c>
      <c r="M30" s="171"/>
      <c r="N30" s="166">
        <f t="shared" ca="1" si="5"/>
        <v>89.819999999999951</v>
      </c>
      <c r="O30" s="157" t="str">
        <f t="shared" ca="1" si="6"/>
        <v/>
      </c>
    </row>
    <row r="31" spans="1:15" x14ac:dyDescent="0.35">
      <c r="A31" s="157" t="s">
        <v>626</v>
      </c>
      <c r="B31" s="157" t="s">
        <v>25</v>
      </c>
      <c r="C31" s="157">
        <f ca="1">IFERROR(INDEX(BYEs!$B$2:$B$33,MATCH(D31,BYEs!$A$2:$A$33,0)),"N/A")</f>
        <v>6</v>
      </c>
      <c r="D31" s="214" t="str">
        <f t="shared" ca="1" si="0"/>
        <v>LAR</v>
      </c>
      <c r="E31" s="213" t="str">
        <f t="shared" ca="1" si="1"/>
        <v>RB3</v>
      </c>
      <c r="F31" s="158">
        <f ca="1">IF(LeagueInfo!$H$7="Starter/Bench",INDEX(INDIRECT(""&amp;B31&amp;"!T2:T628"),MATCH(A31,INDIRECT(""&amp;B31&amp;"!B2:B628"),0)),INDEX(INDIRECT(""&amp;B31&amp;"!AB2:AB628"),MATCH(A31,INDIRECT(""&amp;B31&amp;"!B2:B628"),0)))</f>
        <v>28.687156997741841</v>
      </c>
      <c r="G31" s="159">
        <f t="shared" si="2"/>
        <v>0</v>
      </c>
      <c r="H31" s="160"/>
      <c r="I31" s="159">
        <f t="shared" ca="1" si="3"/>
        <v>28.687156997741841</v>
      </c>
      <c r="J31" s="159" t="s">
        <v>73</v>
      </c>
      <c r="K31" s="159">
        <f>IF(LeagueInfo!$F$7="Yahoo",IFERROR(INDEX(DefaultAuctionValues!$B$2:$B$331,MATCH(A31,DefaultAuctionValues!$A$2:$A$331,0)),0),IF(LeagueInfo!$F$7="ESPN",IFERROR(INDEX(DefaultAuctionValues!$C$2:$C$331,MATCH(A31,DefaultAuctionValues!$A$2:$A$331,0)),0),IF(LeagueInfo!$F$7="Custom",IFERROR(INDEX(DefaultAuctionValues!$D$2:$D$331,MATCH(A31,DefaultAuctionValues!$A$2:$A$331,0)),0))))</f>
        <v>42.3</v>
      </c>
      <c r="L31" s="159">
        <f t="shared" ca="1" si="4"/>
        <v>-13.612843002258156</v>
      </c>
      <c r="M31" s="171"/>
      <c r="N31" s="166">
        <f t="shared" ca="1" si="5"/>
        <v>89.429999999999993</v>
      </c>
      <c r="O31" s="157" t="str">
        <f t="shared" ca="1" si="6"/>
        <v/>
      </c>
    </row>
    <row r="32" spans="1:15" x14ac:dyDescent="0.35">
      <c r="A32" s="157" t="s">
        <v>510</v>
      </c>
      <c r="B32" s="157" t="s">
        <v>26</v>
      </c>
      <c r="C32" s="157">
        <f ca="1">IFERROR(INDEX(BYEs!$B$2:$B$33,MATCH(D32,BYEs!$A$2:$A$33,0)),"N/A")</f>
        <v>12</v>
      </c>
      <c r="D32" s="214" t="str">
        <f t="shared" ca="1" si="0"/>
        <v>CIN</v>
      </c>
      <c r="E32" s="213" t="str">
        <f t="shared" ca="1" si="1"/>
        <v>QB2</v>
      </c>
      <c r="F32" s="158">
        <f ca="1">IF(LeagueInfo!$H$7="Starter/Bench",INDEX(INDIRECT(""&amp;B32&amp;"!T2:T628"),MATCH(A32,INDIRECT(""&amp;B32&amp;"!B2:B628"),0)),INDEX(INDIRECT(""&amp;B32&amp;"!AB2:AB628"),MATCH(A32,INDIRECT(""&amp;B32&amp;"!B2:B628"),0)))</f>
        <v>28.334626457919605</v>
      </c>
      <c r="G32" s="159">
        <f t="shared" si="2"/>
        <v>0</v>
      </c>
      <c r="H32" s="160"/>
      <c r="I32" s="159">
        <f t="shared" ca="1" si="3"/>
        <v>28.334626457919605</v>
      </c>
      <c r="J32" s="159" t="s">
        <v>73</v>
      </c>
      <c r="K32" s="159">
        <f>IF(LeagueInfo!$F$7="Yahoo",IFERROR(INDEX(DefaultAuctionValues!$B$2:$B$331,MATCH(A32,DefaultAuctionValues!$A$2:$A$331,0)),0),IF(LeagueInfo!$F$7="ESPN",IFERROR(INDEX(DefaultAuctionValues!$C$2:$C$331,MATCH(A32,DefaultAuctionValues!$A$2:$A$331,0)),0),IF(LeagueInfo!$F$7="Custom",IFERROR(INDEX(DefaultAuctionValues!$D$2:$D$331,MATCH(A32,DefaultAuctionValues!$A$2:$A$331,0)),0))))</f>
        <v>5.6</v>
      </c>
      <c r="L32" s="159">
        <f t="shared" ca="1" si="4"/>
        <v>22.734626457919603</v>
      </c>
      <c r="M32" s="171"/>
      <c r="N32" s="166">
        <f t="shared" ca="1" si="5"/>
        <v>88.174000000000049</v>
      </c>
      <c r="O32" s="157" t="str">
        <f t="shared" ca="1" si="6"/>
        <v/>
      </c>
    </row>
    <row r="33" spans="1:15" x14ac:dyDescent="0.35">
      <c r="A33" s="157" t="s">
        <v>724</v>
      </c>
      <c r="B33" s="157" t="s">
        <v>25</v>
      </c>
      <c r="C33" s="157">
        <f ca="1">IFERROR(INDEX(BYEs!$B$2:$B$33,MATCH(D33,BYEs!$A$2:$A$33,0)),"N/A")</f>
        <v>5</v>
      </c>
      <c r="D33" s="214" t="str">
        <f t="shared" ca="1" si="0"/>
        <v>DET</v>
      </c>
      <c r="E33" s="213" t="str">
        <f t="shared" ca="1" si="1"/>
        <v>RB4</v>
      </c>
      <c r="F33" s="158">
        <f ca="1">IF(LeagueInfo!$H$7="Starter/Bench",INDEX(INDIRECT(""&amp;B33&amp;"!T2:T628"),MATCH(A33,INDIRECT(""&amp;B33&amp;"!B2:B628"),0)),INDEX(INDIRECT(""&amp;B33&amp;"!AB2:AB628"),MATCH(A33,INDIRECT(""&amp;B33&amp;"!B2:B628"),0)))</f>
        <v>28.124335706278615</v>
      </c>
      <c r="G33" s="159">
        <f t="shared" si="2"/>
        <v>0</v>
      </c>
      <c r="H33" s="160"/>
      <c r="I33" s="159">
        <f t="shared" ca="1" si="3"/>
        <v>28.124335706278615</v>
      </c>
      <c r="J33" s="159" t="s">
        <v>73</v>
      </c>
      <c r="K33" s="159">
        <f>IF(LeagueInfo!$F$7="Yahoo",IFERROR(INDEX(DefaultAuctionValues!$B$2:$B$331,MATCH(A33,DefaultAuctionValues!$A$2:$A$331,0)),0),IF(LeagueInfo!$F$7="ESPN",IFERROR(INDEX(DefaultAuctionValues!$C$2:$C$331,MATCH(A33,DefaultAuctionValues!$A$2:$A$331,0)),0),IF(LeagueInfo!$F$7="Custom",IFERROR(INDEX(DefaultAuctionValues!$D$2:$D$331,MATCH(A33,DefaultAuctionValues!$A$2:$A$331,0)),0))))</f>
        <v>46.3</v>
      </c>
      <c r="L33" s="159">
        <f t="shared" ca="1" si="4"/>
        <v>-18.175664293721383</v>
      </c>
      <c r="M33" s="171"/>
      <c r="N33" s="166">
        <f t="shared" ca="1" si="5"/>
        <v>87.649999999999991</v>
      </c>
      <c r="O33" s="157" t="str">
        <f t="shared" ca="1" si="6"/>
        <v/>
      </c>
    </row>
    <row r="34" spans="1:15" x14ac:dyDescent="0.35">
      <c r="A34" s="157" t="s">
        <v>412</v>
      </c>
      <c r="B34" s="157" t="s">
        <v>26</v>
      </c>
      <c r="C34" s="157">
        <f ca="1">IFERROR(INDEX(BYEs!$B$2:$B$33,MATCH(D34,BYEs!$A$2:$A$33,0)),"N/A")</f>
        <v>11</v>
      </c>
      <c r="D34" s="214" t="str">
        <f t="shared" ca="1" si="0"/>
        <v>ARI</v>
      </c>
      <c r="E34" s="213" t="str">
        <f t="shared" ca="1" si="1"/>
        <v>QB2</v>
      </c>
      <c r="F34" s="158">
        <f ca="1">IF(LeagueInfo!$H$7="Starter/Bench",INDEX(INDIRECT(""&amp;B34&amp;"!T2:T628"),MATCH(A34,INDIRECT(""&amp;B34&amp;"!B2:B628"),0)),INDEX(INDIRECT(""&amp;B34&amp;"!AB2:AB628"),MATCH(A34,INDIRECT(""&amp;B34&amp;"!B2:B628"),0)))</f>
        <v>27.888163725590339</v>
      </c>
      <c r="G34" s="159">
        <f t="shared" si="2"/>
        <v>0</v>
      </c>
      <c r="H34" s="160"/>
      <c r="I34" s="159">
        <f t="shared" ca="1" si="3"/>
        <v>27.888163725590339</v>
      </c>
      <c r="J34" s="159" t="s">
        <v>73</v>
      </c>
      <c r="K34" s="159">
        <f>IF(LeagueInfo!$F$7="Yahoo",IFERROR(INDEX(DefaultAuctionValues!$B$2:$B$331,MATCH(A34,DefaultAuctionValues!$A$2:$A$331,0)),0),IF(LeagueInfo!$F$7="ESPN",IFERROR(INDEX(DefaultAuctionValues!$C$2:$C$331,MATCH(A34,DefaultAuctionValues!$A$2:$A$331,0)),0),IF(LeagueInfo!$F$7="Custom",IFERROR(INDEX(DefaultAuctionValues!$D$2:$D$331,MATCH(A34,DefaultAuctionValues!$A$2:$A$331,0)),0))))</f>
        <v>8.4</v>
      </c>
      <c r="L34" s="159">
        <f t="shared" ca="1" si="4"/>
        <v>19.48816372559034</v>
      </c>
      <c r="M34" s="171"/>
      <c r="N34" s="166">
        <f t="shared" ca="1" si="5"/>
        <v>86.762000000000015</v>
      </c>
      <c r="O34" s="157" t="str">
        <f t="shared" ca="1" si="6"/>
        <v/>
      </c>
    </row>
    <row r="35" spans="1:15" x14ac:dyDescent="0.35">
      <c r="A35" s="157" t="s">
        <v>789</v>
      </c>
      <c r="B35" s="157" t="s">
        <v>32</v>
      </c>
      <c r="C35" s="157">
        <f ca="1">IFERROR(INDEX(BYEs!$B$2:$B$33,MATCH(D35,BYEs!$A$2:$A$33,0)),"N/A")</f>
        <v>6</v>
      </c>
      <c r="D35" s="214" t="str">
        <f t="shared" ca="1" si="0"/>
        <v>LAR</v>
      </c>
      <c r="E35" s="213" t="str">
        <f t="shared" ca="1" si="1"/>
        <v>WR3</v>
      </c>
      <c r="F35" s="158">
        <f ca="1">IF(LeagueInfo!$H$7="Starter/Bench",INDEX(INDIRECT(""&amp;B35&amp;"!T2:T628"),MATCH(A35,INDIRECT(""&amp;B35&amp;"!B2:B628"),0)),INDEX(INDIRECT(""&amp;B35&amp;"!AB2:AB628"),MATCH(A35,INDIRECT(""&amp;B35&amp;"!B2:B628"),0)))</f>
        <v>27.691501957015763</v>
      </c>
      <c r="G35" s="159">
        <f t="shared" si="2"/>
        <v>0</v>
      </c>
      <c r="H35" s="160"/>
      <c r="I35" s="159">
        <f t="shared" ca="1" si="3"/>
        <v>27.691501957015763</v>
      </c>
      <c r="J35" s="159" t="s">
        <v>73</v>
      </c>
      <c r="K35" s="159">
        <f>IF(LeagueInfo!$F$7="Yahoo",IFERROR(INDEX(DefaultAuctionValues!$B$2:$B$331,MATCH(A35,DefaultAuctionValues!$A$2:$A$331,0)),0),IF(LeagueInfo!$F$7="ESPN",IFERROR(INDEX(DefaultAuctionValues!$C$2:$C$331,MATCH(A35,DefaultAuctionValues!$A$2:$A$331,0)),0),IF(LeagueInfo!$F$7="Custom",IFERROR(INDEX(DefaultAuctionValues!$D$2:$D$331,MATCH(A35,DefaultAuctionValues!$A$2:$A$331,0)),0))))</f>
        <v>43.9</v>
      </c>
      <c r="L35" s="159">
        <f t="shared" ca="1" si="4"/>
        <v>-16.208498042984235</v>
      </c>
      <c r="M35" s="171"/>
      <c r="N35" s="166">
        <f t="shared" ca="1" si="5"/>
        <v>86.419999999999987</v>
      </c>
      <c r="O35" s="157" t="str">
        <f t="shared" ca="1" si="6"/>
        <v/>
      </c>
    </row>
    <row r="36" spans="1:15" x14ac:dyDescent="0.35">
      <c r="A36" s="157" t="s">
        <v>434</v>
      </c>
      <c r="B36" s="157" t="s">
        <v>32</v>
      </c>
      <c r="C36" s="157">
        <f ca="1">IFERROR(INDEX(BYEs!$B$2:$B$33,MATCH(D36,BYEs!$A$2:$A$33,0)),"N/A")</f>
        <v>5</v>
      </c>
      <c r="D36" s="214" t="str">
        <f t="shared" ca="1" si="0"/>
        <v>PHI</v>
      </c>
      <c r="E36" s="213" t="str">
        <f t="shared" ca="1" si="1"/>
        <v>WR3</v>
      </c>
      <c r="F36" s="158">
        <f ca="1">IF(LeagueInfo!$H$7="Starter/Bench",INDEX(INDIRECT(""&amp;B36&amp;"!T2:T628"),MATCH(A36,INDIRECT(""&amp;B36&amp;"!B2:B628"),0)),INDEX(INDIRECT(""&amp;B36&amp;"!AB2:AB628"),MATCH(A36,INDIRECT(""&amp;B36&amp;"!B2:B628"),0)))</f>
        <v>27.44803431969741</v>
      </c>
      <c r="G36" s="159">
        <f t="shared" si="2"/>
        <v>0</v>
      </c>
      <c r="H36" s="160"/>
      <c r="I36" s="159">
        <f t="shared" ca="1" si="3"/>
        <v>27.44803431969741</v>
      </c>
      <c r="J36" s="159" t="s">
        <v>73</v>
      </c>
      <c r="K36" s="159">
        <f>IF(LeagueInfo!$F$7="Yahoo",IFERROR(INDEX(DefaultAuctionValues!$B$2:$B$331,MATCH(A36,DefaultAuctionValues!$A$2:$A$331,0)),0),IF(LeagueInfo!$F$7="ESPN",IFERROR(INDEX(DefaultAuctionValues!$C$2:$C$331,MATCH(A36,DefaultAuctionValues!$A$2:$A$331,0)),0),IF(LeagueInfo!$F$7="Custom",IFERROR(INDEX(DefaultAuctionValues!$D$2:$D$331,MATCH(A36,DefaultAuctionValues!$A$2:$A$331,0)),0))))</f>
        <v>51</v>
      </c>
      <c r="L36" s="159">
        <f t="shared" ca="1" si="4"/>
        <v>-23.55196568030259</v>
      </c>
      <c r="M36" s="171"/>
      <c r="N36" s="166">
        <f t="shared" ca="1" si="5"/>
        <v>85.65</v>
      </c>
      <c r="O36" s="157" t="str">
        <f t="shared" ca="1" si="6"/>
        <v/>
      </c>
    </row>
    <row r="37" spans="1:15" x14ac:dyDescent="0.35">
      <c r="A37" s="157" t="s">
        <v>614</v>
      </c>
      <c r="B37" s="157" t="s">
        <v>25</v>
      </c>
      <c r="C37" s="157">
        <f ca="1">IFERROR(INDEX(BYEs!$B$2:$B$33,MATCH(D37,BYEs!$A$2:$A$33,0)),"N/A")</f>
        <v>12</v>
      </c>
      <c r="D37" s="214" t="str">
        <f t="shared" ca="1" si="0"/>
        <v>JAC</v>
      </c>
      <c r="E37" s="213" t="str">
        <f t="shared" ca="1" si="1"/>
        <v>RB4</v>
      </c>
      <c r="F37" s="158">
        <f ca="1">IF(LeagueInfo!$H$7="Starter/Bench",INDEX(INDIRECT(""&amp;B37&amp;"!T2:T628"),MATCH(A37,INDIRECT(""&amp;B37&amp;"!B2:B628"),0)),INDEX(INDIRECT(""&amp;B37&amp;"!AB2:AB628"),MATCH(A37,INDIRECT(""&amp;B37&amp;"!B2:B628"),0)))</f>
        <v>26.230347202983832</v>
      </c>
      <c r="G37" s="159">
        <f t="shared" si="2"/>
        <v>0</v>
      </c>
      <c r="H37" s="160"/>
      <c r="I37" s="159">
        <f t="shared" ca="1" si="3"/>
        <v>26.230347202983832</v>
      </c>
      <c r="J37" s="159" t="s">
        <v>73</v>
      </c>
      <c r="K37" s="159">
        <f>IF(LeagueInfo!$F$7="Yahoo",IFERROR(INDEX(DefaultAuctionValues!$B$2:$B$331,MATCH(A37,DefaultAuctionValues!$A$2:$A$331,0)),0),IF(LeagueInfo!$F$7="ESPN",IFERROR(INDEX(DefaultAuctionValues!$C$2:$C$331,MATCH(A37,DefaultAuctionValues!$A$2:$A$331,0)),0),IF(LeagueInfo!$F$7="Custom",IFERROR(INDEX(DefaultAuctionValues!$D$2:$D$331,MATCH(A37,DefaultAuctionValues!$A$2:$A$331,0)),0))))</f>
        <v>35.200000000000003</v>
      </c>
      <c r="L37" s="159">
        <f t="shared" ca="1" si="4"/>
        <v>-8.9696527970161704</v>
      </c>
      <c r="M37" s="171"/>
      <c r="N37" s="166">
        <f t="shared" ca="1" si="5"/>
        <v>81.659999999999982</v>
      </c>
      <c r="O37" s="157" t="str">
        <f t="shared" ca="1" si="6"/>
        <v/>
      </c>
    </row>
    <row r="38" spans="1:15" x14ac:dyDescent="0.35">
      <c r="A38" s="157" t="s">
        <v>514</v>
      </c>
      <c r="B38" s="157" t="s">
        <v>26</v>
      </c>
      <c r="C38" s="157">
        <f ca="1">IFERROR(INDEX(BYEs!$B$2:$B$33,MATCH(D38,BYEs!$A$2:$A$33,0)),"N/A")</f>
        <v>10</v>
      </c>
      <c r="D38" s="214" t="str">
        <f t="shared" ca="1" si="0"/>
        <v>GB</v>
      </c>
      <c r="E38" s="213" t="str">
        <f t="shared" ca="1" si="1"/>
        <v>QB3</v>
      </c>
      <c r="F38" s="158">
        <f ca="1">IF(LeagueInfo!$H$7="Starter/Bench",INDEX(INDIRECT(""&amp;B38&amp;"!T2:T628"),MATCH(A38,INDIRECT(""&amp;B38&amp;"!B2:B628"),0)),INDEX(INDIRECT(""&amp;B38&amp;"!AB2:AB628"),MATCH(A38,INDIRECT(""&amp;B38&amp;"!B2:B628"),0)))</f>
        <v>25.180297691831303</v>
      </c>
      <c r="G38" s="159">
        <f t="shared" si="2"/>
        <v>0</v>
      </c>
      <c r="H38" s="160"/>
      <c r="I38" s="159">
        <f t="shared" ca="1" si="3"/>
        <v>25.180297691831303</v>
      </c>
      <c r="J38" s="159" t="s">
        <v>73</v>
      </c>
      <c r="K38" s="159">
        <f>IF(LeagueInfo!$F$7="Yahoo",IFERROR(INDEX(DefaultAuctionValues!$B$2:$B$331,MATCH(A38,DefaultAuctionValues!$A$2:$A$331,0)),0),IF(LeagueInfo!$F$7="ESPN",IFERROR(INDEX(DefaultAuctionValues!$C$2:$C$331,MATCH(A38,DefaultAuctionValues!$A$2:$A$331,0)),0),IF(LeagueInfo!$F$7="Custom",IFERROR(INDEX(DefaultAuctionValues!$D$2:$D$331,MATCH(A38,DefaultAuctionValues!$A$2:$A$331,0)),0))))</f>
        <v>3.8</v>
      </c>
      <c r="L38" s="159">
        <f t="shared" ca="1" si="4"/>
        <v>21.380297691831302</v>
      </c>
      <c r="M38" s="171"/>
      <c r="N38" s="166">
        <f t="shared" ca="1" si="5"/>
        <v>78.197999999999936</v>
      </c>
      <c r="O38" s="157" t="str">
        <f t="shared" ca="1" si="6"/>
        <v/>
      </c>
    </row>
    <row r="39" spans="1:15" x14ac:dyDescent="0.35">
      <c r="A39" s="157" t="s">
        <v>421</v>
      </c>
      <c r="B39" s="157" t="s">
        <v>25</v>
      </c>
      <c r="C39" s="157">
        <f ca="1">IFERROR(INDEX(BYEs!$B$2:$B$33,MATCH(D39,BYEs!$A$2:$A$33,0)),"N/A")</f>
        <v>10</v>
      </c>
      <c r="D39" s="214" t="str">
        <f t="shared" ca="1" si="0"/>
        <v>GB</v>
      </c>
      <c r="E39" s="213" t="str">
        <f t="shared" ca="1" si="1"/>
        <v>RB4</v>
      </c>
      <c r="F39" s="158">
        <f ca="1">IF(LeagueInfo!$H$7="Starter/Bench",INDEX(INDIRECT(""&amp;B39&amp;"!T2:T628"),MATCH(A39,INDIRECT(""&amp;B39&amp;"!B2:B628"),0)),INDEX(INDIRECT(""&amp;B39&amp;"!AB2:AB628"),MATCH(A39,INDIRECT(""&amp;B39&amp;"!B2:B628"),0)))</f>
        <v>25.117352289528469</v>
      </c>
      <c r="G39" s="159">
        <f t="shared" si="2"/>
        <v>0</v>
      </c>
      <c r="H39" s="160"/>
      <c r="I39" s="159">
        <f t="shared" ca="1" si="3"/>
        <v>25.117352289528469</v>
      </c>
      <c r="J39" s="159" t="s">
        <v>73</v>
      </c>
      <c r="K39" s="159">
        <f>IF(LeagueInfo!$F$7="Yahoo",IFERROR(INDEX(DefaultAuctionValues!$B$2:$B$331,MATCH(A39,DefaultAuctionValues!$A$2:$A$331,0)),0),IF(LeagueInfo!$F$7="ESPN",IFERROR(INDEX(DefaultAuctionValues!$C$2:$C$331,MATCH(A39,DefaultAuctionValues!$A$2:$A$331,0)),0),IF(LeagueInfo!$F$7="Custom",IFERROR(INDEX(DefaultAuctionValues!$D$2:$D$331,MATCH(A39,DefaultAuctionValues!$A$2:$A$331,0)),0))))</f>
        <v>28.8</v>
      </c>
      <c r="L39" s="159">
        <f t="shared" ca="1" si="4"/>
        <v>-3.6826477104715316</v>
      </c>
      <c r="M39" s="171"/>
      <c r="N39" s="166">
        <f t="shared" ca="1" si="5"/>
        <v>78.139999999999972</v>
      </c>
      <c r="O39" s="157" t="str">
        <f t="shared" ca="1" si="6"/>
        <v/>
      </c>
    </row>
    <row r="40" spans="1:15" x14ac:dyDescent="0.35">
      <c r="A40" s="157" t="s">
        <v>629</v>
      </c>
      <c r="B40" s="157" t="s">
        <v>25</v>
      </c>
      <c r="C40" s="157">
        <f ca="1">IFERROR(INDEX(BYEs!$B$2:$B$33,MATCH(D40,BYEs!$A$2:$A$33,0)),"N/A")</f>
        <v>6</v>
      </c>
      <c r="D40" s="214" t="str">
        <f t="shared" ca="1" si="0"/>
        <v>KC</v>
      </c>
      <c r="E40" s="213" t="str">
        <f t="shared" ca="1" si="1"/>
        <v>RB4</v>
      </c>
      <c r="F40" s="158">
        <f ca="1">IF(LeagueInfo!$H$7="Starter/Bench",INDEX(INDIRECT(""&amp;B40&amp;"!T2:T628"),MATCH(A40,INDIRECT(""&amp;B40&amp;"!B2:B628"),0)),INDEX(INDIRECT(""&amp;B40&amp;"!AB2:AB628"),MATCH(A40,INDIRECT(""&amp;B40&amp;"!B2:B628"),0)))</f>
        <v>25.057275859540823</v>
      </c>
      <c r="G40" s="159">
        <f t="shared" si="2"/>
        <v>0</v>
      </c>
      <c r="H40" s="160"/>
      <c r="I40" s="159">
        <f t="shared" ca="1" si="3"/>
        <v>25.057275859540823</v>
      </c>
      <c r="J40" s="159" t="s">
        <v>73</v>
      </c>
      <c r="K40" s="159">
        <f>IF(LeagueInfo!$F$7="Yahoo",IFERROR(INDEX(DefaultAuctionValues!$B$2:$B$331,MATCH(A40,DefaultAuctionValues!$A$2:$A$331,0)),0),IF(LeagueInfo!$F$7="ESPN",IFERROR(INDEX(DefaultAuctionValues!$C$2:$C$331,MATCH(A40,DefaultAuctionValues!$A$2:$A$331,0)),0),IF(LeagueInfo!$F$7="Custom",IFERROR(INDEX(DefaultAuctionValues!$D$2:$D$331,MATCH(A40,DefaultAuctionValues!$A$2:$A$331,0)),0))))</f>
        <v>37.200000000000003</v>
      </c>
      <c r="L40" s="159">
        <f t="shared" ca="1" si="4"/>
        <v>-12.14272414045918</v>
      </c>
      <c r="M40" s="171"/>
      <c r="N40" s="166">
        <f t="shared" ca="1" si="5"/>
        <v>77.949999999999974</v>
      </c>
      <c r="O40" s="157" t="str">
        <f t="shared" ca="1" si="6"/>
        <v/>
      </c>
    </row>
    <row r="41" spans="1:15" x14ac:dyDescent="0.35">
      <c r="A41" s="157" t="s">
        <v>764</v>
      </c>
      <c r="B41" s="157" t="s">
        <v>26</v>
      </c>
      <c r="C41" s="157">
        <f ca="1">IFERROR(INDEX(BYEs!$B$2:$B$33,MATCH(D41,BYEs!$A$2:$A$33,0)),"N/A")</f>
        <v>9</v>
      </c>
      <c r="D41" s="214" t="str">
        <f t="shared" ca="1" si="0"/>
        <v>SF</v>
      </c>
      <c r="E41" s="213" t="str">
        <f t="shared" ca="1" si="1"/>
        <v>QB3</v>
      </c>
      <c r="F41" s="158">
        <f ca="1">IF(LeagueInfo!$H$7="Starter/Bench",INDEX(INDIRECT(""&amp;B41&amp;"!T2:T628"),MATCH(A41,INDIRECT(""&amp;B41&amp;"!B2:B628"),0)),INDEX(INDIRECT(""&amp;B41&amp;"!AB2:AB628"),MATCH(A41,INDIRECT(""&amp;B41&amp;"!B2:B628"),0)))</f>
        <v>24.892563211364159</v>
      </c>
      <c r="G41" s="159">
        <f t="shared" si="2"/>
        <v>0</v>
      </c>
      <c r="H41" s="160"/>
      <c r="I41" s="159">
        <f t="shared" ca="1" si="3"/>
        <v>24.892563211364159</v>
      </c>
      <c r="J41" s="159" t="s">
        <v>73</v>
      </c>
      <c r="K41" s="159">
        <f>IF(LeagueInfo!$F$7="Yahoo",IFERROR(INDEX(DefaultAuctionValues!$B$2:$B$331,MATCH(A41,DefaultAuctionValues!$A$2:$A$331,0)),0),IF(LeagueInfo!$F$7="ESPN",IFERROR(INDEX(DefaultAuctionValues!$C$2:$C$331,MATCH(A41,DefaultAuctionValues!$A$2:$A$331,0)),0),IF(LeagueInfo!$F$7="Custom",IFERROR(INDEX(DefaultAuctionValues!$D$2:$D$331,MATCH(A41,DefaultAuctionValues!$A$2:$A$331,0)),0))))</f>
        <v>2.5</v>
      </c>
      <c r="L41" s="159">
        <f t="shared" ca="1" si="4"/>
        <v>22.392563211364159</v>
      </c>
      <c r="M41" s="171"/>
      <c r="N41" s="166">
        <f t="shared" ca="1" si="5"/>
        <v>77.287999999999968</v>
      </c>
      <c r="O41" s="157" t="str">
        <f t="shared" ca="1" si="6"/>
        <v/>
      </c>
    </row>
    <row r="42" spans="1:15" x14ac:dyDescent="0.35">
      <c r="A42" s="157" t="s">
        <v>590</v>
      </c>
      <c r="B42" s="157" t="s">
        <v>32</v>
      </c>
      <c r="C42" s="157">
        <f ca="1">IFERROR(INDEX(BYEs!$B$2:$B$33,MATCH(D42,BYEs!$A$2:$A$33,0)),"N/A")</f>
        <v>12</v>
      </c>
      <c r="D42" s="214" t="str">
        <f t="shared" ca="1" si="0"/>
        <v>NYJ</v>
      </c>
      <c r="E42" s="213" t="str">
        <f t="shared" ca="1" si="1"/>
        <v>WR3</v>
      </c>
      <c r="F42" s="158">
        <f ca="1">IF(LeagueInfo!$H$7="Starter/Bench",INDEX(INDIRECT(""&amp;B42&amp;"!T2:T628"),MATCH(A42,INDIRECT(""&amp;B42&amp;"!B2:B628"),0)),INDEX(INDIRECT(""&amp;B42&amp;"!AB2:AB628"),MATCH(A42,INDIRECT(""&amp;B42&amp;"!B2:B628"),0)))</f>
        <v>24.516936919773766</v>
      </c>
      <c r="G42" s="159">
        <f t="shared" si="2"/>
        <v>0</v>
      </c>
      <c r="H42" s="160"/>
      <c r="I42" s="159">
        <f t="shared" ca="1" si="3"/>
        <v>24.516936919773766</v>
      </c>
      <c r="J42" s="159" t="s">
        <v>73</v>
      </c>
      <c r="K42" s="159">
        <f>IF(LeagueInfo!$F$7="Yahoo",IFERROR(INDEX(DefaultAuctionValues!$B$2:$B$331,MATCH(A42,DefaultAuctionValues!$A$2:$A$331,0)),0),IF(LeagueInfo!$F$7="ESPN",IFERROR(INDEX(DefaultAuctionValues!$C$2:$C$331,MATCH(A42,DefaultAuctionValues!$A$2:$A$331,0)),0),IF(LeagueInfo!$F$7="Custom",IFERROR(INDEX(DefaultAuctionValues!$D$2:$D$331,MATCH(A42,DefaultAuctionValues!$A$2:$A$331,0)),0))))</f>
        <v>49.1</v>
      </c>
      <c r="L42" s="159">
        <f t="shared" ca="1" si="4"/>
        <v>-24.583063080226236</v>
      </c>
      <c r="M42" s="171"/>
      <c r="N42" s="166">
        <f t="shared" ca="1" si="5"/>
        <v>76.38</v>
      </c>
      <c r="O42" s="157" t="str">
        <f t="shared" ca="1" si="6"/>
        <v/>
      </c>
    </row>
    <row r="43" spans="1:15" x14ac:dyDescent="0.35">
      <c r="A43" s="157" t="s">
        <v>99</v>
      </c>
      <c r="B43" s="157" t="s">
        <v>40</v>
      </c>
      <c r="C43" s="157">
        <f ca="1">IFERROR(INDEX(BYEs!$B$2:$B$33,MATCH(D43,BYEs!$A$2:$A$33,0)),"N/A")</f>
        <v>6</v>
      </c>
      <c r="D43" s="214" t="str">
        <f t="shared" ca="1" si="0"/>
        <v>KC</v>
      </c>
      <c r="E43" s="213" t="str">
        <f t="shared" ca="1" si="1"/>
        <v>TE1</v>
      </c>
      <c r="F43" s="158">
        <f ca="1">IF(LeagueInfo!$H$7="Starter/Bench",INDEX(INDIRECT(""&amp;B43&amp;"!T2:T628"),MATCH(A43,INDIRECT(""&amp;B43&amp;"!B2:B628"),0)),INDEX(INDIRECT(""&amp;B43&amp;"!AB2:AB628"),MATCH(A43,INDIRECT(""&amp;B43&amp;"!B2:B628"),0)))</f>
        <v>24.31823222113529</v>
      </c>
      <c r="G43" s="159">
        <f t="shared" si="2"/>
        <v>0</v>
      </c>
      <c r="H43" s="160"/>
      <c r="I43" s="159">
        <f t="shared" ca="1" si="3"/>
        <v>24.31823222113529</v>
      </c>
      <c r="J43" s="159" t="s">
        <v>73</v>
      </c>
      <c r="K43" s="159">
        <f>IF(LeagueInfo!$F$7="Yahoo",IFERROR(INDEX(DefaultAuctionValues!$B$2:$B$331,MATCH(A43,DefaultAuctionValues!$A$2:$A$331,0)),0),IF(LeagueInfo!$F$7="ESPN",IFERROR(INDEX(DefaultAuctionValues!$C$2:$C$331,MATCH(A43,DefaultAuctionValues!$A$2:$A$331,0)),0),IF(LeagueInfo!$F$7="Custom",IFERROR(INDEX(DefaultAuctionValues!$D$2:$D$331,MATCH(A43,DefaultAuctionValues!$A$2:$A$331,0)),0))))</f>
        <v>27.5</v>
      </c>
      <c r="L43" s="159">
        <f t="shared" ca="1" si="4"/>
        <v>-3.1817677788647103</v>
      </c>
      <c r="M43" s="171"/>
      <c r="N43" s="166">
        <f t="shared" ca="1" si="5"/>
        <v>76.17</v>
      </c>
      <c r="O43" s="157" t="str">
        <f t="shared" ca="1" si="6"/>
        <v/>
      </c>
    </row>
    <row r="44" spans="1:15" x14ac:dyDescent="0.35">
      <c r="A44" s="157" t="s">
        <v>615</v>
      </c>
      <c r="B44" s="157" t="s">
        <v>25</v>
      </c>
      <c r="C44" s="157">
        <f ca="1">IFERROR(INDEX(BYEs!$B$2:$B$33,MATCH(D44,BYEs!$A$2:$A$33,0)),"N/A")</f>
        <v>12</v>
      </c>
      <c r="D44" s="214" t="str">
        <f t="shared" ca="1" si="0"/>
        <v>BUF</v>
      </c>
      <c r="E44" s="213" t="str">
        <f t="shared" ca="1" si="1"/>
        <v>RB4</v>
      </c>
      <c r="F44" s="158">
        <f ca="1">IF(LeagueInfo!$H$7="Starter/Bench",INDEX(INDIRECT(""&amp;B44&amp;"!T2:T628"),MATCH(A44,INDIRECT(""&amp;B44&amp;"!B2:B628"),0)),INDEX(INDIRECT(""&amp;B44&amp;"!AB2:AB628"),MATCH(A44,INDIRECT(""&amp;B44&amp;"!B2:B628"),0)))</f>
        <v>24.190910500771594</v>
      </c>
      <c r="G44" s="159">
        <f t="shared" si="2"/>
        <v>0</v>
      </c>
      <c r="H44" s="160"/>
      <c r="I44" s="159">
        <f t="shared" ca="1" si="3"/>
        <v>24.190910500771594</v>
      </c>
      <c r="J44" s="159" t="s">
        <v>73</v>
      </c>
      <c r="K44" s="159">
        <f>IF(LeagueInfo!$F$7="Yahoo",IFERROR(INDEX(DefaultAuctionValues!$B$2:$B$331,MATCH(A44,DefaultAuctionValues!$A$2:$A$331,0)),0),IF(LeagueInfo!$F$7="ESPN",IFERROR(INDEX(DefaultAuctionValues!$C$2:$C$331,MATCH(A44,DefaultAuctionValues!$A$2:$A$331,0)),0),IF(LeagueInfo!$F$7="Custom",IFERROR(INDEX(DefaultAuctionValues!$D$2:$D$331,MATCH(A44,DefaultAuctionValues!$A$2:$A$331,0)),0))))</f>
        <v>18.7</v>
      </c>
      <c r="L44" s="159">
        <f t="shared" ca="1" si="4"/>
        <v>5.4909105007715944</v>
      </c>
      <c r="M44" s="171"/>
      <c r="N44" s="166">
        <f t="shared" ca="1" si="5"/>
        <v>75.209999999999994</v>
      </c>
      <c r="O44" s="157" t="str">
        <f t="shared" ca="1" si="6"/>
        <v/>
      </c>
    </row>
    <row r="45" spans="1:15" x14ac:dyDescent="0.35">
      <c r="A45" s="157" t="s">
        <v>229</v>
      </c>
      <c r="B45" s="157" t="s">
        <v>25</v>
      </c>
      <c r="C45" s="157">
        <f ca="1">IFERROR(INDEX(BYEs!$B$2:$B$33,MATCH(D45,BYEs!$A$2:$A$33,0)),"N/A")</f>
        <v>12</v>
      </c>
      <c r="D45" s="214" t="str">
        <f t="shared" ca="1" si="0"/>
        <v>NO</v>
      </c>
      <c r="E45" s="213" t="str">
        <f t="shared" ca="1" si="1"/>
        <v>RB4</v>
      </c>
      <c r="F45" s="158">
        <f ca="1">IF(LeagueInfo!$H$7="Starter/Bench",INDEX(INDIRECT(""&amp;B45&amp;"!T2:T628"),MATCH(A45,INDIRECT(""&amp;B45&amp;"!B2:B628"),0)),INDEX(INDIRECT(""&amp;B45&amp;"!AB2:AB628"),MATCH(A45,INDIRECT(""&amp;B45&amp;"!B2:B628"),0)))</f>
        <v>24.162453244461656</v>
      </c>
      <c r="G45" s="159">
        <f t="shared" si="2"/>
        <v>0</v>
      </c>
      <c r="H45" s="160"/>
      <c r="I45" s="159">
        <f t="shared" ca="1" si="3"/>
        <v>24.162453244461656</v>
      </c>
      <c r="J45" s="159" t="s">
        <v>73</v>
      </c>
      <c r="K45" s="159">
        <f>IF(LeagueInfo!$F$7="Yahoo",IFERROR(INDEX(DefaultAuctionValues!$B$2:$B$331,MATCH(A45,DefaultAuctionValues!$A$2:$A$331,0)),0),IF(LeagueInfo!$F$7="ESPN",IFERROR(INDEX(DefaultAuctionValues!$C$2:$C$331,MATCH(A45,DefaultAuctionValues!$A$2:$A$331,0)),0),IF(LeagueInfo!$F$7="Custom",IFERROR(INDEX(DefaultAuctionValues!$D$2:$D$331,MATCH(A45,DefaultAuctionValues!$A$2:$A$331,0)),0))))</f>
        <v>11.6</v>
      </c>
      <c r="L45" s="159">
        <f t="shared" ca="1" si="4"/>
        <v>12.562453244461656</v>
      </c>
      <c r="M45" s="171"/>
      <c r="N45" s="166">
        <f t="shared" ca="1" si="5"/>
        <v>75.11999999999999</v>
      </c>
      <c r="O45" s="157" t="str">
        <f t="shared" ca="1" si="6"/>
        <v/>
      </c>
    </row>
    <row r="46" spans="1:15" x14ac:dyDescent="0.35">
      <c r="A46" s="157" t="s">
        <v>851</v>
      </c>
      <c r="B46" s="157" t="s">
        <v>26</v>
      </c>
      <c r="C46" s="157">
        <f ca="1">IFERROR(INDEX(BYEs!$B$2:$B$33,MATCH(D46,BYEs!$A$2:$A$33,0)),"N/A")</f>
        <v>14</v>
      </c>
      <c r="D46" s="214" t="str">
        <f t="shared" ca="1" si="0"/>
        <v>WAS</v>
      </c>
      <c r="E46" s="213" t="str">
        <f t="shared" ca="1" si="1"/>
        <v>QB3</v>
      </c>
      <c r="F46" s="158">
        <f ca="1">IF(LeagueInfo!$H$7="Starter/Bench",INDEX(INDIRECT(""&amp;B46&amp;"!T2:T628"),MATCH(A46,INDIRECT(""&amp;B46&amp;"!B2:B628"),0)),INDEX(INDIRECT(""&amp;B46&amp;"!AB2:AB628"),MATCH(A46,INDIRECT(""&amp;B46&amp;"!B2:B628"),0)))</f>
        <v>23.954106136609745</v>
      </c>
      <c r="G46" s="159">
        <f t="shared" si="2"/>
        <v>0</v>
      </c>
      <c r="H46" s="160"/>
      <c r="I46" s="159">
        <f t="shared" ca="1" si="3"/>
        <v>23.954106136609745</v>
      </c>
      <c r="J46" s="159" t="s">
        <v>73</v>
      </c>
      <c r="K46" s="159">
        <f>IF(LeagueInfo!$F$7="Yahoo",IFERROR(INDEX(DefaultAuctionValues!$B$2:$B$331,MATCH(A46,DefaultAuctionValues!$A$2:$A$331,0)),0),IF(LeagueInfo!$F$7="ESPN",IFERROR(INDEX(DefaultAuctionValues!$C$2:$C$331,MATCH(A46,DefaultAuctionValues!$A$2:$A$331,0)),0),IF(LeagueInfo!$F$7="Custom",IFERROR(INDEX(DefaultAuctionValues!$D$2:$D$331,MATCH(A46,DefaultAuctionValues!$A$2:$A$331,0)),0))))</f>
        <v>3</v>
      </c>
      <c r="L46" s="159">
        <f t="shared" ca="1" si="4"/>
        <v>20.954106136609745</v>
      </c>
      <c r="M46" s="171"/>
      <c r="N46" s="166">
        <f t="shared" ca="1" si="5"/>
        <v>74.319999999999951</v>
      </c>
      <c r="O46" s="157" t="str">
        <f t="shared" ca="1" si="6"/>
        <v/>
      </c>
    </row>
    <row r="47" spans="1:15" x14ac:dyDescent="0.35">
      <c r="A47" s="157" t="s">
        <v>780</v>
      </c>
      <c r="B47" s="157" t="s">
        <v>25</v>
      </c>
      <c r="C47" s="157">
        <f ca="1">IFERROR(INDEX(BYEs!$B$2:$B$33,MATCH(D47,BYEs!$A$2:$A$33,0)),"N/A")</f>
        <v>6</v>
      </c>
      <c r="D47" s="214" t="str">
        <f t="shared" ca="1" si="0"/>
        <v>MIA</v>
      </c>
      <c r="E47" s="213" t="str">
        <f t="shared" ca="1" si="1"/>
        <v>RB4</v>
      </c>
      <c r="F47" s="158">
        <f ca="1">IF(LeagueInfo!$H$7="Starter/Bench",INDEX(INDIRECT(""&amp;B47&amp;"!T2:T628"),MATCH(A47,INDIRECT(""&amp;B47&amp;"!B2:B628"),0)),INDEX(INDIRECT(""&amp;B47&amp;"!AB2:AB628"),MATCH(A47,INDIRECT(""&amp;B47&amp;"!B2:B628"),0)))</f>
        <v>23.871556846626724</v>
      </c>
      <c r="G47" s="159">
        <f t="shared" si="2"/>
        <v>0</v>
      </c>
      <c r="H47" s="160"/>
      <c r="I47" s="159">
        <f t="shared" ca="1" si="3"/>
        <v>23.871556846626724</v>
      </c>
      <c r="J47" s="159" t="s">
        <v>73</v>
      </c>
      <c r="K47" s="159">
        <f>IF(LeagueInfo!$F$7="Yahoo",IFERROR(INDEX(DefaultAuctionValues!$B$2:$B$331,MATCH(A47,DefaultAuctionValues!$A$2:$A$331,0)),0),IF(LeagueInfo!$F$7="ESPN",IFERROR(INDEX(DefaultAuctionValues!$C$2:$C$331,MATCH(A47,DefaultAuctionValues!$A$2:$A$331,0)),0),IF(LeagueInfo!$F$7="Custom",IFERROR(INDEX(DefaultAuctionValues!$D$2:$D$331,MATCH(A47,DefaultAuctionValues!$A$2:$A$331,0)),0))))</f>
        <v>29.1</v>
      </c>
      <c r="L47" s="159">
        <f t="shared" ca="1" si="4"/>
        <v>-5.2284431533732771</v>
      </c>
      <c r="M47" s="171"/>
      <c r="N47" s="166">
        <f t="shared" ca="1" si="5"/>
        <v>74.199999999999974</v>
      </c>
      <c r="O47" s="157" t="str">
        <f t="shared" ca="1" si="6"/>
        <v/>
      </c>
    </row>
    <row r="48" spans="1:15" x14ac:dyDescent="0.35">
      <c r="A48" s="157" t="s">
        <v>617</v>
      </c>
      <c r="B48" s="157" t="s">
        <v>25</v>
      </c>
      <c r="C48" s="157">
        <f ca="1">IFERROR(INDEX(BYEs!$B$2:$B$33,MATCH(D48,BYEs!$A$2:$A$33,0)),"N/A")</f>
        <v>11</v>
      </c>
      <c r="D48" s="214" t="str">
        <f t="shared" ca="1" si="0"/>
        <v>TB</v>
      </c>
      <c r="E48" s="213" t="str">
        <f t="shared" ca="1" si="1"/>
        <v>RB4</v>
      </c>
      <c r="F48" s="158">
        <f ca="1">IF(LeagueInfo!$H$7="Starter/Bench",INDEX(INDIRECT(""&amp;B48&amp;"!T2:T628"),MATCH(A48,INDIRECT(""&amp;B48&amp;"!B2:B628"),0)),INDEX(INDIRECT(""&amp;B48&amp;"!AB2:AB628"),MATCH(A48,INDIRECT(""&amp;B48&amp;"!B2:B628"),0)))</f>
        <v>23.754565904019209</v>
      </c>
      <c r="G48" s="159">
        <f t="shared" si="2"/>
        <v>0</v>
      </c>
      <c r="H48" s="160"/>
      <c r="I48" s="159">
        <f t="shared" ca="1" si="3"/>
        <v>23.754565904019209</v>
      </c>
      <c r="J48" s="159" t="s">
        <v>73</v>
      </c>
      <c r="K48" s="159">
        <f>IF(LeagueInfo!$F$7="Yahoo",IFERROR(INDEX(DefaultAuctionValues!$B$2:$B$331,MATCH(A48,DefaultAuctionValues!$A$2:$A$331,0)),0),IF(LeagueInfo!$F$7="ESPN",IFERROR(INDEX(DefaultAuctionValues!$C$2:$C$331,MATCH(A48,DefaultAuctionValues!$A$2:$A$331,0)),0),IF(LeagueInfo!$F$7="Custom",IFERROR(INDEX(DefaultAuctionValues!$D$2:$D$331,MATCH(A48,DefaultAuctionValues!$A$2:$A$331,0)),0))))</f>
        <v>20.3</v>
      </c>
      <c r="L48" s="159">
        <f t="shared" ca="1" si="4"/>
        <v>3.4545659040192085</v>
      </c>
      <c r="M48" s="171"/>
      <c r="N48" s="166">
        <f t="shared" ca="1" si="5"/>
        <v>73.83</v>
      </c>
      <c r="O48" s="157" t="str">
        <f t="shared" ca="1" si="6"/>
        <v/>
      </c>
    </row>
    <row r="49" spans="1:15" x14ac:dyDescent="0.35">
      <c r="A49" s="157" t="s">
        <v>852</v>
      </c>
      <c r="B49" s="157" t="s">
        <v>26</v>
      </c>
      <c r="C49" s="157">
        <f ca="1">IFERROR(INDEX(BYEs!$B$2:$B$33,MATCH(D49,BYEs!$A$2:$A$33,0)),"N/A")</f>
        <v>7</v>
      </c>
      <c r="D49" s="214" t="str">
        <f t="shared" ca="1" si="0"/>
        <v>CHI</v>
      </c>
      <c r="E49" s="213" t="str">
        <f t="shared" ca="1" si="1"/>
        <v>QB3</v>
      </c>
      <c r="F49" s="158">
        <f ca="1">IF(LeagueInfo!$H$7="Starter/Bench",INDEX(INDIRECT(""&amp;B49&amp;"!T2:T628"),MATCH(A49,INDIRECT(""&amp;B49&amp;"!B2:B628"),0)),INDEX(INDIRECT(""&amp;B49&amp;"!AB2:AB628"),MATCH(A49,INDIRECT(""&amp;B49&amp;"!B2:B628"),0)))</f>
        <v>22.860082727361014</v>
      </c>
      <c r="G49" s="159">
        <f t="shared" si="2"/>
        <v>0</v>
      </c>
      <c r="H49" s="160"/>
      <c r="I49" s="159">
        <f t="shared" ca="1" si="3"/>
        <v>22.860082727361014</v>
      </c>
      <c r="J49" s="159" t="s">
        <v>73</v>
      </c>
      <c r="K49" s="159">
        <f>IF(LeagueInfo!$F$7="Yahoo",IFERROR(INDEX(DefaultAuctionValues!$B$2:$B$331,MATCH(A49,DefaultAuctionValues!$A$2:$A$331,0)),0),IF(LeagueInfo!$F$7="ESPN",IFERROR(INDEX(DefaultAuctionValues!$C$2:$C$331,MATCH(A49,DefaultAuctionValues!$A$2:$A$331,0)),0),IF(LeagueInfo!$F$7="Custom",IFERROR(INDEX(DefaultAuctionValues!$D$2:$D$331,MATCH(A49,DefaultAuctionValues!$A$2:$A$331,0)),0))))</f>
        <v>2</v>
      </c>
      <c r="L49" s="159">
        <f t="shared" ca="1" si="4"/>
        <v>20.860082727361014</v>
      </c>
      <c r="M49" s="171"/>
      <c r="N49" s="166">
        <f t="shared" ca="1" si="5"/>
        <v>70.859999999999971</v>
      </c>
      <c r="O49" s="157" t="str">
        <f t="shared" ca="1" si="6"/>
        <v/>
      </c>
    </row>
    <row r="50" spans="1:15" x14ac:dyDescent="0.35">
      <c r="A50" s="157" t="s">
        <v>532</v>
      </c>
      <c r="B50" s="157" t="s">
        <v>26</v>
      </c>
      <c r="C50" s="157">
        <f ca="1">IFERROR(INDEX(BYEs!$B$2:$B$33,MATCH(D50,BYEs!$A$2:$A$33,0)),"N/A")</f>
        <v>12</v>
      </c>
      <c r="D50" s="214" t="str">
        <f t="shared" ca="1" si="0"/>
        <v>JAC</v>
      </c>
      <c r="E50" s="213" t="str">
        <f t="shared" ca="1" si="1"/>
        <v>QB3</v>
      </c>
      <c r="F50" s="158">
        <f ca="1">IF(LeagueInfo!$H$7="Starter/Bench",INDEX(INDIRECT(""&amp;B50&amp;"!T2:T628"),MATCH(A50,INDIRECT(""&amp;B50&amp;"!B2:B628"),0)),INDEX(INDIRECT(""&amp;B50&amp;"!AB2:AB628"),MATCH(A50,INDIRECT(""&amp;B50&amp;"!B2:B628"),0)))</f>
        <v>22.791785312217158</v>
      </c>
      <c r="G50" s="159">
        <f t="shared" si="2"/>
        <v>0</v>
      </c>
      <c r="H50" s="160"/>
      <c r="I50" s="159">
        <f t="shared" ca="1" si="3"/>
        <v>22.791785312217158</v>
      </c>
      <c r="J50" s="159" t="s">
        <v>73</v>
      </c>
      <c r="K50" s="159">
        <f>IF(LeagueInfo!$F$7="Yahoo",IFERROR(INDEX(DefaultAuctionValues!$B$2:$B$331,MATCH(A50,DefaultAuctionValues!$A$2:$A$331,0)),0),IF(LeagueInfo!$F$7="ESPN",IFERROR(INDEX(DefaultAuctionValues!$C$2:$C$331,MATCH(A50,DefaultAuctionValues!$A$2:$A$331,0)),0),IF(LeagueInfo!$F$7="Custom",IFERROR(INDEX(DefaultAuctionValues!$D$2:$D$331,MATCH(A50,DefaultAuctionValues!$A$2:$A$331,0)),0))))</f>
        <v>1.2</v>
      </c>
      <c r="L50" s="159">
        <f t="shared" ca="1" si="4"/>
        <v>21.591785312217159</v>
      </c>
      <c r="M50" s="171"/>
      <c r="N50" s="166">
        <f t="shared" ca="1" si="5"/>
        <v>70.643999999999963</v>
      </c>
      <c r="O50" s="157" t="str">
        <f t="shared" ca="1" si="6"/>
        <v/>
      </c>
    </row>
    <row r="51" spans="1:15" x14ac:dyDescent="0.35">
      <c r="A51" s="157" t="s">
        <v>98</v>
      </c>
      <c r="B51" s="157" t="s">
        <v>25</v>
      </c>
      <c r="C51" s="157">
        <f ca="1">IFERROR(INDEX(BYEs!$B$2:$B$33,MATCH(D51,BYEs!$A$2:$A$33,0)),"N/A")</f>
        <v>14</v>
      </c>
      <c r="D51" s="214" t="str">
        <f t="shared" ca="1" si="0"/>
        <v>HOU</v>
      </c>
      <c r="E51" s="213" t="str">
        <f t="shared" ca="1" si="1"/>
        <v>RB4</v>
      </c>
      <c r="F51" s="158">
        <f ca="1">IF(LeagueInfo!$H$7="Starter/Bench",INDEX(INDIRECT(""&amp;B51&amp;"!T2:T628"),MATCH(A51,INDIRECT(""&amp;B51&amp;"!B2:B628"),0)),INDEX(INDIRECT(""&amp;B51&amp;"!AB2:AB628"),MATCH(A51,INDIRECT(""&amp;B51&amp;"!B2:B628"),0)))</f>
        <v>22.606789899518361</v>
      </c>
      <c r="G51" s="159">
        <f t="shared" si="2"/>
        <v>0</v>
      </c>
      <c r="H51" s="160"/>
      <c r="I51" s="159">
        <f t="shared" ca="1" si="3"/>
        <v>22.606789899518361</v>
      </c>
      <c r="J51" s="159" t="s">
        <v>73</v>
      </c>
      <c r="K51" s="159">
        <f>IF(LeagueInfo!$F$7="Yahoo",IFERROR(INDEX(DefaultAuctionValues!$B$2:$B$331,MATCH(A51,DefaultAuctionValues!$A$2:$A$331,0)),0),IF(LeagueInfo!$F$7="ESPN",IFERROR(INDEX(DefaultAuctionValues!$C$2:$C$331,MATCH(A51,DefaultAuctionValues!$A$2:$A$331,0)),0),IF(LeagueInfo!$F$7="Custom",IFERROR(INDEX(DefaultAuctionValues!$D$2:$D$331,MATCH(A51,DefaultAuctionValues!$A$2:$A$331,0)),0))))</f>
        <v>19.3</v>
      </c>
      <c r="L51" s="159">
        <f t="shared" ca="1" si="4"/>
        <v>3.3067898995183604</v>
      </c>
      <c r="M51" s="171"/>
      <c r="N51" s="166">
        <f t="shared" ca="1" si="5"/>
        <v>70.199999999999974</v>
      </c>
      <c r="O51" s="157" t="str">
        <f t="shared" ca="1" si="6"/>
        <v/>
      </c>
    </row>
    <row r="52" spans="1:15" x14ac:dyDescent="0.35">
      <c r="A52" s="157" t="s">
        <v>725</v>
      </c>
      <c r="B52" s="157" t="s">
        <v>40</v>
      </c>
      <c r="C52" s="157">
        <f ca="1">IFERROR(INDEX(BYEs!$B$2:$B$33,MATCH(D52,BYEs!$A$2:$A$33,0)),"N/A")</f>
        <v>5</v>
      </c>
      <c r="D52" s="214" t="str">
        <f t="shared" ca="1" si="0"/>
        <v>DET</v>
      </c>
      <c r="E52" s="213" t="str">
        <f t="shared" ca="1" si="1"/>
        <v>TE1</v>
      </c>
      <c r="F52" s="158">
        <f ca="1">IF(LeagueInfo!$H$7="Starter/Bench",INDEX(INDIRECT(""&amp;B52&amp;"!T2:T628"),MATCH(A52,INDIRECT(""&amp;B52&amp;"!B2:B628"),0)),INDEX(INDIRECT(""&amp;B52&amp;"!AB2:AB628"),MATCH(A52,INDIRECT(""&amp;B52&amp;"!B2:B628"),0)))</f>
        <v>22.323062362071845</v>
      </c>
      <c r="G52" s="159">
        <f t="shared" si="2"/>
        <v>0</v>
      </c>
      <c r="H52" s="160"/>
      <c r="I52" s="159">
        <f t="shared" ca="1" si="3"/>
        <v>22.323062362071845</v>
      </c>
      <c r="J52" s="159" t="s">
        <v>73</v>
      </c>
      <c r="K52" s="159">
        <f>IF(LeagueInfo!$F$7="Yahoo",IFERROR(INDEX(DefaultAuctionValues!$B$2:$B$331,MATCH(A52,DefaultAuctionValues!$A$2:$A$331,0)),0),IF(LeagueInfo!$F$7="ESPN",IFERROR(INDEX(DefaultAuctionValues!$C$2:$C$331,MATCH(A52,DefaultAuctionValues!$A$2:$A$331,0)),0),IF(LeagueInfo!$F$7="Custom",IFERROR(INDEX(DefaultAuctionValues!$D$2:$D$331,MATCH(A52,DefaultAuctionValues!$A$2:$A$331,0)),0))))</f>
        <v>26.8</v>
      </c>
      <c r="L52" s="159">
        <f t="shared" ca="1" si="4"/>
        <v>-4.476937637928156</v>
      </c>
      <c r="M52" s="171"/>
      <c r="N52" s="166">
        <f t="shared" ca="1" si="5"/>
        <v>69.86</v>
      </c>
      <c r="O52" s="157" t="str">
        <f t="shared" ca="1" si="6"/>
        <v/>
      </c>
    </row>
    <row r="53" spans="1:15" x14ac:dyDescent="0.35">
      <c r="A53" s="157" t="s">
        <v>589</v>
      </c>
      <c r="B53" s="157" t="s">
        <v>32</v>
      </c>
      <c r="C53" s="157">
        <f ca="1">IFERROR(INDEX(BYEs!$B$2:$B$33,MATCH(D53,BYEs!$A$2:$A$33,0)),"N/A")</f>
        <v>12</v>
      </c>
      <c r="D53" s="214" t="str">
        <f t="shared" ca="1" si="0"/>
        <v>NO</v>
      </c>
      <c r="E53" s="213" t="str">
        <f t="shared" ca="1" si="1"/>
        <v>WR4</v>
      </c>
      <c r="F53" s="158">
        <f ca="1">IF(LeagueInfo!$H$7="Starter/Bench",INDEX(INDIRECT(""&amp;B53&amp;"!T2:T628"),MATCH(A53,INDIRECT(""&amp;B53&amp;"!B2:B628"),0)),INDEX(INDIRECT(""&amp;B53&amp;"!AB2:AB628"),MATCH(A53,INDIRECT(""&amp;B53&amp;"!B2:B628"),0)))</f>
        <v>20.596159383737835</v>
      </c>
      <c r="G53" s="159">
        <f t="shared" si="2"/>
        <v>0</v>
      </c>
      <c r="H53" s="160"/>
      <c r="I53" s="159">
        <f t="shared" ca="1" si="3"/>
        <v>20.596159383737835</v>
      </c>
      <c r="J53" s="159" t="s">
        <v>73</v>
      </c>
      <c r="K53" s="159">
        <f>IF(LeagueInfo!$F$7="Yahoo",IFERROR(INDEX(DefaultAuctionValues!$B$2:$B$331,MATCH(A53,DefaultAuctionValues!$A$2:$A$331,0)),0),IF(LeagueInfo!$F$7="ESPN",IFERROR(INDEX(DefaultAuctionValues!$C$2:$C$331,MATCH(A53,DefaultAuctionValues!$A$2:$A$331,0)),0),IF(LeagueInfo!$F$7="Custom",IFERROR(INDEX(DefaultAuctionValues!$D$2:$D$331,MATCH(A53,DefaultAuctionValues!$A$2:$A$331,0)),0))))</f>
        <v>30.4</v>
      </c>
      <c r="L53" s="159">
        <f t="shared" ca="1" si="4"/>
        <v>-9.8038406162621641</v>
      </c>
      <c r="M53" s="171"/>
      <c r="N53" s="166">
        <f t="shared" ca="1" si="5"/>
        <v>63.980000000000025</v>
      </c>
      <c r="O53" s="157" t="str">
        <f t="shared" ca="1" si="6"/>
        <v/>
      </c>
    </row>
    <row r="54" spans="1:15" x14ac:dyDescent="0.35">
      <c r="A54" s="157" t="s">
        <v>137</v>
      </c>
      <c r="B54" s="157" t="s">
        <v>26</v>
      </c>
      <c r="C54" s="157">
        <f ca="1">IFERROR(INDEX(BYEs!$B$2:$B$33,MATCH(D54,BYEs!$A$2:$A$33,0)),"N/A")</f>
        <v>10</v>
      </c>
      <c r="D54" s="214" t="str">
        <f t="shared" ca="1" si="0"/>
        <v>CLE</v>
      </c>
      <c r="E54" s="213" t="str">
        <f t="shared" ca="1" si="1"/>
        <v>QB3</v>
      </c>
      <c r="F54" s="158">
        <f ca="1">IF(LeagueInfo!$H$7="Starter/Bench",INDEX(INDIRECT(""&amp;B54&amp;"!T2:T628"),MATCH(A54,INDIRECT(""&amp;B54&amp;"!B2:B628"),0)),INDEX(INDIRECT(""&amp;B54&amp;"!AB2:AB628"),MATCH(A54,INDIRECT(""&amp;B54&amp;"!B2:B628"),0)))</f>
        <v>20.362800390295536</v>
      </c>
      <c r="G54" s="159">
        <f t="shared" si="2"/>
        <v>0</v>
      </c>
      <c r="H54" s="160"/>
      <c r="I54" s="159">
        <f t="shared" ca="1" si="3"/>
        <v>20.362800390295536</v>
      </c>
      <c r="J54" s="159" t="s">
        <v>73</v>
      </c>
      <c r="K54" s="159">
        <f>IF(LeagueInfo!$F$7="Yahoo",IFERROR(INDEX(DefaultAuctionValues!$B$2:$B$331,MATCH(A54,DefaultAuctionValues!$A$2:$A$331,0)),0),IF(LeagueInfo!$F$7="ESPN",IFERROR(INDEX(DefaultAuctionValues!$C$2:$C$331,MATCH(A54,DefaultAuctionValues!$A$2:$A$331,0)),0),IF(LeagueInfo!$F$7="Custom",IFERROR(INDEX(DefaultAuctionValues!$D$2:$D$331,MATCH(A54,DefaultAuctionValues!$A$2:$A$331,0)),0))))</f>
        <v>1.1000000000000001</v>
      </c>
      <c r="L54" s="159">
        <f t="shared" ca="1" si="4"/>
        <v>19.262800390295535</v>
      </c>
      <c r="M54" s="171"/>
      <c r="N54" s="166">
        <f t="shared" ca="1" si="5"/>
        <v>62.961999999999946</v>
      </c>
      <c r="O54" s="157" t="str">
        <f t="shared" ca="1" si="6"/>
        <v/>
      </c>
    </row>
    <row r="55" spans="1:15" x14ac:dyDescent="0.35">
      <c r="A55" s="157" t="s">
        <v>512</v>
      </c>
      <c r="B55" s="157" t="s">
        <v>26</v>
      </c>
      <c r="C55" s="157">
        <f ca="1">IFERROR(INDEX(BYEs!$B$2:$B$33,MATCH(D55,BYEs!$A$2:$A$33,0)),"N/A")</f>
        <v>5</v>
      </c>
      <c r="D55" s="214" t="str">
        <f t="shared" ca="1" si="0"/>
        <v>LAC</v>
      </c>
      <c r="E55" s="213" t="str">
        <f t="shared" ca="1" si="1"/>
        <v>QB3</v>
      </c>
      <c r="F55" s="158">
        <f ca="1">IF(LeagueInfo!$H$7="Starter/Bench",INDEX(INDIRECT(""&amp;B55&amp;"!T2:T628"),MATCH(A55,INDIRECT(""&amp;B55&amp;"!B2:B628"),0)),INDEX(INDIRECT(""&amp;B55&amp;"!AB2:AB628"),MATCH(A55,INDIRECT(""&amp;B55&amp;"!B2:B628"),0)))</f>
        <v>20.297664892519467</v>
      </c>
      <c r="G55" s="159">
        <f t="shared" si="2"/>
        <v>0</v>
      </c>
      <c r="H55" s="160"/>
      <c r="I55" s="159">
        <f t="shared" ca="1" si="3"/>
        <v>20.297664892519467</v>
      </c>
      <c r="J55" s="159" t="s">
        <v>73</v>
      </c>
      <c r="K55" s="159">
        <f>IF(LeagueInfo!$F$7="Yahoo",IFERROR(INDEX(DefaultAuctionValues!$B$2:$B$331,MATCH(A55,DefaultAuctionValues!$A$2:$A$331,0)),0),IF(LeagueInfo!$F$7="ESPN",IFERROR(INDEX(DefaultAuctionValues!$C$2:$C$331,MATCH(A55,DefaultAuctionValues!$A$2:$A$331,0)),0),IF(LeagueInfo!$F$7="Custom",IFERROR(INDEX(DefaultAuctionValues!$D$2:$D$331,MATCH(A55,DefaultAuctionValues!$A$2:$A$331,0)),0))))</f>
        <v>1.2</v>
      </c>
      <c r="L55" s="159">
        <f t="shared" ca="1" si="4"/>
        <v>19.097664892519468</v>
      </c>
      <c r="M55" s="171"/>
      <c r="N55" s="166">
        <f t="shared" ca="1" si="5"/>
        <v>62.755999999999986</v>
      </c>
      <c r="O55" s="157" t="str">
        <f t="shared" ca="1" si="6"/>
        <v/>
      </c>
    </row>
    <row r="56" spans="1:15" x14ac:dyDescent="0.35">
      <c r="A56" s="157" t="s">
        <v>779</v>
      </c>
      <c r="B56" s="157" t="s">
        <v>25</v>
      </c>
      <c r="C56" s="157">
        <f ca="1">IFERROR(INDEX(BYEs!$B$2:$B$33,MATCH(D56,BYEs!$A$2:$A$33,0)),"N/A")</f>
        <v>10</v>
      </c>
      <c r="D56" s="214" t="str">
        <f t="shared" ca="1" si="0"/>
        <v>SEA</v>
      </c>
      <c r="E56" s="213" t="str">
        <f t="shared" ca="1" si="1"/>
        <v>RB5</v>
      </c>
      <c r="F56" s="158">
        <f ca="1">IF(LeagueInfo!$H$7="Starter/Bench",INDEX(INDIRECT(""&amp;B56&amp;"!T2:T628"),MATCH(A56,INDIRECT(""&amp;B56&amp;"!B2:B628"),0)),INDEX(INDIRECT(""&amp;B56&amp;"!AB2:AB628"),MATCH(A56,INDIRECT(""&amp;B56&amp;"!B2:B628"),0)))</f>
        <v>20.067770253198322</v>
      </c>
      <c r="G56" s="159">
        <f t="shared" si="2"/>
        <v>0</v>
      </c>
      <c r="H56" s="160"/>
      <c r="I56" s="159">
        <f t="shared" ca="1" si="3"/>
        <v>20.067770253198322</v>
      </c>
      <c r="J56" s="159" t="s">
        <v>73</v>
      </c>
      <c r="K56" s="159">
        <f>IF(LeagueInfo!$F$7="Yahoo",IFERROR(INDEX(DefaultAuctionValues!$B$2:$B$331,MATCH(A56,DefaultAuctionValues!$A$2:$A$331,0)),0),IF(LeagueInfo!$F$7="ESPN",IFERROR(INDEX(DefaultAuctionValues!$C$2:$C$331,MATCH(A56,DefaultAuctionValues!$A$2:$A$331,0)),0),IF(LeagueInfo!$F$7="Custom",IFERROR(INDEX(DefaultAuctionValues!$D$2:$D$331,MATCH(A56,DefaultAuctionValues!$A$2:$A$331,0)),0))))</f>
        <v>14.5</v>
      </c>
      <c r="L56" s="159">
        <f t="shared" ca="1" si="4"/>
        <v>5.5677702531983222</v>
      </c>
      <c r="M56" s="171"/>
      <c r="N56" s="166">
        <f t="shared" ca="1" si="5"/>
        <v>62.17</v>
      </c>
      <c r="O56" s="157" t="str">
        <f t="shared" ca="1" si="6"/>
        <v/>
      </c>
    </row>
    <row r="57" spans="1:15" x14ac:dyDescent="0.35">
      <c r="A57" s="157" t="s">
        <v>215</v>
      </c>
      <c r="B57" s="157" t="s">
        <v>26</v>
      </c>
      <c r="C57" s="157">
        <f ca="1">IFERROR(INDEX(BYEs!$B$2:$B$33,MATCH(D57,BYEs!$A$2:$A$33,0)),"N/A")</f>
        <v>5</v>
      </c>
      <c r="D57" s="214" t="str">
        <f t="shared" ca="1" si="0"/>
        <v>DET</v>
      </c>
      <c r="E57" s="213" t="str">
        <f t="shared" ca="1" si="1"/>
        <v>QB3</v>
      </c>
      <c r="F57" s="158">
        <f ca="1">IF(LeagueInfo!$H$7="Starter/Bench",INDEX(INDIRECT(""&amp;B57&amp;"!T2:T628"),MATCH(A57,INDIRECT(""&amp;B57&amp;"!B2:B628"),0)),INDEX(INDIRECT(""&amp;B57&amp;"!AB2:AB628"),MATCH(A57,INDIRECT(""&amp;B57&amp;"!B2:B628"),0)))</f>
        <v>19.753815105262859</v>
      </c>
      <c r="G57" s="159">
        <f t="shared" si="2"/>
        <v>0</v>
      </c>
      <c r="H57" s="160"/>
      <c r="I57" s="159">
        <f t="shared" ca="1" si="3"/>
        <v>19.753815105262859</v>
      </c>
      <c r="J57" s="159" t="s">
        <v>73</v>
      </c>
      <c r="K57" s="159">
        <f>IF(LeagueInfo!$F$7="Yahoo",IFERROR(INDEX(DefaultAuctionValues!$B$2:$B$331,MATCH(A57,DefaultAuctionValues!$A$2:$A$331,0)),0),IF(LeagueInfo!$F$7="ESPN",IFERROR(INDEX(DefaultAuctionValues!$C$2:$C$331,MATCH(A57,DefaultAuctionValues!$A$2:$A$331,0)),0),IF(LeagueInfo!$F$7="Custom",IFERROR(INDEX(DefaultAuctionValues!$D$2:$D$331,MATCH(A57,DefaultAuctionValues!$A$2:$A$331,0)),0))))</f>
        <v>1.6</v>
      </c>
      <c r="L57" s="159">
        <f t="shared" ca="1" si="4"/>
        <v>18.153815105262858</v>
      </c>
      <c r="M57" s="171"/>
      <c r="N57" s="166">
        <f t="shared" ca="1" si="5"/>
        <v>61.035999999999959</v>
      </c>
      <c r="O57" s="157" t="str">
        <f t="shared" ca="1" si="6"/>
        <v/>
      </c>
    </row>
    <row r="58" spans="1:15" x14ac:dyDescent="0.35">
      <c r="A58" s="157" t="s">
        <v>371</v>
      </c>
      <c r="B58" s="157" t="s">
        <v>40</v>
      </c>
      <c r="C58" s="157">
        <f ca="1">IFERROR(INDEX(BYEs!$B$2:$B$33,MATCH(D58,BYEs!$A$2:$A$33,0)),"N/A")</f>
        <v>14</v>
      </c>
      <c r="D58" s="214" t="str">
        <f t="shared" ca="1" si="0"/>
        <v>BAL</v>
      </c>
      <c r="E58" s="213" t="str">
        <f t="shared" ca="1" si="1"/>
        <v>TE1</v>
      </c>
      <c r="F58" s="158">
        <f ca="1">IF(LeagueInfo!$H$7="Starter/Bench",INDEX(INDIRECT(""&amp;B58&amp;"!T2:T628"),MATCH(A58,INDIRECT(""&amp;B58&amp;"!B2:B628"),0)),INDEX(INDIRECT(""&amp;B58&amp;"!AB2:AB628"),MATCH(A58,INDIRECT(""&amp;B58&amp;"!B2:B628"),0)))</f>
        <v>19.670213690512046</v>
      </c>
      <c r="G58" s="159">
        <f t="shared" si="2"/>
        <v>0</v>
      </c>
      <c r="H58" s="160"/>
      <c r="I58" s="159">
        <f t="shared" ca="1" si="3"/>
        <v>19.670213690512046</v>
      </c>
      <c r="J58" s="159" t="s">
        <v>73</v>
      </c>
      <c r="K58" s="159">
        <f>IF(LeagueInfo!$F$7="Yahoo",IFERROR(INDEX(DefaultAuctionValues!$B$2:$B$331,MATCH(A58,DefaultAuctionValues!$A$2:$A$331,0)),0),IF(LeagueInfo!$F$7="ESPN",IFERROR(INDEX(DefaultAuctionValues!$C$2:$C$331,MATCH(A58,DefaultAuctionValues!$A$2:$A$331,0)),0),IF(LeagueInfo!$F$7="Custom",IFERROR(INDEX(DefaultAuctionValues!$D$2:$D$331,MATCH(A58,DefaultAuctionValues!$A$2:$A$331,0)),0))))</f>
        <v>10.4</v>
      </c>
      <c r="L58" s="159">
        <f t="shared" ca="1" si="4"/>
        <v>9.2702136905120458</v>
      </c>
      <c r="M58" s="171"/>
      <c r="N58" s="166">
        <f t="shared" ca="1" si="5"/>
        <v>61.470000000000013</v>
      </c>
      <c r="O58" s="157" t="str">
        <f t="shared" ca="1" si="6"/>
        <v/>
      </c>
    </row>
    <row r="59" spans="1:15" x14ac:dyDescent="0.35">
      <c r="A59" s="157" t="s">
        <v>907</v>
      </c>
      <c r="B59" s="157" t="s">
        <v>32</v>
      </c>
      <c r="C59" s="157">
        <f ca="1">IFERROR(INDEX(BYEs!$B$2:$B$33,MATCH(D59,BYEs!$A$2:$A$33,0)),"N/A")</f>
        <v>11</v>
      </c>
      <c r="D59" s="214" t="str">
        <f t="shared" ca="1" si="0"/>
        <v>ARI</v>
      </c>
      <c r="E59" s="213" t="str">
        <f t="shared" ca="1" si="1"/>
        <v>WR4</v>
      </c>
      <c r="F59" s="158">
        <f ca="1">IF(LeagueInfo!$H$7="Starter/Bench",INDEX(INDIRECT(""&amp;B59&amp;"!T2:T628"),MATCH(A59,INDIRECT(""&amp;B59&amp;"!B2:B628"),0)),INDEX(INDIRECT(""&amp;B59&amp;"!AB2:AB628"),MATCH(A59,INDIRECT(""&amp;B59&amp;"!B2:B628"),0)))</f>
        <v>19.517945561327945</v>
      </c>
      <c r="G59" s="159">
        <f t="shared" si="2"/>
        <v>0</v>
      </c>
      <c r="H59" s="160"/>
      <c r="I59" s="159">
        <f t="shared" ca="1" si="3"/>
        <v>19.517945561327945</v>
      </c>
      <c r="J59" s="159" t="s">
        <v>73</v>
      </c>
      <c r="K59" s="159">
        <f>IF(LeagueInfo!$F$7="Yahoo",IFERROR(INDEX(DefaultAuctionValues!$B$2:$B$331,MATCH(A59,DefaultAuctionValues!$A$2:$A$331,0)),0),IF(LeagueInfo!$F$7="ESPN",IFERROR(INDEX(DefaultAuctionValues!$C$2:$C$331,MATCH(A59,DefaultAuctionValues!$A$2:$A$331,0)),0),IF(LeagueInfo!$F$7="Custom",IFERROR(INDEX(DefaultAuctionValues!$D$2:$D$331,MATCH(A59,DefaultAuctionValues!$A$2:$A$331,0)),0))))</f>
        <v>40.5</v>
      </c>
      <c r="L59" s="159">
        <f t="shared" ca="1" si="4"/>
        <v>-20.982054438672055</v>
      </c>
      <c r="M59" s="171"/>
      <c r="N59" s="166">
        <f t="shared" ca="1" si="5"/>
        <v>60.57</v>
      </c>
      <c r="O59" s="157" t="str">
        <f t="shared" ca="1" si="6"/>
        <v/>
      </c>
    </row>
    <row r="60" spans="1:15" x14ac:dyDescent="0.35">
      <c r="A60" s="157" t="s">
        <v>90</v>
      </c>
      <c r="B60" s="157" t="s">
        <v>32</v>
      </c>
      <c r="C60" s="157">
        <f ca="1">IFERROR(INDEX(BYEs!$B$2:$B$33,MATCH(D60,BYEs!$A$2:$A$33,0)),"N/A")</f>
        <v>11</v>
      </c>
      <c r="D60" s="214" t="str">
        <f t="shared" ca="1" si="0"/>
        <v>TB</v>
      </c>
      <c r="E60" s="213" t="str">
        <f t="shared" ca="1" si="1"/>
        <v>WR4</v>
      </c>
      <c r="F60" s="158">
        <f ca="1">IF(LeagueInfo!$H$7="Starter/Bench",INDEX(INDIRECT(""&amp;B60&amp;"!T2:T628"),MATCH(A60,INDIRECT(""&amp;B60&amp;"!B2:B628"),0)),INDEX(INDIRECT(""&amp;B60&amp;"!AB2:AB628"),MATCH(A60,INDIRECT(""&amp;B60&amp;"!B2:B628"),0)))</f>
        <v>19.337716271365004</v>
      </c>
      <c r="G60" s="159">
        <f t="shared" si="2"/>
        <v>0</v>
      </c>
      <c r="H60" s="160"/>
      <c r="I60" s="159">
        <f t="shared" ca="1" si="3"/>
        <v>19.337716271365004</v>
      </c>
      <c r="J60" s="159" t="s">
        <v>73</v>
      </c>
      <c r="K60" s="159">
        <f>IF(LeagueInfo!$F$7="Yahoo",IFERROR(INDEX(DefaultAuctionValues!$B$2:$B$331,MATCH(A60,DefaultAuctionValues!$A$2:$A$331,0)),0),IF(LeagueInfo!$F$7="ESPN",IFERROR(INDEX(DefaultAuctionValues!$C$2:$C$331,MATCH(A60,DefaultAuctionValues!$A$2:$A$331,0)),0),IF(LeagueInfo!$F$7="Custom",IFERROR(INDEX(DefaultAuctionValues!$D$2:$D$331,MATCH(A60,DefaultAuctionValues!$A$2:$A$331,0)),0))))</f>
        <v>30.1</v>
      </c>
      <c r="L60" s="159">
        <f t="shared" ca="1" si="4"/>
        <v>-10.762283728634998</v>
      </c>
      <c r="M60" s="171"/>
      <c r="N60" s="166">
        <f t="shared" ca="1" si="5"/>
        <v>60.000000000000007</v>
      </c>
      <c r="O60" s="157" t="str">
        <f t="shared" ca="1" si="6"/>
        <v/>
      </c>
    </row>
    <row r="61" spans="1:15" x14ac:dyDescent="0.35">
      <c r="A61" s="157" t="s">
        <v>906</v>
      </c>
      <c r="B61" s="157" t="s">
        <v>32</v>
      </c>
      <c r="C61" s="157">
        <f ca="1">IFERROR(INDEX(BYEs!$B$2:$B$33,MATCH(D61,BYEs!$A$2:$A$33,0)),"N/A")</f>
        <v>9</v>
      </c>
      <c r="D61" s="214" t="str">
        <f t="shared" ca="1" si="0"/>
        <v>SF</v>
      </c>
      <c r="E61" s="213" t="str">
        <f t="shared" ca="1" si="1"/>
        <v>WR4</v>
      </c>
      <c r="F61" s="158">
        <f ca="1">IF(LeagueInfo!$H$7="Starter/Bench",INDEX(INDIRECT(""&amp;B61&amp;"!T2:T628"),MATCH(A61,INDIRECT(""&amp;B61&amp;"!B2:B628"),0)),INDEX(INDIRECT(""&amp;B61&amp;"!AB2:AB628"),MATCH(A61,INDIRECT(""&amp;B61&amp;"!B2:B628"),0)))</f>
        <v>19.198591907183086</v>
      </c>
      <c r="G61" s="159">
        <f t="shared" si="2"/>
        <v>0</v>
      </c>
      <c r="H61" s="160"/>
      <c r="I61" s="159">
        <f t="shared" ca="1" si="3"/>
        <v>19.198591907183086</v>
      </c>
      <c r="J61" s="159" t="s">
        <v>73</v>
      </c>
      <c r="K61" s="159">
        <f>IF(LeagueInfo!$F$7="Yahoo",IFERROR(INDEX(DefaultAuctionValues!$B$2:$B$331,MATCH(A61,DefaultAuctionValues!$A$2:$A$331,0)),0),IF(LeagueInfo!$F$7="ESPN",IFERROR(INDEX(DefaultAuctionValues!$C$2:$C$331,MATCH(A61,DefaultAuctionValues!$A$2:$A$331,0)),0),IF(LeagueInfo!$F$7="Custom",IFERROR(INDEX(DefaultAuctionValues!$D$2:$D$331,MATCH(A61,DefaultAuctionValues!$A$2:$A$331,0)),0))))</f>
        <v>25.7</v>
      </c>
      <c r="L61" s="159">
        <f t="shared" ca="1" si="4"/>
        <v>-6.5014080928169129</v>
      </c>
      <c r="M61" s="171"/>
      <c r="N61" s="166">
        <f t="shared" ca="1" si="5"/>
        <v>59.560000000000009</v>
      </c>
      <c r="O61" s="157" t="str">
        <f t="shared" ca="1" si="6"/>
        <v/>
      </c>
    </row>
    <row r="62" spans="1:15" x14ac:dyDescent="0.35">
      <c r="A62" s="157" t="s">
        <v>588</v>
      </c>
      <c r="B62" s="157" t="s">
        <v>32</v>
      </c>
      <c r="C62" s="157">
        <f ca="1">IFERROR(INDEX(BYEs!$B$2:$B$33,MATCH(D62,BYEs!$A$2:$A$33,0)),"N/A")</f>
        <v>12</v>
      </c>
      <c r="D62" s="214" t="str">
        <f t="shared" ca="1" si="0"/>
        <v>ATL</v>
      </c>
      <c r="E62" s="213" t="str">
        <f t="shared" ca="1" si="1"/>
        <v>WR4</v>
      </c>
      <c r="F62" s="158">
        <f ca="1">IF(LeagueInfo!$H$7="Starter/Bench",INDEX(INDIRECT(""&amp;B62&amp;"!T2:T628"),MATCH(A62,INDIRECT(""&amp;B62&amp;"!B2:B628"),0)),INDEX(INDIRECT(""&amp;B62&amp;"!AB2:AB628"),MATCH(A62,INDIRECT(""&amp;B62&amp;"!B2:B628"),0)))</f>
        <v>19.151163146666512</v>
      </c>
      <c r="G62" s="159">
        <f t="shared" si="2"/>
        <v>0</v>
      </c>
      <c r="H62" s="160"/>
      <c r="I62" s="159">
        <f t="shared" ca="1" si="3"/>
        <v>19.151163146666512</v>
      </c>
      <c r="J62" s="159" t="s">
        <v>73</v>
      </c>
      <c r="K62" s="159">
        <f>IF(LeagueInfo!$F$7="Yahoo",IFERROR(INDEX(DefaultAuctionValues!$B$2:$B$331,MATCH(A62,DefaultAuctionValues!$A$2:$A$331,0)),0),IF(LeagueInfo!$F$7="ESPN",IFERROR(INDEX(DefaultAuctionValues!$C$2:$C$331,MATCH(A62,DefaultAuctionValues!$A$2:$A$331,0)),0),IF(LeagueInfo!$F$7="Custom",IFERROR(INDEX(DefaultAuctionValues!$D$2:$D$331,MATCH(A62,DefaultAuctionValues!$A$2:$A$331,0)),0))))</f>
        <v>28.6</v>
      </c>
      <c r="L62" s="159">
        <f t="shared" ca="1" si="4"/>
        <v>-9.4488368533334892</v>
      </c>
      <c r="M62" s="171"/>
      <c r="N62" s="166">
        <f t="shared" ca="1" si="5"/>
        <v>59.409999999999975</v>
      </c>
      <c r="O62" s="157" t="str">
        <f t="shared" ca="1" si="6"/>
        <v/>
      </c>
    </row>
    <row r="63" spans="1:15" x14ac:dyDescent="0.35">
      <c r="A63" s="157" t="s">
        <v>559</v>
      </c>
      <c r="B63" s="157" t="s">
        <v>32</v>
      </c>
      <c r="C63" s="157">
        <f ca="1">IFERROR(INDEX(BYEs!$B$2:$B$33,MATCH(D63,BYEs!$A$2:$A$33,0)),"N/A")</f>
        <v>14</v>
      </c>
      <c r="D63" s="214" t="str">
        <f t="shared" ca="1" si="0"/>
        <v>HOU</v>
      </c>
      <c r="E63" s="213" t="str">
        <f t="shared" ca="1" si="1"/>
        <v>WR4</v>
      </c>
      <c r="F63" s="158">
        <f ca="1">IF(LeagueInfo!$H$7="Starter/Bench",INDEX(INDIRECT(""&amp;B63&amp;"!T2:T628"),MATCH(A63,INDIRECT(""&amp;B63&amp;"!B2:B628"),0)),INDEX(INDIRECT(""&amp;B63&amp;"!AB2:AB628"),MATCH(A63,INDIRECT(""&amp;B63&amp;"!B2:B628"),0)))</f>
        <v>19.132191642459894</v>
      </c>
      <c r="G63" s="159">
        <f t="shared" si="2"/>
        <v>0</v>
      </c>
      <c r="H63" s="160"/>
      <c r="I63" s="159">
        <f t="shared" ca="1" si="3"/>
        <v>19.132191642459894</v>
      </c>
      <c r="J63" s="159" t="s">
        <v>73</v>
      </c>
      <c r="K63" s="159">
        <f>IF(LeagueInfo!$F$7="Yahoo",IFERROR(INDEX(DefaultAuctionValues!$B$2:$B$331,MATCH(A63,DefaultAuctionValues!$A$2:$A$331,0)),0),IF(LeagueInfo!$F$7="ESPN",IFERROR(INDEX(DefaultAuctionValues!$C$2:$C$331,MATCH(A63,DefaultAuctionValues!$A$2:$A$331,0)),0),IF(LeagueInfo!$F$7="Custom",IFERROR(INDEX(DefaultAuctionValues!$D$2:$D$331,MATCH(A63,DefaultAuctionValues!$A$2:$A$331,0)),0))))</f>
        <v>22.7</v>
      </c>
      <c r="L63" s="159">
        <f t="shared" ca="1" si="4"/>
        <v>-3.5678083575401054</v>
      </c>
      <c r="M63" s="171"/>
      <c r="N63" s="166">
        <f t="shared" ca="1" si="5"/>
        <v>59.35</v>
      </c>
      <c r="O63" s="157" t="str">
        <f t="shared" ca="1" si="6"/>
        <v/>
      </c>
    </row>
    <row r="64" spans="1:15" x14ac:dyDescent="0.35">
      <c r="A64" s="157" t="s">
        <v>100</v>
      </c>
      <c r="B64" s="157" t="s">
        <v>32</v>
      </c>
      <c r="C64" s="157">
        <f ca="1">IFERROR(INDEX(BYEs!$B$2:$B$33,MATCH(D64,BYEs!$A$2:$A$33,0)),"N/A")</f>
        <v>10</v>
      </c>
      <c r="D64" s="214" t="str">
        <f t="shared" ca="1" si="0"/>
        <v>LV</v>
      </c>
      <c r="E64" s="213" t="str">
        <f t="shared" ca="1" si="1"/>
        <v>WR4</v>
      </c>
      <c r="F64" s="158">
        <f ca="1">IF(LeagueInfo!$H$7="Starter/Bench",INDEX(INDIRECT(""&amp;B64&amp;"!T2:T628"),MATCH(A64,INDIRECT(""&amp;B64&amp;"!B2:B628"),0)),INDEX(INDIRECT(""&amp;B64&amp;"!AB2:AB628"),MATCH(A64,INDIRECT(""&amp;B64&amp;"!B2:B628"),0)))</f>
        <v>18.78754264937286</v>
      </c>
      <c r="G64" s="159">
        <f t="shared" si="2"/>
        <v>0</v>
      </c>
      <c r="H64" s="160"/>
      <c r="I64" s="159">
        <f t="shared" ca="1" si="3"/>
        <v>18.78754264937286</v>
      </c>
      <c r="J64" s="159" t="s">
        <v>73</v>
      </c>
      <c r="K64" s="159">
        <f>IF(LeagueInfo!$F$7="Yahoo",IFERROR(INDEX(DefaultAuctionValues!$B$2:$B$331,MATCH(A64,DefaultAuctionValues!$A$2:$A$331,0)),0),IF(LeagueInfo!$F$7="ESPN",IFERROR(INDEX(DefaultAuctionValues!$C$2:$C$331,MATCH(A64,DefaultAuctionValues!$A$2:$A$331,0)),0),IF(LeagueInfo!$F$7="Custom",IFERROR(INDEX(DefaultAuctionValues!$D$2:$D$331,MATCH(A64,DefaultAuctionValues!$A$2:$A$331,0)),0))))</f>
        <v>33.299999999999997</v>
      </c>
      <c r="L64" s="159">
        <f t="shared" ca="1" si="4"/>
        <v>-14.512457350627137</v>
      </c>
      <c r="M64" s="171"/>
      <c r="N64" s="166">
        <f t="shared" ca="1" si="5"/>
        <v>58.26</v>
      </c>
      <c r="O64" s="157" t="str">
        <f t="shared" ca="1" si="6"/>
        <v/>
      </c>
    </row>
    <row r="65" spans="1:15" x14ac:dyDescent="0.35">
      <c r="A65" s="157" t="s">
        <v>511</v>
      </c>
      <c r="B65" s="157" t="s">
        <v>26</v>
      </c>
      <c r="C65" s="157">
        <f ca="1">IFERROR(INDEX(BYEs!$B$2:$B$33,MATCH(D65,BYEs!$A$2:$A$33,0)),"N/A")</f>
        <v>6</v>
      </c>
      <c r="D65" s="214" t="str">
        <f t="shared" ca="1" si="0"/>
        <v>MIA</v>
      </c>
      <c r="E65" s="213" t="str">
        <f t="shared" ca="1" si="1"/>
        <v>QB3</v>
      </c>
      <c r="F65" s="158">
        <f ca="1">IF(LeagueInfo!$H$7="Starter/Bench",INDEX(INDIRECT(""&amp;B65&amp;"!T2:T628"),MATCH(A65,INDIRECT(""&amp;B65&amp;"!B2:B628"),0)),INDEX(INDIRECT(""&amp;B65&amp;"!AB2:AB628"),MATCH(A65,INDIRECT(""&amp;B65&amp;"!B2:B628"),0)))</f>
        <v>18.323363688083315</v>
      </c>
      <c r="G65" s="159">
        <f t="shared" si="2"/>
        <v>0</v>
      </c>
      <c r="H65" s="160"/>
      <c r="I65" s="159">
        <f t="shared" ca="1" si="3"/>
        <v>18.323363688083315</v>
      </c>
      <c r="J65" s="159" t="s">
        <v>73</v>
      </c>
      <c r="K65" s="159">
        <f>IF(LeagueInfo!$F$7="Yahoo",IFERROR(INDEX(DefaultAuctionValues!$B$2:$B$331,MATCH(A65,DefaultAuctionValues!$A$2:$A$331,0)),0),IF(LeagueInfo!$F$7="ESPN",IFERROR(INDEX(DefaultAuctionValues!$C$2:$C$331,MATCH(A65,DefaultAuctionValues!$A$2:$A$331,0)),0),IF(LeagueInfo!$F$7="Custom",IFERROR(INDEX(DefaultAuctionValues!$D$2:$D$331,MATCH(A65,DefaultAuctionValues!$A$2:$A$331,0)),0))))</f>
        <v>1.6</v>
      </c>
      <c r="L65" s="159">
        <f t="shared" ca="1" si="4"/>
        <v>16.723363688083314</v>
      </c>
      <c r="M65" s="171"/>
      <c r="N65" s="166">
        <f t="shared" ca="1" si="5"/>
        <v>56.512000000000015</v>
      </c>
      <c r="O65" s="157" t="str">
        <f t="shared" ca="1" si="6"/>
        <v/>
      </c>
    </row>
    <row r="66" spans="1:15" x14ac:dyDescent="0.35">
      <c r="A66" s="157" t="s">
        <v>239</v>
      </c>
      <c r="B66" s="157" t="s">
        <v>32</v>
      </c>
      <c r="C66" s="157">
        <f ca="1">IFERROR(INDEX(BYEs!$B$2:$B$33,MATCH(D66,BYEs!$A$2:$A$33,0)),"N/A")</f>
        <v>6</v>
      </c>
      <c r="D66" s="214" t="str">
        <f t="shared" ca="1" si="0"/>
        <v>LAR</v>
      </c>
      <c r="E66" s="213" t="str">
        <f t="shared" ca="1" si="1"/>
        <v>WR4</v>
      </c>
      <c r="F66" s="158">
        <f ca="1">IF(LeagueInfo!$H$7="Starter/Bench",INDEX(INDIRECT(""&amp;B66&amp;"!T2:T628"),MATCH(A66,INDIRECT(""&amp;B66&amp;"!B2:B628"),0)),INDEX(INDIRECT(""&amp;B66&amp;"!AB2:AB628"),MATCH(A66,INDIRECT(""&amp;B66&amp;"!B2:B628"),0)))</f>
        <v>17.709328826962988</v>
      </c>
      <c r="G66" s="159">
        <f t="shared" si="2"/>
        <v>0</v>
      </c>
      <c r="H66" s="160"/>
      <c r="I66" s="159">
        <f t="shared" ca="1" si="3"/>
        <v>17.709328826962988</v>
      </c>
      <c r="J66" s="159" t="s">
        <v>73</v>
      </c>
      <c r="K66" s="159">
        <f>IF(LeagueInfo!$F$7="Yahoo",IFERROR(INDEX(DefaultAuctionValues!$B$2:$B$331,MATCH(A66,DefaultAuctionValues!$A$2:$A$331,0)),0),IF(LeagueInfo!$F$7="ESPN",IFERROR(INDEX(DefaultAuctionValues!$C$2:$C$331,MATCH(A66,DefaultAuctionValues!$A$2:$A$331,0)),0),IF(LeagueInfo!$F$7="Custom",IFERROR(INDEX(DefaultAuctionValues!$D$2:$D$331,MATCH(A66,DefaultAuctionValues!$A$2:$A$331,0)),0))))</f>
        <v>23.7</v>
      </c>
      <c r="L66" s="159">
        <f t="shared" ca="1" si="4"/>
        <v>-5.9906711730370112</v>
      </c>
      <c r="M66" s="171"/>
      <c r="N66" s="166">
        <f t="shared" ca="1" si="5"/>
        <v>54.85000000000003</v>
      </c>
      <c r="O66" s="157" t="str">
        <f t="shared" ca="1" si="6"/>
        <v/>
      </c>
    </row>
    <row r="67" spans="1:15" x14ac:dyDescent="0.35">
      <c r="A67" s="157" t="s">
        <v>634</v>
      </c>
      <c r="B67" s="157" t="s">
        <v>40</v>
      </c>
      <c r="C67" s="157">
        <f ca="1">IFERROR(INDEX(BYEs!$B$2:$B$33,MATCH(D67,BYEs!$A$2:$A$33,0)),"N/A")</f>
        <v>11</v>
      </c>
      <c r="D67" s="214" t="str">
        <f t="shared" ca="1" si="0"/>
        <v>ARI</v>
      </c>
      <c r="E67" s="213" t="str">
        <f t="shared" ca="1" si="1"/>
        <v>TE2</v>
      </c>
      <c r="F67" s="158">
        <f ca="1">IF(LeagueInfo!$H$7="Starter/Bench",INDEX(INDIRECT(""&amp;B67&amp;"!T2:T628"),MATCH(A67,INDIRECT(""&amp;B67&amp;"!B2:B628"),0)),INDEX(INDIRECT(""&amp;B67&amp;"!AB2:AB628"),MATCH(A67,INDIRECT(""&amp;B67&amp;"!B2:B628"),0)))</f>
        <v>16.935155167390199</v>
      </c>
      <c r="G67" s="159">
        <f t="shared" si="2"/>
        <v>0</v>
      </c>
      <c r="H67" s="160"/>
      <c r="I67" s="159">
        <f t="shared" ca="1" si="3"/>
        <v>16.935155167390199</v>
      </c>
      <c r="J67" s="159" t="s">
        <v>73</v>
      </c>
      <c r="K67" s="159">
        <f>IF(LeagueInfo!$F$7="Yahoo",IFERROR(INDEX(DefaultAuctionValues!$B$2:$B$331,MATCH(A67,DefaultAuctionValues!$A$2:$A$331,0)),0),IF(LeagueInfo!$F$7="ESPN",IFERROR(INDEX(DefaultAuctionValues!$C$2:$C$331,MATCH(A67,DefaultAuctionValues!$A$2:$A$331,0)),0),IF(LeagueInfo!$F$7="Custom",IFERROR(INDEX(DefaultAuctionValues!$D$2:$D$331,MATCH(A67,DefaultAuctionValues!$A$2:$A$331,0)),0))))</f>
        <v>13.3</v>
      </c>
      <c r="L67" s="159">
        <f t="shared" ca="1" si="4"/>
        <v>3.6351551673901987</v>
      </c>
      <c r="M67" s="171"/>
      <c r="N67" s="166">
        <f t="shared" ca="1" si="5"/>
        <v>52.820000000000007</v>
      </c>
      <c r="O67" s="157" t="str">
        <f t="shared" ca="1" si="6"/>
        <v/>
      </c>
    </row>
    <row r="68" spans="1:15" x14ac:dyDescent="0.35">
      <c r="A68" s="157" t="s">
        <v>551</v>
      </c>
      <c r="B68" s="157" t="s">
        <v>32</v>
      </c>
      <c r="C68" s="157">
        <f ca="1">IFERROR(INDEX(BYEs!$B$2:$B$33,MATCH(D68,BYEs!$A$2:$A$33,0)),"N/A")</f>
        <v>5</v>
      </c>
      <c r="D68" s="214" t="str">
        <f t="shared" ca="1" si="0"/>
        <v>PHI</v>
      </c>
      <c r="E68" s="213" t="str">
        <f t="shared" ca="1" si="1"/>
        <v>WR4</v>
      </c>
      <c r="F68" s="158">
        <f ca="1">IF(LeagueInfo!$H$7="Starter/Bench",INDEX(INDIRECT(""&amp;B68&amp;"!T2:T628"),MATCH(A68,INDIRECT(""&amp;B68&amp;"!B2:B628"),0)),INDEX(INDIRECT(""&amp;B68&amp;"!AB2:AB628"),MATCH(A68,INDIRECT(""&amp;B68&amp;"!B2:B628"),0)))</f>
        <v>16.868258807135909</v>
      </c>
      <c r="G68" s="159">
        <f t="shared" si="2"/>
        <v>0</v>
      </c>
      <c r="H68" s="160"/>
      <c r="I68" s="159">
        <f t="shared" ca="1" si="3"/>
        <v>16.868258807135909</v>
      </c>
      <c r="J68" s="159" t="s">
        <v>73</v>
      </c>
      <c r="K68" s="159">
        <f>IF(LeagueInfo!$F$7="Yahoo",IFERROR(INDEX(DefaultAuctionValues!$B$2:$B$331,MATCH(A68,DefaultAuctionValues!$A$2:$A$331,0)),0),IF(LeagueInfo!$F$7="ESPN",IFERROR(INDEX(DefaultAuctionValues!$C$2:$C$331,MATCH(A68,DefaultAuctionValues!$A$2:$A$331,0)),0),IF(LeagueInfo!$F$7="Custom",IFERROR(INDEX(DefaultAuctionValues!$D$2:$D$331,MATCH(A68,DefaultAuctionValues!$A$2:$A$331,0)),0))))</f>
        <v>13.7</v>
      </c>
      <c r="L68" s="159">
        <f t="shared" ca="1" si="4"/>
        <v>3.1682588071359099</v>
      </c>
      <c r="M68" s="171"/>
      <c r="N68" s="166">
        <f t="shared" ca="1" si="5"/>
        <v>52.189999999999976</v>
      </c>
      <c r="O68" s="157" t="str">
        <f t="shared" ca="1" si="6"/>
        <v/>
      </c>
    </row>
    <row r="69" spans="1:15" x14ac:dyDescent="0.35">
      <c r="A69" s="157" t="s">
        <v>586</v>
      </c>
      <c r="B69" s="157" t="s">
        <v>32</v>
      </c>
      <c r="C69" s="157">
        <f ca="1">IFERROR(INDEX(BYEs!$B$2:$B$33,MATCH(D69,BYEs!$A$2:$A$33,0)),"N/A")</f>
        <v>10</v>
      </c>
      <c r="D69" s="214" t="str">
        <f t="shared" ca="1" si="0"/>
        <v>SEA</v>
      </c>
      <c r="E69" s="213" t="str">
        <f t="shared" ca="1" si="1"/>
        <v>WR4</v>
      </c>
      <c r="F69" s="158">
        <f ca="1">IF(LeagueInfo!$H$7="Starter/Bench",INDEX(INDIRECT(""&amp;B69&amp;"!T2:T628"),MATCH(A69,INDIRECT(""&amp;B69&amp;"!B2:B628"),0)),INDEX(INDIRECT(""&amp;B69&amp;"!AB2:AB628"),MATCH(A69,INDIRECT(""&amp;B69&amp;"!B2:B628"),0)))</f>
        <v>16.830315798722658</v>
      </c>
      <c r="G69" s="159">
        <f t="shared" si="2"/>
        <v>0</v>
      </c>
      <c r="H69" s="160"/>
      <c r="I69" s="159">
        <f t="shared" ca="1" si="3"/>
        <v>16.830315798722658</v>
      </c>
      <c r="J69" s="159" t="s">
        <v>73</v>
      </c>
      <c r="K69" s="159">
        <f>IF(LeagueInfo!$F$7="Yahoo",IFERROR(INDEX(DefaultAuctionValues!$B$2:$B$331,MATCH(A69,DefaultAuctionValues!$A$2:$A$331,0)),0),IF(LeagueInfo!$F$7="ESPN",IFERROR(INDEX(DefaultAuctionValues!$C$2:$C$331,MATCH(A69,DefaultAuctionValues!$A$2:$A$331,0)),0),IF(LeagueInfo!$F$7="Custom",IFERROR(INDEX(DefaultAuctionValues!$D$2:$D$331,MATCH(A69,DefaultAuctionValues!$A$2:$A$331,0)),0))))</f>
        <v>18.3</v>
      </c>
      <c r="L69" s="159">
        <f t="shared" ca="1" si="4"/>
        <v>-1.4696842012773423</v>
      </c>
      <c r="M69" s="171"/>
      <c r="N69" s="166">
        <f t="shared" ca="1" si="5"/>
        <v>52.069999999999972</v>
      </c>
      <c r="O69" s="157" t="str">
        <f t="shared" ca="1" si="6"/>
        <v/>
      </c>
    </row>
    <row r="70" spans="1:15" x14ac:dyDescent="0.35">
      <c r="A70" s="157" t="s">
        <v>344</v>
      </c>
      <c r="B70" s="157" t="s">
        <v>26</v>
      </c>
      <c r="C70" s="157">
        <f ca="1">IFERROR(INDEX(BYEs!$B$2:$B$33,MATCH(D70,BYEs!$A$2:$A$33,0)),"N/A")</f>
        <v>11</v>
      </c>
      <c r="D70" s="214" t="str">
        <f t="shared" ca="1" si="0"/>
        <v>TB</v>
      </c>
      <c r="E70" s="213" t="str">
        <f t="shared" ca="1" si="1"/>
        <v>QB3</v>
      </c>
      <c r="F70" s="158">
        <f ca="1">IF(LeagueInfo!$H$7="Starter/Bench",INDEX(INDIRECT(""&amp;B70&amp;"!T2:T628"),MATCH(A70,INDIRECT(""&amp;B70&amp;"!B2:B628"),0)),INDEX(INDIRECT(""&amp;B70&amp;"!AB2:AB628"),MATCH(A70,INDIRECT(""&amp;B70&amp;"!B2:B628"),0)))</f>
        <v>16.807540501973907</v>
      </c>
      <c r="G70" s="159">
        <f t="shared" si="2"/>
        <v>0</v>
      </c>
      <c r="H70" s="160"/>
      <c r="I70" s="159">
        <f t="shared" ca="1" si="3"/>
        <v>16.807540501973907</v>
      </c>
      <c r="J70" s="159" t="s">
        <v>73</v>
      </c>
      <c r="K70" s="159">
        <f>IF(LeagueInfo!$F$7="Yahoo",IFERROR(INDEX(DefaultAuctionValues!$B$2:$B$331,MATCH(A70,DefaultAuctionValues!$A$2:$A$331,0)),0),IF(LeagueInfo!$F$7="ESPN",IFERROR(INDEX(DefaultAuctionValues!$C$2:$C$331,MATCH(A70,DefaultAuctionValues!$A$2:$A$331,0)),0),IF(LeagueInfo!$F$7="Custom",IFERROR(INDEX(DefaultAuctionValues!$D$2:$D$331,MATCH(A70,DefaultAuctionValues!$A$2:$A$331,0)),0))))</f>
        <v>1.2</v>
      </c>
      <c r="L70" s="159">
        <f t="shared" ca="1" si="4"/>
        <v>15.607540501973908</v>
      </c>
      <c r="M70" s="171"/>
      <c r="N70" s="166">
        <f t="shared" ca="1" si="5"/>
        <v>51.717999999999918</v>
      </c>
      <c r="O70" s="157" t="str">
        <f t="shared" ca="1" si="6"/>
        <v/>
      </c>
    </row>
    <row r="71" spans="1:15" x14ac:dyDescent="0.35">
      <c r="A71" s="157" t="s">
        <v>119</v>
      </c>
      <c r="B71" s="157" t="s">
        <v>26</v>
      </c>
      <c r="C71" s="157">
        <f ca="1">IFERROR(INDEX(BYEs!$B$2:$B$33,MATCH(D71,BYEs!$A$2:$A$33,0)),"N/A")</f>
        <v>12</v>
      </c>
      <c r="D71" s="214" t="str">
        <f t="shared" ca="1" si="0"/>
        <v>ATL</v>
      </c>
      <c r="E71" s="213" t="str">
        <f t="shared" ca="1" si="1"/>
        <v>QB3</v>
      </c>
      <c r="F71" s="158">
        <f ca="1">IF(LeagueInfo!$H$7="Starter/Bench",INDEX(INDIRECT(""&amp;B71&amp;"!T2:T628"),MATCH(A71,INDIRECT(""&amp;B71&amp;"!B2:B628"),0)),INDEX(INDIRECT(""&amp;B71&amp;"!AB2:AB628"),MATCH(A71,INDIRECT(""&amp;B71&amp;"!B2:B628"),0)))</f>
        <v>16.806275735026812</v>
      </c>
      <c r="G71" s="159">
        <f t="shared" si="2"/>
        <v>0</v>
      </c>
      <c r="H71" s="160"/>
      <c r="I71" s="159">
        <f t="shared" ca="1" si="3"/>
        <v>16.806275735026812</v>
      </c>
      <c r="J71" s="159" t="s">
        <v>73</v>
      </c>
      <c r="K71" s="159">
        <f>IF(LeagueInfo!$F$7="Yahoo",IFERROR(INDEX(DefaultAuctionValues!$B$2:$B$331,MATCH(A71,DefaultAuctionValues!$A$2:$A$331,0)),0),IF(LeagueInfo!$F$7="ESPN",IFERROR(INDEX(DefaultAuctionValues!$C$2:$C$331,MATCH(A71,DefaultAuctionValues!$A$2:$A$331,0)),0),IF(LeagueInfo!$F$7="Custom",IFERROR(INDEX(DefaultAuctionValues!$D$2:$D$331,MATCH(A71,DefaultAuctionValues!$A$2:$A$331,0)),0))))</f>
        <v>1.1000000000000001</v>
      </c>
      <c r="L71" s="159">
        <f t="shared" ca="1" si="4"/>
        <v>15.706275735026813</v>
      </c>
      <c r="M71" s="171"/>
      <c r="N71" s="166">
        <f t="shared" ca="1" si="5"/>
        <v>51.713999999999956</v>
      </c>
      <c r="O71" s="157" t="str">
        <f t="shared" ca="1" si="6"/>
        <v/>
      </c>
    </row>
    <row r="72" spans="1:15" x14ac:dyDescent="0.35">
      <c r="A72" s="157" t="s">
        <v>492</v>
      </c>
      <c r="B72" s="157" t="s">
        <v>32</v>
      </c>
      <c r="C72" s="157">
        <f ca="1">IFERROR(INDEX(BYEs!$B$2:$B$33,MATCH(D72,BYEs!$A$2:$A$33,0)),"N/A")</f>
        <v>9</v>
      </c>
      <c r="D72" s="214" t="str">
        <f t="shared" ca="1" si="0"/>
        <v>SF</v>
      </c>
      <c r="E72" s="213" t="str">
        <f t="shared" ca="1" si="1"/>
        <v>WR4</v>
      </c>
      <c r="F72" s="158">
        <f ca="1">IF(LeagueInfo!$H$7="Starter/Bench",INDEX(INDIRECT(""&amp;B72&amp;"!T2:T628"),MATCH(A72,INDIRECT(""&amp;B72&amp;"!B2:B628"),0)),INDEX(INDIRECT(""&amp;B72&amp;"!AB2:AB628"),MATCH(A72,INDIRECT(""&amp;B72&amp;"!B2:B628"),0)))</f>
        <v>16.40978078880913</v>
      </c>
      <c r="G72" s="159">
        <f t="shared" si="2"/>
        <v>0</v>
      </c>
      <c r="H72" s="160"/>
      <c r="I72" s="159">
        <f t="shared" ca="1" si="3"/>
        <v>16.40978078880913</v>
      </c>
      <c r="J72" s="159" t="s">
        <v>73</v>
      </c>
      <c r="K72" s="159">
        <f>IF(LeagueInfo!$F$7="Yahoo",IFERROR(INDEX(DefaultAuctionValues!$B$2:$B$331,MATCH(A72,DefaultAuctionValues!$A$2:$A$331,0)),0),IF(LeagueInfo!$F$7="ESPN",IFERROR(INDEX(DefaultAuctionValues!$C$2:$C$331,MATCH(A72,DefaultAuctionValues!$A$2:$A$331,0)),0),IF(LeagueInfo!$F$7="Custom",IFERROR(INDEX(DefaultAuctionValues!$D$2:$D$331,MATCH(A72,DefaultAuctionValues!$A$2:$A$331,0)),0))))</f>
        <v>28.3</v>
      </c>
      <c r="L72" s="159">
        <f t="shared" ca="1" si="4"/>
        <v>-11.890219211190871</v>
      </c>
      <c r="M72" s="171"/>
      <c r="N72" s="166">
        <f t="shared" ca="1" si="5"/>
        <v>50.739999999999988</v>
      </c>
      <c r="O72" s="157" t="str">
        <f t="shared" ca="1" si="6"/>
        <v/>
      </c>
    </row>
    <row r="73" spans="1:15" x14ac:dyDescent="0.35">
      <c r="A73" s="157" t="s">
        <v>129</v>
      </c>
      <c r="B73" s="157" t="s">
        <v>26</v>
      </c>
      <c r="C73" s="157">
        <f ca="1">IFERROR(INDEX(BYEs!$B$2:$B$33,MATCH(D73,BYEs!$A$2:$A$33,0)),"N/A")</f>
        <v>6</v>
      </c>
      <c r="D73" s="214" t="str">
        <f t="shared" ca="1" si="0"/>
        <v>LAR</v>
      </c>
      <c r="E73" s="213" t="str">
        <f t="shared" ca="1" si="1"/>
        <v>QB3</v>
      </c>
      <c r="F73" s="158">
        <f ca="1">IF(LeagueInfo!$H$7="Starter/Bench",INDEX(INDIRECT(""&amp;B73&amp;"!T2:T628"),MATCH(A73,INDIRECT(""&amp;B73&amp;"!B2:B628"),0)),INDEX(INDIRECT(""&amp;B73&amp;"!AB2:AB628"),MATCH(A73,INDIRECT(""&amp;B73&amp;"!B2:B628"),0)))</f>
        <v>16.304795640498376</v>
      </c>
      <c r="G73" s="159">
        <f t="shared" si="2"/>
        <v>0</v>
      </c>
      <c r="H73" s="160"/>
      <c r="I73" s="159">
        <f t="shared" ca="1" si="3"/>
        <v>16.304795640498376</v>
      </c>
      <c r="J73" s="159" t="s">
        <v>73</v>
      </c>
      <c r="K73" s="159">
        <f>IF(LeagueInfo!$F$7="Yahoo",IFERROR(INDEX(DefaultAuctionValues!$B$2:$B$331,MATCH(A73,DefaultAuctionValues!$A$2:$A$331,0)),0),IF(LeagueInfo!$F$7="ESPN",IFERROR(INDEX(DefaultAuctionValues!$C$2:$C$331,MATCH(A73,DefaultAuctionValues!$A$2:$A$331,0)),0),IF(LeagueInfo!$F$7="Custom",IFERROR(INDEX(DefaultAuctionValues!$D$2:$D$331,MATCH(A73,DefaultAuctionValues!$A$2:$A$331,0)),0))))</f>
        <v>1.1000000000000001</v>
      </c>
      <c r="L73" s="159">
        <f t="shared" ca="1" si="4"/>
        <v>15.204795640498377</v>
      </c>
      <c r="M73" s="171"/>
      <c r="N73" s="166">
        <f t="shared" ca="1" si="5"/>
        <v>50.128000000000057</v>
      </c>
      <c r="O73" s="157" t="str">
        <f t="shared" ca="1" si="6"/>
        <v/>
      </c>
    </row>
    <row r="74" spans="1:15" x14ac:dyDescent="0.35">
      <c r="A74" s="157" t="s">
        <v>552</v>
      </c>
      <c r="B74" s="157" t="s">
        <v>32</v>
      </c>
      <c r="C74" s="157">
        <f ca="1">IFERROR(INDEX(BYEs!$B$2:$B$33,MATCH(D74,BYEs!$A$2:$A$33,0)),"N/A")</f>
        <v>6</v>
      </c>
      <c r="D74" s="214" t="str">
        <f t="shared" ca="1" si="0"/>
        <v>MIA</v>
      </c>
      <c r="E74" s="213" t="str">
        <f t="shared" ca="1" si="1"/>
        <v>WR4</v>
      </c>
      <c r="F74" s="158">
        <f ca="1">IF(LeagueInfo!$H$7="Starter/Bench",INDEX(INDIRECT(""&amp;B74&amp;"!T2:T628"),MATCH(A74,INDIRECT(""&amp;B74&amp;"!B2:B628"),0)),INDEX(INDIRECT(""&amp;B74&amp;"!AB2:AB628"),MATCH(A74,INDIRECT(""&amp;B74&amp;"!B2:B628"),0)))</f>
        <v>16.122046308341979</v>
      </c>
      <c r="G74" s="159">
        <f t="shared" si="2"/>
        <v>0</v>
      </c>
      <c r="H74" s="160"/>
      <c r="I74" s="159">
        <f t="shared" ca="1" si="3"/>
        <v>16.122046308341979</v>
      </c>
      <c r="J74" s="159" t="s">
        <v>73</v>
      </c>
      <c r="K74" s="159">
        <f>IF(LeagueInfo!$F$7="Yahoo",IFERROR(INDEX(DefaultAuctionValues!$B$2:$B$331,MATCH(A74,DefaultAuctionValues!$A$2:$A$331,0)),0),IF(LeagueInfo!$F$7="ESPN",IFERROR(INDEX(DefaultAuctionValues!$C$2:$C$331,MATCH(A74,DefaultAuctionValues!$A$2:$A$331,0)),0),IF(LeagueInfo!$F$7="Custom",IFERROR(INDEX(DefaultAuctionValues!$D$2:$D$331,MATCH(A74,DefaultAuctionValues!$A$2:$A$331,0)),0))))</f>
        <v>17.7</v>
      </c>
      <c r="L74" s="159">
        <f t="shared" ca="1" si="4"/>
        <v>-1.5779536916580206</v>
      </c>
      <c r="M74" s="171"/>
      <c r="N74" s="166">
        <f t="shared" ca="1" si="5"/>
        <v>49.829999999999991</v>
      </c>
      <c r="O74" s="157" t="str">
        <f t="shared" ca="1" si="6"/>
        <v/>
      </c>
    </row>
    <row r="75" spans="1:15" x14ac:dyDescent="0.35">
      <c r="A75" s="157" t="s">
        <v>232</v>
      </c>
      <c r="B75" s="157" t="s">
        <v>25</v>
      </c>
      <c r="C75" s="157">
        <f ca="1">IFERROR(INDEX(BYEs!$B$2:$B$33,MATCH(D75,BYEs!$A$2:$A$33,0)),"N/A")</f>
        <v>6</v>
      </c>
      <c r="D75" s="214" t="str">
        <f t="shared" ca="1" si="0"/>
        <v>MIN</v>
      </c>
      <c r="E75" s="213" t="str">
        <f t="shared" ca="1" si="1"/>
        <v>RB5</v>
      </c>
      <c r="F75" s="158">
        <f ca="1">IF(LeagueInfo!$H$7="Starter/Bench",INDEX(INDIRECT(""&amp;B75&amp;"!T2:T628"),MATCH(A75,INDIRECT(""&amp;B75&amp;"!B2:B628"),0)),INDEX(INDIRECT(""&amp;B75&amp;"!AB2:AB628"),MATCH(A75,INDIRECT(""&amp;B75&amp;"!B2:B628"),0)))</f>
        <v>15.773886467765411</v>
      </c>
      <c r="G75" s="159">
        <f t="shared" si="2"/>
        <v>0</v>
      </c>
      <c r="H75" s="160"/>
      <c r="I75" s="159">
        <f t="shared" ca="1" si="3"/>
        <v>15.773886467765411</v>
      </c>
      <c r="J75" s="159" t="s">
        <v>73</v>
      </c>
      <c r="K75" s="159">
        <f>IF(LeagueInfo!$F$7="Yahoo",IFERROR(INDEX(DefaultAuctionValues!$B$2:$B$331,MATCH(A75,DefaultAuctionValues!$A$2:$A$331,0)),0),IF(LeagueInfo!$F$7="ESPN",IFERROR(INDEX(DefaultAuctionValues!$C$2:$C$331,MATCH(A75,DefaultAuctionValues!$A$2:$A$331,0)),0),IF(LeagueInfo!$F$7="Custom",IFERROR(INDEX(DefaultAuctionValues!$D$2:$D$331,MATCH(A75,DefaultAuctionValues!$A$2:$A$331,0)),0))))</f>
        <v>9.6999999999999993</v>
      </c>
      <c r="L75" s="159">
        <f t="shared" ca="1" si="4"/>
        <v>6.0738864677654121</v>
      </c>
      <c r="M75" s="171"/>
      <c r="N75" s="166">
        <f t="shared" ca="1" si="5"/>
        <v>48.589999999999989</v>
      </c>
      <c r="O75" s="157" t="str">
        <f t="shared" ca="1" si="6"/>
        <v/>
      </c>
    </row>
    <row r="76" spans="1:15" x14ac:dyDescent="0.35">
      <c r="A76" s="157" t="s">
        <v>257</v>
      </c>
      <c r="B76" s="157" t="s">
        <v>40</v>
      </c>
      <c r="C76" s="157">
        <f ca="1">IFERROR(INDEX(BYEs!$B$2:$B$33,MATCH(D76,BYEs!$A$2:$A$33,0)),"N/A")</f>
        <v>9</v>
      </c>
      <c r="D76" s="214" t="str">
        <f t="shared" ca="1" si="0"/>
        <v>SF</v>
      </c>
      <c r="E76" s="213" t="str">
        <f t="shared" ca="1" si="1"/>
        <v>TE2</v>
      </c>
      <c r="F76" s="158">
        <f ca="1">IF(LeagueInfo!$H$7="Starter/Bench",INDEX(INDIRECT(""&amp;B76&amp;"!T2:T628"),MATCH(A76,INDIRECT(""&amp;B76&amp;"!B2:B628"),0)),INDEX(INDIRECT(""&amp;B76&amp;"!AB2:AB628"),MATCH(A76,INDIRECT(""&amp;B76&amp;"!B2:B628"),0)))</f>
        <v>15.502806599789976</v>
      </c>
      <c r="G76" s="159">
        <f t="shared" si="2"/>
        <v>0</v>
      </c>
      <c r="H76" s="160"/>
      <c r="I76" s="159">
        <f t="shared" ca="1" si="3"/>
        <v>15.502806599789976</v>
      </c>
      <c r="J76" s="159" t="s">
        <v>73</v>
      </c>
      <c r="K76" s="159">
        <f>IF(LeagueInfo!$F$7="Yahoo",IFERROR(INDEX(DefaultAuctionValues!$B$2:$B$331,MATCH(A76,DefaultAuctionValues!$A$2:$A$331,0)),0),IF(LeagueInfo!$F$7="ESPN",IFERROR(INDEX(DefaultAuctionValues!$C$2:$C$331,MATCH(A76,DefaultAuctionValues!$A$2:$A$331,0)),0),IF(LeagueInfo!$F$7="Custom",IFERROR(INDEX(DefaultAuctionValues!$D$2:$D$331,MATCH(A76,DefaultAuctionValues!$A$2:$A$331,0)),0))))</f>
        <v>7.1</v>
      </c>
      <c r="L76" s="159">
        <f t="shared" ca="1" si="4"/>
        <v>8.4028065997899759</v>
      </c>
      <c r="M76" s="171"/>
      <c r="N76" s="166">
        <f t="shared" ca="1" si="5"/>
        <v>48.290000000000006</v>
      </c>
      <c r="O76" s="157" t="str">
        <f t="shared" ca="1" si="6"/>
        <v/>
      </c>
    </row>
    <row r="77" spans="1:15" x14ac:dyDescent="0.35">
      <c r="A77" s="157" t="s">
        <v>422</v>
      </c>
      <c r="B77" s="157" t="s">
        <v>25</v>
      </c>
      <c r="C77" s="157">
        <f ca="1">IFERROR(INDEX(BYEs!$B$2:$B$33,MATCH(D77,BYEs!$A$2:$A$33,0)),"N/A")</f>
        <v>5</v>
      </c>
      <c r="D77" s="214" t="str">
        <f t="shared" ref="D77:D140" ca="1" si="7">INDEX(INDIRECT(""&amp;B77&amp;"!F2:F628"),MATCH(A77,INDIRECT(""&amp;B77&amp;"!B2:B628"),0))</f>
        <v>DET</v>
      </c>
      <c r="E77" s="213" t="str">
        <f t="shared" ref="E77:E140" ca="1" si="8">INDEX(INDIRECT(""&amp;$B77&amp;"!AA2:AA628"),MATCH($A77,INDIRECT(""&amp;$B77&amp;"!B2:B628"),0))</f>
        <v>RB5</v>
      </c>
      <c r="F77" s="158">
        <f ca="1">IF(LeagueInfo!$H$7="Starter/Bench",INDEX(INDIRECT(""&amp;B77&amp;"!T2:T628"),MATCH(A77,INDIRECT(""&amp;B77&amp;"!B2:B628"),0)),INDEX(INDIRECT(""&amp;B77&amp;"!AB2:AB628"),MATCH(A77,INDIRECT(""&amp;B77&amp;"!B2:B628"),0)))</f>
        <v>15.290113110496462</v>
      </c>
      <c r="G77" s="159">
        <f t="shared" ref="G77:G140" si="9">IF(H77&gt;0,F77-H77,0)</f>
        <v>0</v>
      </c>
      <c r="H77" s="160"/>
      <c r="I77" s="159">
        <f t="shared" ref="I77:I140" ca="1" si="10">F77*$A$2</f>
        <v>15.290113110496462</v>
      </c>
      <c r="J77" s="159" t="s">
        <v>73</v>
      </c>
      <c r="K77" s="159">
        <f>IF(LeagueInfo!$F$7="Yahoo",IFERROR(INDEX(DefaultAuctionValues!$B$2:$B$331,MATCH(A77,DefaultAuctionValues!$A$2:$A$331,0)),0),IF(LeagueInfo!$F$7="ESPN",IFERROR(INDEX(DefaultAuctionValues!$C$2:$C$331,MATCH(A77,DefaultAuctionValues!$A$2:$A$331,0)),0),IF(LeagueInfo!$F$7="Custom",IFERROR(INDEX(DefaultAuctionValues!$D$2:$D$331,MATCH(A77,DefaultAuctionValues!$A$2:$A$331,0)),0))))</f>
        <v>10.8</v>
      </c>
      <c r="L77" s="159">
        <f t="shared" ref="L77:L140" ca="1" si="11">I77-K77</f>
        <v>4.4901131104964609</v>
      </c>
      <c r="M77" s="171"/>
      <c r="N77" s="166">
        <f t="shared" ref="N77:N140" ca="1" si="12">INDEX(INDIRECT(""&amp;$B77&amp;"!Z2:Z628"),MATCH($A77,INDIRECT(""&amp;$B77&amp;"!B2:B628"),0))</f>
        <v>47.059999999999988</v>
      </c>
      <c r="O77" s="157" t="str">
        <f t="shared" ref="O77:O140" ca="1" si="13">IF(INDEX(INDIRECT(""&amp;$B77&amp;"!W2:W628"),MATCH($A77,INDIRECT(""&amp;$B77&amp;"!B2:B628"),0))=0,"",INDEX(INDIRECT(""&amp;$B77&amp;"!W2:W628"),MATCH($A77,INDIRECT(""&amp;$B77&amp;"!B2:B628"),0)))</f>
        <v/>
      </c>
    </row>
    <row r="78" spans="1:15" x14ac:dyDescent="0.35">
      <c r="A78" s="157" t="s">
        <v>95</v>
      </c>
      <c r="B78" s="157" t="s">
        <v>26</v>
      </c>
      <c r="C78" s="157">
        <f ca="1">IFERROR(INDEX(BYEs!$B$2:$B$33,MATCH(D78,BYEs!$A$2:$A$33,0)),"N/A")</f>
        <v>12</v>
      </c>
      <c r="D78" s="214" t="str">
        <f t="shared" ca="1" si="7"/>
        <v>NYJ</v>
      </c>
      <c r="E78" s="213" t="str">
        <f t="shared" ca="1" si="8"/>
        <v>QB4</v>
      </c>
      <c r="F78" s="158">
        <f ca="1">IF(LeagueInfo!$H$7="Starter/Bench",INDEX(INDIRECT(""&amp;B78&amp;"!T2:T628"),MATCH(A78,INDIRECT(""&amp;B78&amp;"!B2:B628"),0)),INDEX(INDIRECT(""&amp;B78&amp;"!AB2:AB628"),MATCH(A78,INDIRECT(""&amp;B78&amp;"!B2:B628"),0)))</f>
        <v>15.234170419771136</v>
      </c>
      <c r="G78" s="159">
        <f t="shared" si="9"/>
        <v>0</v>
      </c>
      <c r="H78" s="160"/>
      <c r="I78" s="159">
        <f t="shared" ca="1" si="10"/>
        <v>15.234170419771136</v>
      </c>
      <c r="J78" s="159" t="s">
        <v>73</v>
      </c>
      <c r="K78" s="159">
        <f>IF(LeagueInfo!$F$7="Yahoo",IFERROR(INDEX(DefaultAuctionValues!$B$2:$B$331,MATCH(A78,DefaultAuctionValues!$A$2:$A$331,0)),0),IF(LeagueInfo!$F$7="ESPN",IFERROR(INDEX(DefaultAuctionValues!$C$2:$C$331,MATCH(A78,DefaultAuctionValues!$A$2:$A$331,0)),0),IF(LeagueInfo!$F$7="Custom",IFERROR(INDEX(DefaultAuctionValues!$D$2:$D$331,MATCH(A78,DefaultAuctionValues!$A$2:$A$331,0)),0))))</f>
        <v>1.5</v>
      </c>
      <c r="L78" s="159">
        <f t="shared" ca="1" si="11"/>
        <v>13.734170419771136</v>
      </c>
      <c r="M78" s="171"/>
      <c r="N78" s="166">
        <f t="shared" ca="1" si="12"/>
        <v>46.742000000000033</v>
      </c>
      <c r="O78" s="157" t="str">
        <f t="shared" ca="1" si="13"/>
        <v/>
      </c>
    </row>
    <row r="79" spans="1:15" x14ac:dyDescent="0.35">
      <c r="A79" s="157" t="s">
        <v>712</v>
      </c>
      <c r="B79" s="157" t="s">
        <v>40</v>
      </c>
      <c r="C79" s="157">
        <f ca="1">IFERROR(INDEX(BYEs!$B$2:$B$33,MATCH(D79,BYEs!$A$2:$A$33,0)),"N/A")</f>
        <v>12</v>
      </c>
      <c r="D79" s="214" t="str">
        <f t="shared" ca="1" si="7"/>
        <v>BUF</v>
      </c>
      <c r="E79" s="213" t="str">
        <f t="shared" ca="1" si="8"/>
        <v>TE3</v>
      </c>
      <c r="F79" s="158">
        <f ca="1">IF(LeagueInfo!$H$7="Starter/Bench",INDEX(INDIRECT(""&amp;B79&amp;"!T2:T628"),MATCH(A79,INDIRECT(""&amp;B79&amp;"!B2:B628"),0)),INDEX(INDIRECT(""&amp;B79&amp;"!AB2:AB628"),MATCH(A79,INDIRECT(""&amp;B79&amp;"!B2:B628"),0)))</f>
        <v>14.879908878339105</v>
      </c>
      <c r="G79" s="159">
        <f t="shared" si="9"/>
        <v>0</v>
      </c>
      <c r="H79" s="160"/>
      <c r="I79" s="159">
        <f t="shared" ca="1" si="10"/>
        <v>14.879908878339105</v>
      </c>
      <c r="J79" s="159" t="s">
        <v>73</v>
      </c>
      <c r="K79" s="159">
        <f>IF(LeagueInfo!$F$7="Yahoo",IFERROR(INDEX(DefaultAuctionValues!$B$2:$B$331,MATCH(A79,DefaultAuctionValues!$A$2:$A$331,0)),0),IF(LeagueInfo!$F$7="ESPN",IFERROR(INDEX(DefaultAuctionValues!$C$2:$C$331,MATCH(A79,DefaultAuctionValues!$A$2:$A$331,0)),0),IF(LeagueInfo!$F$7="Custom",IFERROR(INDEX(DefaultAuctionValues!$D$2:$D$331,MATCH(A79,DefaultAuctionValues!$A$2:$A$331,0)),0))))</f>
        <v>7.7</v>
      </c>
      <c r="L79" s="159">
        <f t="shared" ca="1" si="11"/>
        <v>7.1799088783391047</v>
      </c>
      <c r="M79" s="171"/>
      <c r="N79" s="166">
        <f t="shared" ca="1" si="12"/>
        <v>46.320000000000007</v>
      </c>
      <c r="O79" s="157" t="str">
        <f t="shared" ca="1" si="13"/>
        <v/>
      </c>
    </row>
    <row r="80" spans="1:15" x14ac:dyDescent="0.35">
      <c r="A80" s="157" t="s">
        <v>120</v>
      </c>
      <c r="B80" s="157" t="s">
        <v>32</v>
      </c>
      <c r="C80" s="157">
        <f ca="1">IFERROR(INDEX(BYEs!$B$2:$B$33,MATCH(D80,BYEs!$A$2:$A$33,0)),"N/A")</f>
        <v>14</v>
      </c>
      <c r="D80" s="214" t="str">
        <f t="shared" ca="1" si="7"/>
        <v>HOU</v>
      </c>
      <c r="E80" s="213" t="str">
        <f t="shared" ca="1" si="8"/>
        <v>WR5</v>
      </c>
      <c r="F80" s="158">
        <f ca="1">IF(LeagueInfo!$H$7="Starter/Bench",INDEX(INDIRECT(""&amp;B80&amp;"!T2:T628"),MATCH(A80,INDIRECT(""&amp;B80&amp;"!B2:B628"),0)),INDEX(INDIRECT(""&amp;B80&amp;"!AB2:AB628"),MATCH(A80,INDIRECT(""&amp;B80&amp;"!B2:B628"),0)))</f>
        <v>14.746612253361629</v>
      </c>
      <c r="G80" s="159">
        <f t="shared" si="9"/>
        <v>0</v>
      </c>
      <c r="H80" s="160"/>
      <c r="I80" s="159">
        <f t="shared" ca="1" si="10"/>
        <v>14.746612253361629</v>
      </c>
      <c r="J80" s="159" t="s">
        <v>73</v>
      </c>
      <c r="K80" s="159">
        <f>IF(LeagueInfo!$F$7="Yahoo",IFERROR(INDEX(DefaultAuctionValues!$B$2:$B$331,MATCH(A80,DefaultAuctionValues!$A$2:$A$331,0)),0),IF(LeagueInfo!$F$7="ESPN",IFERROR(INDEX(DefaultAuctionValues!$C$2:$C$331,MATCH(A80,DefaultAuctionValues!$A$2:$A$331,0)),0),IF(LeagueInfo!$F$7="Custom",IFERROR(INDEX(DefaultAuctionValues!$D$2:$D$331,MATCH(A80,DefaultAuctionValues!$A$2:$A$331,0)),0))))</f>
        <v>12.2</v>
      </c>
      <c r="L80" s="159">
        <f t="shared" ca="1" si="11"/>
        <v>2.54661225336163</v>
      </c>
      <c r="M80" s="171"/>
      <c r="N80" s="166">
        <f t="shared" ca="1" si="12"/>
        <v>45.48</v>
      </c>
      <c r="O80" s="157" t="str">
        <f t="shared" ca="1" si="13"/>
        <v/>
      </c>
    </row>
    <row r="81" spans="1:15" x14ac:dyDescent="0.35">
      <c r="A81" s="157" t="s">
        <v>585</v>
      </c>
      <c r="B81" s="157" t="s">
        <v>32</v>
      </c>
      <c r="C81" s="157">
        <f ca="1">IFERROR(INDEX(BYEs!$B$2:$B$33,MATCH(D81,BYEs!$A$2:$A$33,0)),"N/A")</f>
        <v>7</v>
      </c>
      <c r="D81" s="214" t="str">
        <f t="shared" ca="1" si="7"/>
        <v>CHI</v>
      </c>
      <c r="E81" s="213" t="str">
        <f t="shared" ca="1" si="8"/>
        <v>WR5</v>
      </c>
      <c r="F81" s="158">
        <f ca="1">IF(LeagueInfo!$H$7="Starter/Bench",INDEX(INDIRECT(""&amp;B81&amp;"!T2:T628"),MATCH(A81,INDIRECT(""&amp;B81&amp;"!B2:B628"),0)),INDEX(INDIRECT(""&amp;B81&amp;"!AB2:AB628"),MATCH(A81,INDIRECT(""&amp;B81&amp;"!B2:B628"),0)))</f>
        <v>14.626459393386337</v>
      </c>
      <c r="G81" s="159">
        <f t="shared" si="9"/>
        <v>0</v>
      </c>
      <c r="H81" s="160"/>
      <c r="I81" s="159">
        <f t="shared" ca="1" si="10"/>
        <v>14.626459393386337</v>
      </c>
      <c r="J81" s="159" t="s">
        <v>73</v>
      </c>
      <c r="K81" s="159">
        <f>IF(LeagueInfo!$F$7="Yahoo",IFERROR(INDEX(DefaultAuctionValues!$B$2:$B$331,MATCH(A81,DefaultAuctionValues!$A$2:$A$331,0)),0),IF(LeagueInfo!$F$7="ESPN",IFERROR(INDEX(DefaultAuctionValues!$C$2:$C$331,MATCH(A81,DefaultAuctionValues!$A$2:$A$331,0)),0),IF(LeagueInfo!$F$7="Custom",IFERROR(INDEX(DefaultAuctionValues!$D$2:$D$331,MATCH(A81,DefaultAuctionValues!$A$2:$A$331,0)),0))))</f>
        <v>18.2</v>
      </c>
      <c r="L81" s="159">
        <f t="shared" ca="1" si="11"/>
        <v>-3.5735406066136619</v>
      </c>
      <c r="M81" s="171"/>
      <c r="N81" s="166">
        <f t="shared" ca="1" si="12"/>
        <v>45.1</v>
      </c>
      <c r="O81" s="157" t="str">
        <f t="shared" ca="1" si="13"/>
        <v/>
      </c>
    </row>
    <row r="82" spans="1:15" x14ac:dyDescent="0.35">
      <c r="A82" s="157" t="s">
        <v>92</v>
      </c>
      <c r="B82" s="157" t="s">
        <v>32</v>
      </c>
      <c r="C82" s="157">
        <f ca="1">IFERROR(INDEX(BYEs!$B$2:$B$33,MATCH(D82,BYEs!$A$2:$A$33,0)),"N/A")</f>
        <v>10</v>
      </c>
      <c r="D82" s="214" t="str">
        <f t="shared" ca="1" si="7"/>
        <v>CLE</v>
      </c>
      <c r="E82" s="213" t="str">
        <f t="shared" ca="1" si="8"/>
        <v>WR5</v>
      </c>
      <c r="F82" s="158">
        <f ca="1">IF(LeagueInfo!$H$7="Starter/Bench",INDEX(INDIRECT(""&amp;B82&amp;"!T2:T628"),MATCH(A82,INDIRECT(""&amp;B82&amp;"!B2:B628"),0)),INDEX(INDIRECT(""&amp;B82&amp;"!AB2:AB628"),MATCH(A82,INDIRECT(""&amp;B82&amp;"!B2:B628"),0)))</f>
        <v>14.294458069770378</v>
      </c>
      <c r="G82" s="159">
        <f t="shared" si="9"/>
        <v>0</v>
      </c>
      <c r="H82" s="160"/>
      <c r="I82" s="159">
        <f t="shared" ca="1" si="10"/>
        <v>14.294458069770378</v>
      </c>
      <c r="J82" s="159" t="s">
        <v>73</v>
      </c>
      <c r="K82" s="159">
        <f>IF(LeagueInfo!$F$7="Yahoo",IFERROR(INDEX(DefaultAuctionValues!$B$2:$B$331,MATCH(A82,DefaultAuctionValues!$A$2:$A$331,0)),0),IF(LeagueInfo!$F$7="ESPN",IFERROR(INDEX(DefaultAuctionValues!$C$2:$C$331,MATCH(A82,DefaultAuctionValues!$A$2:$A$331,0)),0),IF(LeagueInfo!$F$7="Custom",IFERROR(INDEX(DefaultAuctionValues!$D$2:$D$331,MATCH(A82,DefaultAuctionValues!$A$2:$A$331,0)),0))))</f>
        <v>11.6</v>
      </c>
      <c r="L82" s="159">
        <f t="shared" ca="1" si="11"/>
        <v>2.6944580697703788</v>
      </c>
      <c r="M82" s="171"/>
      <c r="N82" s="166">
        <f t="shared" ca="1" si="12"/>
        <v>44.049999999999962</v>
      </c>
      <c r="O82" s="157" t="str">
        <f t="shared" ca="1" si="13"/>
        <v/>
      </c>
    </row>
    <row r="83" spans="1:15" x14ac:dyDescent="0.35">
      <c r="A83" s="157" t="s">
        <v>222</v>
      </c>
      <c r="B83" s="157" t="s">
        <v>26</v>
      </c>
      <c r="C83" s="157">
        <f ca="1">IFERROR(INDEX(BYEs!$B$2:$B$33,MATCH(D83,BYEs!$A$2:$A$33,0)),"N/A")</f>
        <v>10</v>
      </c>
      <c r="D83" s="214" t="str">
        <f t="shared" ca="1" si="7"/>
        <v>SEA</v>
      </c>
      <c r="E83" s="213" t="str">
        <f t="shared" ca="1" si="8"/>
        <v>QB4</v>
      </c>
      <c r="F83" s="158">
        <f ca="1">IF(LeagueInfo!$H$7="Starter/Bench",INDEX(INDIRECT(""&amp;B83&amp;"!T2:T628"),MATCH(A83,INDIRECT(""&amp;B83&amp;"!B2:B628"),0)),INDEX(INDIRECT(""&amp;B83&amp;"!AB2:AB628"),MATCH(A83,INDIRECT(""&amp;B83&amp;"!B2:B628"),0)))</f>
        <v>14.132558408839735</v>
      </c>
      <c r="G83" s="159">
        <f t="shared" si="9"/>
        <v>0</v>
      </c>
      <c r="H83" s="160"/>
      <c r="I83" s="159">
        <f t="shared" ca="1" si="10"/>
        <v>14.132558408839735</v>
      </c>
      <c r="J83" s="159" t="s">
        <v>73</v>
      </c>
      <c r="K83" s="159">
        <f>IF(LeagueInfo!$F$7="Yahoo",IFERROR(INDEX(DefaultAuctionValues!$B$2:$B$331,MATCH(A83,DefaultAuctionValues!$A$2:$A$331,0)),0),IF(LeagueInfo!$F$7="ESPN",IFERROR(INDEX(DefaultAuctionValues!$C$2:$C$331,MATCH(A83,DefaultAuctionValues!$A$2:$A$331,0)),0),IF(LeagueInfo!$F$7="Custom",IFERROR(INDEX(DefaultAuctionValues!$D$2:$D$331,MATCH(A83,DefaultAuctionValues!$A$2:$A$331,0)),0))))</f>
        <v>1</v>
      </c>
      <c r="L83" s="159">
        <f t="shared" ca="1" si="11"/>
        <v>13.132558408839735</v>
      </c>
      <c r="M83" s="171"/>
      <c r="N83" s="166">
        <f t="shared" ca="1" si="12"/>
        <v>43.257999999999996</v>
      </c>
      <c r="O83" s="157" t="str">
        <f t="shared" ca="1" si="13"/>
        <v/>
      </c>
    </row>
    <row r="84" spans="1:15" x14ac:dyDescent="0.35">
      <c r="A84" s="157" t="s">
        <v>567</v>
      </c>
      <c r="B84" s="157" t="s">
        <v>40</v>
      </c>
      <c r="C84" s="157">
        <f ca="1">IFERROR(INDEX(BYEs!$B$2:$B$33,MATCH(D84,BYEs!$A$2:$A$33,0)),"N/A")</f>
        <v>12</v>
      </c>
      <c r="D84" s="214" t="str">
        <f t="shared" ca="1" si="7"/>
        <v>ATL</v>
      </c>
      <c r="E84" s="213" t="str">
        <f t="shared" ca="1" si="8"/>
        <v>TE3</v>
      </c>
      <c r="F84" s="158">
        <f ca="1">IF(LeagueInfo!$H$7="Starter/Bench",INDEX(INDIRECT(""&amp;B84&amp;"!T2:T628"),MATCH(A84,INDIRECT(""&amp;B84&amp;"!B2:B628"),0)),INDEX(INDIRECT(""&amp;B84&amp;"!AB2:AB628"),MATCH(A84,INDIRECT(""&amp;B84&amp;"!B2:B628"),0)))</f>
        <v>14.127372544809619</v>
      </c>
      <c r="G84" s="159">
        <f t="shared" si="9"/>
        <v>0</v>
      </c>
      <c r="H84" s="160"/>
      <c r="I84" s="159">
        <f t="shared" ca="1" si="10"/>
        <v>14.127372544809619</v>
      </c>
      <c r="J84" s="159" t="s">
        <v>73</v>
      </c>
      <c r="K84" s="159">
        <f>IF(LeagueInfo!$F$7="Yahoo",IFERROR(INDEX(DefaultAuctionValues!$B$2:$B$331,MATCH(A84,DefaultAuctionValues!$A$2:$A$331,0)),0),IF(LeagueInfo!$F$7="ESPN",IFERROR(INDEX(DefaultAuctionValues!$C$2:$C$331,MATCH(A84,DefaultAuctionValues!$A$2:$A$331,0)),0),IF(LeagueInfo!$F$7="Custom",IFERROR(INDEX(DefaultAuctionValues!$D$2:$D$331,MATCH(A84,DefaultAuctionValues!$A$2:$A$331,0)),0))))</f>
        <v>5.2</v>
      </c>
      <c r="L84" s="159">
        <f t="shared" ca="1" si="11"/>
        <v>8.9273725448096179</v>
      </c>
      <c r="M84" s="171"/>
      <c r="N84" s="166">
        <f t="shared" ca="1" si="12"/>
        <v>43.939999999999984</v>
      </c>
      <c r="O84" s="157" t="str">
        <f t="shared" ca="1" si="13"/>
        <v/>
      </c>
    </row>
    <row r="85" spans="1:15" x14ac:dyDescent="0.35">
      <c r="A85" s="157" t="s">
        <v>491</v>
      </c>
      <c r="B85" s="157" t="s">
        <v>32</v>
      </c>
      <c r="C85" s="157">
        <f ca="1">IFERROR(INDEX(BYEs!$B$2:$B$33,MATCH(D85,BYEs!$A$2:$A$33,0)),"N/A")</f>
        <v>14</v>
      </c>
      <c r="D85" s="214" t="str">
        <f t="shared" ca="1" si="7"/>
        <v>IND</v>
      </c>
      <c r="E85" s="213" t="str">
        <f t="shared" ca="1" si="8"/>
        <v>WR5</v>
      </c>
      <c r="F85" s="158">
        <f ca="1">IF(LeagueInfo!$H$7="Starter/Bench",INDEX(INDIRECT(""&amp;B85&amp;"!T2:T628"),MATCH(A85,INDIRECT(""&amp;B85&amp;"!B2:B628"),0)),INDEX(INDIRECT(""&amp;B85&amp;"!AB2:AB628"),MATCH(A85,INDIRECT(""&amp;B85&amp;"!B2:B628"),0)))</f>
        <v>14.076285771394193</v>
      </c>
      <c r="G85" s="159">
        <f t="shared" si="9"/>
        <v>0</v>
      </c>
      <c r="H85" s="160"/>
      <c r="I85" s="159">
        <f t="shared" ca="1" si="10"/>
        <v>14.076285771394193</v>
      </c>
      <c r="J85" s="159" t="s">
        <v>73</v>
      </c>
      <c r="K85" s="159">
        <f>IF(LeagueInfo!$F$7="Yahoo",IFERROR(INDEX(DefaultAuctionValues!$B$2:$B$331,MATCH(A85,DefaultAuctionValues!$A$2:$A$331,0)),0),IF(LeagueInfo!$F$7="ESPN",IFERROR(INDEX(DefaultAuctionValues!$C$2:$C$331,MATCH(A85,DefaultAuctionValues!$A$2:$A$331,0)),0),IF(LeagueInfo!$F$7="Custom",IFERROR(INDEX(DefaultAuctionValues!$D$2:$D$331,MATCH(A85,DefaultAuctionValues!$A$2:$A$331,0)),0))))</f>
        <v>16.600000000000001</v>
      </c>
      <c r="L85" s="159">
        <f t="shared" ca="1" si="11"/>
        <v>-2.5237142286058081</v>
      </c>
      <c r="M85" s="171"/>
      <c r="N85" s="166">
        <f t="shared" ca="1" si="12"/>
        <v>43.359999999999992</v>
      </c>
      <c r="O85" s="157" t="str">
        <f t="shared" ca="1" si="13"/>
        <v/>
      </c>
    </row>
    <row r="86" spans="1:15" x14ac:dyDescent="0.35">
      <c r="A86" s="157" t="s">
        <v>493</v>
      </c>
      <c r="B86" s="157" t="s">
        <v>32</v>
      </c>
      <c r="C86" s="157">
        <f ca="1">IFERROR(INDEX(BYEs!$B$2:$B$33,MATCH(D86,BYEs!$A$2:$A$33,0)),"N/A")</f>
        <v>12</v>
      </c>
      <c r="D86" s="214" t="str">
        <f t="shared" ca="1" si="7"/>
        <v>CIN</v>
      </c>
      <c r="E86" s="213" t="str">
        <f t="shared" ca="1" si="8"/>
        <v>WR5</v>
      </c>
      <c r="F86" s="158">
        <f ca="1">IF(LeagueInfo!$H$7="Starter/Bench",INDEX(INDIRECT(""&amp;B86&amp;"!T2:T628"),MATCH(A86,INDIRECT(""&amp;B86&amp;"!B2:B628"),0)),INDEX(INDIRECT(""&amp;B86&amp;"!AB2:AB628"),MATCH(A86,INDIRECT(""&amp;B86&amp;"!B2:B628"),0)))</f>
        <v>14.016209341406547</v>
      </c>
      <c r="G86" s="159">
        <f t="shared" si="9"/>
        <v>0</v>
      </c>
      <c r="H86" s="160"/>
      <c r="I86" s="159">
        <f t="shared" ca="1" si="10"/>
        <v>14.016209341406547</v>
      </c>
      <c r="J86" s="159" t="s">
        <v>73</v>
      </c>
      <c r="K86" s="159">
        <f>IF(LeagueInfo!$F$7="Yahoo",IFERROR(INDEX(DefaultAuctionValues!$B$2:$B$331,MATCH(A86,DefaultAuctionValues!$A$2:$A$331,0)),0),IF(LeagueInfo!$F$7="ESPN",IFERROR(INDEX(DefaultAuctionValues!$C$2:$C$331,MATCH(A86,DefaultAuctionValues!$A$2:$A$331,0)),0),IF(LeagueInfo!$F$7="Custom",IFERROR(INDEX(DefaultAuctionValues!$D$2:$D$331,MATCH(A86,DefaultAuctionValues!$A$2:$A$331,0)),0))))</f>
        <v>7.9</v>
      </c>
      <c r="L86" s="159">
        <f t="shared" ca="1" si="11"/>
        <v>6.116209341406547</v>
      </c>
      <c r="M86" s="171"/>
      <c r="N86" s="166">
        <f t="shared" ca="1" si="12"/>
        <v>43.169999999999995</v>
      </c>
      <c r="O86" s="157" t="str">
        <f t="shared" ca="1" si="13"/>
        <v/>
      </c>
    </row>
    <row r="87" spans="1:15" x14ac:dyDescent="0.35">
      <c r="A87" s="157" t="s">
        <v>908</v>
      </c>
      <c r="B87" s="157" t="s">
        <v>32</v>
      </c>
      <c r="C87" s="157">
        <f ca="1">IFERROR(INDEX(BYEs!$B$2:$B$33,MATCH(D87,BYEs!$A$2:$A$33,0)),"N/A")</f>
        <v>11</v>
      </c>
      <c r="D87" s="214" t="str">
        <f t="shared" ca="1" si="7"/>
        <v>NYG</v>
      </c>
      <c r="E87" s="213" t="str">
        <f t="shared" ca="1" si="8"/>
        <v>WR5</v>
      </c>
      <c r="F87" s="158">
        <f ca="1">IF(LeagueInfo!$H$7="Starter/Bench",INDEX(INDIRECT(""&amp;B87&amp;"!T2:T628"),MATCH(A87,INDIRECT(""&amp;B87&amp;"!B2:B628"),0)),INDEX(INDIRECT(""&amp;B87&amp;"!AB2:AB628"),MATCH(A87,INDIRECT(""&amp;B87&amp;"!B2:B628"),0)))</f>
        <v>13.772741704088183</v>
      </c>
      <c r="G87" s="159">
        <f t="shared" si="9"/>
        <v>0</v>
      </c>
      <c r="H87" s="160"/>
      <c r="I87" s="159">
        <f t="shared" ca="1" si="10"/>
        <v>13.772741704088183</v>
      </c>
      <c r="J87" s="159" t="s">
        <v>73</v>
      </c>
      <c r="K87" s="159">
        <f>IF(LeagueInfo!$F$7="Yahoo",IFERROR(INDEX(DefaultAuctionValues!$B$2:$B$331,MATCH(A87,DefaultAuctionValues!$A$2:$A$331,0)),0),IF(LeagueInfo!$F$7="ESPN",IFERROR(INDEX(DefaultAuctionValues!$C$2:$C$331,MATCH(A87,DefaultAuctionValues!$A$2:$A$331,0)),0),IF(LeagueInfo!$F$7="Custom",IFERROR(INDEX(DefaultAuctionValues!$D$2:$D$331,MATCH(A87,DefaultAuctionValues!$A$2:$A$331,0)),0))))</f>
        <v>10.8</v>
      </c>
      <c r="L87" s="159">
        <f t="shared" ca="1" si="11"/>
        <v>2.9727417040881825</v>
      </c>
      <c r="M87" s="171"/>
      <c r="N87" s="166">
        <f t="shared" ca="1" si="12"/>
        <v>42.399999999999984</v>
      </c>
      <c r="O87" s="157" t="str">
        <f t="shared" ca="1" si="13"/>
        <v/>
      </c>
    </row>
    <row r="88" spans="1:15" x14ac:dyDescent="0.35">
      <c r="A88" s="157" t="s">
        <v>545</v>
      </c>
      <c r="B88" s="157" t="s">
        <v>25</v>
      </c>
      <c r="C88" s="157">
        <f ca="1">IFERROR(INDEX(BYEs!$B$2:$B$33,MATCH(D88,BYEs!$A$2:$A$33,0)),"N/A")</f>
        <v>14</v>
      </c>
      <c r="D88" s="214" t="str">
        <f t="shared" ca="1" si="7"/>
        <v>NE</v>
      </c>
      <c r="E88" s="213" t="str">
        <f t="shared" ca="1" si="8"/>
        <v>RB5</v>
      </c>
      <c r="F88" s="158">
        <f ca="1">IF(LeagueInfo!$H$7="Starter/Bench",INDEX(INDIRECT(""&amp;B88&amp;"!T2:T628"),MATCH(A88,INDIRECT(""&amp;B88&amp;"!B2:B628"),0)),INDEX(INDIRECT(""&amp;B88&amp;"!AB2:AB628"),MATCH(A88,INDIRECT(""&amp;B88&amp;"!B2:B628"),0)))</f>
        <v>13.579515814532405</v>
      </c>
      <c r="G88" s="159">
        <f t="shared" si="9"/>
        <v>0</v>
      </c>
      <c r="H88" s="160"/>
      <c r="I88" s="159">
        <f t="shared" ca="1" si="10"/>
        <v>13.579515814532405</v>
      </c>
      <c r="J88" s="159" t="s">
        <v>73</v>
      </c>
      <c r="K88" s="159">
        <f>IF(LeagueInfo!$F$7="Yahoo",IFERROR(INDEX(DefaultAuctionValues!$B$2:$B$331,MATCH(A88,DefaultAuctionValues!$A$2:$A$331,0)),0),IF(LeagueInfo!$F$7="ESPN",IFERROR(INDEX(DefaultAuctionValues!$C$2:$C$331,MATCH(A88,DefaultAuctionValues!$A$2:$A$331,0)),0),IF(LeagueInfo!$F$7="Custom",IFERROR(INDEX(DefaultAuctionValues!$D$2:$D$331,MATCH(A88,DefaultAuctionValues!$A$2:$A$331,0)),0))))</f>
        <v>7</v>
      </c>
      <c r="L88" s="159">
        <f t="shared" ca="1" si="11"/>
        <v>6.5795158145324049</v>
      </c>
      <c r="M88" s="171"/>
      <c r="N88" s="166">
        <f t="shared" ca="1" si="12"/>
        <v>41.65000000000002</v>
      </c>
      <c r="O88" s="157" t="str">
        <f t="shared" ca="1" si="13"/>
        <v/>
      </c>
    </row>
    <row r="89" spans="1:15" x14ac:dyDescent="0.35">
      <c r="A89" s="157" t="s">
        <v>621</v>
      </c>
      <c r="B89" s="157" t="s">
        <v>25</v>
      </c>
      <c r="C89" s="157">
        <f ca="1">IFERROR(INDEX(BYEs!$B$2:$B$33,MATCH(D89,BYEs!$A$2:$A$33,0)),"N/A")</f>
        <v>10</v>
      </c>
      <c r="D89" s="214" t="str">
        <f t="shared" ca="1" si="7"/>
        <v>LV</v>
      </c>
      <c r="E89" s="213" t="str">
        <f t="shared" ca="1" si="8"/>
        <v>RB6</v>
      </c>
      <c r="F89" s="158">
        <f ca="1">IF(LeagueInfo!$H$7="Starter/Bench",INDEX(INDIRECT(""&amp;B89&amp;"!T2:T628"),MATCH(A89,INDIRECT(""&amp;B89&amp;"!B2:B628"),0)),INDEX(INDIRECT(""&amp;B89&amp;"!AB2:AB628"),MATCH(A89,INDIRECT(""&amp;B89&amp;"!B2:B628"),0)))</f>
        <v>13.418258028776084</v>
      </c>
      <c r="G89" s="159">
        <f t="shared" si="9"/>
        <v>0</v>
      </c>
      <c r="H89" s="160"/>
      <c r="I89" s="159">
        <f t="shared" ca="1" si="10"/>
        <v>13.418258028776084</v>
      </c>
      <c r="J89" s="159" t="s">
        <v>73</v>
      </c>
      <c r="K89" s="159">
        <f>IF(LeagueInfo!$F$7="Yahoo",IFERROR(INDEX(DefaultAuctionValues!$B$2:$B$331,MATCH(A89,DefaultAuctionValues!$A$2:$A$331,0)),0),IF(LeagueInfo!$F$7="ESPN",IFERROR(INDEX(DefaultAuctionValues!$C$2:$C$331,MATCH(A89,DefaultAuctionValues!$A$2:$A$331,0)),0),IF(LeagueInfo!$F$7="Custom",IFERROR(INDEX(DefaultAuctionValues!$D$2:$D$331,MATCH(A89,DefaultAuctionValues!$A$2:$A$331,0)),0))))</f>
        <v>6.3</v>
      </c>
      <c r="L89" s="159">
        <f t="shared" ca="1" si="11"/>
        <v>7.1182580287760837</v>
      </c>
      <c r="M89" s="171"/>
      <c r="N89" s="166">
        <f t="shared" ca="1" si="12"/>
        <v>41.14</v>
      </c>
      <c r="O89" s="157" t="str">
        <f t="shared" ca="1" si="13"/>
        <v/>
      </c>
    </row>
    <row r="90" spans="1:15" x14ac:dyDescent="0.35">
      <c r="A90" s="157" t="s">
        <v>597</v>
      </c>
      <c r="B90" s="157" t="s">
        <v>32</v>
      </c>
      <c r="C90" s="157">
        <f ca="1">IFERROR(INDEX(BYEs!$B$2:$B$33,MATCH(D90,BYEs!$A$2:$A$33,0)),"N/A")</f>
        <v>9</v>
      </c>
      <c r="D90" s="214" t="str">
        <f t="shared" ca="1" si="7"/>
        <v>PIT</v>
      </c>
      <c r="E90" s="213" t="str">
        <f t="shared" ca="1" si="8"/>
        <v>WR5</v>
      </c>
      <c r="F90" s="158">
        <f ca="1">IF(LeagueInfo!$H$7="Starter/Bench",INDEX(INDIRECT(""&amp;B90&amp;"!T2:T628"),MATCH(A90,INDIRECT(""&amp;B90&amp;"!B2:B628"),0)),INDEX(INDIRECT(""&amp;B90&amp;"!AB2:AB628"),MATCH(A90,INDIRECT(""&amp;B90&amp;"!B2:B628"),0)))</f>
        <v>13.263673007877061</v>
      </c>
      <c r="G90" s="159">
        <f t="shared" si="9"/>
        <v>0</v>
      </c>
      <c r="H90" s="160"/>
      <c r="I90" s="159">
        <f t="shared" ca="1" si="10"/>
        <v>13.263673007877061</v>
      </c>
      <c r="J90" s="159" t="s">
        <v>73</v>
      </c>
      <c r="K90" s="159">
        <f>IF(LeagueInfo!$F$7="Yahoo",IFERROR(INDEX(DefaultAuctionValues!$B$2:$B$331,MATCH(A90,DefaultAuctionValues!$A$2:$A$331,0)),0),IF(LeagueInfo!$F$7="ESPN",IFERROR(INDEX(DefaultAuctionValues!$C$2:$C$331,MATCH(A90,DefaultAuctionValues!$A$2:$A$331,0)),0),IF(LeagueInfo!$F$7="Custom",IFERROR(INDEX(DefaultAuctionValues!$D$2:$D$331,MATCH(A90,DefaultAuctionValues!$A$2:$A$331,0)),0))))</f>
        <v>7.4</v>
      </c>
      <c r="L90" s="159">
        <f t="shared" ca="1" si="11"/>
        <v>5.8636730078770611</v>
      </c>
      <c r="M90" s="171"/>
      <c r="N90" s="166">
        <f t="shared" ca="1" si="12"/>
        <v>40.789999999999971</v>
      </c>
      <c r="O90" s="157" t="str">
        <f t="shared" ca="1" si="13"/>
        <v/>
      </c>
    </row>
    <row r="91" spans="1:15" x14ac:dyDescent="0.35">
      <c r="A91" s="157" t="s">
        <v>230</v>
      </c>
      <c r="B91" s="157" t="s">
        <v>25</v>
      </c>
      <c r="C91" s="157">
        <f ca="1">IFERROR(INDEX(BYEs!$B$2:$B$33,MATCH(D91,BYEs!$A$2:$A$33,0)),"N/A")</f>
        <v>11</v>
      </c>
      <c r="D91" s="214" t="str">
        <f t="shared" ca="1" si="7"/>
        <v>ARI</v>
      </c>
      <c r="E91" s="213" t="str">
        <f t="shared" ca="1" si="8"/>
        <v>RB6</v>
      </c>
      <c r="F91" s="158">
        <f ca="1">IF(LeagueInfo!$H$7="Starter/Bench",INDEX(INDIRECT(""&amp;B91&amp;"!T2:T628"),MATCH(A91,INDIRECT(""&amp;B91&amp;"!B2:B628"),0)),INDEX(INDIRECT(""&amp;B91&amp;"!AB2:AB628"),MATCH(A91,INDIRECT(""&amp;B91&amp;"!B2:B628"),0)))</f>
        <v>13.130523548308929</v>
      </c>
      <c r="G91" s="159">
        <f t="shared" si="9"/>
        <v>0</v>
      </c>
      <c r="H91" s="160"/>
      <c r="I91" s="159">
        <f t="shared" ca="1" si="10"/>
        <v>13.130523548308929</v>
      </c>
      <c r="J91" s="159" t="s">
        <v>73</v>
      </c>
      <c r="K91" s="159">
        <f>IF(LeagueInfo!$F$7="Yahoo",IFERROR(INDEX(DefaultAuctionValues!$B$2:$B$331,MATCH(A91,DefaultAuctionValues!$A$2:$A$331,0)),0),IF(LeagueInfo!$F$7="ESPN",IFERROR(INDEX(DefaultAuctionValues!$C$2:$C$331,MATCH(A91,DefaultAuctionValues!$A$2:$A$331,0)),0),IF(LeagueInfo!$F$7="Custom",IFERROR(INDEX(DefaultAuctionValues!$D$2:$D$331,MATCH(A91,DefaultAuctionValues!$A$2:$A$331,0)),0))))</f>
        <v>8.1999999999999993</v>
      </c>
      <c r="L91" s="159">
        <f t="shared" ca="1" si="11"/>
        <v>4.9305235483089298</v>
      </c>
      <c r="M91" s="171"/>
      <c r="N91" s="166">
        <f t="shared" ca="1" si="12"/>
        <v>40.230000000000004</v>
      </c>
      <c r="O91" s="157" t="str">
        <f t="shared" ca="1" si="13"/>
        <v/>
      </c>
    </row>
    <row r="92" spans="1:15" x14ac:dyDescent="0.35">
      <c r="A92" s="157" t="s">
        <v>711</v>
      </c>
      <c r="B92" s="157" t="s">
        <v>32</v>
      </c>
      <c r="C92" s="157">
        <f ca="1">IFERROR(INDEX(BYEs!$B$2:$B$33,MATCH(D92,BYEs!$A$2:$A$33,0)),"N/A")</f>
        <v>14</v>
      </c>
      <c r="D92" s="214" t="str">
        <f t="shared" ca="1" si="7"/>
        <v>BAL</v>
      </c>
      <c r="E92" s="213" t="str">
        <f t="shared" ca="1" si="8"/>
        <v>WR5</v>
      </c>
      <c r="F92" s="158">
        <f ca="1">IF(LeagueInfo!$H$7="Starter/Bench",INDEX(INDIRECT(""&amp;B92&amp;"!T2:T628"),MATCH(A92,INDIRECT(""&amp;B92&amp;"!B2:B628"),0)),INDEX(INDIRECT(""&amp;B92&amp;"!AB2:AB628"),MATCH(A92,INDIRECT(""&amp;B92&amp;"!B2:B628"),0)))</f>
        <v>13.077119883178586</v>
      </c>
      <c r="G92" s="159">
        <f t="shared" si="9"/>
        <v>0</v>
      </c>
      <c r="H92" s="160"/>
      <c r="I92" s="159">
        <f t="shared" ca="1" si="10"/>
        <v>13.077119883178586</v>
      </c>
      <c r="J92" s="159" t="s">
        <v>73</v>
      </c>
      <c r="K92" s="159">
        <f>IF(LeagueInfo!$F$7="Yahoo",IFERROR(INDEX(DefaultAuctionValues!$B$2:$B$331,MATCH(A92,DefaultAuctionValues!$A$2:$A$331,0)),0),IF(LeagueInfo!$F$7="ESPN",IFERROR(INDEX(DefaultAuctionValues!$C$2:$C$331,MATCH(A92,DefaultAuctionValues!$A$2:$A$331,0)),0),IF(LeagueInfo!$F$7="Custom",IFERROR(INDEX(DefaultAuctionValues!$D$2:$D$331,MATCH(A92,DefaultAuctionValues!$A$2:$A$331,0)),0))))</f>
        <v>5.6</v>
      </c>
      <c r="L92" s="159">
        <f t="shared" ca="1" si="11"/>
        <v>7.4771198831785863</v>
      </c>
      <c r="M92" s="171"/>
      <c r="N92" s="166">
        <f t="shared" ca="1" si="12"/>
        <v>40.199999999999996</v>
      </c>
      <c r="O92" s="157" t="str">
        <f t="shared" ca="1" si="13"/>
        <v/>
      </c>
    </row>
    <row r="93" spans="1:15" x14ac:dyDescent="0.35">
      <c r="A93" s="157" t="s">
        <v>790</v>
      </c>
      <c r="B93" s="157" t="s">
        <v>32</v>
      </c>
      <c r="C93" s="157">
        <f ca="1">IFERROR(INDEX(BYEs!$B$2:$B$33,MATCH(D93,BYEs!$A$2:$A$33,0)),"N/A")</f>
        <v>14</v>
      </c>
      <c r="D93" s="214" t="str">
        <f t="shared" ca="1" si="7"/>
        <v>HOU</v>
      </c>
      <c r="E93" s="213" t="str">
        <f t="shared" ca="1" si="8"/>
        <v>WR5</v>
      </c>
      <c r="F93" s="158">
        <f ca="1">IF(LeagueInfo!$H$7="Starter/Bench",INDEX(INDIRECT(""&amp;B93&amp;"!T2:T628"),MATCH(A93,INDIRECT(""&amp;B93&amp;"!B2:B628"),0)),INDEX(INDIRECT(""&amp;B93&amp;"!AB2:AB628"),MATCH(A93,INDIRECT(""&amp;B93&amp;"!B2:B628"),0)))</f>
        <v>12.773575815872583</v>
      </c>
      <c r="G93" s="159">
        <f t="shared" si="9"/>
        <v>0</v>
      </c>
      <c r="H93" s="160"/>
      <c r="I93" s="159">
        <f t="shared" ca="1" si="10"/>
        <v>12.773575815872583</v>
      </c>
      <c r="J93" s="159" t="s">
        <v>73</v>
      </c>
      <c r="K93" s="159">
        <f>IF(LeagueInfo!$F$7="Yahoo",IFERROR(INDEX(DefaultAuctionValues!$B$2:$B$331,MATCH(A93,DefaultAuctionValues!$A$2:$A$331,0)),0),IF(LeagueInfo!$F$7="ESPN",IFERROR(INDEX(DefaultAuctionValues!$C$2:$C$331,MATCH(A93,DefaultAuctionValues!$A$2:$A$331,0)),0),IF(LeagueInfo!$F$7="Custom",IFERROR(INDEX(DefaultAuctionValues!$D$2:$D$331,MATCH(A93,DefaultAuctionValues!$A$2:$A$331,0)),0))))</f>
        <v>7.2</v>
      </c>
      <c r="L93" s="159">
        <f t="shared" ca="1" si="11"/>
        <v>5.5735758158725828</v>
      </c>
      <c r="M93" s="171"/>
      <c r="N93" s="166">
        <f t="shared" ca="1" si="12"/>
        <v>39.240000000000016</v>
      </c>
      <c r="O93" s="157" t="str">
        <f t="shared" ca="1" si="13"/>
        <v/>
      </c>
    </row>
    <row r="94" spans="1:15" x14ac:dyDescent="0.35">
      <c r="A94" s="157" t="s">
        <v>540</v>
      </c>
      <c r="B94" s="157" t="s">
        <v>25</v>
      </c>
      <c r="C94" s="157">
        <f ca="1">IFERROR(INDEX(BYEs!$B$2:$B$33,MATCH(D94,BYEs!$A$2:$A$33,0)),"N/A")</f>
        <v>9</v>
      </c>
      <c r="D94" s="214" t="str">
        <f t="shared" ca="1" si="7"/>
        <v>PIT</v>
      </c>
      <c r="E94" s="213" t="str">
        <f t="shared" ca="1" si="8"/>
        <v>RB6</v>
      </c>
      <c r="F94" s="158">
        <f ca="1">IF(LeagueInfo!$H$7="Starter/Bench",INDEX(INDIRECT(""&amp;B94&amp;"!T2:T628"),MATCH(A94,INDIRECT(""&amp;B94&amp;"!B2:B628"),0)),INDEX(INDIRECT(""&amp;B94&amp;"!AB2:AB628"),MATCH(A94,INDIRECT(""&amp;B94&amp;"!B2:B628"),0)))</f>
        <v>12.738445794705324</v>
      </c>
      <c r="G94" s="159">
        <f t="shared" si="9"/>
        <v>0</v>
      </c>
      <c r="H94" s="160"/>
      <c r="I94" s="159">
        <f t="shared" ca="1" si="10"/>
        <v>12.738445794705324</v>
      </c>
      <c r="J94" s="159" t="s">
        <v>73</v>
      </c>
      <c r="K94" s="159">
        <f>IF(LeagueInfo!$F$7="Yahoo",IFERROR(INDEX(DefaultAuctionValues!$B$2:$B$331,MATCH(A94,DefaultAuctionValues!$A$2:$A$331,0)),0),IF(LeagueInfo!$F$7="ESPN",IFERROR(INDEX(DefaultAuctionValues!$C$2:$C$331,MATCH(A94,DefaultAuctionValues!$A$2:$A$331,0)),0),IF(LeagueInfo!$F$7="Custom",IFERROR(INDEX(DefaultAuctionValues!$D$2:$D$331,MATCH(A94,DefaultAuctionValues!$A$2:$A$331,0)),0))))</f>
        <v>5.7</v>
      </c>
      <c r="L94" s="159">
        <f t="shared" ca="1" si="11"/>
        <v>7.0384457947053241</v>
      </c>
      <c r="M94" s="171"/>
      <c r="N94" s="166">
        <f t="shared" ca="1" si="12"/>
        <v>38.989999999999966</v>
      </c>
      <c r="O94" s="157" t="str">
        <f t="shared" ca="1" si="13"/>
        <v/>
      </c>
    </row>
    <row r="95" spans="1:15" x14ac:dyDescent="0.35">
      <c r="A95" s="157" t="s">
        <v>145</v>
      </c>
      <c r="B95" s="157" t="s">
        <v>40</v>
      </c>
      <c r="C95" s="157">
        <f ca="1">IFERROR(INDEX(BYEs!$B$2:$B$33,MATCH(D95,BYEs!$A$2:$A$33,0)),"N/A")</f>
        <v>12</v>
      </c>
      <c r="D95" s="214" t="str">
        <f t="shared" ca="1" si="7"/>
        <v>JAC</v>
      </c>
      <c r="E95" s="213" t="str">
        <f t="shared" ca="1" si="8"/>
        <v>TE3</v>
      </c>
      <c r="F95" s="158">
        <f ca="1">IF(LeagueInfo!$H$7="Starter/Bench",INDEX(INDIRECT(""&amp;B95&amp;"!T2:T628"),MATCH(A95,INDIRECT(""&amp;B95&amp;"!B2:B628"),0)),INDEX(INDIRECT(""&amp;B95&amp;"!AB2:AB628"),MATCH(A95,INDIRECT(""&amp;B95&amp;"!B2:B628"),0)))</f>
        <v>12.290298554134715</v>
      </c>
      <c r="G95" s="159">
        <f t="shared" si="9"/>
        <v>0</v>
      </c>
      <c r="H95" s="160"/>
      <c r="I95" s="159">
        <f t="shared" ca="1" si="10"/>
        <v>12.290298554134715</v>
      </c>
      <c r="J95" s="159" t="s">
        <v>73</v>
      </c>
      <c r="K95" s="159">
        <f>IF(LeagueInfo!$F$7="Yahoo",IFERROR(INDEX(DefaultAuctionValues!$B$2:$B$331,MATCH(A95,DefaultAuctionValues!$A$2:$A$331,0)),0),IF(LeagueInfo!$F$7="ESPN",IFERROR(INDEX(DefaultAuctionValues!$C$2:$C$331,MATCH(A95,DefaultAuctionValues!$A$2:$A$331,0)),0),IF(LeagueInfo!$F$7="Custom",IFERROR(INDEX(DefaultAuctionValues!$D$2:$D$331,MATCH(A95,DefaultAuctionValues!$A$2:$A$331,0)),0))))</f>
        <v>3.5</v>
      </c>
      <c r="L95" s="159">
        <f t="shared" ca="1" si="11"/>
        <v>8.7902985541347149</v>
      </c>
      <c r="M95" s="171"/>
      <c r="N95" s="166">
        <f t="shared" ca="1" si="12"/>
        <v>38.129999999999981</v>
      </c>
      <c r="O95" s="157" t="str">
        <f t="shared" ca="1" si="13"/>
        <v/>
      </c>
    </row>
    <row r="96" spans="1:15" x14ac:dyDescent="0.35">
      <c r="A96" s="157" t="s">
        <v>240</v>
      </c>
      <c r="B96" s="157" t="s">
        <v>32</v>
      </c>
      <c r="C96" s="157">
        <f ca="1">IFERROR(INDEX(BYEs!$B$2:$B$33,MATCH(D96,BYEs!$A$2:$A$33,0)),"N/A")</f>
        <v>11</v>
      </c>
      <c r="D96" s="214" t="str">
        <f t="shared" ca="1" si="7"/>
        <v>TB</v>
      </c>
      <c r="E96" s="213" t="str">
        <f t="shared" ca="1" si="8"/>
        <v>WR5</v>
      </c>
      <c r="F96" s="158">
        <f ca="1">IF(LeagueInfo!$H$7="Starter/Bench",INDEX(INDIRECT(""&amp;B96&amp;"!T2:T628"),MATCH(A96,INDIRECT(""&amp;B96&amp;"!B2:B628"),0)),INDEX(INDIRECT(""&amp;B96&amp;"!AB2:AB628"),MATCH(A96,INDIRECT(""&amp;B96&amp;"!B2:B628"),0)))</f>
        <v>11.666904737152763</v>
      </c>
      <c r="G96" s="159">
        <f t="shared" si="9"/>
        <v>0</v>
      </c>
      <c r="H96" s="160"/>
      <c r="I96" s="159">
        <f t="shared" ca="1" si="10"/>
        <v>11.666904737152763</v>
      </c>
      <c r="J96" s="159" t="s">
        <v>73</v>
      </c>
      <c r="K96" s="159">
        <f>IF(LeagueInfo!$F$7="Yahoo",IFERROR(INDEX(DefaultAuctionValues!$B$2:$B$331,MATCH(A96,DefaultAuctionValues!$A$2:$A$331,0)),0),IF(LeagueInfo!$F$7="ESPN",IFERROR(INDEX(DefaultAuctionValues!$C$2:$C$331,MATCH(A96,DefaultAuctionValues!$A$2:$A$331,0)),0),IF(LeagueInfo!$F$7="Custom",IFERROR(INDEX(DefaultAuctionValues!$D$2:$D$331,MATCH(A96,DefaultAuctionValues!$A$2:$A$331,0)),0))))</f>
        <v>3.1</v>
      </c>
      <c r="L96" s="159">
        <f t="shared" ca="1" si="11"/>
        <v>8.5669047371527629</v>
      </c>
      <c r="M96" s="171"/>
      <c r="N96" s="166">
        <f t="shared" ca="1" si="12"/>
        <v>35.740000000000016</v>
      </c>
      <c r="O96" s="157" t="str">
        <f t="shared" ca="1" si="13"/>
        <v/>
      </c>
    </row>
    <row r="97" spans="1:15" x14ac:dyDescent="0.35">
      <c r="A97" s="157" t="s">
        <v>359</v>
      </c>
      <c r="B97" s="157" t="s">
        <v>32</v>
      </c>
      <c r="C97" s="157">
        <f ca="1">IFERROR(INDEX(BYEs!$B$2:$B$33,MATCH(D97,BYEs!$A$2:$A$33,0)),"N/A")</f>
        <v>5</v>
      </c>
      <c r="D97" s="214" t="str">
        <f t="shared" ca="1" si="7"/>
        <v>TEN</v>
      </c>
      <c r="E97" s="213" t="str">
        <f t="shared" ca="1" si="8"/>
        <v>WR5</v>
      </c>
      <c r="F97" s="158">
        <f ca="1">IF(LeagueInfo!$H$7="Starter/Bench",INDEX(INDIRECT(""&amp;B97&amp;"!T2:T628"),MATCH(A97,INDIRECT(""&amp;B97&amp;"!B2:B628"),0)),INDEX(INDIRECT(""&amp;B97&amp;"!AB2:AB628"),MATCH(A97,INDIRECT(""&amp;B97&amp;"!B2:B628"),0)))</f>
        <v>11.654257067681673</v>
      </c>
      <c r="G97" s="159">
        <f t="shared" si="9"/>
        <v>0</v>
      </c>
      <c r="H97" s="160"/>
      <c r="I97" s="159">
        <f t="shared" ca="1" si="10"/>
        <v>11.654257067681673</v>
      </c>
      <c r="J97" s="159" t="s">
        <v>73</v>
      </c>
      <c r="K97" s="159">
        <f>IF(LeagueInfo!$F$7="Yahoo",IFERROR(INDEX(DefaultAuctionValues!$B$2:$B$331,MATCH(A97,DefaultAuctionValues!$A$2:$A$331,0)),0),IF(LeagueInfo!$F$7="ESPN",IFERROR(INDEX(DefaultAuctionValues!$C$2:$C$331,MATCH(A97,DefaultAuctionValues!$A$2:$A$331,0)),0),IF(LeagueInfo!$F$7="Custom",IFERROR(INDEX(DefaultAuctionValues!$D$2:$D$331,MATCH(A97,DefaultAuctionValues!$A$2:$A$331,0)),0))))</f>
        <v>3.4</v>
      </c>
      <c r="L97" s="159">
        <f t="shared" ca="1" si="11"/>
        <v>8.2542570676816727</v>
      </c>
      <c r="M97" s="171"/>
      <c r="N97" s="166">
        <f t="shared" ca="1" si="12"/>
        <v>35.699999999999996</v>
      </c>
      <c r="O97" s="157" t="str">
        <f t="shared" ca="1" si="13"/>
        <v/>
      </c>
    </row>
    <row r="98" spans="1:15" x14ac:dyDescent="0.35">
      <c r="A98" s="157" t="s">
        <v>638</v>
      </c>
      <c r="B98" s="157" t="s">
        <v>40</v>
      </c>
      <c r="C98" s="157">
        <f ca="1">IFERROR(INDEX(BYEs!$B$2:$B$33,MATCH(D98,BYEs!$A$2:$A$33,0)),"N/A")</f>
        <v>7</v>
      </c>
      <c r="D98" s="214" t="str">
        <f t="shared" ca="1" si="7"/>
        <v>DAL</v>
      </c>
      <c r="E98" s="213" t="str">
        <f t="shared" ca="1" si="8"/>
        <v>TE3</v>
      </c>
      <c r="F98" s="158">
        <f ca="1">IF(LeagueInfo!$H$7="Starter/Bench",INDEX(INDIRECT(""&amp;B98&amp;"!T2:T628"),MATCH(A98,INDIRECT(""&amp;B98&amp;"!B2:B628"),0)),INDEX(INDIRECT(""&amp;B98&amp;"!AB2:AB628"),MATCH(A98,INDIRECT(""&amp;B98&amp;"!B2:B628"),0)))</f>
        <v>11.547247972708551</v>
      </c>
      <c r="G98" s="159">
        <f t="shared" si="9"/>
        <v>0</v>
      </c>
      <c r="H98" s="160"/>
      <c r="I98" s="159">
        <f t="shared" ca="1" si="10"/>
        <v>11.547247972708551</v>
      </c>
      <c r="J98" s="159" t="s">
        <v>73</v>
      </c>
      <c r="K98" s="159">
        <f>IF(LeagueInfo!$F$7="Yahoo",IFERROR(INDEX(DefaultAuctionValues!$B$2:$B$331,MATCH(A98,DefaultAuctionValues!$A$2:$A$331,0)),0),IF(LeagueInfo!$F$7="ESPN",IFERROR(INDEX(DefaultAuctionValues!$C$2:$C$331,MATCH(A98,DefaultAuctionValues!$A$2:$A$331,0)),0),IF(LeagueInfo!$F$7="Custom",IFERROR(INDEX(DefaultAuctionValues!$D$2:$D$331,MATCH(A98,DefaultAuctionValues!$A$2:$A$331,0)),0))))</f>
        <v>2.6</v>
      </c>
      <c r="L98" s="159">
        <f t="shared" ca="1" si="11"/>
        <v>8.947247972708551</v>
      </c>
      <c r="M98" s="171"/>
      <c r="N98" s="166">
        <f t="shared" ca="1" si="12"/>
        <v>35.779999999999987</v>
      </c>
      <c r="O98" s="157" t="str">
        <f t="shared" ca="1" si="13"/>
        <v/>
      </c>
    </row>
    <row r="99" spans="1:15" x14ac:dyDescent="0.35">
      <c r="A99" s="157" t="s">
        <v>142</v>
      </c>
      <c r="B99" s="157" t="s">
        <v>40</v>
      </c>
      <c r="C99" s="157">
        <f ca="1">IFERROR(INDEX(BYEs!$B$2:$B$33,MATCH(D99,BYEs!$A$2:$A$33,0)),"N/A")</f>
        <v>10</v>
      </c>
      <c r="D99" s="214" t="str">
        <f t="shared" ca="1" si="7"/>
        <v>CLE</v>
      </c>
      <c r="E99" s="213" t="str">
        <f t="shared" ca="1" si="8"/>
        <v>TE3</v>
      </c>
      <c r="F99" s="158">
        <f ca="1">IF(LeagueInfo!$H$7="Starter/Bench",INDEX(INDIRECT(""&amp;B99&amp;"!T2:T628"),MATCH(A99,INDIRECT(""&amp;B99&amp;"!B2:B628"),0)),INDEX(INDIRECT(""&amp;B99&amp;"!AB2:AB628"),MATCH(A99,INDIRECT(""&amp;B99&amp;"!B2:B628"),0)))</f>
        <v>11.287970748551338</v>
      </c>
      <c r="G99" s="159">
        <f t="shared" si="9"/>
        <v>0</v>
      </c>
      <c r="H99" s="160"/>
      <c r="I99" s="159">
        <f t="shared" ca="1" si="10"/>
        <v>11.287970748551338</v>
      </c>
      <c r="J99" s="159" t="s">
        <v>73</v>
      </c>
      <c r="K99" s="159">
        <f>IF(LeagueInfo!$F$7="Yahoo",IFERROR(INDEX(DefaultAuctionValues!$B$2:$B$331,MATCH(A99,DefaultAuctionValues!$A$2:$A$331,0)),0),IF(LeagueInfo!$F$7="ESPN",IFERROR(INDEX(DefaultAuctionValues!$C$2:$C$331,MATCH(A99,DefaultAuctionValues!$A$2:$A$331,0)),0),IF(LeagueInfo!$F$7="Custom",IFERROR(INDEX(DefaultAuctionValues!$D$2:$D$331,MATCH(A99,DefaultAuctionValues!$A$2:$A$331,0)),0))))</f>
        <v>1.9</v>
      </c>
      <c r="L99" s="159">
        <f t="shared" ca="1" si="11"/>
        <v>9.3879707485513375</v>
      </c>
      <c r="M99" s="171"/>
      <c r="N99" s="166">
        <f t="shared" ca="1" si="12"/>
        <v>34.959999999999994</v>
      </c>
      <c r="O99" s="157" t="str">
        <f t="shared" ca="1" si="13"/>
        <v/>
      </c>
    </row>
    <row r="100" spans="1:15" x14ac:dyDescent="0.35">
      <c r="A100" s="157" t="s">
        <v>233</v>
      </c>
      <c r="B100" s="157" t="s">
        <v>25</v>
      </c>
      <c r="C100" s="157">
        <f ca="1">IFERROR(INDEX(BYEs!$B$2:$B$33,MATCH(D100,BYEs!$A$2:$A$33,0)),"N/A")</f>
        <v>6</v>
      </c>
      <c r="D100" s="214" t="str">
        <f t="shared" ca="1" si="7"/>
        <v>MIA</v>
      </c>
      <c r="E100" s="213" t="str">
        <f t="shared" ca="1" si="8"/>
        <v>RB6</v>
      </c>
      <c r="F100" s="158">
        <f ca="1">IF(LeagueInfo!$H$7="Starter/Bench",INDEX(INDIRECT(""&amp;B100&amp;"!T2:T628"),MATCH(A100,INDIRECT(""&amp;B100&amp;"!B2:B628"),0)),INDEX(INDIRECT(""&amp;B100&amp;"!AB2:AB628"),MATCH(A100,INDIRECT(""&amp;B100&amp;"!B2:B628"),0)))</f>
        <v>11.283963805530705</v>
      </c>
      <c r="G100" s="159">
        <f t="shared" si="9"/>
        <v>0</v>
      </c>
      <c r="H100" s="160"/>
      <c r="I100" s="159">
        <f t="shared" ca="1" si="10"/>
        <v>11.283963805530705</v>
      </c>
      <c r="J100" s="159" t="s">
        <v>73</v>
      </c>
      <c r="K100" s="159">
        <f>IF(LeagueInfo!$F$7="Yahoo",IFERROR(INDEX(DefaultAuctionValues!$B$2:$B$331,MATCH(A100,DefaultAuctionValues!$A$2:$A$331,0)),0),IF(LeagueInfo!$F$7="ESPN",IFERROR(INDEX(DefaultAuctionValues!$C$2:$C$331,MATCH(A100,DefaultAuctionValues!$A$2:$A$331,0)),0),IF(LeagueInfo!$F$7="Custom",IFERROR(INDEX(DefaultAuctionValues!$D$2:$D$331,MATCH(A100,DefaultAuctionValues!$A$2:$A$331,0)),0))))</f>
        <v>6.3</v>
      </c>
      <c r="L100" s="159">
        <f t="shared" ca="1" si="11"/>
        <v>4.9839638055307054</v>
      </c>
      <c r="M100" s="171"/>
      <c r="N100" s="166">
        <f t="shared" ca="1" si="12"/>
        <v>34.389999999999972</v>
      </c>
      <c r="O100" s="157" t="str">
        <f t="shared" ca="1" si="13"/>
        <v/>
      </c>
    </row>
    <row r="101" spans="1:15" x14ac:dyDescent="0.35">
      <c r="A101" s="157" t="s">
        <v>774</v>
      </c>
      <c r="B101" s="157" t="s">
        <v>26</v>
      </c>
      <c r="C101" s="157">
        <f ca="1">IFERROR(INDEX(BYEs!$B$2:$B$33,MATCH(D101,BYEs!$A$2:$A$33,0)),"N/A")</f>
        <v>5</v>
      </c>
      <c r="D101" s="214" t="str">
        <f t="shared" ca="1" si="7"/>
        <v>TEN</v>
      </c>
      <c r="E101" s="213" t="str">
        <f t="shared" ca="1" si="8"/>
        <v>QB4</v>
      </c>
      <c r="F101" s="158">
        <f ca="1">IF(LeagueInfo!$H$7="Starter/Bench",INDEX(INDIRECT(""&amp;B101&amp;"!T2:T628"),MATCH(A101,INDIRECT(""&amp;B101&amp;"!B2:B628"),0)),INDEX(INDIRECT(""&amp;B101&amp;"!AB2:AB628"),MATCH(A101,INDIRECT(""&amp;B101&amp;"!B2:B628"),0)))</f>
        <v>10.898549325083648</v>
      </c>
      <c r="G101" s="159">
        <f t="shared" si="9"/>
        <v>0</v>
      </c>
      <c r="H101" s="160"/>
      <c r="I101" s="159">
        <f t="shared" ca="1" si="10"/>
        <v>10.898549325083648</v>
      </c>
      <c r="J101" s="159" t="s">
        <v>73</v>
      </c>
      <c r="K101" s="159">
        <f>IF(LeagueInfo!$F$7="Yahoo",IFERROR(INDEX(DefaultAuctionValues!$B$2:$B$331,MATCH(A101,DefaultAuctionValues!$A$2:$A$331,0)),0),IF(LeagueInfo!$F$7="ESPN",IFERROR(INDEX(DefaultAuctionValues!$C$2:$C$331,MATCH(A101,DefaultAuctionValues!$A$2:$A$331,0)),0),IF(LeagueInfo!$F$7="Custom",IFERROR(INDEX(DefaultAuctionValues!$D$2:$D$331,MATCH(A101,DefaultAuctionValues!$A$2:$A$331,0)),0))))</f>
        <v>1</v>
      </c>
      <c r="L101" s="159">
        <f t="shared" ca="1" si="11"/>
        <v>9.898549325083648</v>
      </c>
      <c r="M101" s="171"/>
      <c r="N101" s="166">
        <f t="shared" ca="1" si="12"/>
        <v>33.030000000000015</v>
      </c>
      <c r="O101" s="157" t="str">
        <f t="shared" ca="1" si="13"/>
        <v/>
      </c>
    </row>
    <row r="102" spans="1:15" x14ac:dyDescent="0.35">
      <c r="A102" s="157" t="s">
        <v>743</v>
      </c>
      <c r="B102" s="157" t="s">
        <v>32</v>
      </c>
      <c r="C102" s="157">
        <f ca="1">IFERROR(INDEX(BYEs!$B$2:$B$33,MATCH(D102,BYEs!$A$2:$A$33,0)),"N/A")</f>
        <v>6</v>
      </c>
      <c r="D102" s="214" t="str">
        <f t="shared" ca="1" si="7"/>
        <v>KC</v>
      </c>
      <c r="E102" s="213" t="str">
        <f t="shared" ca="1" si="8"/>
        <v>WR5</v>
      </c>
      <c r="F102" s="158">
        <f ca="1">IF(LeagueInfo!$H$7="Starter/Bench",INDEX(INDIRECT(""&amp;B102&amp;"!T2:T628"),MATCH(A102,INDIRECT(""&amp;B102&amp;"!B2:B628"),0)),INDEX(INDIRECT(""&amp;B102&amp;"!AB2:AB628"),MATCH(A102,INDIRECT(""&amp;B102&amp;"!B2:B628"),0)))</f>
        <v>10.889073064681114</v>
      </c>
      <c r="G102" s="159">
        <f t="shared" si="9"/>
        <v>0</v>
      </c>
      <c r="H102" s="160"/>
      <c r="I102" s="159">
        <f t="shared" ca="1" si="10"/>
        <v>10.889073064681114</v>
      </c>
      <c r="J102" s="159" t="s">
        <v>73</v>
      </c>
      <c r="K102" s="159">
        <f>IF(LeagueInfo!$F$7="Yahoo",IFERROR(INDEX(DefaultAuctionValues!$B$2:$B$331,MATCH(A102,DefaultAuctionValues!$A$2:$A$331,0)),0),IF(LeagueInfo!$F$7="ESPN",IFERROR(INDEX(DefaultAuctionValues!$C$2:$C$331,MATCH(A102,DefaultAuctionValues!$A$2:$A$331,0)),0),IF(LeagueInfo!$F$7="Custom",IFERROR(INDEX(DefaultAuctionValues!$D$2:$D$331,MATCH(A102,DefaultAuctionValues!$A$2:$A$331,0)),0))))</f>
        <v>4.8</v>
      </c>
      <c r="L102" s="159">
        <f t="shared" ca="1" si="11"/>
        <v>6.0890730646811138</v>
      </c>
      <c r="M102" s="171"/>
      <c r="N102" s="166">
        <f t="shared" ca="1" si="12"/>
        <v>33.280000000000008</v>
      </c>
      <c r="O102" s="157" t="str">
        <f t="shared" ca="1" si="13"/>
        <v/>
      </c>
    </row>
    <row r="103" spans="1:15" x14ac:dyDescent="0.35">
      <c r="A103" s="157" t="s">
        <v>362</v>
      </c>
      <c r="B103" s="157" t="s">
        <v>32</v>
      </c>
      <c r="C103" s="157">
        <f ca="1">IFERROR(INDEX(BYEs!$B$2:$B$33,MATCH(D103,BYEs!$A$2:$A$33,0)),"N/A")</f>
        <v>12</v>
      </c>
      <c r="D103" s="214" t="str">
        <f t="shared" ca="1" si="7"/>
        <v>JAC</v>
      </c>
      <c r="E103" s="213" t="str">
        <f t="shared" ca="1" si="8"/>
        <v>WR5</v>
      </c>
      <c r="F103" s="158">
        <f ca="1">IF(LeagueInfo!$H$7="Starter/Bench",INDEX(INDIRECT(""&amp;B103&amp;"!T2:T628"),MATCH(A103,INDIRECT(""&amp;B103&amp;"!B2:B628"),0)),INDEX(INDIRECT(""&amp;B103&amp;"!AB2:AB628"),MATCH(A103,INDIRECT(""&amp;B103&amp;"!B2:B628"),0)))</f>
        <v>10.601338584213963</v>
      </c>
      <c r="G103" s="159">
        <f t="shared" si="9"/>
        <v>0</v>
      </c>
      <c r="H103" s="160"/>
      <c r="I103" s="159">
        <f t="shared" ca="1" si="10"/>
        <v>10.601338584213963</v>
      </c>
      <c r="J103" s="159" t="s">
        <v>73</v>
      </c>
      <c r="K103" s="159">
        <f>IF(LeagueInfo!$F$7="Yahoo",IFERROR(INDEX(DefaultAuctionValues!$B$2:$B$331,MATCH(A103,DefaultAuctionValues!$A$2:$A$331,0)),0),IF(LeagueInfo!$F$7="ESPN",IFERROR(INDEX(DefaultAuctionValues!$C$2:$C$331,MATCH(A103,DefaultAuctionValues!$A$2:$A$331,0)),0),IF(LeagueInfo!$F$7="Custom",IFERROR(INDEX(DefaultAuctionValues!$D$2:$D$331,MATCH(A103,DefaultAuctionValues!$A$2:$A$331,0)),0))))</f>
        <v>3.8</v>
      </c>
      <c r="L103" s="159">
        <f t="shared" ca="1" si="11"/>
        <v>6.8013385842139629</v>
      </c>
      <c r="M103" s="171"/>
      <c r="N103" s="166">
        <f t="shared" ca="1" si="12"/>
        <v>32.370000000000012</v>
      </c>
      <c r="O103" s="157" t="str">
        <f t="shared" ca="1" si="13"/>
        <v/>
      </c>
    </row>
    <row r="104" spans="1:15" x14ac:dyDescent="0.35">
      <c r="A104" s="157" t="s">
        <v>414</v>
      </c>
      <c r="B104" s="157" t="s">
        <v>26</v>
      </c>
      <c r="C104" s="157">
        <f ca="1">IFERROR(INDEX(BYEs!$B$2:$B$33,MATCH(D104,BYEs!$A$2:$A$33,0)),"N/A")</f>
        <v>11</v>
      </c>
      <c r="D104" s="214" t="str">
        <f t="shared" ca="1" si="7"/>
        <v>NYG</v>
      </c>
      <c r="E104" s="213" t="str">
        <f t="shared" ca="1" si="8"/>
        <v>QB4</v>
      </c>
      <c r="F104" s="158">
        <f ca="1">IF(LeagueInfo!$H$7="Starter/Bench",INDEX(INDIRECT(""&amp;B104&amp;"!T2:T628"),MATCH(A104,INDIRECT(""&amp;B104&amp;"!B2:B628"),0)),INDEX(INDIRECT(""&amp;B104&amp;"!AB2:AB628"),MATCH(A104,INDIRECT(""&amp;B104&amp;"!B2:B628"),0)))</f>
        <v>10.36170585696645</v>
      </c>
      <c r="G104" s="159">
        <f t="shared" si="9"/>
        <v>0</v>
      </c>
      <c r="H104" s="160"/>
      <c r="I104" s="159">
        <f t="shared" ca="1" si="10"/>
        <v>10.36170585696645</v>
      </c>
      <c r="J104" s="159" t="s">
        <v>73</v>
      </c>
      <c r="K104" s="159">
        <f>IF(LeagueInfo!$F$7="Yahoo",IFERROR(INDEX(DefaultAuctionValues!$B$2:$B$331,MATCH(A104,DefaultAuctionValues!$A$2:$A$331,0)),0),IF(LeagueInfo!$F$7="ESPN",IFERROR(INDEX(DefaultAuctionValues!$C$2:$C$331,MATCH(A104,DefaultAuctionValues!$A$2:$A$331,0)),0),IF(LeagueInfo!$F$7="Custom",IFERROR(INDEX(DefaultAuctionValues!$D$2:$D$331,MATCH(A104,DefaultAuctionValues!$A$2:$A$331,0)),0))))</f>
        <v>1</v>
      </c>
      <c r="L104" s="159">
        <f t="shared" ca="1" si="11"/>
        <v>9.3617058569664504</v>
      </c>
      <c r="M104" s="171"/>
      <c r="N104" s="166">
        <f t="shared" ca="1" si="12"/>
        <v>31.40300000000002</v>
      </c>
      <c r="O104" s="157" t="str">
        <f t="shared" ca="1" si="13"/>
        <v/>
      </c>
    </row>
    <row r="105" spans="1:15" x14ac:dyDescent="0.35">
      <c r="A105" s="157" t="s">
        <v>117</v>
      </c>
      <c r="B105" s="157" t="s">
        <v>26</v>
      </c>
      <c r="C105" s="157">
        <f ca="1">IFERROR(INDEX(BYEs!$B$2:$B$33,MATCH(D105,BYEs!$A$2:$A$33,0)),"N/A")</f>
        <v>12</v>
      </c>
      <c r="D105" s="214" t="str">
        <f t="shared" ca="1" si="7"/>
        <v>NO</v>
      </c>
      <c r="E105" s="213" t="str">
        <f t="shared" ca="1" si="8"/>
        <v>QB4</v>
      </c>
      <c r="F105" s="158">
        <f ca="1">IF(LeagueInfo!$H$7="Starter/Bench",INDEX(INDIRECT(""&amp;B105&amp;"!T2:T628"),MATCH(A105,INDIRECT(""&amp;B105&amp;"!B2:B628"),0)),INDEX(INDIRECT(""&amp;B105&amp;"!AB2:AB628"),MATCH(A105,INDIRECT(""&amp;B105&amp;"!B2:B628"),0)))</f>
        <v>10.158121087557525</v>
      </c>
      <c r="G105" s="159">
        <f t="shared" si="9"/>
        <v>0</v>
      </c>
      <c r="H105" s="160"/>
      <c r="I105" s="159">
        <f t="shared" ca="1" si="10"/>
        <v>10.158121087557525</v>
      </c>
      <c r="J105" s="159" t="s">
        <v>73</v>
      </c>
      <c r="K105" s="159">
        <f>IF(LeagueInfo!$F$7="Yahoo",IFERROR(INDEX(DefaultAuctionValues!$B$2:$B$331,MATCH(A105,DefaultAuctionValues!$A$2:$A$331,0)),0),IF(LeagueInfo!$F$7="ESPN",IFERROR(INDEX(DefaultAuctionValues!$C$2:$C$331,MATCH(A105,DefaultAuctionValues!$A$2:$A$331,0)),0),IF(LeagueInfo!$F$7="Custom",IFERROR(INDEX(DefaultAuctionValues!$D$2:$D$331,MATCH(A105,DefaultAuctionValues!$A$2:$A$331,0)),0))))</f>
        <v>1</v>
      </c>
      <c r="L105" s="159">
        <f t="shared" ca="1" si="11"/>
        <v>9.1581210875575252</v>
      </c>
      <c r="M105" s="171"/>
      <c r="N105" s="166">
        <f t="shared" ca="1" si="12"/>
        <v>30.786000000000001</v>
      </c>
      <c r="O105" s="157" t="str">
        <f t="shared" ca="1" si="13"/>
        <v/>
      </c>
    </row>
    <row r="106" spans="1:15" x14ac:dyDescent="0.35">
      <c r="A106" s="157" t="s">
        <v>541</v>
      </c>
      <c r="B106" s="157" t="s">
        <v>25</v>
      </c>
      <c r="C106" s="157">
        <f ca="1">IFERROR(INDEX(BYEs!$B$2:$B$33,MATCH(D106,BYEs!$A$2:$A$33,0)),"N/A")</f>
        <v>14</v>
      </c>
      <c r="D106" s="214" t="str">
        <f t="shared" ca="1" si="7"/>
        <v>DEN</v>
      </c>
      <c r="E106" s="213" t="str">
        <f t="shared" ca="1" si="8"/>
        <v>RB6</v>
      </c>
      <c r="F106" s="158">
        <f ca="1">IF(LeagueInfo!$H$7="Starter/Bench",INDEX(INDIRECT(""&amp;B106&amp;"!T2:T628"),MATCH(A106,INDIRECT(""&amp;B106&amp;"!B2:B628"),0)),INDEX(INDIRECT(""&amp;B106&amp;"!AB2:AB628"),MATCH(A106,INDIRECT(""&amp;B106&amp;"!B2:B628"),0)))</f>
        <v>10.114054379455478</v>
      </c>
      <c r="G106" s="159">
        <f t="shared" si="9"/>
        <v>0</v>
      </c>
      <c r="H106" s="160"/>
      <c r="I106" s="159">
        <f t="shared" ca="1" si="10"/>
        <v>10.114054379455478</v>
      </c>
      <c r="J106" s="159" t="s">
        <v>73</v>
      </c>
      <c r="K106" s="159">
        <f>IF(LeagueInfo!$F$7="Yahoo",IFERROR(INDEX(DefaultAuctionValues!$B$2:$B$331,MATCH(A106,DefaultAuctionValues!$A$2:$A$331,0)),0),IF(LeagueInfo!$F$7="ESPN",IFERROR(INDEX(DefaultAuctionValues!$C$2:$C$331,MATCH(A106,DefaultAuctionValues!$A$2:$A$331,0)),0),IF(LeagueInfo!$F$7="Custom",IFERROR(INDEX(DefaultAuctionValues!$D$2:$D$331,MATCH(A106,DefaultAuctionValues!$A$2:$A$331,0)),0))))</f>
        <v>3.4</v>
      </c>
      <c r="L106" s="159">
        <f t="shared" ca="1" si="11"/>
        <v>6.7140543794554777</v>
      </c>
      <c r="M106" s="171"/>
      <c r="N106" s="166">
        <f t="shared" ca="1" si="12"/>
        <v>30.690000000000012</v>
      </c>
      <c r="O106" s="157" t="str">
        <f t="shared" ca="1" si="13"/>
        <v/>
      </c>
    </row>
    <row r="107" spans="1:15" x14ac:dyDescent="0.35">
      <c r="A107" s="157" t="s">
        <v>343</v>
      </c>
      <c r="B107" s="157" t="s">
        <v>26</v>
      </c>
      <c r="C107" s="157">
        <f ca="1">IFERROR(INDEX(BYEs!$B$2:$B$33,MATCH(D107,BYEs!$A$2:$A$33,0)),"N/A")</f>
        <v>6</v>
      </c>
      <c r="D107" s="214" t="str">
        <f t="shared" ca="1" si="7"/>
        <v>MIN</v>
      </c>
      <c r="E107" s="213" t="str">
        <f t="shared" ca="1" si="8"/>
        <v>QB4</v>
      </c>
      <c r="F107" s="158">
        <f ca="1">IF(LeagueInfo!$H$7="Starter/Bench",INDEX(INDIRECT(""&amp;B107&amp;"!T2:T628"),MATCH(A107,INDIRECT(""&amp;B107&amp;"!B2:B628"),0)),INDEX(INDIRECT(""&amp;B107&amp;"!AB2:AB628"),MATCH(A107,INDIRECT(""&amp;B107&amp;"!B2:B628"),0)))</f>
        <v>10.059463314375567</v>
      </c>
      <c r="G107" s="159">
        <f t="shared" si="9"/>
        <v>0</v>
      </c>
      <c r="H107" s="160"/>
      <c r="I107" s="159">
        <f t="shared" ca="1" si="10"/>
        <v>10.059463314375567</v>
      </c>
      <c r="J107" s="159" t="s">
        <v>73</v>
      </c>
      <c r="K107" s="159">
        <f>IF(LeagueInfo!$F$7="Yahoo",IFERROR(INDEX(DefaultAuctionValues!$B$2:$B$331,MATCH(A107,DefaultAuctionValues!$A$2:$A$331,0)),0),IF(LeagueInfo!$F$7="ESPN",IFERROR(INDEX(DefaultAuctionValues!$C$2:$C$331,MATCH(A107,DefaultAuctionValues!$A$2:$A$331,0)),0),IF(LeagueInfo!$F$7="Custom",IFERROR(INDEX(DefaultAuctionValues!$D$2:$D$331,MATCH(A107,DefaultAuctionValues!$A$2:$A$331,0)),0))))</f>
        <v>0</v>
      </c>
      <c r="L107" s="159">
        <f t="shared" ca="1" si="11"/>
        <v>10.059463314375567</v>
      </c>
      <c r="M107" s="171"/>
      <c r="N107" s="166">
        <f t="shared" ca="1" si="12"/>
        <v>30.486999999999995</v>
      </c>
      <c r="O107" s="157" t="str">
        <f t="shared" ca="1" si="13"/>
        <v/>
      </c>
    </row>
    <row r="108" spans="1:15" x14ac:dyDescent="0.35">
      <c r="A108" s="157" t="s">
        <v>517</v>
      </c>
      <c r="B108" s="157" t="s">
        <v>25</v>
      </c>
      <c r="C108" s="157">
        <f ca="1">IFERROR(INDEX(BYEs!$B$2:$B$33,MATCH(D108,BYEs!$A$2:$A$33,0)),"N/A")</f>
        <v>7</v>
      </c>
      <c r="D108" s="214" t="str">
        <f t="shared" ca="1" si="7"/>
        <v>CHI</v>
      </c>
      <c r="E108" s="213" t="str">
        <f t="shared" ca="1" si="8"/>
        <v>RB6</v>
      </c>
      <c r="F108" s="158">
        <f ca="1">IF(LeagueInfo!$H$7="Starter/Bench",INDEX(INDIRECT(""&amp;B108&amp;"!T2:T628"),MATCH(A108,INDIRECT(""&amp;B108&amp;"!B2:B628"),0)),INDEX(INDIRECT(""&amp;B108&amp;"!AB2:AB628"),MATCH(A108,INDIRECT(""&amp;B108&amp;"!B2:B628"),0)))</f>
        <v>9.8294818163560933</v>
      </c>
      <c r="G108" s="159">
        <f t="shared" si="9"/>
        <v>0</v>
      </c>
      <c r="H108" s="160"/>
      <c r="I108" s="159">
        <f t="shared" ca="1" si="10"/>
        <v>9.8294818163560933</v>
      </c>
      <c r="J108" s="159" t="s">
        <v>73</v>
      </c>
      <c r="K108" s="159">
        <f>IF(LeagueInfo!$F$7="Yahoo",IFERROR(INDEX(DefaultAuctionValues!$B$2:$B$331,MATCH(A108,DefaultAuctionValues!$A$2:$A$331,0)),0),IF(LeagueInfo!$F$7="ESPN",IFERROR(INDEX(DefaultAuctionValues!$C$2:$C$331,MATCH(A108,DefaultAuctionValues!$A$2:$A$331,0)),0),IF(LeagueInfo!$F$7="Custom",IFERROR(INDEX(DefaultAuctionValues!$D$2:$D$331,MATCH(A108,DefaultAuctionValues!$A$2:$A$331,0)),0))))</f>
        <v>5.5</v>
      </c>
      <c r="L108" s="159">
        <f t="shared" ca="1" si="11"/>
        <v>4.3294818163560933</v>
      </c>
      <c r="M108" s="171"/>
      <c r="N108" s="166">
        <f t="shared" ca="1" si="12"/>
        <v>29.790000000000006</v>
      </c>
      <c r="O108" s="157" t="str">
        <f t="shared" ca="1" si="13"/>
        <v/>
      </c>
    </row>
    <row r="109" spans="1:15" x14ac:dyDescent="0.35">
      <c r="A109" s="157" t="s">
        <v>427</v>
      </c>
      <c r="B109" s="157" t="s">
        <v>25</v>
      </c>
      <c r="C109" s="157">
        <f ca="1">IFERROR(INDEX(BYEs!$B$2:$B$33,MATCH(D109,BYEs!$A$2:$A$33,0)),"N/A")</f>
        <v>5</v>
      </c>
      <c r="D109" s="214" t="str">
        <f t="shared" ca="1" si="7"/>
        <v>TEN</v>
      </c>
      <c r="E109" s="213" t="str">
        <f t="shared" ca="1" si="8"/>
        <v>RB6</v>
      </c>
      <c r="F109" s="158">
        <f ca="1">IF(LeagueInfo!$H$7="Starter/Bench",INDEX(INDIRECT(""&amp;B109&amp;"!T2:T628"),MATCH(A109,INDIRECT(""&amp;B109&amp;"!B2:B628"),0)),INDEX(INDIRECT(""&amp;B109&amp;"!AB2:AB628"),MATCH(A109,INDIRECT(""&amp;B109&amp;"!B2:B628"),0)))</f>
        <v>9.8179332475889769</v>
      </c>
      <c r="G109" s="159">
        <f t="shared" si="9"/>
        <v>0</v>
      </c>
      <c r="H109" s="160"/>
      <c r="I109" s="159">
        <f t="shared" ca="1" si="10"/>
        <v>9.8179332475889769</v>
      </c>
      <c r="J109" s="159" t="s">
        <v>73</v>
      </c>
      <c r="K109" s="159">
        <f>IF(LeagueInfo!$F$7="Yahoo",IFERROR(INDEX(DefaultAuctionValues!$B$2:$B$331,MATCH(A109,DefaultAuctionValues!$A$2:$A$331,0)),0),IF(LeagueInfo!$F$7="ESPN",IFERROR(INDEX(DefaultAuctionValues!$C$2:$C$331,MATCH(A109,DefaultAuctionValues!$A$2:$A$331,0)),0),IF(LeagueInfo!$F$7="Custom",IFERROR(INDEX(DefaultAuctionValues!$D$2:$D$331,MATCH(A109,DefaultAuctionValues!$A$2:$A$331,0)),0))))</f>
        <v>3</v>
      </c>
      <c r="L109" s="159">
        <f t="shared" ca="1" si="11"/>
        <v>6.8179332475889769</v>
      </c>
      <c r="M109" s="171"/>
      <c r="N109" s="166">
        <f t="shared" ca="1" si="12"/>
        <v>29.75500000000001</v>
      </c>
      <c r="O109" s="157" t="str">
        <f t="shared" ca="1" si="13"/>
        <v/>
      </c>
    </row>
    <row r="110" spans="1:15" x14ac:dyDescent="0.35">
      <c r="A110" s="157" t="s">
        <v>435</v>
      </c>
      <c r="B110" s="157" t="s">
        <v>32</v>
      </c>
      <c r="C110" s="157">
        <f ca="1">IFERROR(INDEX(BYEs!$B$2:$B$33,MATCH(D110,BYEs!$A$2:$A$33,0)),"N/A")</f>
        <v>14</v>
      </c>
      <c r="D110" s="214" t="str">
        <f t="shared" ca="1" si="7"/>
        <v>WAS</v>
      </c>
      <c r="E110" s="213" t="str">
        <f t="shared" ca="1" si="8"/>
        <v>WR6</v>
      </c>
      <c r="F110" s="158">
        <f ca="1">IF(LeagueInfo!$H$7="Starter/Bench",INDEX(INDIRECT(""&amp;B110&amp;"!T2:T628"),MATCH(A110,INDIRECT(""&amp;B110&amp;"!B2:B628"),0)),INDEX(INDIRECT(""&amp;B110&amp;"!AB2:AB628"),MATCH(A110,INDIRECT(""&amp;B110&amp;"!B2:B628"),0)))</f>
        <v>8.7769122630101393</v>
      </c>
      <c r="G110" s="159">
        <f t="shared" si="9"/>
        <v>0</v>
      </c>
      <c r="H110" s="160"/>
      <c r="I110" s="159">
        <f t="shared" ca="1" si="10"/>
        <v>8.7769122630101393</v>
      </c>
      <c r="J110" s="159" t="s">
        <v>73</v>
      </c>
      <c r="K110" s="159">
        <f>IF(LeagueInfo!$F$7="Yahoo",IFERROR(INDEX(DefaultAuctionValues!$B$2:$B$331,MATCH(A110,DefaultAuctionValues!$A$2:$A$331,0)),0),IF(LeagueInfo!$F$7="ESPN",IFERROR(INDEX(DefaultAuctionValues!$C$2:$C$331,MATCH(A110,DefaultAuctionValues!$A$2:$A$331,0)),0),IF(LeagueInfo!$F$7="Custom",IFERROR(INDEX(DefaultAuctionValues!$D$2:$D$331,MATCH(A110,DefaultAuctionValues!$A$2:$A$331,0)),0))))</f>
        <v>5.5</v>
      </c>
      <c r="L110" s="159">
        <f t="shared" ca="1" si="11"/>
        <v>3.2769122630101393</v>
      </c>
      <c r="M110" s="171"/>
      <c r="N110" s="166">
        <f t="shared" ca="1" si="12"/>
        <v>26.6</v>
      </c>
      <c r="O110" s="157" t="str">
        <f t="shared" ca="1" si="13"/>
        <v/>
      </c>
    </row>
    <row r="111" spans="1:15" x14ac:dyDescent="0.35">
      <c r="A111" s="157" t="s">
        <v>688</v>
      </c>
      <c r="B111" s="157" t="s">
        <v>25</v>
      </c>
      <c r="C111" s="157">
        <f ca="1">IFERROR(INDEX(BYEs!$B$2:$B$33,MATCH(D111,BYEs!$A$2:$A$33,0)),"N/A")</f>
        <v>9</v>
      </c>
      <c r="D111" s="214" t="str">
        <f t="shared" ca="1" si="7"/>
        <v>PIT</v>
      </c>
      <c r="E111" s="213" t="str">
        <f t="shared" ca="1" si="8"/>
        <v>RB6</v>
      </c>
      <c r="F111" s="158">
        <f ca="1">IF(LeagueInfo!$H$7="Starter/Bench",INDEX(INDIRECT(""&amp;B111&amp;"!T2:T628"),MATCH(A111,INDIRECT(""&amp;B111&amp;"!B2:B628"),0)),INDEX(INDIRECT(""&amp;B111&amp;"!AB2:AB628"),MATCH(A111,INDIRECT(""&amp;B111&amp;"!B2:B628"),0)))</f>
        <v>8.6449286199573514</v>
      </c>
      <c r="G111" s="159">
        <f t="shared" si="9"/>
        <v>0</v>
      </c>
      <c r="H111" s="160"/>
      <c r="I111" s="159">
        <f t="shared" ca="1" si="10"/>
        <v>8.6449286199573514</v>
      </c>
      <c r="J111" s="159" t="s">
        <v>73</v>
      </c>
      <c r="K111" s="159">
        <f>IF(LeagueInfo!$F$7="Yahoo",IFERROR(INDEX(DefaultAuctionValues!$B$2:$B$331,MATCH(A111,DefaultAuctionValues!$A$2:$A$331,0)),0),IF(LeagueInfo!$F$7="ESPN",IFERROR(INDEX(DefaultAuctionValues!$C$2:$C$331,MATCH(A111,DefaultAuctionValues!$A$2:$A$331,0)),0),IF(LeagueInfo!$F$7="Custom",IFERROR(INDEX(DefaultAuctionValues!$D$2:$D$331,MATCH(A111,DefaultAuctionValues!$A$2:$A$331,0)),0))))</f>
        <v>2.6</v>
      </c>
      <c r="L111" s="159">
        <f t="shared" ca="1" si="11"/>
        <v>6.0449286199573518</v>
      </c>
      <c r="M111" s="171"/>
      <c r="N111" s="166">
        <f t="shared" ca="1" si="12"/>
        <v>26.199999999999989</v>
      </c>
      <c r="O111" s="157" t="str">
        <f t="shared" ca="1" si="13"/>
        <v/>
      </c>
    </row>
    <row r="112" spans="1:15" x14ac:dyDescent="0.35">
      <c r="A112" s="157" t="s">
        <v>620</v>
      </c>
      <c r="B112" s="157" t="s">
        <v>25</v>
      </c>
      <c r="C112" s="157">
        <f ca="1">IFERROR(INDEX(BYEs!$B$2:$B$33,MATCH(D112,BYEs!$A$2:$A$33,0)),"N/A")</f>
        <v>14</v>
      </c>
      <c r="D112" s="214" t="str">
        <f t="shared" ca="1" si="7"/>
        <v>WAS</v>
      </c>
      <c r="E112" s="213" t="str">
        <f t="shared" ca="1" si="8"/>
        <v>RB6</v>
      </c>
      <c r="F112" s="158">
        <f ca="1">IF(LeagueInfo!$H$7="Starter/Bench",INDEX(INDIRECT(""&amp;B112&amp;"!T2:T628"),MATCH(A112,INDIRECT(""&amp;B112&amp;"!B2:B628"),0)),INDEX(INDIRECT(""&amp;B112&amp;"!AB2:AB628"),MATCH(A112,INDIRECT(""&amp;B112&amp;"!B2:B628"),0)))</f>
        <v>8.587185776121764</v>
      </c>
      <c r="G112" s="159">
        <f t="shared" si="9"/>
        <v>0</v>
      </c>
      <c r="H112" s="160"/>
      <c r="I112" s="159">
        <f t="shared" ca="1" si="10"/>
        <v>8.587185776121764</v>
      </c>
      <c r="J112" s="159" t="s">
        <v>73</v>
      </c>
      <c r="K112" s="159">
        <f>IF(LeagueInfo!$F$7="Yahoo",IFERROR(INDEX(DefaultAuctionValues!$B$2:$B$331,MATCH(A112,DefaultAuctionValues!$A$2:$A$331,0)),0),IF(LeagueInfo!$F$7="ESPN",IFERROR(INDEX(DefaultAuctionValues!$C$2:$C$331,MATCH(A112,DefaultAuctionValues!$A$2:$A$331,0)),0),IF(LeagueInfo!$F$7="Custom",IFERROR(INDEX(DefaultAuctionValues!$D$2:$D$331,MATCH(A112,DefaultAuctionValues!$A$2:$A$331,0)),0))))</f>
        <v>2.9</v>
      </c>
      <c r="L112" s="159">
        <f t="shared" ca="1" si="11"/>
        <v>5.6871857761217637</v>
      </c>
      <c r="M112" s="171"/>
      <c r="N112" s="166">
        <f t="shared" ca="1" si="12"/>
        <v>26.025000000000006</v>
      </c>
      <c r="O112" s="157" t="str">
        <f t="shared" ca="1" si="13"/>
        <v/>
      </c>
    </row>
    <row r="113" spans="1:15" x14ac:dyDescent="0.35">
      <c r="A113" s="157" t="s">
        <v>426</v>
      </c>
      <c r="B113" s="157" t="s">
        <v>25</v>
      </c>
      <c r="C113" s="157">
        <f ca="1">IFERROR(INDEX(BYEs!$B$2:$B$33,MATCH(D113,BYEs!$A$2:$A$33,0)),"N/A")</f>
        <v>11</v>
      </c>
      <c r="D113" s="214" t="str">
        <f t="shared" ca="1" si="7"/>
        <v>NYG</v>
      </c>
      <c r="E113" s="213" t="str">
        <f t="shared" ca="1" si="8"/>
        <v>RB6</v>
      </c>
      <c r="F113" s="158">
        <f ca="1">IF(LeagueInfo!$H$7="Starter/Bench",INDEX(INDIRECT(""&amp;B113&amp;"!T2:T628"),MATCH(A113,INDIRECT(""&amp;B113&amp;"!B2:B628"),0)),INDEX(INDIRECT(""&amp;B113&amp;"!AB2:AB628"),MATCH(A113,INDIRECT(""&amp;B113&amp;"!B2:B628"),0)))</f>
        <v>8.4222062223057801</v>
      </c>
      <c r="G113" s="159">
        <f t="shared" si="9"/>
        <v>0</v>
      </c>
      <c r="H113" s="160"/>
      <c r="I113" s="159">
        <f t="shared" ca="1" si="10"/>
        <v>8.4222062223057801</v>
      </c>
      <c r="J113" s="159" t="s">
        <v>73</v>
      </c>
      <c r="K113" s="159">
        <f>IF(LeagueInfo!$F$7="Yahoo",IFERROR(INDEX(DefaultAuctionValues!$B$2:$B$331,MATCH(A113,DefaultAuctionValues!$A$2:$A$331,0)),0),IF(LeagueInfo!$F$7="ESPN",IFERROR(INDEX(DefaultAuctionValues!$C$2:$C$331,MATCH(A113,DefaultAuctionValues!$A$2:$A$331,0)),0),IF(LeagueInfo!$F$7="Custom",IFERROR(INDEX(DefaultAuctionValues!$D$2:$D$331,MATCH(A113,DefaultAuctionValues!$A$2:$A$331,0)),0))))</f>
        <v>3.1</v>
      </c>
      <c r="L113" s="159">
        <f t="shared" ca="1" si="11"/>
        <v>5.3222062223057804</v>
      </c>
      <c r="M113" s="171"/>
      <c r="N113" s="166">
        <f t="shared" ca="1" si="12"/>
        <v>25.524999999999991</v>
      </c>
      <c r="O113" s="157" t="str">
        <f t="shared" ca="1" si="13"/>
        <v/>
      </c>
    </row>
    <row r="114" spans="1:15" x14ac:dyDescent="0.35">
      <c r="A114" s="157" t="s">
        <v>101</v>
      </c>
      <c r="B114" s="157" t="s">
        <v>32</v>
      </c>
      <c r="C114" s="157">
        <f ca="1">IFERROR(INDEX(BYEs!$B$2:$B$33,MATCH(D114,BYEs!$A$2:$A$33,0)),"N/A")</f>
        <v>7</v>
      </c>
      <c r="D114" s="214" t="str">
        <f t="shared" ca="1" si="7"/>
        <v>CHI</v>
      </c>
      <c r="E114" s="213" t="str">
        <f t="shared" ca="1" si="8"/>
        <v>WR6</v>
      </c>
      <c r="F114" s="158">
        <f ca="1">IF(LeagueInfo!$H$7="Starter/Bench",INDEX(INDIRECT(""&amp;B114&amp;"!T2:T628"),MATCH(A114,INDIRECT(""&amp;B114&amp;"!B2:B628"),0)),INDEX(INDIRECT(""&amp;B114&amp;"!AB2:AB628"),MATCH(A114,INDIRECT(""&amp;B114&amp;"!B2:B628"),0)))</f>
        <v>8.0576014083724647</v>
      </c>
      <c r="G114" s="159">
        <f t="shared" si="9"/>
        <v>0</v>
      </c>
      <c r="H114" s="160"/>
      <c r="I114" s="159">
        <f t="shared" ca="1" si="10"/>
        <v>8.0576014083724647</v>
      </c>
      <c r="J114" s="159" t="s">
        <v>73</v>
      </c>
      <c r="K114" s="159">
        <f>IF(LeagueInfo!$F$7="Yahoo",IFERROR(INDEX(DefaultAuctionValues!$B$2:$B$331,MATCH(A114,DefaultAuctionValues!$A$2:$A$331,0)),0),IF(LeagueInfo!$F$7="ESPN",IFERROR(INDEX(DefaultAuctionValues!$C$2:$C$331,MATCH(A114,DefaultAuctionValues!$A$2:$A$331,0)),0),IF(LeagueInfo!$F$7="Custom",IFERROR(INDEX(DefaultAuctionValues!$D$2:$D$331,MATCH(A114,DefaultAuctionValues!$A$2:$A$331,0)),0))))</f>
        <v>3.5</v>
      </c>
      <c r="L114" s="159">
        <f t="shared" ca="1" si="11"/>
        <v>4.5576014083724647</v>
      </c>
      <c r="M114" s="171"/>
      <c r="N114" s="166">
        <f t="shared" ca="1" si="12"/>
        <v>24.419999999999995</v>
      </c>
      <c r="O114" s="157" t="str">
        <f t="shared" ca="1" si="13"/>
        <v/>
      </c>
    </row>
    <row r="115" spans="1:15" x14ac:dyDescent="0.35">
      <c r="A115" s="157" t="s">
        <v>437</v>
      </c>
      <c r="B115" s="157" t="s">
        <v>32</v>
      </c>
      <c r="C115" s="157">
        <f ca="1">IFERROR(INDEX(BYEs!$B$2:$B$33,MATCH(D115,BYEs!$A$2:$A$33,0)),"N/A")</f>
        <v>11</v>
      </c>
      <c r="D115" s="214" t="str">
        <f t="shared" ca="1" si="7"/>
        <v>CAR</v>
      </c>
      <c r="E115" s="213" t="str">
        <f t="shared" ca="1" si="8"/>
        <v>WR6</v>
      </c>
      <c r="F115" s="158">
        <f ca="1">IF(LeagueInfo!$H$7="Starter/Bench",INDEX(INDIRECT(""&amp;B115&amp;"!T2:T628"),MATCH(A115,INDIRECT(""&amp;B115&amp;"!B2:B628"),0)),INDEX(INDIRECT(""&amp;B115&amp;"!AB2:AB628"),MATCH(A115,INDIRECT(""&amp;B115&amp;"!B2:B628"),0)))</f>
        <v>7.9107696054762489</v>
      </c>
      <c r="G115" s="159">
        <f t="shared" si="9"/>
        <v>0</v>
      </c>
      <c r="H115" s="160"/>
      <c r="I115" s="159">
        <f t="shared" ca="1" si="10"/>
        <v>7.9107696054762489</v>
      </c>
      <c r="J115" s="159" t="s">
        <v>73</v>
      </c>
      <c r="K115" s="159">
        <f>IF(LeagueInfo!$F$7="Yahoo",IFERROR(INDEX(DefaultAuctionValues!$B$2:$B$331,MATCH(A115,DefaultAuctionValues!$A$2:$A$331,0)),0),IF(LeagueInfo!$F$7="ESPN",IFERROR(INDEX(DefaultAuctionValues!$C$2:$C$331,MATCH(A115,DefaultAuctionValues!$A$2:$A$331,0)),0),IF(LeagueInfo!$F$7="Custom",IFERROR(INDEX(DefaultAuctionValues!$D$2:$D$331,MATCH(A115,DefaultAuctionValues!$A$2:$A$331,0)),0))))</f>
        <v>2.2000000000000002</v>
      </c>
      <c r="L115" s="159">
        <f t="shared" ca="1" si="11"/>
        <v>5.7107696054762487</v>
      </c>
      <c r="M115" s="171"/>
      <c r="N115" s="166">
        <f t="shared" ca="1" si="12"/>
        <v>23.975000000000016</v>
      </c>
      <c r="O115" s="157" t="str">
        <f t="shared" ca="1" si="13"/>
        <v/>
      </c>
    </row>
    <row r="116" spans="1:15" x14ac:dyDescent="0.35">
      <c r="A116" s="157" t="s">
        <v>727</v>
      </c>
      <c r="B116" s="157" t="s">
        <v>32</v>
      </c>
      <c r="C116" s="157">
        <f ca="1">IFERROR(INDEX(BYEs!$B$2:$B$33,MATCH(D116,BYEs!$A$2:$A$33,0)),"N/A")</f>
        <v>10</v>
      </c>
      <c r="D116" s="214" t="str">
        <f t="shared" ca="1" si="7"/>
        <v>GB</v>
      </c>
      <c r="E116" s="213" t="str">
        <f t="shared" ca="1" si="8"/>
        <v>WR6</v>
      </c>
      <c r="F116" s="158">
        <f ca="1">IF(LeagueInfo!$H$7="Starter/Bench",INDEX(INDIRECT(""&amp;B116&amp;"!T2:T628"),MATCH(A116,INDIRECT(""&amp;B116&amp;"!B2:B628"),0)),INDEX(INDIRECT(""&amp;B116&amp;"!AB2:AB628"),MATCH(A116,INDIRECT(""&amp;B116&amp;"!B2:B628"),0)))</f>
        <v>7.8761238991748916</v>
      </c>
      <c r="G116" s="159">
        <f t="shared" si="9"/>
        <v>0</v>
      </c>
      <c r="H116" s="160"/>
      <c r="I116" s="159">
        <f t="shared" ca="1" si="10"/>
        <v>7.8761238991748916</v>
      </c>
      <c r="J116" s="159" t="s">
        <v>73</v>
      </c>
      <c r="K116" s="159">
        <f>IF(LeagueInfo!$F$7="Yahoo",IFERROR(INDEX(DefaultAuctionValues!$B$2:$B$331,MATCH(A116,DefaultAuctionValues!$A$2:$A$331,0)),0),IF(LeagueInfo!$F$7="ESPN",IFERROR(INDEX(DefaultAuctionValues!$C$2:$C$331,MATCH(A116,DefaultAuctionValues!$A$2:$A$331,0)),0),IF(LeagueInfo!$F$7="Custom",IFERROR(INDEX(DefaultAuctionValues!$D$2:$D$331,MATCH(A116,DefaultAuctionValues!$A$2:$A$331,0)),0))))</f>
        <v>2.2000000000000002</v>
      </c>
      <c r="L116" s="159">
        <f t="shared" ca="1" si="11"/>
        <v>5.6761238991748915</v>
      </c>
      <c r="M116" s="171"/>
      <c r="N116" s="166">
        <f t="shared" ca="1" si="12"/>
        <v>23.870000000000012</v>
      </c>
      <c r="O116" s="157" t="str">
        <f t="shared" ca="1" si="13"/>
        <v/>
      </c>
    </row>
    <row r="117" spans="1:15" x14ac:dyDescent="0.35">
      <c r="A117" s="157" t="s">
        <v>520</v>
      </c>
      <c r="B117" s="157" t="s">
        <v>25</v>
      </c>
      <c r="C117" s="157">
        <f ca="1">IFERROR(INDEX(BYEs!$B$2:$B$33,MATCH(D117,BYEs!$A$2:$A$33,0)),"N/A")</f>
        <v>12</v>
      </c>
      <c r="D117" s="214" t="str">
        <f t="shared" ca="1" si="7"/>
        <v>CIN</v>
      </c>
      <c r="E117" s="213" t="str">
        <f t="shared" ca="1" si="8"/>
        <v>RB6</v>
      </c>
      <c r="F117" s="158">
        <f ca="1">IF(LeagueInfo!$H$7="Starter/Bench",INDEX(INDIRECT(""&amp;B117&amp;"!T2:T628"),MATCH(A117,INDIRECT(""&amp;B117&amp;"!B2:B628"),0)),INDEX(INDIRECT(""&amp;B117&amp;"!AB2:AB628"),MATCH(A117,INDIRECT(""&amp;B117&amp;"!B2:B628"),0)))</f>
        <v>7.8480773750261701</v>
      </c>
      <c r="G117" s="159">
        <f t="shared" si="9"/>
        <v>0</v>
      </c>
      <c r="H117" s="160"/>
      <c r="I117" s="159">
        <f t="shared" ca="1" si="10"/>
        <v>7.8480773750261701</v>
      </c>
      <c r="J117" s="159" t="s">
        <v>73</v>
      </c>
      <c r="K117" s="159">
        <f>IF(LeagueInfo!$F$7="Yahoo",IFERROR(INDEX(DefaultAuctionValues!$B$2:$B$331,MATCH(A117,DefaultAuctionValues!$A$2:$A$331,0)),0),IF(LeagueInfo!$F$7="ESPN",IFERROR(INDEX(DefaultAuctionValues!$C$2:$C$331,MATCH(A117,DefaultAuctionValues!$A$2:$A$331,0)),0),IF(LeagueInfo!$F$7="Custom",IFERROR(INDEX(DefaultAuctionValues!$D$2:$D$331,MATCH(A117,DefaultAuctionValues!$A$2:$A$331,0)),0))))</f>
        <v>3</v>
      </c>
      <c r="L117" s="159">
        <f t="shared" ca="1" si="11"/>
        <v>4.8480773750261701</v>
      </c>
      <c r="M117" s="171"/>
      <c r="N117" s="166">
        <f t="shared" ca="1" si="12"/>
        <v>23.784999999999997</v>
      </c>
      <c r="O117" s="157" t="str">
        <f t="shared" ca="1" si="13"/>
        <v/>
      </c>
    </row>
    <row r="118" spans="1:15" x14ac:dyDescent="0.35">
      <c r="A118" s="157" t="s">
        <v>854</v>
      </c>
      <c r="B118" s="157" t="s">
        <v>26</v>
      </c>
      <c r="C118" s="157">
        <f ca="1">IFERROR(INDEX(BYEs!$B$2:$B$33,MATCH(D118,BYEs!$A$2:$A$33,0)),"N/A")</f>
        <v>14</v>
      </c>
      <c r="D118" s="214" t="str">
        <f t="shared" ca="1" si="7"/>
        <v>DEN</v>
      </c>
      <c r="E118" s="213" t="str">
        <f t="shared" ca="1" si="8"/>
        <v>QB4</v>
      </c>
      <c r="F118" s="158">
        <f ca="1">IF(LeagueInfo!$H$7="Starter/Bench",INDEX(INDIRECT(""&amp;B118&amp;"!T2:T628"),MATCH(A118,INDIRECT(""&amp;B118&amp;"!B2:B628"),0)),INDEX(INDIRECT(""&amp;B118&amp;"!AB2:AB628"),MATCH(A118,INDIRECT(""&amp;B118&amp;"!B2:B628"),0)))</f>
        <v>7.3976831931085512</v>
      </c>
      <c r="G118" s="159">
        <f t="shared" si="9"/>
        <v>0</v>
      </c>
      <c r="H118" s="160"/>
      <c r="I118" s="159">
        <f t="shared" ca="1" si="10"/>
        <v>7.3976831931085512</v>
      </c>
      <c r="J118" s="159" t="s">
        <v>73</v>
      </c>
      <c r="K118" s="159">
        <f>IF(LeagueInfo!$F$7="Yahoo",IFERROR(INDEX(DefaultAuctionValues!$B$2:$B$331,MATCH(A118,DefaultAuctionValues!$A$2:$A$331,0)),0),IF(LeagueInfo!$F$7="ESPN",IFERROR(INDEX(DefaultAuctionValues!$C$2:$C$331,MATCH(A118,DefaultAuctionValues!$A$2:$A$331,0)),0),IF(LeagueInfo!$F$7="Custom",IFERROR(INDEX(DefaultAuctionValues!$D$2:$D$331,MATCH(A118,DefaultAuctionValues!$A$2:$A$331,0)),0))))</f>
        <v>1</v>
      </c>
      <c r="L118" s="159">
        <f t="shared" ca="1" si="11"/>
        <v>6.3976831931085512</v>
      </c>
      <c r="M118" s="171"/>
      <c r="N118" s="166">
        <f t="shared" ca="1" si="12"/>
        <v>22.420000000000016</v>
      </c>
      <c r="O118" s="157" t="str">
        <f t="shared" ca="1" si="13"/>
        <v/>
      </c>
    </row>
    <row r="119" spans="1:15" x14ac:dyDescent="0.35">
      <c r="A119" s="157" t="s">
        <v>713</v>
      </c>
      <c r="B119" s="157" t="s">
        <v>26</v>
      </c>
      <c r="C119" s="157">
        <f ca="1">IFERROR(INDEX(BYEs!$B$2:$B$33,MATCH(D119,BYEs!$A$2:$A$33,0)),"N/A")</f>
        <v>11</v>
      </c>
      <c r="D119" s="214" t="str">
        <f t="shared" ca="1" si="7"/>
        <v>CAR</v>
      </c>
      <c r="E119" s="213" t="str">
        <f t="shared" ca="1" si="8"/>
        <v>QB4</v>
      </c>
      <c r="F119" s="158">
        <f ca="1">IF(LeagueInfo!$H$7="Starter/Bench",INDEX(INDIRECT(""&amp;B119&amp;"!T2:T628"),MATCH(A119,INDIRECT(""&amp;B119&amp;"!B2:B628"),0)),INDEX(INDIRECT(""&amp;B119&amp;"!AB2:AB628"),MATCH(A119,INDIRECT(""&amp;B119&amp;"!B2:B628"),0)))</f>
        <v>7.2373230667994077</v>
      </c>
      <c r="G119" s="159">
        <f t="shared" si="9"/>
        <v>0</v>
      </c>
      <c r="H119" s="160"/>
      <c r="I119" s="159">
        <f t="shared" ca="1" si="10"/>
        <v>7.2373230667994077</v>
      </c>
      <c r="J119" s="159" t="s">
        <v>73</v>
      </c>
      <c r="K119" s="159">
        <f>IF(LeagueInfo!$F$7="Yahoo",IFERROR(INDEX(DefaultAuctionValues!$B$2:$B$331,MATCH(A119,DefaultAuctionValues!$A$2:$A$331,0)),0),IF(LeagueInfo!$F$7="ESPN",IFERROR(INDEX(DefaultAuctionValues!$C$2:$C$331,MATCH(A119,DefaultAuctionValues!$A$2:$A$331,0)),0),IF(LeagueInfo!$F$7="Custom",IFERROR(INDEX(DefaultAuctionValues!$D$2:$D$331,MATCH(A119,DefaultAuctionValues!$A$2:$A$331,0)),0))))</f>
        <v>1</v>
      </c>
      <c r="L119" s="159">
        <f t="shared" ca="1" si="11"/>
        <v>6.2373230667994077</v>
      </c>
      <c r="M119" s="171"/>
      <c r="N119" s="166">
        <f t="shared" ca="1" si="12"/>
        <v>21.933999999999983</v>
      </c>
      <c r="O119" s="157" t="str">
        <f t="shared" ca="1" si="13"/>
        <v/>
      </c>
    </row>
    <row r="120" spans="1:15" x14ac:dyDescent="0.35">
      <c r="A120" s="157" t="s">
        <v>775</v>
      </c>
      <c r="B120" s="157" t="s">
        <v>25</v>
      </c>
      <c r="C120" s="157">
        <f ca="1">IFERROR(INDEX(BYEs!$B$2:$B$33,MATCH(D120,BYEs!$A$2:$A$33,0)),"N/A")</f>
        <v>5</v>
      </c>
      <c r="D120" s="214" t="str">
        <f t="shared" ca="1" si="7"/>
        <v>TEN</v>
      </c>
      <c r="E120" s="213" t="str">
        <f t="shared" ca="1" si="8"/>
        <v>RB6</v>
      </c>
      <c r="F120" s="158">
        <f ca="1">IF(LeagueInfo!$H$7="Starter/Bench",INDEX(INDIRECT(""&amp;B120&amp;"!T2:T628"),MATCH(A120,INDIRECT(""&amp;B120&amp;"!B2:B628"),0)),INDEX(INDIRECT(""&amp;B120&amp;"!AB2:AB628"),MATCH(A120,INDIRECT(""&amp;B120&amp;"!B2:B628"),0)))</f>
        <v>7.1073191783924186</v>
      </c>
      <c r="G120" s="159">
        <f t="shared" si="9"/>
        <v>0</v>
      </c>
      <c r="H120" s="160"/>
      <c r="I120" s="159">
        <f t="shared" ca="1" si="10"/>
        <v>7.1073191783924186</v>
      </c>
      <c r="J120" s="159" t="s">
        <v>73</v>
      </c>
      <c r="K120" s="159">
        <f>IF(LeagueInfo!$F$7="Yahoo",IFERROR(INDEX(DefaultAuctionValues!$B$2:$B$331,MATCH(A120,DefaultAuctionValues!$A$2:$A$331,0)),0),IF(LeagueInfo!$F$7="ESPN",IFERROR(INDEX(DefaultAuctionValues!$C$2:$C$331,MATCH(A120,DefaultAuctionValues!$A$2:$A$331,0)),0),IF(LeagueInfo!$F$7="Custom",IFERROR(INDEX(DefaultAuctionValues!$D$2:$D$331,MATCH(A120,DefaultAuctionValues!$A$2:$A$331,0)),0))))</f>
        <v>2.2000000000000002</v>
      </c>
      <c r="L120" s="159">
        <f t="shared" ca="1" si="11"/>
        <v>4.9073191783924184</v>
      </c>
      <c r="M120" s="171"/>
      <c r="N120" s="166">
        <f t="shared" ca="1" si="12"/>
        <v>21.539999999999992</v>
      </c>
      <c r="O120" s="157" t="str">
        <f t="shared" ca="1" si="13"/>
        <v/>
      </c>
    </row>
    <row r="121" spans="1:15" x14ac:dyDescent="0.35">
      <c r="A121" s="157" t="s">
        <v>355</v>
      </c>
      <c r="B121" s="157" t="s">
        <v>25</v>
      </c>
      <c r="C121" s="157">
        <f ca="1">IFERROR(INDEX(BYEs!$B$2:$B$33,MATCH(D121,BYEs!$A$2:$A$33,0)),"N/A")</f>
        <v>14</v>
      </c>
      <c r="D121" s="214" t="str">
        <f t="shared" ca="1" si="7"/>
        <v>WAS</v>
      </c>
      <c r="E121" s="213" t="str">
        <f t="shared" ca="1" si="8"/>
        <v>RB6</v>
      </c>
      <c r="F121" s="158">
        <f ca="1">IF(LeagueInfo!$H$7="Starter/Bench",INDEX(INDIRECT(""&amp;B121&amp;"!T2:T628"),MATCH(A121,INDIRECT(""&amp;B121&amp;"!B2:B628"),0)),INDEX(INDIRECT(""&amp;B121&amp;"!AB2:AB628"),MATCH(A121,INDIRECT(""&amp;B121&amp;"!B2:B628"),0)))</f>
        <v>6.9868841041067551</v>
      </c>
      <c r="G121" s="159">
        <f t="shared" si="9"/>
        <v>0</v>
      </c>
      <c r="H121" s="160"/>
      <c r="I121" s="159">
        <f t="shared" ca="1" si="10"/>
        <v>6.9868841041067551</v>
      </c>
      <c r="J121" s="159" t="s">
        <v>73</v>
      </c>
      <c r="K121" s="159">
        <f>IF(LeagueInfo!$F$7="Yahoo",IFERROR(INDEX(DefaultAuctionValues!$B$2:$B$331,MATCH(A121,DefaultAuctionValues!$A$2:$A$331,0)),0),IF(LeagueInfo!$F$7="ESPN",IFERROR(INDEX(DefaultAuctionValues!$C$2:$C$331,MATCH(A121,DefaultAuctionValues!$A$2:$A$331,0)),0),IF(LeagueInfo!$F$7="Custom",IFERROR(INDEX(DefaultAuctionValues!$D$2:$D$331,MATCH(A121,DefaultAuctionValues!$A$2:$A$331,0)),0))))</f>
        <v>2.1</v>
      </c>
      <c r="L121" s="159">
        <f t="shared" ca="1" si="11"/>
        <v>4.8868841041067554</v>
      </c>
      <c r="M121" s="171"/>
      <c r="N121" s="166">
        <f t="shared" ca="1" si="12"/>
        <v>21.174999999999997</v>
      </c>
      <c r="O121" s="157" t="str">
        <f t="shared" ca="1" si="13"/>
        <v/>
      </c>
    </row>
    <row r="122" spans="1:15" x14ac:dyDescent="0.35">
      <c r="A122" s="157" t="s">
        <v>717</v>
      </c>
      <c r="B122" s="157" t="s">
        <v>25</v>
      </c>
      <c r="C122" s="157">
        <f ca="1">IFERROR(INDEX(BYEs!$B$2:$B$33,MATCH(D122,BYEs!$A$2:$A$33,0)),"N/A")</f>
        <v>12</v>
      </c>
      <c r="D122" s="214" t="str">
        <f t="shared" ca="1" si="7"/>
        <v>CIN</v>
      </c>
      <c r="E122" s="213" t="str">
        <f t="shared" ca="1" si="8"/>
        <v>RB6</v>
      </c>
      <c r="F122" s="158">
        <f ca="1">IF(LeagueInfo!$H$7="Starter/Bench",INDEX(INDIRECT(""&amp;B122&amp;"!T2:T628"),MATCH(A122,INDIRECT(""&amp;B122&amp;"!B2:B628"),0)),INDEX(INDIRECT(""&amp;B122&amp;"!AB2:AB628"),MATCH(A122,INDIRECT(""&amp;B122&amp;"!B2:B628"),0)))</f>
        <v>6.8433518922868606</v>
      </c>
      <c r="G122" s="159">
        <f t="shared" si="9"/>
        <v>0</v>
      </c>
      <c r="H122" s="160"/>
      <c r="I122" s="159">
        <f t="shared" ca="1" si="10"/>
        <v>6.8433518922868606</v>
      </c>
      <c r="J122" s="159" t="s">
        <v>73</v>
      </c>
      <c r="K122" s="159">
        <f>IF(LeagueInfo!$F$7="Yahoo",IFERROR(INDEX(DefaultAuctionValues!$B$2:$B$331,MATCH(A122,DefaultAuctionValues!$A$2:$A$331,0)),0),IF(LeagueInfo!$F$7="ESPN",IFERROR(INDEX(DefaultAuctionValues!$C$2:$C$331,MATCH(A122,DefaultAuctionValues!$A$2:$A$331,0)),0),IF(LeagueInfo!$F$7="Custom",IFERROR(INDEX(DefaultAuctionValues!$D$2:$D$331,MATCH(A122,DefaultAuctionValues!$A$2:$A$331,0)),0))))</f>
        <v>2.2000000000000002</v>
      </c>
      <c r="L122" s="159">
        <f t="shared" ca="1" si="11"/>
        <v>4.6433518922868604</v>
      </c>
      <c r="M122" s="171"/>
      <c r="N122" s="166">
        <f t="shared" ca="1" si="12"/>
        <v>20.740000000000023</v>
      </c>
      <c r="O122" s="157" t="str">
        <f t="shared" ca="1" si="13"/>
        <v/>
      </c>
    </row>
    <row r="123" spans="1:15" x14ac:dyDescent="0.35">
      <c r="A123" s="157" t="s">
        <v>360</v>
      </c>
      <c r="B123" s="157" t="s">
        <v>32</v>
      </c>
      <c r="C123" s="157">
        <f ca="1">IFERROR(INDEX(BYEs!$B$2:$B$33,MATCH(D123,BYEs!$A$2:$A$33,0)),"N/A")</f>
        <v>14</v>
      </c>
      <c r="D123" s="214" t="str">
        <f t="shared" ca="1" si="7"/>
        <v>DEN</v>
      </c>
      <c r="E123" s="213" t="str">
        <f t="shared" ca="1" si="8"/>
        <v>WR6</v>
      </c>
      <c r="F123" s="158">
        <f ca="1">IF(LeagueInfo!$H$7="Starter/Bench",INDEX(INDIRECT(""&amp;B123&amp;"!T2:T628"),MATCH(A123,INDIRECT(""&amp;B123&amp;"!B2:B628"),0)),INDEX(INDIRECT(""&amp;B123&amp;"!AB2:AB628"),MATCH(A123,INDIRECT(""&amp;B123&amp;"!B2:B628"),0)))</f>
        <v>6.4770972828153779</v>
      </c>
      <c r="G123" s="159">
        <f t="shared" si="9"/>
        <v>0</v>
      </c>
      <c r="H123" s="160"/>
      <c r="I123" s="159">
        <f t="shared" ca="1" si="10"/>
        <v>6.4770972828153779</v>
      </c>
      <c r="J123" s="159" t="s">
        <v>73</v>
      </c>
      <c r="K123" s="159">
        <f>IF(LeagueInfo!$F$7="Yahoo",IFERROR(INDEX(DefaultAuctionValues!$B$2:$B$331,MATCH(A123,DefaultAuctionValues!$A$2:$A$331,0)),0),IF(LeagueInfo!$F$7="ESPN",IFERROR(INDEX(DefaultAuctionValues!$C$2:$C$331,MATCH(A123,DefaultAuctionValues!$A$2:$A$331,0)),0),IF(LeagueInfo!$F$7="Custom",IFERROR(INDEX(DefaultAuctionValues!$D$2:$D$331,MATCH(A123,DefaultAuctionValues!$A$2:$A$331,0)),0))))</f>
        <v>1.3</v>
      </c>
      <c r="L123" s="159">
        <f t="shared" ca="1" si="11"/>
        <v>5.1770972828153781</v>
      </c>
      <c r="M123" s="171"/>
      <c r="N123" s="166">
        <f t="shared" ca="1" si="12"/>
        <v>19.630000000000003</v>
      </c>
      <c r="O123" s="157" t="str">
        <f t="shared" ca="1" si="13"/>
        <v/>
      </c>
    </row>
    <row r="124" spans="1:15" x14ac:dyDescent="0.35">
      <c r="A124" s="157" t="s">
        <v>769</v>
      </c>
      <c r="B124" s="157" t="s">
        <v>32</v>
      </c>
      <c r="C124" s="157">
        <f ca="1">IFERROR(INDEX(BYEs!$B$2:$B$33,MATCH(D124,BYEs!$A$2:$A$33,0)),"N/A")</f>
        <v>10</v>
      </c>
      <c r="D124" s="214" t="str">
        <f t="shared" ca="1" si="7"/>
        <v>SEA</v>
      </c>
      <c r="E124" s="213" t="str">
        <f t="shared" ca="1" si="8"/>
        <v>WR6</v>
      </c>
      <c r="F124" s="158">
        <f ca="1">IF(LeagueInfo!$H$7="Starter/Bench",INDEX(INDIRECT(""&amp;B124&amp;"!T2:T628"),MATCH(A124,INDIRECT(""&amp;B124&amp;"!B2:B628"),0)),INDEX(INDIRECT(""&amp;B124&amp;"!AB2:AB628"),MATCH(A124,INDIRECT(""&amp;B124&amp;"!B2:B628"),0)))</f>
        <v>6.4243038255942704</v>
      </c>
      <c r="G124" s="159">
        <f t="shared" si="9"/>
        <v>0</v>
      </c>
      <c r="H124" s="160"/>
      <c r="I124" s="159">
        <f t="shared" ca="1" si="10"/>
        <v>6.4243038255942704</v>
      </c>
      <c r="J124" s="159" t="s">
        <v>73</v>
      </c>
      <c r="K124" s="159">
        <f>IF(LeagueInfo!$F$7="Yahoo",IFERROR(INDEX(DefaultAuctionValues!$B$2:$B$331,MATCH(A124,DefaultAuctionValues!$A$2:$A$331,0)),0),IF(LeagueInfo!$F$7="ESPN",IFERROR(INDEX(DefaultAuctionValues!$C$2:$C$331,MATCH(A124,DefaultAuctionValues!$A$2:$A$331,0)),0),IF(LeagueInfo!$F$7="Custom",IFERROR(INDEX(DefaultAuctionValues!$D$2:$D$331,MATCH(A124,DefaultAuctionValues!$A$2:$A$331,0)),0))))</f>
        <v>1.4</v>
      </c>
      <c r="L124" s="159">
        <f t="shared" ca="1" si="11"/>
        <v>5.02430382559427</v>
      </c>
      <c r="M124" s="171"/>
      <c r="N124" s="166">
        <f t="shared" ca="1" si="12"/>
        <v>19.47000000000002</v>
      </c>
      <c r="O124" s="157" t="str">
        <f t="shared" ca="1" si="13"/>
        <v/>
      </c>
    </row>
    <row r="125" spans="1:15" x14ac:dyDescent="0.35">
      <c r="A125" s="157" t="s">
        <v>93</v>
      </c>
      <c r="B125" s="157" t="s">
        <v>32</v>
      </c>
      <c r="C125" s="157">
        <f ca="1">IFERROR(INDEX(BYEs!$B$2:$B$33,MATCH(D125,BYEs!$A$2:$A$33,0)),"N/A")</f>
        <v>5</v>
      </c>
      <c r="D125" s="214" t="str">
        <f t="shared" ca="1" si="7"/>
        <v>TEN</v>
      </c>
      <c r="E125" s="213" t="str">
        <f t="shared" ca="1" si="8"/>
        <v>WR6</v>
      </c>
      <c r="F125" s="158">
        <f ca="1">IF(LeagueInfo!$H$7="Starter/Bench",INDEX(INDIRECT(""&amp;B125&amp;"!T2:T628"),MATCH(A125,INDIRECT(""&amp;B125&amp;"!B2:B628"),0)),INDEX(INDIRECT(""&amp;B125&amp;"!AB2:AB628"),MATCH(A125,INDIRECT(""&amp;B125&amp;"!B2:B628"),0)))</f>
        <v>6.3022189557704342</v>
      </c>
      <c r="G125" s="159">
        <f t="shared" si="9"/>
        <v>0</v>
      </c>
      <c r="H125" s="160"/>
      <c r="I125" s="159">
        <f t="shared" ca="1" si="10"/>
        <v>6.3022189557704342</v>
      </c>
      <c r="J125" s="159" t="s">
        <v>73</v>
      </c>
      <c r="K125" s="159">
        <f>IF(LeagueInfo!$F$7="Yahoo",IFERROR(INDEX(DefaultAuctionValues!$B$2:$B$331,MATCH(A125,DefaultAuctionValues!$A$2:$A$331,0)),0),IF(LeagueInfo!$F$7="ESPN",IFERROR(INDEX(DefaultAuctionValues!$C$2:$C$331,MATCH(A125,DefaultAuctionValues!$A$2:$A$331,0)),0),IF(LeagueInfo!$F$7="Custom",IFERROR(INDEX(DefaultAuctionValues!$D$2:$D$331,MATCH(A125,DefaultAuctionValues!$A$2:$A$331,0)),0))))</f>
        <v>1.5</v>
      </c>
      <c r="L125" s="159">
        <f t="shared" ca="1" si="11"/>
        <v>4.8022189557704342</v>
      </c>
      <c r="M125" s="171"/>
      <c r="N125" s="166">
        <f t="shared" ca="1" si="12"/>
        <v>19.099999999999987</v>
      </c>
      <c r="O125" s="157" t="str">
        <f t="shared" ca="1" si="13"/>
        <v/>
      </c>
    </row>
    <row r="126" spans="1:15" x14ac:dyDescent="0.35">
      <c r="A126" s="157" t="s">
        <v>595</v>
      </c>
      <c r="B126" s="157" t="s">
        <v>32</v>
      </c>
      <c r="C126" s="157">
        <f ca="1">IFERROR(INDEX(BYEs!$B$2:$B$33,MATCH(D126,BYEs!$A$2:$A$33,0)),"N/A")</f>
        <v>10</v>
      </c>
      <c r="D126" s="214" t="str">
        <f t="shared" ca="1" si="7"/>
        <v>GB</v>
      </c>
      <c r="E126" s="213" t="str">
        <f t="shared" ca="1" si="8"/>
        <v>WR6</v>
      </c>
      <c r="F126" s="158">
        <f ca="1">IF(LeagueInfo!$H$7="Starter/Bench",INDEX(INDIRECT(""&amp;B126&amp;"!T2:T628"),MATCH(A126,INDIRECT(""&amp;B126&amp;"!B2:B628"),0)),INDEX(INDIRECT(""&amp;B126&amp;"!AB2:AB628"),MATCH(A126,INDIRECT(""&amp;B126&amp;"!B2:B628"),0)))</f>
        <v>6.168585517179495</v>
      </c>
      <c r="G126" s="159">
        <f t="shared" si="9"/>
        <v>0</v>
      </c>
      <c r="H126" s="160"/>
      <c r="I126" s="159">
        <f t="shared" ca="1" si="10"/>
        <v>6.168585517179495</v>
      </c>
      <c r="J126" s="159" t="s">
        <v>73</v>
      </c>
      <c r="K126" s="159">
        <f>IF(LeagueInfo!$F$7="Yahoo",IFERROR(INDEX(DefaultAuctionValues!$B$2:$B$331,MATCH(A126,DefaultAuctionValues!$A$2:$A$331,0)),0),IF(LeagueInfo!$F$7="ESPN",IFERROR(INDEX(DefaultAuctionValues!$C$2:$C$331,MATCH(A126,DefaultAuctionValues!$A$2:$A$331,0)),0),IF(LeagueInfo!$F$7="Custom",IFERROR(INDEX(DefaultAuctionValues!$D$2:$D$331,MATCH(A126,DefaultAuctionValues!$A$2:$A$331,0)),0))))</f>
        <v>1.6</v>
      </c>
      <c r="L126" s="159">
        <f t="shared" ca="1" si="11"/>
        <v>4.5685855171794945</v>
      </c>
      <c r="M126" s="171"/>
      <c r="N126" s="166">
        <f t="shared" ca="1" si="12"/>
        <v>18.695</v>
      </c>
      <c r="O126" s="157" t="str">
        <f t="shared" ca="1" si="13"/>
        <v/>
      </c>
    </row>
    <row r="127" spans="1:15" x14ac:dyDescent="0.35">
      <c r="A127" s="157" t="s">
        <v>753</v>
      </c>
      <c r="B127" s="157" t="s">
        <v>32</v>
      </c>
      <c r="C127" s="157">
        <f ca="1">IFERROR(INDEX(BYEs!$B$2:$B$33,MATCH(D127,BYEs!$A$2:$A$33,0)),"N/A")</f>
        <v>6</v>
      </c>
      <c r="D127" s="214" t="str">
        <f t="shared" ca="1" si="7"/>
        <v>MIN</v>
      </c>
      <c r="E127" s="213" t="str">
        <f t="shared" ca="1" si="8"/>
        <v>WR6</v>
      </c>
      <c r="F127" s="158">
        <f ca="1">IF(LeagueInfo!$H$7="Starter/Bench",INDEX(INDIRECT(""&amp;B127&amp;"!T2:T628"),MATCH(A127,INDIRECT(""&amp;B127&amp;"!B2:B628"),0)),INDEX(INDIRECT(""&amp;B127&amp;"!AB2:AB628"),MATCH(A127,INDIRECT(""&amp;B127&amp;"!B2:B628"),0)))</f>
        <v>6.1388891974926221</v>
      </c>
      <c r="G127" s="159">
        <f t="shared" si="9"/>
        <v>0</v>
      </c>
      <c r="H127" s="160"/>
      <c r="I127" s="159">
        <f t="shared" ca="1" si="10"/>
        <v>6.1388891974926221</v>
      </c>
      <c r="J127" s="159" t="s">
        <v>73</v>
      </c>
      <c r="K127" s="159">
        <f>IF(LeagueInfo!$F$7="Yahoo",IFERROR(INDEX(DefaultAuctionValues!$B$2:$B$331,MATCH(A127,DefaultAuctionValues!$A$2:$A$331,0)),0),IF(LeagueInfo!$F$7="ESPN",IFERROR(INDEX(DefaultAuctionValues!$C$2:$C$331,MATCH(A127,DefaultAuctionValues!$A$2:$A$331,0)),0),IF(LeagueInfo!$F$7="Custom",IFERROR(INDEX(DefaultAuctionValues!$D$2:$D$331,MATCH(A127,DefaultAuctionValues!$A$2:$A$331,0)),0))))</f>
        <v>1.5</v>
      </c>
      <c r="L127" s="159">
        <f t="shared" ca="1" si="11"/>
        <v>4.6388891974926221</v>
      </c>
      <c r="M127" s="171"/>
      <c r="N127" s="166">
        <f t="shared" ca="1" si="12"/>
        <v>18.605000000000011</v>
      </c>
      <c r="O127" s="157" t="str">
        <f t="shared" ca="1" si="13"/>
        <v/>
      </c>
    </row>
    <row r="128" spans="1:15" x14ac:dyDescent="0.35">
      <c r="A128" s="157" t="s">
        <v>936</v>
      </c>
      <c r="B128" s="157" t="s">
        <v>40</v>
      </c>
      <c r="C128" s="157">
        <f ca="1">IFERROR(INDEX(BYEs!$B$2:$B$33,MATCH(D128,BYEs!$A$2:$A$33,0)),"N/A")</f>
        <v>10</v>
      </c>
      <c r="D128" s="214" t="str">
        <f t="shared" ca="1" si="7"/>
        <v>LV</v>
      </c>
      <c r="E128" s="213" t="str">
        <f t="shared" ca="1" si="8"/>
        <v>TE5</v>
      </c>
      <c r="F128" s="158">
        <f ca="1">IF(LeagueInfo!$H$7="Starter/Bench",INDEX(INDIRECT(""&amp;B128&amp;"!T2:T628"),MATCH(A128,INDIRECT(""&amp;B128&amp;"!B2:B628"),0)),INDEX(INDIRECT(""&amp;B128&amp;"!AB2:AB628"),MATCH(A128,INDIRECT(""&amp;B128&amp;"!B2:B628"),0)))</f>
        <v>6.0961024306714915</v>
      </c>
      <c r="G128" s="159">
        <f t="shared" si="9"/>
        <v>0</v>
      </c>
      <c r="H128" s="160"/>
      <c r="I128" s="159">
        <f t="shared" ca="1" si="10"/>
        <v>6.0961024306714915</v>
      </c>
      <c r="J128" s="159" t="s">
        <v>73</v>
      </c>
      <c r="K128" s="159">
        <f>IF(LeagueInfo!$F$7="Yahoo",IFERROR(INDEX(DefaultAuctionValues!$B$2:$B$331,MATCH(A128,DefaultAuctionValues!$A$2:$A$331,0)),0),IF(LeagueInfo!$F$7="ESPN",IFERROR(INDEX(DefaultAuctionValues!$C$2:$C$331,MATCH(A128,DefaultAuctionValues!$A$2:$A$331,0)),0),IF(LeagueInfo!$F$7="Custom",IFERROR(INDEX(DefaultAuctionValues!$D$2:$D$331,MATCH(A128,DefaultAuctionValues!$A$2:$A$331,0)),0))))</f>
        <v>1.9</v>
      </c>
      <c r="L128" s="159">
        <f t="shared" ca="1" si="11"/>
        <v>4.1961024306714911</v>
      </c>
      <c r="M128" s="171"/>
      <c r="N128" s="166">
        <f t="shared" ca="1" si="12"/>
        <v>18.539999999999992</v>
      </c>
      <c r="O128" s="157" t="str">
        <f t="shared" ca="1" si="13"/>
        <v/>
      </c>
    </row>
    <row r="129" spans="1:15" x14ac:dyDescent="0.35">
      <c r="A129" s="157" t="s">
        <v>106</v>
      </c>
      <c r="B129" s="157" t="s">
        <v>26</v>
      </c>
      <c r="C129" s="157">
        <f ca="1">IFERROR(INDEX(BYEs!$B$2:$B$33,MATCH(D129,BYEs!$A$2:$A$33,0)),"N/A")</f>
        <v>9</v>
      </c>
      <c r="D129" s="214" t="str">
        <f t="shared" ca="1" si="7"/>
        <v>PIT</v>
      </c>
      <c r="E129" s="213" t="str">
        <f t="shared" ca="1" si="8"/>
        <v>QB4</v>
      </c>
      <c r="F129" s="158">
        <f ca="1">IF(LeagueInfo!$H$7="Starter/Bench",INDEX(INDIRECT(""&amp;B129&amp;"!T2:T628"),MATCH(A129,INDIRECT(""&amp;B129&amp;"!B2:B628"),0)),INDEX(INDIRECT(""&amp;B129&amp;"!AB2:AB628"),MATCH(A129,INDIRECT(""&amp;B129&amp;"!B2:B628"),0)))</f>
        <v>6.0712475804280679</v>
      </c>
      <c r="G129" s="159">
        <f t="shared" si="9"/>
        <v>0</v>
      </c>
      <c r="H129" s="160"/>
      <c r="I129" s="159">
        <f t="shared" ca="1" si="10"/>
        <v>6.0712475804280679</v>
      </c>
      <c r="J129" s="159" t="s">
        <v>73</v>
      </c>
      <c r="K129" s="159">
        <f>IF(LeagueInfo!$F$7="Yahoo",IFERROR(INDEX(DefaultAuctionValues!$B$2:$B$331,MATCH(A129,DefaultAuctionValues!$A$2:$A$331,0)),0),IF(LeagueInfo!$F$7="ESPN",IFERROR(INDEX(DefaultAuctionValues!$C$2:$C$331,MATCH(A129,DefaultAuctionValues!$A$2:$A$331,0)),0),IF(LeagueInfo!$F$7="Custom",IFERROR(INDEX(DefaultAuctionValues!$D$2:$D$331,MATCH(A129,DefaultAuctionValues!$A$2:$A$331,0)),0))))</f>
        <v>1</v>
      </c>
      <c r="L129" s="159">
        <f t="shared" ca="1" si="11"/>
        <v>5.0712475804280679</v>
      </c>
      <c r="M129" s="171"/>
      <c r="N129" s="166">
        <f t="shared" ca="1" si="12"/>
        <v>18.400000000000006</v>
      </c>
      <c r="O129" s="157" t="str">
        <f t="shared" ca="1" si="13"/>
        <v/>
      </c>
    </row>
    <row r="130" spans="1:15" x14ac:dyDescent="0.35">
      <c r="A130" s="157" t="s">
        <v>406</v>
      </c>
      <c r="B130" s="157" t="s">
        <v>25</v>
      </c>
      <c r="C130" s="157">
        <f ca="1">IFERROR(INDEX(BYEs!$B$2:$B$33,MATCH(D130,BYEs!$A$2:$A$33,0)),"N/A")</f>
        <v>5</v>
      </c>
      <c r="D130" s="214" t="str">
        <f t="shared" ca="1" si="7"/>
        <v>LAC</v>
      </c>
      <c r="E130" s="213" t="str">
        <f t="shared" ca="1" si="8"/>
        <v>RB6</v>
      </c>
      <c r="F130" s="158">
        <f ca="1">IF(LeagueInfo!$H$7="Starter/Bench",INDEX(INDIRECT(""&amp;B130&amp;"!T2:T628"),MATCH(A130,INDIRECT(""&amp;B130&amp;"!B2:B628"),0)),INDEX(INDIRECT(""&amp;B130&amp;"!AB2:AB628"),MATCH(A130,INDIRECT(""&amp;B130&amp;"!B2:B628"),0)))</f>
        <v>6.0629986027372675</v>
      </c>
      <c r="G130" s="159">
        <f t="shared" si="9"/>
        <v>0</v>
      </c>
      <c r="H130" s="160"/>
      <c r="I130" s="159">
        <f t="shared" ca="1" si="10"/>
        <v>6.0629986027372675</v>
      </c>
      <c r="J130" s="159" t="s">
        <v>73</v>
      </c>
      <c r="K130" s="159">
        <f>IF(LeagueInfo!$F$7="Yahoo",IFERROR(INDEX(DefaultAuctionValues!$B$2:$B$331,MATCH(A130,DefaultAuctionValues!$A$2:$A$331,0)),0),IF(LeagueInfo!$F$7="ESPN",IFERROR(INDEX(DefaultAuctionValues!$C$2:$C$331,MATCH(A130,DefaultAuctionValues!$A$2:$A$331,0)),0),IF(LeagueInfo!$F$7="Custom",IFERROR(INDEX(DefaultAuctionValues!$D$2:$D$331,MATCH(A130,DefaultAuctionValues!$A$2:$A$331,0)),0))))</f>
        <v>2.1</v>
      </c>
      <c r="L130" s="159">
        <f t="shared" ca="1" si="11"/>
        <v>3.9629986027372675</v>
      </c>
      <c r="M130" s="171"/>
      <c r="N130" s="166">
        <f t="shared" ca="1" si="12"/>
        <v>18.375</v>
      </c>
      <c r="O130" s="157" t="str">
        <f t="shared" ca="1" si="13"/>
        <v/>
      </c>
    </row>
    <row r="131" spans="1:15" x14ac:dyDescent="0.35">
      <c r="A131" s="157" t="s">
        <v>88</v>
      </c>
      <c r="B131" s="157" t="s">
        <v>25</v>
      </c>
      <c r="C131" s="157">
        <f ca="1">IFERROR(INDEX(BYEs!$B$2:$B$33,MATCH(D131,BYEs!$A$2:$A$33,0)),"N/A")</f>
        <v>7</v>
      </c>
      <c r="D131" s="214" t="str">
        <f t="shared" ca="1" si="7"/>
        <v>DAL</v>
      </c>
      <c r="E131" s="213" t="str">
        <f t="shared" ca="1" si="8"/>
        <v>RB6</v>
      </c>
      <c r="F131" s="158">
        <f ca="1">IF(LeagueInfo!$H$7="Starter/Bench",INDEX(INDIRECT(""&amp;B131&amp;"!T2:T628"),MATCH(A131,INDIRECT(""&amp;B131&amp;"!B2:B628"),0)),INDEX(INDIRECT(""&amp;B131&amp;"!AB2:AB628"),MATCH(A131,INDIRECT(""&amp;B131&amp;"!B2:B628"),0)))</f>
        <v>6.0415512607411905</v>
      </c>
      <c r="G131" s="159">
        <f t="shared" si="9"/>
        <v>0</v>
      </c>
      <c r="H131" s="160"/>
      <c r="I131" s="159">
        <f t="shared" ca="1" si="10"/>
        <v>6.0415512607411905</v>
      </c>
      <c r="J131" s="159" t="s">
        <v>73</v>
      </c>
      <c r="K131" s="159">
        <f>IF(LeagueInfo!$F$7="Yahoo",IFERROR(INDEX(DefaultAuctionValues!$B$2:$B$331,MATCH(A131,DefaultAuctionValues!$A$2:$A$331,0)),0),IF(LeagueInfo!$F$7="ESPN",IFERROR(INDEX(DefaultAuctionValues!$C$2:$C$331,MATCH(A131,DefaultAuctionValues!$A$2:$A$331,0)),0),IF(LeagueInfo!$F$7="Custom",IFERROR(INDEX(DefaultAuctionValues!$D$2:$D$331,MATCH(A131,DefaultAuctionValues!$A$2:$A$331,0)),0))))</f>
        <v>1.9</v>
      </c>
      <c r="L131" s="159">
        <f t="shared" ca="1" si="11"/>
        <v>4.1415512607411902</v>
      </c>
      <c r="M131" s="171"/>
      <c r="N131" s="166">
        <f t="shared" ca="1" si="12"/>
        <v>18.310000000000002</v>
      </c>
      <c r="O131" s="157" t="str">
        <f t="shared" ca="1" si="13"/>
        <v/>
      </c>
    </row>
    <row r="132" spans="1:15" x14ac:dyDescent="0.35">
      <c r="A132" s="157" t="s">
        <v>910</v>
      </c>
      <c r="B132" s="157" t="s">
        <v>32</v>
      </c>
      <c r="C132" s="157">
        <f ca="1">IFERROR(INDEX(BYEs!$B$2:$B$33,MATCH(D132,BYEs!$A$2:$A$33,0)),"N/A")</f>
        <v>6</v>
      </c>
      <c r="D132" s="214" t="str">
        <f t="shared" ca="1" si="7"/>
        <v>KC</v>
      </c>
      <c r="E132" s="213" t="str">
        <f t="shared" ca="1" si="8"/>
        <v>WR6</v>
      </c>
      <c r="F132" s="158">
        <f ca="1">IF(LeagueInfo!$H$7="Starter/Bench",INDEX(INDIRECT(""&amp;B132&amp;"!T2:T628"),MATCH(A132,INDIRECT(""&amp;B132&amp;"!B2:B628"),0)),INDEX(INDIRECT(""&amp;B132&amp;"!AB2:AB628"),MATCH(A132,INDIRECT(""&amp;B132&amp;"!B2:B628"),0)))</f>
        <v>5.9640108704476775</v>
      </c>
      <c r="G132" s="159">
        <f t="shared" si="9"/>
        <v>0</v>
      </c>
      <c r="H132" s="160"/>
      <c r="I132" s="159">
        <f t="shared" ca="1" si="10"/>
        <v>5.9640108704476775</v>
      </c>
      <c r="J132" s="159" t="s">
        <v>73</v>
      </c>
      <c r="K132" s="159">
        <f>IF(LeagueInfo!$F$7="Yahoo",IFERROR(INDEX(DefaultAuctionValues!$B$2:$B$331,MATCH(A132,DefaultAuctionValues!$A$2:$A$331,0)),0),IF(LeagueInfo!$F$7="ESPN",IFERROR(INDEX(DefaultAuctionValues!$C$2:$C$331,MATCH(A132,DefaultAuctionValues!$A$2:$A$331,0)),0),IF(LeagueInfo!$F$7="Custom",IFERROR(INDEX(DefaultAuctionValues!$D$2:$D$331,MATCH(A132,DefaultAuctionValues!$A$2:$A$331,0)),0))))</f>
        <v>2.2999999999999998</v>
      </c>
      <c r="L132" s="159">
        <f t="shared" ca="1" si="11"/>
        <v>3.6640108704476777</v>
      </c>
      <c r="M132" s="171"/>
      <c r="N132" s="166">
        <f t="shared" ca="1" si="12"/>
        <v>18.074999999999996</v>
      </c>
      <c r="O132" s="157" t="str">
        <f t="shared" ca="1" si="13"/>
        <v/>
      </c>
    </row>
    <row r="133" spans="1:15" x14ac:dyDescent="0.35">
      <c r="A133" s="157" t="s">
        <v>912</v>
      </c>
      <c r="B133" s="157" t="s">
        <v>32</v>
      </c>
      <c r="C133" s="157">
        <f ca="1">IFERROR(INDEX(BYEs!$B$2:$B$33,MATCH(D133,BYEs!$A$2:$A$33,0)),"N/A")</f>
        <v>7</v>
      </c>
      <c r="D133" s="214" t="str">
        <f t="shared" ca="1" si="7"/>
        <v>CHI</v>
      </c>
      <c r="E133" s="213" t="str">
        <f t="shared" ca="1" si="8"/>
        <v>WR6</v>
      </c>
      <c r="F133" s="158">
        <f ca="1">IF(LeagueInfo!$H$7="Starter/Bench",INDEX(INDIRECT(""&amp;B133&amp;"!T2:T628"),MATCH(A133,INDIRECT(""&amp;B133&amp;"!B2:B628"),0)),INDEX(INDIRECT(""&amp;B133&amp;"!AB2:AB628"),MATCH(A133,INDIRECT(""&amp;B133&amp;"!B2:B628"),0)))</f>
        <v>5.7033431754184365</v>
      </c>
      <c r="G133" s="159">
        <f t="shared" si="9"/>
        <v>0</v>
      </c>
      <c r="H133" s="160"/>
      <c r="I133" s="159">
        <f t="shared" ca="1" si="10"/>
        <v>5.7033431754184365</v>
      </c>
      <c r="J133" s="159" t="s">
        <v>73</v>
      </c>
      <c r="K133" s="159">
        <f>IF(LeagueInfo!$F$7="Yahoo",IFERROR(INDEX(DefaultAuctionValues!$B$2:$B$331,MATCH(A133,DefaultAuctionValues!$A$2:$A$331,0)),0),IF(LeagueInfo!$F$7="ESPN",IFERROR(INDEX(DefaultAuctionValues!$C$2:$C$331,MATCH(A133,DefaultAuctionValues!$A$2:$A$331,0)),0),IF(LeagueInfo!$F$7="Custom",IFERROR(INDEX(DefaultAuctionValues!$D$2:$D$331,MATCH(A133,DefaultAuctionValues!$A$2:$A$331,0)),0))))</f>
        <v>2.1</v>
      </c>
      <c r="L133" s="159">
        <f t="shared" ca="1" si="11"/>
        <v>3.6033431754184364</v>
      </c>
      <c r="M133" s="171"/>
      <c r="N133" s="166">
        <f t="shared" ca="1" si="12"/>
        <v>17.285000000000018</v>
      </c>
      <c r="O133" s="157" t="str">
        <f t="shared" ca="1" si="13"/>
        <v/>
      </c>
    </row>
    <row r="134" spans="1:15" x14ac:dyDescent="0.35">
      <c r="A134" s="157" t="s">
        <v>627</v>
      </c>
      <c r="B134" s="157" t="s">
        <v>25</v>
      </c>
      <c r="C134" s="157">
        <f ca="1">IFERROR(INDEX(BYEs!$B$2:$B$33,MATCH(D134,BYEs!$A$2:$A$33,0)),"N/A")</f>
        <v>10</v>
      </c>
      <c r="D134" s="214" t="str">
        <f t="shared" ca="1" si="7"/>
        <v>CLE</v>
      </c>
      <c r="E134" s="213" t="str">
        <f t="shared" ca="1" si="8"/>
        <v>RB7</v>
      </c>
      <c r="F134" s="158">
        <f ca="1">IF(LeagueInfo!$H$7="Starter/Bench",INDEX(INDIRECT(""&amp;B134&amp;"!T2:T628"),MATCH(A134,INDIRECT(""&amp;B134&amp;"!B2:B628"),0)),INDEX(INDIRECT(""&amp;B134&amp;"!AB2:AB628"),MATCH(A134,INDIRECT(""&amp;B134&amp;"!B2:B628"),0)))</f>
        <v>5.6835456289605162</v>
      </c>
      <c r="G134" s="159">
        <f t="shared" si="9"/>
        <v>0</v>
      </c>
      <c r="H134" s="160"/>
      <c r="I134" s="159">
        <f t="shared" ca="1" si="10"/>
        <v>5.6835456289605162</v>
      </c>
      <c r="J134" s="159" t="s">
        <v>73</v>
      </c>
      <c r="K134" s="159">
        <f>IF(LeagueInfo!$F$7="Yahoo",IFERROR(INDEX(DefaultAuctionValues!$B$2:$B$331,MATCH(A134,DefaultAuctionValues!$A$2:$A$331,0)),0),IF(LeagueInfo!$F$7="ESPN",IFERROR(INDEX(DefaultAuctionValues!$C$2:$C$331,MATCH(A134,DefaultAuctionValues!$A$2:$A$331,0)),0),IF(LeagueInfo!$F$7="Custom",IFERROR(INDEX(DefaultAuctionValues!$D$2:$D$331,MATCH(A134,DefaultAuctionValues!$A$2:$A$331,0)),0))))</f>
        <v>2.9</v>
      </c>
      <c r="L134" s="159">
        <f t="shared" ca="1" si="11"/>
        <v>2.7835456289605163</v>
      </c>
      <c r="M134" s="171"/>
      <c r="N134" s="166">
        <f t="shared" ca="1" si="12"/>
        <v>17.225000000000009</v>
      </c>
      <c r="O134" s="157" t="str">
        <f t="shared" ca="1" si="13"/>
        <v/>
      </c>
    </row>
    <row r="135" spans="1:15" x14ac:dyDescent="0.35">
      <c r="A135" s="157" t="s">
        <v>370</v>
      </c>
      <c r="B135" s="157" t="s">
        <v>40</v>
      </c>
      <c r="C135" s="157">
        <f ca="1">IFERROR(INDEX(BYEs!$B$2:$B$33,MATCH(D135,BYEs!$A$2:$A$33,0)),"N/A")</f>
        <v>5</v>
      </c>
      <c r="D135" s="214" t="str">
        <f t="shared" ca="1" si="7"/>
        <v>PHI</v>
      </c>
      <c r="E135" s="213" t="str">
        <f t="shared" ca="1" si="8"/>
        <v>TE5</v>
      </c>
      <c r="F135" s="158">
        <f ca="1">IF(LeagueInfo!$H$7="Starter/Bench",INDEX(INDIRECT(""&amp;B135&amp;"!T2:T628"),MATCH(A135,INDIRECT(""&amp;B135&amp;"!B2:B628"),0)),INDEX(INDIRECT(""&amp;B135&amp;"!AB2:AB628"),MATCH(A135,INDIRECT(""&amp;B135&amp;"!B2:B628"),0)))</f>
        <v>5.6060052386670005</v>
      </c>
      <c r="G135" s="159">
        <f t="shared" si="9"/>
        <v>0</v>
      </c>
      <c r="H135" s="160"/>
      <c r="I135" s="159">
        <f t="shared" ca="1" si="10"/>
        <v>5.6060052386670005</v>
      </c>
      <c r="J135" s="159" t="s">
        <v>73</v>
      </c>
      <c r="K135" s="159">
        <f>IF(LeagueInfo!$F$7="Yahoo",IFERROR(INDEX(DefaultAuctionValues!$B$2:$B$331,MATCH(A135,DefaultAuctionValues!$A$2:$A$331,0)),0),IF(LeagueInfo!$F$7="ESPN",IFERROR(INDEX(DefaultAuctionValues!$C$2:$C$331,MATCH(A135,DefaultAuctionValues!$A$2:$A$331,0)),0),IF(LeagueInfo!$F$7="Custom",IFERROR(INDEX(DefaultAuctionValues!$D$2:$D$331,MATCH(A135,DefaultAuctionValues!$A$2:$A$331,0)),0))))</f>
        <v>1.4</v>
      </c>
      <c r="L135" s="159">
        <f t="shared" ca="1" si="11"/>
        <v>4.2060052386670002</v>
      </c>
      <c r="M135" s="171"/>
      <c r="N135" s="166">
        <f t="shared" ca="1" si="12"/>
        <v>16.989999999999995</v>
      </c>
      <c r="O135" s="157" t="str">
        <f t="shared" ca="1" si="13"/>
        <v/>
      </c>
    </row>
    <row r="136" spans="1:15" x14ac:dyDescent="0.35">
      <c r="A136" s="157" t="s">
        <v>914</v>
      </c>
      <c r="B136" s="157" t="s">
        <v>32</v>
      </c>
      <c r="C136" s="157"/>
      <c r="D136" s="214" t="str">
        <f t="shared" ca="1" si="7"/>
        <v>JAC</v>
      </c>
      <c r="E136" s="213" t="str">
        <f t="shared" ca="1" si="8"/>
        <v>WR6</v>
      </c>
      <c r="F136" s="158">
        <f ca="1">IF(LeagueInfo!$H$7="Starter/Bench",INDEX(INDIRECT(""&amp;B136&amp;"!T2:T628"),MATCH(A136,INDIRECT(""&amp;B136&amp;"!B2:B628"),0)),INDEX(INDIRECT(""&amp;B136&amp;"!AB2:AB628"),MATCH(A136,INDIRECT(""&amp;B136&amp;"!B2:B628"),0)))</f>
        <v>5.2331514470428901</v>
      </c>
      <c r="G136" s="159">
        <f t="shared" si="9"/>
        <v>0</v>
      </c>
      <c r="H136" s="160"/>
      <c r="I136" s="159">
        <f t="shared" ca="1" si="10"/>
        <v>5.2331514470428901</v>
      </c>
      <c r="J136" s="159" t="s">
        <v>73</v>
      </c>
      <c r="K136" s="159">
        <f>IF(LeagueInfo!$F$7="Yahoo",IFERROR(INDEX(DefaultAuctionValues!$B$2:$B$331,MATCH(A136,DefaultAuctionValues!$A$2:$A$331,0)),0),IF(LeagueInfo!$F$7="ESPN",IFERROR(INDEX(DefaultAuctionValues!$C$2:$C$331,MATCH(A136,DefaultAuctionValues!$A$2:$A$331,0)),0),IF(LeagueInfo!$F$7="Custom",IFERROR(INDEX(DefaultAuctionValues!$D$2:$D$331,MATCH(A136,DefaultAuctionValues!$A$2:$A$331,0)),0))))</f>
        <v>1.5</v>
      </c>
      <c r="L136" s="159">
        <f t="shared" ca="1" si="11"/>
        <v>3.7331514470428901</v>
      </c>
      <c r="M136" s="171"/>
      <c r="N136" s="166">
        <f t="shared" ca="1" si="12"/>
        <v>15.860000000000007</v>
      </c>
      <c r="O136" s="157" t="str">
        <f t="shared" ca="1" si="13"/>
        <v/>
      </c>
    </row>
    <row r="137" spans="1:15" x14ac:dyDescent="0.35">
      <c r="A137" s="157" t="s">
        <v>911</v>
      </c>
      <c r="B137" s="157" t="s">
        <v>32</v>
      </c>
      <c r="C137" s="157">
        <f ca="1">IFERROR(INDEX(BYEs!$B$2:$B$33,MATCH(D137,BYEs!$A$2:$A$33,0)),"N/A")</f>
        <v>5</v>
      </c>
      <c r="D137" s="214" t="str">
        <f t="shared" ca="1" si="7"/>
        <v>LAC</v>
      </c>
      <c r="E137" s="213" t="str">
        <f t="shared" ca="1" si="8"/>
        <v>WR6</v>
      </c>
      <c r="F137" s="158">
        <f ca="1">IF(LeagueInfo!$H$7="Starter/Bench",INDEX(INDIRECT(""&amp;B137&amp;"!T2:T628"),MATCH(A137,INDIRECT(""&amp;B137&amp;"!B2:B628"),0)),INDEX(INDIRECT(""&amp;B137&amp;"!AB2:AB628"),MATCH(A137,INDIRECT(""&amp;B137&amp;"!B2:B628"),0)))</f>
        <v>5.2001555362796958</v>
      </c>
      <c r="G137" s="159">
        <f t="shared" si="9"/>
        <v>0</v>
      </c>
      <c r="H137" s="160"/>
      <c r="I137" s="159">
        <f t="shared" ca="1" si="10"/>
        <v>5.2001555362796958</v>
      </c>
      <c r="J137" s="159" t="s">
        <v>73</v>
      </c>
      <c r="K137" s="159">
        <f>IF(LeagueInfo!$F$7="Yahoo",IFERROR(INDEX(DefaultAuctionValues!$B$2:$B$331,MATCH(A137,DefaultAuctionValues!$A$2:$A$331,0)),0),IF(LeagueInfo!$F$7="ESPN",IFERROR(INDEX(DefaultAuctionValues!$C$2:$C$331,MATCH(A137,DefaultAuctionValues!$A$2:$A$331,0)),0),IF(LeagueInfo!$F$7="Custom",IFERROR(INDEX(DefaultAuctionValues!$D$2:$D$331,MATCH(A137,DefaultAuctionValues!$A$2:$A$331,0)),0))))</f>
        <v>1.9</v>
      </c>
      <c r="L137" s="159">
        <f t="shared" ca="1" si="11"/>
        <v>3.3001555362796959</v>
      </c>
      <c r="M137" s="171"/>
      <c r="N137" s="166">
        <f t="shared" ca="1" si="12"/>
        <v>15.760000000000012</v>
      </c>
      <c r="O137" s="157" t="str">
        <f t="shared" ca="1" si="13"/>
        <v/>
      </c>
    </row>
    <row r="138" spans="1:15" x14ac:dyDescent="0.35">
      <c r="A138" s="157" t="s">
        <v>489</v>
      </c>
      <c r="B138" s="157" t="s">
        <v>32</v>
      </c>
      <c r="C138" s="157">
        <f ca="1">IFERROR(INDEX(BYEs!$B$2:$B$33,MATCH(D138,BYEs!$A$2:$A$33,0)),"N/A")</f>
        <v>10</v>
      </c>
      <c r="D138" s="214" t="str">
        <f t="shared" ca="1" si="7"/>
        <v>CLE</v>
      </c>
      <c r="E138" s="213" t="str">
        <f t="shared" ca="1" si="8"/>
        <v>WR6</v>
      </c>
      <c r="F138" s="158">
        <f ca="1">IF(LeagueInfo!$H$7="Starter/Bench",INDEX(INDIRECT(""&amp;B138&amp;"!T2:T628"),MATCH(A138,INDIRECT(""&amp;B138&amp;"!B2:B628"),0)),INDEX(INDIRECT(""&amp;B138&amp;"!AB2:AB628"),MATCH(A138,INDIRECT(""&amp;B138&amp;"!B2:B628"),0)))</f>
        <v>4.6903687149883169</v>
      </c>
      <c r="G138" s="159">
        <f t="shared" si="9"/>
        <v>0</v>
      </c>
      <c r="H138" s="160"/>
      <c r="I138" s="159">
        <f t="shared" ca="1" si="10"/>
        <v>4.6903687149883169</v>
      </c>
      <c r="J138" s="159" t="s">
        <v>73</v>
      </c>
      <c r="K138" s="159">
        <f>IF(LeagueInfo!$F$7="Yahoo",IFERROR(INDEX(DefaultAuctionValues!$B$2:$B$331,MATCH(A138,DefaultAuctionValues!$A$2:$A$331,0)),0),IF(LeagueInfo!$F$7="ESPN",IFERROR(INDEX(DefaultAuctionValues!$C$2:$C$331,MATCH(A138,DefaultAuctionValues!$A$2:$A$331,0)),0),IF(LeagueInfo!$F$7="Custom",IFERROR(INDEX(DefaultAuctionValues!$D$2:$D$331,MATCH(A138,DefaultAuctionValues!$A$2:$A$331,0)),0))))</f>
        <v>1.1000000000000001</v>
      </c>
      <c r="L138" s="159">
        <f t="shared" ca="1" si="11"/>
        <v>3.5903687149883168</v>
      </c>
      <c r="M138" s="171"/>
      <c r="N138" s="166">
        <f t="shared" ca="1" si="12"/>
        <v>14.215000000000011</v>
      </c>
      <c r="O138" s="157" t="str">
        <f t="shared" ca="1" si="13"/>
        <v/>
      </c>
    </row>
    <row r="139" spans="1:15" x14ac:dyDescent="0.35">
      <c r="A139" s="157" t="s">
        <v>596</v>
      </c>
      <c r="B139" s="157" t="s">
        <v>32</v>
      </c>
      <c r="C139" s="157">
        <f ca="1">IFERROR(INDEX(BYEs!$B$2:$B$33,MATCH(D139,BYEs!$A$2:$A$33,0)),"N/A")</f>
        <v>5</v>
      </c>
      <c r="D139" s="214" t="str">
        <f t="shared" ca="1" si="7"/>
        <v>DET</v>
      </c>
      <c r="E139" s="213" t="str">
        <f t="shared" ca="1" si="8"/>
        <v>WR6</v>
      </c>
      <c r="F139" s="158">
        <f ca="1">IF(LeagueInfo!$H$7="Starter/Bench",INDEX(INDIRECT(""&amp;B139&amp;"!T2:T628"),MATCH(A139,INDIRECT(""&amp;B139&amp;"!B2:B628"),0)),INDEX(INDIRECT(""&amp;B139&amp;"!AB2:AB628"),MATCH(A139,INDIRECT(""&amp;B139&amp;"!B2:B628"),0)))</f>
        <v>4.6804699417593527</v>
      </c>
      <c r="G139" s="159">
        <f t="shared" si="9"/>
        <v>0</v>
      </c>
      <c r="H139" s="160"/>
      <c r="I139" s="159">
        <f t="shared" ca="1" si="10"/>
        <v>4.6804699417593527</v>
      </c>
      <c r="J139" s="159" t="s">
        <v>73</v>
      </c>
      <c r="K139" s="159">
        <f>IF(LeagueInfo!$F$7="Yahoo",IFERROR(INDEX(DefaultAuctionValues!$B$2:$B$331,MATCH(A139,DefaultAuctionValues!$A$2:$A$331,0)),0),IF(LeagueInfo!$F$7="ESPN",IFERROR(INDEX(DefaultAuctionValues!$C$2:$C$331,MATCH(A139,DefaultAuctionValues!$A$2:$A$331,0)),0),IF(LeagueInfo!$F$7="Custom",IFERROR(INDEX(DefaultAuctionValues!$D$2:$D$331,MATCH(A139,DefaultAuctionValues!$A$2:$A$331,0)),0))))</f>
        <v>1.6</v>
      </c>
      <c r="L139" s="159">
        <f t="shared" ca="1" si="11"/>
        <v>3.0804699417593526</v>
      </c>
      <c r="M139" s="171"/>
      <c r="N139" s="166">
        <f t="shared" ca="1" si="12"/>
        <v>14.184999999999995</v>
      </c>
      <c r="O139" s="157" t="str">
        <f t="shared" ca="1" si="13"/>
        <v/>
      </c>
    </row>
    <row r="140" spans="1:15" x14ac:dyDescent="0.35">
      <c r="A140" s="157" t="s">
        <v>139</v>
      </c>
      <c r="B140" s="157" t="s">
        <v>32</v>
      </c>
      <c r="C140" s="157">
        <f ca="1">IFERROR(INDEX(BYEs!$B$2:$B$33,MATCH(D140,BYEs!$A$2:$A$33,0)),"N/A")</f>
        <v>10</v>
      </c>
      <c r="D140" s="214" t="str">
        <f t="shared" ca="1" si="7"/>
        <v>SEA</v>
      </c>
      <c r="E140" s="213" t="str">
        <f t="shared" ca="1" si="8"/>
        <v>WR6</v>
      </c>
      <c r="F140" s="158">
        <f ca="1">IF(LeagueInfo!$H$7="Starter/Bench",INDEX(INDIRECT(""&amp;B140&amp;"!T2:T628"),MATCH(A140,INDIRECT(""&amp;B140&amp;"!B2:B628"),0)),INDEX(INDIRECT(""&amp;B140&amp;"!AB2:AB628"),MATCH(A140,INDIRECT(""&amp;B140&amp;"!B2:B628"),0)))</f>
        <v>4.4593973396459434</v>
      </c>
      <c r="G140" s="159">
        <f t="shared" si="9"/>
        <v>0</v>
      </c>
      <c r="H140" s="160"/>
      <c r="I140" s="159">
        <f t="shared" ca="1" si="10"/>
        <v>4.4593973396459434</v>
      </c>
      <c r="J140" s="159" t="s">
        <v>73</v>
      </c>
      <c r="K140" s="159">
        <f>IF(LeagueInfo!$F$7="Yahoo",IFERROR(INDEX(DefaultAuctionValues!$B$2:$B$331,MATCH(A140,DefaultAuctionValues!$A$2:$A$331,0)),0),IF(LeagueInfo!$F$7="ESPN",IFERROR(INDEX(DefaultAuctionValues!$C$2:$C$331,MATCH(A140,DefaultAuctionValues!$A$2:$A$331,0)),0),IF(LeagueInfo!$F$7="Custom",IFERROR(INDEX(DefaultAuctionValues!$D$2:$D$331,MATCH(A140,DefaultAuctionValues!$A$2:$A$331,0)),0))))</f>
        <v>1.1000000000000001</v>
      </c>
      <c r="L140" s="159">
        <f t="shared" ca="1" si="11"/>
        <v>3.3593973396459433</v>
      </c>
      <c r="M140" s="171"/>
      <c r="N140" s="166">
        <f t="shared" ca="1" si="12"/>
        <v>13.515000000000008</v>
      </c>
      <c r="O140" s="157" t="str">
        <f t="shared" ca="1" si="13"/>
        <v/>
      </c>
    </row>
    <row r="141" spans="1:15" x14ac:dyDescent="0.35">
      <c r="A141" s="157" t="s">
        <v>433</v>
      </c>
      <c r="B141" s="157" t="s">
        <v>32</v>
      </c>
      <c r="C141" s="157">
        <f ca="1">IFERROR(INDEX(BYEs!$B$2:$B$33,MATCH(D141,BYEs!$A$2:$A$33,0)),"N/A")</f>
        <v>6</v>
      </c>
      <c r="D141" s="214" t="str">
        <f t="shared" ref="D141:D204" ca="1" si="14">INDEX(INDIRECT(""&amp;B141&amp;"!F2:F628"),MATCH(A141,INDIRECT(""&amp;B141&amp;"!B2:B628"),0))</f>
        <v>KC</v>
      </c>
      <c r="E141" s="213" t="str">
        <f t="shared" ref="E141:E204" ca="1" si="15">INDEX(INDIRECT(""&amp;$B141&amp;"!AA2:AA628"),MATCH($A141,INDIRECT(""&amp;$B141&amp;"!B2:B628"),0))</f>
        <v>WR6</v>
      </c>
      <c r="F141" s="158">
        <f ca="1">IF(LeagueInfo!$H$7="Starter/Bench",INDEX(INDIRECT(""&amp;B141&amp;"!T2:T628"),MATCH(A141,INDIRECT(""&amp;B141&amp;"!B2:B628"),0)),INDEX(INDIRECT(""&amp;B141&amp;"!AB2:AB628"),MATCH(A141,INDIRECT(""&amp;B141&amp;"!B2:B628"),0)))</f>
        <v>4.3389622653602755</v>
      </c>
      <c r="G141" s="159">
        <f t="shared" ref="G141:G204" si="16">IF(H141&gt;0,F141-H141,0)</f>
        <v>0</v>
      </c>
      <c r="H141" s="160"/>
      <c r="I141" s="159">
        <f t="shared" ref="I141:I204" ca="1" si="17">F141*$A$2</f>
        <v>4.3389622653602755</v>
      </c>
      <c r="J141" s="159" t="s">
        <v>73</v>
      </c>
      <c r="K141" s="159">
        <f>IF(LeagueInfo!$F$7="Yahoo",IFERROR(INDEX(DefaultAuctionValues!$B$2:$B$331,MATCH(A141,DefaultAuctionValues!$A$2:$A$331,0)),0),IF(LeagueInfo!$F$7="ESPN",IFERROR(INDEX(DefaultAuctionValues!$C$2:$C$331,MATCH(A141,DefaultAuctionValues!$A$2:$A$331,0)),0),IF(LeagueInfo!$F$7="Custom",IFERROR(INDEX(DefaultAuctionValues!$D$2:$D$331,MATCH(A141,DefaultAuctionValues!$A$2:$A$331,0)),0))))</f>
        <v>0</v>
      </c>
      <c r="L141" s="159">
        <f t="shared" ref="L141:L204" ca="1" si="18">I141-K141</f>
        <v>4.3389622653602755</v>
      </c>
      <c r="M141" s="171"/>
      <c r="N141" s="166">
        <f t="shared" ref="N141:N204" ca="1" si="19">INDEX(INDIRECT(""&amp;$B141&amp;"!Z2:Z628"),MATCH($A141,INDIRECT(""&amp;$B141&amp;"!B2:B628"),0))</f>
        <v>13.149999999999999</v>
      </c>
      <c r="O141" s="157" t="str">
        <f t="shared" ref="O141:O204" ca="1" si="20">IF(INDEX(INDIRECT(""&amp;$B141&amp;"!W2:W628"),MATCH($A141,INDIRECT(""&amp;$B141&amp;"!B2:B628"),0))=0,"",INDEX(INDIRECT(""&amp;$B141&amp;"!W2:W628"),MATCH($A141,INDIRECT(""&amp;$B141&amp;"!B2:B628"),0)))</f>
        <v/>
      </c>
    </row>
    <row r="142" spans="1:15" x14ac:dyDescent="0.35">
      <c r="A142" s="157" t="s">
        <v>376</v>
      </c>
      <c r="B142" s="157" t="s">
        <v>40</v>
      </c>
      <c r="C142" s="157">
        <f ca="1">IFERROR(INDEX(BYEs!$B$2:$B$33,MATCH(D142,BYEs!$A$2:$A$33,0)),"N/A")</f>
        <v>14</v>
      </c>
      <c r="D142" s="214" t="str">
        <f t="shared" ca="1" si="14"/>
        <v>HOU</v>
      </c>
      <c r="E142" s="213" t="str">
        <f t="shared" ca="1" si="15"/>
        <v>TE5</v>
      </c>
      <c r="F142" s="158">
        <f ca="1">IF(LeagueInfo!$H$7="Starter/Bench",INDEX(INDIRECT(""&amp;B142&amp;"!T2:T628"),MATCH(A142,INDIRECT(""&amp;B142&amp;"!B2:B628"),0)),INDEX(INDIRECT(""&amp;B142&amp;"!AB2:AB628"),MATCH(A142,INDIRECT(""&amp;B142&amp;"!B2:B628"),0)))</f>
        <v>4.3208145144405199</v>
      </c>
      <c r="G142" s="159">
        <f t="shared" si="16"/>
        <v>0</v>
      </c>
      <c r="H142" s="160"/>
      <c r="I142" s="159">
        <f t="shared" ca="1" si="17"/>
        <v>4.3208145144405199</v>
      </c>
      <c r="J142" s="159" t="s">
        <v>73</v>
      </c>
      <c r="K142" s="159">
        <f>IF(LeagueInfo!$F$7="Yahoo",IFERROR(INDEX(DefaultAuctionValues!$B$2:$B$331,MATCH(A142,DefaultAuctionValues!$A$2:$A$331,0)),0),IF(LeagueInfo!$F$7="ESPN",IFERROR(INDEX(DefaultAuctionValues!$C$2:$C$331,MATCH(A142,DefaultAuctionValues!$A$2:$A$331,0)),0),IF(LeagueInfo!$F$7="Custom",IFERROR(INDEX(DefaultAuctionValues!$D$2:$D$331,MATCH(A142,DefaultAuctionValues!$A$2:$A$331,0)),0))))</f>
        <v>1.2</v>
      </c>
      <c r="L142" s="159">
        <f t="shared" ca="1" si="18"/>
        <v>3.1208145144405197</v>
      </c>
      <c r="M142" s="171"/>
      <c r="N142" s="166">
        <f t="shared" ca="1" si="19"/>
        <v>13.095000000000006</v>
      </c>
      <c r="O142" s="157" t="str">
        <f t="shared" ca="1" si="20"/>
        <v/>
      </c>
    </row>
    <row r="143" spans="1:15" x14ac:dyDescent="0.35">
      <c r="A143" s="157" t="s">
        <v>354</v>
      </c>
      <c r="B143" s="157" t="s">
        <v>25</v>
      </c>
      <c r="C143" s="157">
        <f ca="1">IFERROR(INDEX(BYEs!$B$2:$B$33,MATCH(D143,BYEs!$A$2:$A$33,0)),"N/A")</f>
        <v>10</v>
      </c>
      <c r="D143" s="214" t="str">
        <f t="shared" ca="1" si="14"/>
        <v>CLE</v>
      </c>
      <c r="E143" s="213" t="str">
        <f t="shared" ca="1" si="15"/>
        <v>RB7</v>
      </c>
      <c r="F143" s="158">
        <f ca="1">IF(LeagueInfo!$H$7="Starter/Bench",INDEX(INDIRECT(""&amp;B143&amp;"!T2:T628"),MATCH(A143,INDIRECT(""&amp;B143&amp;"!B2:B628"),0)),INDEX(INDIRECT(""&amp;B143&amp;"!AB2:AB628"),MATCH(A143,INDIRECT(""&amp;B143&amp;"!B2:B628"),0)))</f>
        <v>3.9496105183545622</v>
      </c>
      <c r="G143" s="159">
        <f t="shared" si="16"/>
        <v>0</v>
      </c>
      <c r="H143" s="160"/>
      <c r="I143" s="159">
        <f t="shared" ca="1" si="17"/>
        <v>3.9496105183545622</v>
      </c>
      <c r="J143" s="159" t="s">
        <v>73</v>
      </c>
      <c r="K143" s="159">
        <f>IF(LeagueInfo!$F$7="Yahoo",IFERROR(INDEX(DefaultAuctionValues!$B$2:$B$331,MATCH(A143,DefaultAuctionValues!$A$2:$A$331,0)),0),IF(LeagueInfo!$F$7="ESPN",IFERROR(INDEX(DefaultAuctionValues!$C$2:$C$331,MATCH(A143,DefaultAuctionValues!$A$2:$A$331,0)),0),IF(LeagueInfo!$F$7="Custom",IFERROR(INDEX(DefaultAuctionValues!$D$2:$D$331,MATCH(A143,DefaultAuctionValues!$A$2:$A$331,0)),0))))</f>
        <v>4.8</v>
      </c>
      <c r="L143" s="159">
        <f t="shared" ca="1" si="18"/>
        <v>-0.85038948164543759</v>
      </c>
      <c r="M143" s="171"/>
      <c r="N143" s="166">
        <f t="shared" ca="1" si="19"/>
        <v>11.969999999999999</v>
      </c>
      <c r="O143" s="157" t="str">
        <f t="shared" ca="1" si="20"/>
        <v/>
      </c>
    </row>
    <row r="144" spans="1:15" x14ac:dyDescent="0.35">
      <c r="A144" s="157" t="s">
        <v>578</v>
      </c>
      <c r="B144" s="157" t="s">
        <v>32</v>
      </c>
      <c r="C144" s="157">
        <f ca="1">IFERROR(INDEX(BYEs!$B$2:$B$33,MATCH(D144,BYEs!$A$2:$A$33,0)),"N/A")</f>
        <v>5</v>
      </c>
      <c r="D144" s="214" t="str">
        <f t="shared" ca="1" si="14"/>
        <v>LAC</v>
      </c>
      <c r="E144" s="213" t="str">
        <f t="shared" ca="1" si="15"/>
        <v>WR6</v>
      </c>
      <c r="F144" s="158">
        <f ca="1">IF(LeagueInfo!$H$7="Starter/Bench",INDEX(INDIRECT(""&amp;B144&amp;"!T2:T628"),MATCH(A144,INDIRECT(""&amp;B144&amp;"!B2:B628"),0)),INDEX(INDIRECT(""&amp;B144&amp;"!AB2:AB628"),MATCH(A144,INDIRECT(""&amp;B144&amp;"!B2:B628"),0)))</f>
        <v>3.9100154254387234</v>
      </c>
      <c r="G144" s="159">
        <f t="shared" si="16"/>
        <v>0</v>
      </c>
      <c r="H144" s="160"/>
      <c r="I144" s="159">
        <f t="shared" ca="1" si="17"/>
        <v>3.9100154254387234</v>
      </c>
      <c r="J144" s="159" t="s">
        <v>73</v>
      </c>
      <c r="K144" s="159">
        <f>IF(LeagueInfo!$F$7="Yahoo",IFERROR(INDEX(DefaultAuctionValues!$B$2:$B$331,MATCH(A144,DefaultAuctionValues!$A$2:$A$331,0)),0),IF(LeagueInfo!$F$7="ESPN",IFERROR(INDEX(DefaultAuctionValues!$C$2:$C$331,MATCH(A144,DefaultAuctionValues!$A$2:$A$331,0)),0),IF(LeagueInfo!$F$7="Custom",IFERROR(INDEX(DefaultAuctionValues!$D$2:$D$331,MATCH(A144,DefaultAuctionValues!$A$2:$A$331,0)),0))))</f>
        <v>1.4</v>
      </c>
      <c r="L144" s="159">
        <f t="shared" ca="1" si="18"/>
        <v>2.5100154254387235</v>
      </c>
      <c r="M144" s="171"/>
      <c r="N144" s="166">
        <f t="shared" ca="1" si="19"/>
        <v>11.849999999999987</v>
      </c>
      <c r="O144" s="157" t="str">
        <f t="shared" ca="1" si="20"/>
        <v/>
      </c>
    </row>
    <row r="145" spans="1:15" x14ac:dyDescent="0.35">
      <c r="A145" s="157" t="s">
        <v>236</v>
      </c>
      <c r="B145" s="157" t="s">
        <v>32</v>
      </c>
      <c r="C145" s="157">
        <f ca="1">IFERROR(INDEX(BYEs!$B$2:$B$33,MATCH(D145,BYEs!$A$2:$A$33,0)),"N/A")</f>
        <v>12</v>
      </c>
      <c r="D145" s="214" t="str">
        <f t="shared" ca="1" si="14"/>
        <v>BUF</v>
      </c>
      <c r="E145" s="213" t="str">
        <f t="shared" ca="1" si="15"/>
        <v>WR6</v>
      </c>
      <c r="F145" s="158">
        <f ca="1">IF(LeagueInfo!$H$7="Starter/Bench",INDEX(INDIRECT(""&amp;B145&amp;"!T2:T628"),MATCH(A145,INDIRECT(""&amp;B145&amp;"!B2:B628"),0)),INDEX(INDIRECT(""&amp;B145&amp;"!AB2:AB628"),MATCH(A145,INDIRECT(""&amp;B145&amp;"!B2:B628"),0)))</f>
        <v>3.8456733994504932</v>
      </c>
      <c r="G145" s="159">
        <f t="shared" si="16"/>
        <v>0</v>
      </c>
      <c r="H145" s="160"/>
      <c r="I145" s="159">
        <f t="shared" ca="1" si="17"/>
        <v>3.8456733994504932</v>
      </c>
      <c r="J145" s="159" t="s">
        <v>73</v>
      </c>
      <c r="K145" s="159">
        <f>IF(LeagueInfo!$F$7="Yahoo",IFERROR(INDEX(DefaultAuctionValues!$B$2:$B$331,MATCH(A145,DefaultAuctionValues!$A$2:$A$331,0)),0),IF(LeagueInfo!$F$7="ESPN",IFERROR(INDEX(DefaultAuctionValues!$C$2:$C$331,MATCH(A145,DefaultAuctionValues!$A$2:$A$331,0)),0),IF(LeagueInfo!$F$7="Custom",IFERROR(INDEX(DefaultAuctionValues!$D$2:$D$331,MATCH(A145,DefaultAuctionValues!$A$2:$A$331,0)),0))))</f>
        <v>1.4</v>
      </c>
      <c r="L145" s="159">
        <f t="shared" ca="1" si="18"/>
        <v>2.4456733994504933</v>
      </c>
      <c r="M145" s="171"/>
      <c r="N145" s="166">
        <f t="shared" ca="1" si="19"/>
        <v>11.654999999999994</v>
      </c>
      <c r="O145" s="157" t="str">
        <f t="shared" ca="1" si="20"/>
        <v/>
      </c>
    </row>
    <row r="146" spans="1:15" x14ac:dyDescent="0.35">
      <c r="A146" s="157" t="s">
        <v>466</v>
      </c>
      <c r="B146" s="157" t="s">
        <v>32</v>
      </c>
      <c r="C146" s="157">
        <f ca="1">IFERROR(INDEX(BYEs!$B$2:$B$33,MATCH(D146,BYEs!$A$2:$A$33,0)),"N/A")</f>
        <v>10</v>
      </c>
      <c r="D146" s="214" t="str">
        <f t="shared" ca="1" si="14"/>
        <v>LV</v>
      </c>
      <c r="E146" s="213" t="str">
        <f t="shared" ca="1" si="15"/>
        <v>WR6</v>
      </c>
      <c r="F146" s="158">
        <f ca="1">IF(LeagueInfo!$H$7="Starter/Bench",INDEX(INDIRECT(""&amp;B146&amp;"!T2:T628"),MATCH(A146,INDIRECT(""&amp;B146&amp;"!B2:B628"),0)),INDEX(INDIRECT(""&amp;B146&amp;"!AB2:AB628"),MATCH(A146,INDIRECT(""&amp;B146&amp;"!B2:B628"),0)))</f>
        <v>3.6988415965542734</v>
      </c>
      <c r="G146" s="159">
        <f t="shared" si="16"/>
        <v>0</v>
      </c>
      <c r="H146" s="160"/>
      <c r="I146" s="159">
        <f t="shared" ca="1" si="17"/>
        <v>3.6988415965542734</v>
      </c>
      <c r="J146" s="159" t="s">
        <v>73</v>
      </c>
      <c r="K146" s="159">
        <f>IF(LeagueInfo!$F$7="Yahoo",IFERROR(INDEX(DefaultAuctionValues!$B$2:$B$331,MATCH(A146,DefaultAuctionValues!$A$2:$A$331,0)),0),IF(LeagueInfo!$F$7="ESPN",IFERROR(INDEX(DefaultAuctionValues!$C$2:$C$331,MATCH(A146,DefaultAuctionValues!$A$2:$A$331,0)),0),IF(LeagueInfo!$F$7="Custom",IFERROR(INDEX(DefaultAuctionValues!$D$2:$D$331,MATCH(A146,DefaultAuctionValues!$A$2:$A$331,0)),0))))</f>
        <v>1.2</v>
      </c>
      <c r="L146" s="159">
        <f t="shared" ca="1" si="18"/>
        <v>2.4988415965542732</v>
      </c>
      <c r="M146" s="171"/>
      <c r="N146" s="166">
        <f t="shared" ca="1" si="19"/>
        <v>11.21</v>
      </c>
      <c r="O146" s="157" t="str">
        <f t="shared" ca="1" si="20"/>
        <v/>
      </c>
    </row>
    <row r="147" spans="1:15" x14ac:dyDescent="0.35">
      <c r="A147" s="157" t="s">
        <v>607</v>
      </c>
      <c r="B147" s="157" t="s">
        <v>32</v>
      </c>
      <c r="C147" s="157">
        <f ca="1">IFERROR(INDEX(BYEs!$B$2:$B$33,MATCH(D147,BYEs!$A$2:$A$33,0)),"N/A")</f>
        <v>12</v>
      </c>
      <c r="D147" s="214" t="str">
        <f t="shared" ca="1" si="14"/>
        <v>BUF</v>
      </c>
      <c r="E147" s="213" t="str">
        <f t="shared" ca="1" si="15"/>
        <v>WR6</v>
      </c>
      <c r="F147" s="158">
        <f ca="1">IF(LeagueInfo!$H$7="Starter/Bench",INDEX(INDIRECT(""&amp;B147&amp;"!T2:T628"),MATCH(A147,INDIRECT(""&amp;B147&amp;"!B2:B628"),0)),INDEX(INDIRECT(""&amp;B147&amp;"!AB2:AB628"),MATCH(A147,INDIRECT(""&amp;B147&amp;"!B2:B628"),0)))</f>
        <v>3.5206636784330128</v>
      </c>
      <c r="G147" s="159">
        <f t="shared" si="16"/>
        <v>0</v>
      </c>
      <c r="H147" s="160"/>
      <c r="I147" s="159">
        <f t="shared" ca="1" si="17"/>
        <v>3.5206636784330128</v>
      </c>
      <c r="J147" s="159" t="s">
        <v>73</v>
      </c>
      <c r="K147" s="159">
        <f>IF(LeagueInfo!$F$7="Yahoo",IFERROR(INDEX(DefaultAuctionValues!$B$2:$B$331,MATCH(A147,DefaultAuctionValues!$A$2:$A$331,0)),0),IF(LeagueInfo!$F$7="ESPN",IFERROR(INDEX(DefaultAuctionValues!$C$2:$C$331,MATCH(A147,DefaultAuctionValues!$A$2:$A$331,0)),0),IF(LeagueInfo!$F$7="Custom",IFERROR(INDEX(DefaultAuctionValues!$D$2:$D$331,MATCH(A147,DefaultAuctionValues!$A$2:$A$331,0)),0))))</f>
        <v>1.6</v>
      </c>
      <c r="L147" s="159">
        <f t="shared" ca="1" si="18"/>
        <v>1.9206636784330127</v>
      </c>
      <c r="M147" s="171"/>
      <c r="N147" s="166">
        <f t="shared" ca="1" si="19"/>
        <v>10.669999999999995</v>
      </c>
      <c r="O147" s="157" t="str">
        <f t="shared" ca="1" si="20"/>
        <v/>
      </c>
    </row>
    <row r="148" spans="1:15" x14ac:dyDescent="0.35">
      <c r="A148" s="157" t="s">
        <v>855</v>
      </c>
      <c r="B148" s="157" t="s">
        <v>26</v>
      </c>
      <c r="C148" s="157">
        <f ca="1">IFERROR(INDEX(BYEs!$B$2:$B$33,MATCH(D148,BYEs!$A$2:$A$33,0)),"N/A")</f>
        <v>14</v>
      </c>
      <c r="D148" s="214" t="str">
        <f t="shared" ca="1" si="14"/>
        <v>NE</v>
      </c>
      <c r="E148" s="213" t="str">
        <f t="shared" ca="1" si="15"/>
        <v>QB5</v>
      </c>
      <c r="F148" s="158">
        <f ca="1">IF(LeagueInfo!$H$7="Starter/Bench",INDEX(INDIRECT(""&amp;B148&amp;"!T2:T628"),MATCH(A148,INDIRECT(""&amp;B148&amp;"!B2:B628"),0)),INDEX(INDIRECT(""&amp;B148&amp;"!AB2:AB628"),MATCH(A148,INDIRECT(""&amp;B148&amp;"!B2:B628"),0)))</f>
        <v>3.4978965000064135</v>
      </c>
      <c r="G148" s="159">
        <f t="shared" si="16"/>
        <v>0</v>
      </c>
      <c r="H148" s="160"/>
      <c r="I148" s="159">
        <f t="shared" ca="1" si="17"/>
        <v>3.4978965000064135</v>
      </c>
      <c r="J148" s="159" t="s">
        <v>73</v>
      </c>
      <c r="K148" s="159">
        <f>IF(LeagueInfo!$F$7="Yahoo",IFERROR(INDEX(DefaultAuctionValues!$B$2:$B$331,MATCH(A148,DefaultAuctionValues!$A$2:$A$331,0)),0),IF(LeagueInfo!$F$7="ESPN",IFERROR(INDEX(DefaultAuctionValues!$C$2:$C$331,MATCH(A148,DefaultAuctionValues!$A$2:$A$331,0)),0),IF(LeagueInfo!$F$7="Custom",IFERROR(INDEX(DefaultAuctionValues!$D$2:$D$331,MATCH(A148,DefaultAuctionValues!$A$2:$A$331,0)),0))))</f>
        <v>0</v>
      </c>
      <c r="L148" s="159">
        <f t="shared" ca="1" si="18"/>
        <v>3.4978965000064135</v>
      </c>
      <c r="M148" s="171"/>
      <c r="N148" s="166">
        <f t="shared" ca="1" si="19"/>
        <v>10.601000000000013</v>
      </c>
      <c r="O148" s="157" t="str">
        <f t="shared" ca="1" si="20"/>
        <v/>
      </c>
    </row>
    <row r="149" spans="1:15" x14ac:dyDescent="0.35">
      <c r="A149" s="157" t="s">
        <v>861</v>
      </c>
      <c r="B149" s="157" t="s">
        <v>25</v>
      </c>
      <c r="C149" s="157">
        <f ca="1">IFERROR(INDEX(BYEs!$B$2:$B$33,MATCH(D149,BYEs!$A$2:$A$33,0)),"N/A")</f>
        <v>11</v>
      </c>
      <c r="D149" s="214" t="str">
        <f t="shared" ca="1" si="14"/>
        <v>CAR</v>
      </c>
      <c r="E149" s="213" t="str">
        <f t="shared" ca="1" si="15"/>
        <v>RB7</v>
      </c>
      <c r="F149" s="158">
        <f ca="1">IF(LeagueInfo!$H$7="Starter/Bench",INDEX(INDIRECT(""&amp;B149&amp;"!T2:T628"),MATCH(A149,INDIRECT(""&amp;B149&amp;"!B2:B628"),0)),INDEX(INDIRECT(""&amp;B149&amp;"!AB2:AB628"),MATCH(A149,INDIRECT(""&amp;B149&amp;"!B2:B628"),0)))</f>
        <v>3.4117771729144688</v>
      </c>
      <c r="G149" s="159">
        <f t="shared" si="16"/>
        <v>0</v>
      </c>
      <c r="H149" s="160"/>
      <c r="I149" s="159">
        <f t="shared" ca="1" si="17"/>
        <v>3.4117771729144688</v>
      </c>
      <c r="J149" s="159" t="s">
        <v>73</v>
      </c>
      <c r="K149" s="159">
        <f>IF(LeagueInfo!$F$7="Yahoo",IFERROR(INDEX(DefaultAuctionValues!$B$2:$B$331,MATCH(A149,DefaultAuctionValues!$A$2:$A$331,0)),0),IF(LeagueInfo!$F$7="ESPN",IFERROR(INDEX(DefaultAuctionValues!$C$2:$C$331,MATCH(A149,DefaultAuctionValues!$A$2:$A$331,0)),0),IF(LeagueInfo!$F$7="Custom",IFERROR(INDEX(DefaultAuctionValues!$D$2:$D$331,MATCH(A149,DefaultAuctionValues!$A$2:$A$331,0)),0))))</f>
        <v>3.4</v>
      </c>
      <c r="L149" s="159">
        <f t="shared" ca="1" si="18"/>
        <v>1.1777172914468892E-2</v>
      </c>
      <c r="M149" s="171"/>
      <c r="N149" s="166">
        <f t="shared" ca="1" si="19"/>
        <v>10.340000000000003</v>
      </c>
      <c r="O149" s="157" t="str">
        <f t="shared" ca="1" si="20"/>
        <v/>
      </c>
    </row>
    <row r="150" spans="1:15" x14ac:dyDescent="0.35">
      <c r="A150" s="157" t="s">
        <v>96</v>
      </c>
      <c r="B150" s="157" t="s">
        <v>32</v>
      </c>
      <c r="C150" s="157">
        <f ca="1">IFERROR(INDEX(BYEs!$B$2:$B$33,MATCH(D150,BYEs!$A$2:$A$33,0)),"N/A")</f>
        <v>7</v>
      </c>
      <c r="D150" s="214" t="str">
        <f t="shared" ca="1" si="14"/>
        <v>DAL</v>
      </c>
      <c r="E150" s="213" t="str">
        <f t="shared" ca="1" si="15"/>
        <v>WR6</v>
      </c>
      <c r="F150" s="158">
        <f ca="1">IF(LeagueInfo!$H$7="Starter/Bench",INDEX(INDIRECT(""&amp;B150&amp;"!T2:T628"),MATCH(A150,INDIRECT(""&amp;B150&amp;"!B2:B628"),0)),INDEX(INDIRECT(""&amp;B150&amp;"!AB2:AB628"),MATCH(A150,INDIRECT(""&amp;B150&amp;"!B2:B628"),0)))</f>
        <v>3.3045404629340833</v>
      </c>
      <c r="G150" s="159">
        <f t="shared" si="16"/>
        <v>0</v>
      </c>
      <c r="H150" s="160"/>
      <c r="I150" s="159">
        <f t="shared" ca="1" si="17"/>
        <v>3.3045404629340833</v>
      </c>
      <c r="J150" s="159" t="s">
        <v>73</v>
      </c>
      <c r="K150" s="159">
        <f>IF(LeagueInfo!$F$7="Yahoo",IFERROR(INDEX(DefaultAuctionValues!$B$2:$B$331,MATCH(A150,DefaultAuctionValues!$A$2:$A$331,0)),0),IF(LeagueInfo!$F$7="ESPN",IFERROR(INDEX(DefaultAuctionValues!$C$2:$C$331,MATCH(A150,DefaultAuctionValues!$A$2:$A$331,0)),0),IF(LeagueInfo!$F$7="Custom",IFERROR(INDEX(DefaultAuctionValues!$D$2:$D$331,MATCH(A150,DefaultAuctionValues!$A$2:$A$331,0)),0))))</f>
        <v>1.1000000000000001</v>
      </c>
      <c r="L150" s="159">
        <f t="shared" ca="1" si="18"/>
        <v>2.2045404629340832</v>
      </c>
      <c r="M150" s="171"/>
      <c r="N150" s="166">
        <f t="shared" ca="1" si="19"/>
        <v>10.015000000000008</v>
      </c>
      <c r="O150" s="157" t="str">
        <f t="shared" ca="1" si="20"/>
        <v/>
      </c>
    </row>
    <row r="151" spans="1:15" x14ac:dyDescent="0.35">
      <c r="A151" s="157" t="s">
        <v>127</v>
      </c>
      <c r="B151" s="157" t="s">
        <v>32</v>
      </c>
      <c r="C151" s="157">
        <f ca="1">IFERROR(INDEX(BYEs!$B$2:$B$33,MATCH(D151,BYEs!$A$2:$A$33,0)),"N/A")</f>
        <v>12</v>
      </c>
      <c r="D151" s="214" t="str">
        <f t="shared" ca="1" si="14"/>
        <v>NYJ</v>
      </c>
      <c r="E151" s="213" t="str">
        <f t="shared" ca="1" si="15"/>
        <v>WR6</v>
      </c>
      <c r="F151" s="158">
        <f ca="1">IF(LeagueInfo!$H$7="Starter/Bench",INDEX(INDIRECT(""&amp;B151&amp;"!T2:T628"),MATCH(A151,INDIRECT(""&amp;B151&amp;"!B2:B628"),0)),INDEX(INDIRECT(""&amp;B151&amp;"!AB2:AB628"),MATCH(A151,INDIRECT(""&amp;B151&amp;"!B2:B628"),0)))</f>
        <v>3.276493938785364</v>
      </c>
      <c r="G151" s="159">
        <f t="shared" si="16"/>
        <v>0</v>
      </c>
      <c r="H151" s="160"/>
      <c r="I151" s="159">
        <f t="shared" ca="1" si="17"/>
        <v>3.276493938785364</v>
      </c>
      <c r="J151" s="159" t="s">
        <v>73</v>
      </c>
      <c r="K151" s="159">
        <f>IF(LeagueInfo!$F$7="Yahoo",IFERROR(INDEX(DefaultAuctionValues!$B$2:$B$331,MATCH(A151,DefaultAuctionValues!$A$2:$A$331,0)),0),IF(LeagueInfo!$F$7="ESPN",IFERROR(INDEX(DefaultAuctionValues!$C$2:$C$331,MATCH(A151,DefaultAuctionValues!$A$2:$A$331,0)),0),IF(LeagueInfo!$F$7="Custom",IFERROR(INDEX(DefaultAuctionValues!$D$2:$D$331,MATCH(A151,DefaultAuctionValues!$A$2:$A$331,0)),0))))</f>
        <v>1.3</v>
      </c>
      <c r="L151" s="159">
        <f t="shared" ca="1" si="18"/>
        <v>1.9764939387853639</v>
      </c>
      <c r="M151" s="171"/>
      <c r="N151" s="166">
        <f t="shared" ca="1" si="19"/>
        <v>9.93</v>
      </c>
      <c r="O151" s="157" t="str">
        <f t="shared" ca="1" si="20"/>
        <v/>
      </c>
    </row>
    <row r="152" spans="1:15" x14ac:dyDescent="0.35">
      <c r="A152" s="157" t="s">
        <v>913</v>
      </c>
      <c r="B152" s="157" t="s">
        <v>32</v>
      </c>
      <c r="C152" s="157">
        <f ca="1">IFERROR(INDEX(BYEs!$B$2:$B$33,MATCH(D152,BYEs!$A$2:$A$33,0)),"N/A")</f>
        <v>12</v>
      </c>
      <c r="D152" s="214" t="str">
        <f t="shared" ca="1" si="14"/>
        <v>BUF</v>
      </c>
      <c r="E152" s="213" t="str">
        <f t="shared" ca="1" si="15"/>
        <v>WR6</v>
      </c>
      <c r="F152" s="158">
        <f ca="1">IF(LeagueInfo!$H$7="Starter/Bench",INDEX(INDIRECT(""&amp;B152&amp;"!T2:T628"),MATCH(A152,INDIRECT(""&amp;B152&amp;"!B2:B628"),0)),INDEX(INDIRECT(""&amp;B152&amp;"!AB2:AB628"),MATCH(A152,INDIRECT(""&amp;B152&amp;"!B2:B628"),0)))</f>
        <v>2.9613829909968428</v>
      </c>
      <c r="G152" s="159">
        <f t="shared" si="16"/>
        <v>0</v>
      </c>
      <c r="H152" s="160"/>
      <c r="I152" s="159">
        <f t="shared" ca="1" si="17"/>
        <v>2.9613829909968428</v>
      </c>
      <c r="J152" s="159" t="s">
        <v>73</v>
      </c>
      <c r="K152" s="159">
        <f>IF(LeagueInfo!$F$7="Yahoo",IFERROR(INDEX(DefaultAuctionValues!$B$2:$B$331,MATCH(A152,DefaultAuctionValues!$A$2:$A$331,0)),0),IF(LeagueInfo!$F$7="ESPN",IFERROR(INDEX(DefaultAuctionValues!$C$2:$C$331,MATCH(A152,DefaultAuctionValues!$A$2:$A$331,0)),0),IF(LeagueInfo!$F$7="Custom",IFERROR(INDEX(DefaultAuctionValues!$D$2:$D$331,MATCH(A152,DefaultAuctionValues!$A$2:$A$331,0)),0))))</f>
        <v>1.9</v>
      </c>
      <c r="L152" s="159">
        <f t="shared" ca="1" si="18"/>
        <v>1.0613829909968429</v>
      </c>
      <c r="M152" s="171"/>
      <c r="N152" s="166">
        <f t="shared" ca="1" si="19"/>
        <v>8.9750000000000014</v>
      </c>
      <c r="O152" s="157" t="str">
        <f t="shared" ca="1" si="20"/>
        <v/>
      </c>
    </row>
    <row r="153" spans="1:15" x14ac:dyDescent="0.35">
      <c r="A153" s="157" t="s">
        <v>138</v>
      </c>
      <c r="B153" s="157" t="s">
        <v>32</v>
      </c>
      <c r="C153" s="157">
        <f ca="1">IFERROR(INDEX(BYEs!$B$2:$B$33,MATCH(D153,BYEs!$A$2:$A$33,0)),"N/A")</f>
        <v>11</v>
      </c>
      <c r="D153" s="214" t="str">
        <f t="shared" ca="1" si="14"/>
        <v>CAR</v>
      </c>
      <c r="E153" s="213" t="str">
        <f t="shared" ca="1" si="15"/>
        <v>WR6</v>
      </c>
      <c r="F153" s="158">
        <f ca="1">IF(LeagueInfo!$H$7="Starter/Bench",INDEX(INDIRECT(""&amp;B153&amp;"!T2:T628"),MATCH(A153,INDIRECT(""&amp;B153&amp;"!B2:B628"),0)),INDEX(INDIRECT(""&amp;B153&amp;"!AB2:AB628"),MATCH(A153,INDIRECT(""&amp;B153&amp;"!B2:B628"),0)))</f>
        <v>2.8887919873178118</v>
      </c>
      <c r="G153" s="159">
        <f t="shared" si="16"/>
        <v>0</v>
      </c>
      <c r="H153" s="160"/>
      <c r="I153" s="159">
        <f t="shared" ca="1" si="17"/>
        <v>2.8887919873178118</v>
      </c>
      <c r="J153" s="159" t="s">
        <v>73</v>
      </c>
      <c r="K153" s="159">
        <f>IF(LeagueInfo!$F$7="Yahoo",IFERROR(INDEX(DefaultAuctionValues!$B$2:$B$331,MATCH(A153,DefaultAuctionValues!$A$2:$A$331,0)),0),IF(LeagueInfo!$F$7="ESPN",IFERROR(INDEX(DefaultAuctionValues!$C$2:$C$331,MATCH(A153,DefaultAuctionValues!$A$2:$A$331,0)),0),IF(LeagueInfo!$F$7="Custom",IFERROR(INDEX(DefaultAuctionValues!$D$2:$D$331,MATCH(A153,DefaultAuctionValues!$A$2:$A$331,0)),0))))</f>
        <v>1.2</v>
      </c>
      <c r="L153" s="159">
        <f t="shared" ca="1" si="18"/>
        <v>1.6887919873178119</v>
      </c>
      <c r="M153" s="171"/>
      <c r="N153" s="166">
        <f t="shared" ca="1" si="19"/>
        <v>8.7550000000000026</v>
      </c>
      <c r="O153" s="157" t="str">
        <f t="shared" ca="1" si="20"/>
        <v/>
      </c>
    </row>
    <row r="154" spans="1:15" x14ac:dyDescent="0.35">
      <c r="A154" s="157" t="s">
        <v>785</v>
      </c>
      <c r="B154" s="157" t="s">
        <v>32</v>
      </c>
      <c r="C154" s="157">
        <f ca="1">IFERROR(INDEX(BYEs!$B$2:$B$33,MATCH(D154,BYEs!$A$2:$A$33,0)),"N/A")</f>
        <v>12</v>
      </c>
      <c r="D154" s="214" t="str">
        <f t="shared" ca="1" si="14"/>
        <v>JAC</v>
      </c>
      <c r="E154" s="213" t="str">
        <f t="shared" ca="1" si="15"/>
        <v>WR6</v>
      </c>
      <c r="F154" s="158">
        <f ca="1">IF(LeagueInfo!$H$7="Starter/Bench",INDEX(INDIRECT(""&amp;B154&amp;"!T2:T628"),MATCH(A154,INDIRECT(""&amp;B154&amp;"!B2:B628"),0)),INDEX(INDIRECT(""&amp;B154&amp;"!AB2:AB628"),MATCH(A154,INDIRECT(""&amp;B154&amp;"!B2:B628"),0)))</f>
        <v>2.8821928051651691</v>
      </c>
      <c r="G154" s="159">
        <f t="shared" si="16"/>
        <v>0</v>
      </c>
      <c r="H154" s="160"/>
      <c r="I154" s="159">
        <f t="shared" ca="1" si="17"/>
        <v>2.8821928051651691</v>
      </c>
      <c r="J154" s="159" t="s">
        <v>73</v>
      </c>
      <c r="K154" s="159">
        <f>IF(LeagueInfo!$F$7="Yahoo",IFERROR(INDEX(DefaultAuctionValues!$B$2:$B$331,MATCH(A154,DefaultAuctionValues!$A$2:$A$331,0)),0),IF(LeagueInfo!$F$7="ESPN",IFERROR(INDEX(DefaultAuctionValues!$C$2:$C$331,MATCH(A154,DefaultAuctionValues!$A$2:$A$331,0)),0),IF(LeagueInfo!$F$7="Custom",IFERROR(INDEX(DefaultAuctionValues!$D$2:$D$331,MATCH(A154,DefaultAuctionValues!$A$2:$A$331,0)),0))))</f>
        <v>1.2</v>
      </c>
      <c r="L154" s="159">
        <f t="shared" ca="1" si="18"/>
        <v>1.6821928051651691</v>
      </c>
      <c r="M154" s="171"/>
      <c r="N154" s="166">
        <f t="shared" ca="1" si="19"/>
        <v>8.7349999999999923</v>
      </c>
      <c r="O154" s="157" t="str">
        <f t="shared" ca="1" si="20"/>
        <v/>
      </c>
    </row>
    <row r="155" spans="1:15" x14ac:dyDescent="0.35">
      <c r="A155" s="157" t="s">
        <v>569</v>
      </c>
      <c r="B155" s="157" t="s">
        <v>40</v>
      </c>
      <c r="C155" s="157">
        <f ca="1">IFERROR(INDEX(BYEs!$B$2:$B$33,MATCH(D155,BYEs!$A$2:$A$33,0)),"N/A")</f>
        <v>9</v>
      </c>
      <c r="D155" s="214" t="str">
        <f t="shared" ca="1" si="14"/>
        <v>PIT</v>
      </c>
      <c r="E155" s="213" t="str">
        <f t="shared" ca="1" si="15"/>
        <v>TE5</v>
      </c>
      <c r="F155" s="158">
        <f ca="1">IF(LeagueInfo!$H$7="Starter/Bench",INDEX(INDIRECT(""&amp;B155&amp;"!T2:T628"),MATCH(A155,INDIRECT(""&amp;B155&amp;"!B2:B628"),0)),INDEX(INDIRECT(""&amp;B155&amp;"!AB2:AB628"),MATCH(A155,INDIRECT(""&amp;B155&amp;"!B2:B628"),0)))</f>
        <v>2.8706442363980496</v>
      </c>
      <c r="G155" s="159">
        <f t="shared" si="16"/>
        <v>0</v>
      </c>
      <c r="H155" s="160"/>
      <c r="I155" s="159">
        <f t="shared" ca="1" si="17"/>
        <v>2.8706442363980496</v>
      </c>
      <c r="J155" s="159" t="s">
        <v>73</v>
      </c>
      <c r="K155" s="159">
        <f>IF(LeagueInfo!$F$7="Yahoo",IFERROR(INDEX(DefaultAuctionValues!$B$2:$B$331,MATCH(A155,DefaultAuctionValues!$A$2:$A$331,0)),0),IF(LeagueInfo!$F$7="ESPN",IFERROR(INDEX(DefaultAuctionValues!$C$2:$C$331,MATCH(A155,DefaultAuctionValues!$A$2:$A$331,0)),0),IF(LeagueInfo!$F$7="Custom",IFERROR(INDEX(DefaultAuctionValues!$D$2:$D$331,MATCH(A155,DefaultAuctionValues!$A$2:$A$331,0)),0))))</f>
        <v>1.2</v>
      </c>
      <c r="L155" s="159">
        <f t="shared" ca="1" si="18"/>
        <v>1.6706442363980496</v>
      </c>
      <c r="M155" s="171"/>
      <c r="N155" s="166">
        <f t="shared" ca="1" si="19"/>
        <v>8.6999999999999886</v>
      </c>
      <c r="O155" s="157" t="str">
        <f t="shared" ca="1" si="20"/>
        <v/>
      </c>
    </row>
    <row r="156" spans="1:15" x14ac:dyDescent="0.35">
      <c r="A156" s="157" t="s">
        <v>544</v>
      </c>
      <c r="B156" s="157" t="s">
        <v>25</v>
      </c>
      <c r="C156" s="157">
        <f ca="1">IFERROR(INDEX(BYEs!$B$2:$B$33,MATCH(D156,BYEs!$A$2:$A$33,0)),"N/A")</f>
        <v>11</v>
      </c>
      <c r="D156" s="214" t="str">
        <f t="shared" ca="1" si="14"/>
        <v>CAR</v>
      </c>
      <c r="E156" s="213" t="str">
        <f t="shared" ca="1" si="15"/>
        <v>RB7</v>
      </c>
      <c r="F156" s="158">
        <f ca="1">IF(LeagueInfo!$H$7="Starter/Bench",INDEX(INDIRECT(""&amp;B156&amp;"!T2:T628"),MATCH(A156,INDIRECT(""&amp;B156&amp;"!B2:B628"),0)),INDEX(INDIRECT(""&amp;B156&amp;"!AB2:AB628"),MATCH(A156,INDIRECT(""&amp;B156&amp;"!B2:B628"),0)))</f>
        <v>2.7749560951847836</v>
      </c>
      <c r="G156" s="159">
        <f t="shared" si="16"/>
        <v>0</v>
      </c>
      <c r="H156" s="160"/>
      <c r="I156" s="159">
        <f t="shared" ca="1" si="17"/>
        <v>2.7749560951847836</v>
      </c>
      <c r="J156" s="159" t="s">
        <v>73</v>
      </c>
      <c r="K156" s="159">
        <f>IF(LeagueInfo!$F$7="Yahoo",IFERROR(INDEX(DefaultAuctionValues!$B$2:$B$331,MATCH(A156,DefaultAuctionValues!$A$2:$A$331,0)),0),IF(LeagueInfo!$F$7="ESPN",IFERROR(INDEX(DefaultAuctionValues!$C$2:$C$331,MATCH(A156,DefaultAuctionValues!$A$2:$A$331,0)),0),IF(LeagueInfo!$F$7="Custom",IFERROR(INDEX(DefaultAuctionValues!$D$2:$D$331,MATCH(A156,DefaultAuctionValues!$A$2:$A$331,0)),0))))</f>
        <v>1</v>
      </c>
      <c r="L156" s="159">
        <f t="shared" ca="1" si="18"/>
        <v>1.7749560951847836</v>
      </c>
      <c r="M156" s="171"/>
      <c r="N156" s="166">
        <f t="shared" ca="1" si="19"/>
        <v>8.4099999999999966</v>
      </c>
      <c r="O156" s="157" t="str">
        <f t="shared" ca="1" si="20"/>
        <v/>
      </c>
    </row>
    <row r="157" spans="1:15" x14ac:dyDescent="0.35">
      <c r="A157" s="157" t="s">
        <v>604</v>
      </c>
      <c r="B157" s="157" t="s">
        <v>32</v>
      </c>
      <c r="C157" s="157">
        <f ca="1">IFERROR(INDEX(BYEs!$B$2:$B$33,MATCH(D157,BYEs!$A$2:$A$33,0)),"N/A")</f>
        <v>10</v>
      </c>
      <c r="D157" s="214" t="str">
        <f t="shared" ca="1" si="14"/>
        <v>GB</v>
      </c>
      <c r="E157" s="213" t="str">
        <f t="shared" ca="1" si="15"/>
        <v>WR6</v>
      </c>
      <c r="F157" s="158">
        <f ca="1">IF(LeagueInfo!$H$7="Starter/Bench",INDEX(INDIRECT(""&amp;B157&amp;"!T2:T628"),MATCH(A157,INDIRECT(""&amp;B157&amp;"!B2:B628"),0)),INDEX(INDIRECT(""&amp;B157&amp;"!AB2:AB628"),MATCH(A157,INDIRECT(""&amp;B157&amp;"!B2:B628"),0)))</f>
        <v>2.7287618201163113</v>
      </c>
      <c r="G157" s="159">
        <f t="shared" si="16"/>
        <v>0</v>
      </c>
      <c r="H157" s="160"/>
      <c r="I157" s="159">
        <f t="shared" ca="1" si="17"/>
        <v>2.7287618201163113</v>
      </c>
      <c r="J157" s="159" t="s">
        <v>73</v>
      </c>
      <c r="K157" s="159">
        <f>IF(LeagueInfo!$F$7="Yahoo",IFERROR(INDEX(DefaultAuctionValues!$B$2:$B$331,MATCH(A157,DefaultAuctionValues!$A$2:$A$331,0)),0),IF(LeagueInfo!$F$7="ESPN",IFERROR(INDEX(DefaultAuctionValues!$C$2:$C$331,MATCH(A157,DefaultAuctionValues!$A$2:$A$331,0)),0),IF(LeagueInfo!$F$7="Custom",IFERROR(INDEX(DefaultAuctionValues!$D$2:$D$331,MATCH(A157,DefaultAuctionValues!$A$2:$A$331,0)),0))))</f>
        <v>1.3</v>
      </c>
      <c r="L157" s="159">
        <f t="shared" ca="1" si="18"/>
        <v>1.4287618201163113</v>
      </c>
      <c r="M157" s="171"/>
      <c r="N157" s="166">
        <f t="shared" ca="1" si="19"/>
        <v>8.2700000000000031</v>
      </c>
      <c r="O157" s="157" t="str">
        <f t="shared" ca="1" si="20"/>
        <v/>
      </c>
    </row>
    <row r="158" spans="1:15" x14ac:dyDescent="0.35">
      <c r="A158" s="157" t="s">
        <v>915</v>
      </c>
      <c r="B158" s="157" t="s">
        <v>32</v>
      </c>
      <c r="C158" s="157">
        <f ca="1">IFERROR(INDEX(BYEs!$B$2:$B$33,MATCH(D158,BYEs!$A$2:$A$33,0)),"N/A")</f>
        <v>14</v>
      </c>
      <c r="D158" s="214" t="str">
        <f t="shared" ca="1" si="14"/>
        <v>NE</v>
      </c>
      <c r="E158" s="213" t="str">
        <f t="shared" ca="1" si="15"/>
        <v>WR6</v>
      </c>
      <c r="F158" s="158">
        <f ca="1">IF(LeagueInfo!$H$7="Starter/Bench",INDEX(INDIRECT(""&amp;B158&amp;"!T2:T628"),MATCH(A158,INDIRECT(""&amp;B158&amp;"!B2:B628"),0)),INDEX(INDIRECT(""&amp;B158&amp;"!AB2:AB628"),MATCH(A158,INDIRECT(""&amp;B158&amp;"!B2:B628"),0)))</f>
        <v>2.451596169705466</v>
      </c>
      <c r="G158" s="159">
        <f t="shared" si="16"/>
        <v>0</v>
      </c>
      <c r="H158" s="160"/>
      <c r="I158" s="159">
        <f t="shared" ca="1" si="17"/>
        <v>2.451596169705466</v>
      </c>
      <c r="J158" s="159" t="s">
        <v>73</v>
      </c>
      <c r="K158" s="159">
        <f>IF(LeagueInfo!$F$7="Yahoo",IFERROR(INDEX(DefaultAuctionValues!$B$2:$B$331,MATCH(A158,DefaultAuctionValues!$A$2:$A$331,0)),0),IF(LeagueInfo!$F$7="ESPN",IFERROR(INDEX(DefaultAuctionValues!$C$2:$C$331,MATCH(A158,DefaultAuctionValues!$A$2:$A$331,0)),0),IF(LeagueInfo!$F$7="Custom",IFERROR(INDEX(DefaultAuctionValues!$D$2:$D$331,MATCH(A158,DefaultAuctionValues!$A$2:$A$331,0)),0))))</f>
        <v>1.2</v>
      </c>
      <c r="L158" s="159">
        <f t="shared" ca="1" si="18"/>
        <v>1.2515961697054661</v>
      </c>
      <c r="M158" s="171"/>
      <c r="N158" s="166">
        <f t="shared" ca="1" si="19"/>
        <v>7.4300000000000068</v>
      </c>
      <c r="O158" s="157" t="str">
        <f t="shared" ca="1" si="20"/>
        <v/>
      </c>
    </row>
    <row r="159" spans="1:15" x14ac:dyDescent="0.35">
      <c r="A159" s="157" t="s">
        <v>519</v>
      </c>
      <c r="B159" s="157" t="s">
        <v>25</v>
      </c>
      <c r="C159" s="157">
        <f ca="1">IFERROR(INDEX(BYEs!$B$2:$B$33,MATCH(D159,BYEs!$A$2:$A$33,0)),"N/A")</f>
        <v>5</v>
      </c>
      <c r="D159" s="214" t="str">
        <f t="shared" ca="1" si="14"/>
        <v>LAC</v>
      </c>
      <c r="E159" s="213" t="str">
        <f t="shared" ca="1" si="15"/>
        <v>RB7</v>
      </c>
      <c r="F159" s="158">
        <f ca="1">IF(LeagueInfo!$H$7="Starter/Bench",INDEX(INDIRECT(""&amp;B159&amp;"!T2:T628"),MATCH(A159,INDIRECT(""&amp;B159&amp;"!B2:B628"),0)),INDEX(INDIRECT(""&amp;B159&amp;"!AB2:AB628"),MATCH(A159,INDIRECT(""&amp;B159&amp;"!B2:B628"),0)))</f>
        <v>2.3922035303317131</v>
      </c>
      <c r="G159" s="159">
        <f t="shared" si="16"/>
        <v>0</v>
      </c>
      <c r="H159" s="160"/>
      <c r="I159" s="159">
        <f t="shared" ca="1" si="17"/>
        <v>2.3922035303317131</v>
      </c>
      <c r="J159" s="159" t="s">
        <v>73</v>
      </c>
      <c r="K159" s="159">
        <f>IF(LeagueInfo!$F$7="Yahoo",IFERROR(INDEX(DefaultAuctionValues!$B$2:$B$331,MATCH(A159,DefaultAuctionValues!$A$2:$A$331,0)),0),IF(LeagueInfo!$F$7="ESPN",IFERROR(INDEX(DefaultAuctionValues!$C$2:$C$331,MATCH(A159,DefaultAuctionValues!$A$2:$A$331,0)),0),IF(LeagueInfo!$F$7="Custom",IFERROR(INDEX(DefaultAuctionValues!$D$2:$D$331,MATCH(A159,DefaultAuctionValues!$A$2:$A$331,0)),0))))</f>
        <v>1.6</v>
      </c>
      <c r="L159" s="159">
        <f t="shared" ca="1" si="18"/>
        <v>0.79220353033171298</v>
      </c>
      <c r="M159" s="171"/>
      <c r="N159" s="166">
        <f t="shared" ca="1" si="19"/>
        <v>7.2500000000000071</v>
      </c>
      <c r="O159" s="157" t="str">
        <f t="shared" ca="1" si="20"/>
        <v/>
      </c>
    </row>
    <row r="160" spans="1:15" x14ac:dyDescent="0.35">
      <c r="A160" s="157" t="s">
        <v>759</v>
      </c>
      <c r="B160" s="157" t="s">
        <v>32</v>
      </c>
      <c r="C160" s="157">
        <f ca="1">IFERROR(INDEX(BYEs!$B$2:$B$33,MATCH(D160,BYEs!$A$2:$A$33,0)),"N/A")</f>
        <v>12</v>
      </c>
      <c r="D160" s="214" t="str">
        <f t="shared" ca="1" si="14"/>
        <v>NO</v>
      </c>
      <c r="E160" s="213" t="str">
        <f t="shared" ca="1" si="15"/>
        <v>WR7</v>
      </c>
      <c r="F160" s="158">
        <f ca="1">IF(LeagueInfo!$H$7="Starter/Bench",INDEX(INDIRECT(""&amp;B160&amp;"!T2:T628"),MATCH(A160,INDIRECT(""&amp;B160&amp;"!B2:B628"),0)),INDEX(INDIRECT(""&amp;B160&amp;"!AB2:AB628"),MATCH(A160,INDIRECT(""&amp;B160&amp;"!B2:B628"),0)))</f>
        <v>1.9781048502536001</v>
      </c>
      <c r="G160" s="159">
        <f t="shared" si="16"/>
        <v>0</v>
      </c>
      <c r="H160" s="160"/>
      <c r="I160" s="159">
        <f t="shared" ca="1" si="17"/>
        <v>1.9781048502536001</v>
      </c>
      <c r="J160" s="159" t="s">
        <v>73</v>
      </c>
      <c r="K160" s="159">
        <f>IF(LeagueInfo!$F$7="Yahoo",IFERROR(INDEX(DefaultAuctionValues!$B$2:$B$331,MATCH(A160,DefaultAuctionValues!$A$2:$A$331,0)),0),IF(LeagueInfo!$F$7="ESPN",IFERROR(INDEX(DefaultAuctionValues!$C$2:$C$331,MATCH(A160,DefaultAuctionValues!$A$2:$A$331,0)),0),IF(LeagueInfo!$F$7="Custom",IFERROR(INDEX(DefaultAuctionValues!$D$2:$D$331,MATCH(A160,DefaultAuctionValues!$A$2:$A$331,0)),0))))</f>
        <v>1</v>
      </c>
      <c r="L160" s="159">
        <f t="shared" ca="1" si="18"/>
        <v>0.97810485025360006</v>
      </c>
      <c r="M160" s="171"/>
      <c r="N160" s="166">
        <f t="shared" ca="1" si="19"/>
        <v>5.9949999999999974</v>
      </c>
      <c r="O160" s="157" t="str">
        <f t="shared" ca="1" si="20"/>
        <v/>
      </c>
    </row>
    <row r="161" spans="1:15" x14ac:dyDescent="0.35">
      <c r="A161" s="157" t="s">
        <v>448</v>
      </c>
      <c r="B161" s="157" t="s">
        <v>40</v>
      </c>
      <c r="C161" s="157">
        <f ca="1">IFERROR(INDEX(BYEs!$B$2:$B$33,MATCH(D161,BYEs!$A$2:$A$33,0)),"N/A")</f>
        <v>6</v>
      </c>
      <c r="D161" s="214" t="str">
        <f t="shared" ca="1" si="14"/>
        <v>MIN</v>
      </c>
      <c r="E161" s="213" t="str">
        <f t="shared" ca="1" si="15"/>
        <v>TE6</v>
      </c>
      <c r="F161" s="158">
        <f ca="1">IF(LeagueInfo!$H$7="Starter/Bench",INDEX(INDIRECT(""&amp;B161&amp;"!T2:T628"),MATCH(A161,INDIRECT(""&amp;B161&amp;"!B2:B628"),0)),INDEX(INDIRECT(""&amp;B161&amp;"!AB2:AB628"),MATCH(A161,INDIRECT(""&amp;B161&amp;"!B2:B628"),0)))</f>
        <v>1.8048763187468215</v>
      </c>
      <c r="G161" s="159">
        <f t="shared" si="16"/>
        <v>0</v>
      </c>
      <c r="H161" s="160"/>
      <c r="I161" s="159">
        <f t="shared" ca="1" si="17"/>
        <v>1.8048763187468215</v>
      </c>
      <c r="J161" s="159" t="s">
        <v>73</v>
      </c>
      <c r="K161" s="159">
        <f>IF(LeagueInfo!$F$7="Yahoo",IFERROR(INDEX(DefaultAuctionValues!$B$2:$B$331,MATCH(A161,DefaultAuctionValues!$A$2:$A$331,0)),0),IF(LeagueInfo!$F$7="ESPN",IFERROR(INDEX(DefaultAuctionValues!$C$2:$C$331,MATCH(A161,DefaultAuctionValues!$A$2:$A$331,0)),0),IF(LeagueInfo!$F$7="Custom",IFERROR(INDEX(DefaultAuctionValues!$D$2:$D$331,MATCH(A161,DefaultAuctionValues!$A$2:$A$331,0)),0))))</f>
        <v>1.9</v>
      </c>
      <c r="L161" s="159">
        <f t="shared" ca="1" si="18"/>
        <v>-9.5123681253178383E-2</v>
      </c>
      <c r="M161" s="171"/>
      <c r="N161" s="166">
        <f t="shared" ca="1" si="19"/>
        <v>5.4699999999999989</v>
      </c>
      <c r="O161" s="157" t="str">
        <f t="shared" ca="1" si="20"/>
        <v/>
      </c>
    </row>
    <row r="162" spans="1:15" x14ac:dyDescent="0.35">
      <c r="A162" s="157" t="s">
        <v>628</v>
      </c>
      <c r="B162" s="157" t="s">
        <v>25</v>
      </c>
      <c r="C162" s="157">
        <f ca="1">IFERROR(INDEX(BYEs!$B$2:$B$33,MATCH(D162,BYEs!$A$2:$A$33,0)),"N/A")</f>
        <v>6</v>
      </c>
      <c r="D162" s="214" t="str">
        <f t="shared" ca="1" si="14"/>
        <v>MIN</v>
      </c>
      <c r="E162" s="213" t="str">
        <f t="shared" ca="1" si="15"/>
        <v>RB7</v>
      </c>
      <c r="F162" s="158">
        <f ca="1">IF(LeagueInfo!$H$7="Starter/Bench",INDEX(INDIRECT(""&amp;B162&amp;"!T2:T628"),MATCH(A162,INDIRECT(""&amp;B162&amp;"!B2:B628"),0)),INDEX(INDIRECT(""&amp;B162&amp;"!AB2:AB628"),MATCH(A162,INDIRECT(""&amp;B162&amp;"!B2:B628"),0)))</f>
        <v>1.6481457426216377</v>
      </c>
      <c r="G162" s="159">
        <f t="shared" si="16"/>
        <v>0</v>
      </c>
      <c r="H162" s="160"/>
      <c r="I162" s="159">
        <f t="shared" ca="1" si="17"/>
        <v>1.6481457426216377</v>
      </c>
      <c r="J162" s="159" t="s">
        <v>73</v>
      </c>
      <c r="K162" s="159">
        <f>IF(LeagueInfo!$F$7="Yahoo",IFERROR(INDEX(DefaultAuctionValues!$B$2:$B$331,MATCH(A162,DefaultAuctionValues!$A$2:$A$331,0)),0),IF(LeagueInfo!$F$7="ESPN",IFERROR(INDEX(DefaultAuctionValues!$C$2:$C$331,MATCH(A162,DefaultAuctionValues!$A$2:$A$331,0)),0),IF(LeagueInfo!$F$7="Custom",IFERROR(INDEX(DefaultAuctionValues!$D$2:$D$331,MATCH(A162,DefaultAuctionValues!$A$2:$A$331,0)),0))))</f>
        <v>1.2</v>
      </c>
      <c r="L162" s="159">
        <f t="shared" ca="1" si="18"/>
        <v>0.44814574262163775</v>
      </c>
      <c r="M162" s="171"/>
      <c r="N162" s="166">
        <f t="shared" ca="1" si="19"/>
        <v>4.9949999999999903</v>
      </c>
      <c r="O162" s="157" t="str">
        <f t="shared" ca="1" si="20"/>
        <v/>
      </c>
    </row>
    <row r="163" spans="1:15" x14ac:dyDescent="0.35">
      <c r="A163" s="157" t="s">
        <v>502</v>
      </c>
      <c r="B163" s="157" t="s">
        <v>32</v>
      </c>
      <c r="C163" s="157">
        <f ca="1">IFERROR(INDEX(BYEs!$B$2:$B$33,MATCH(D163,BYEs!$A$2:$A$33,0)),"N/A")</f>
        <v>12</v>
      </c>
      <c r="D163" s="214" t="str">
        <f t="shared" ca="1" si="14"/>
        <v>ATL</v>
      </c>
      <c r="E163" s="213" t="str">
        <f t="shared" ca="1" si="15"/>
        <v>WR7</v>
      </c>
      <c r="F163" s="158">
        <f ca="1">IF(LeagueInfo!$H$7="Starter/Bench",INDEX(INDIRECT(""&amp;B163&amp;"!T2:T628"),MATCH(A163,INDIRECT(""&amp;B163&amp;"!B2:B628"),0)),INDEX(INDIRECT(""&amp;B163&amp;"!AB2:AB628"),MATCH(A163,INDIRECT(""&amp;B163&amp;"!B2:B628"),0)))</f>
        <v>1.5359596460267724</v>
      </c>
      <c r="G163" s="159">
        <f t="shared" si="16"/>
        <v>0</v>
      </c>
      <c r="H163" s="160"/>
      <c r="I163" s="159">
        <f t="shared" ca="1" si="17"/>
        <v>1.5359596460267724</v>
      </c>
      <c r="J163" s="159" t="s">
        <v>73</v>
      </c>
      <c r="K163" s="159">
        <f>IF(LeagueInfo!$F$7="Yahoo",IFERROR(INDEX(DefaultAuctionValues!$B$2:$B$331,MATCH(A163,DefaultAuctionValues!$A$2:$A$331,0)),0),IF(LeagueInfo!$F$7="ESPN",IFERROR(INDEX(DefaultAuctionValues!$C$2:$C$331,MATCH(A163,DefaultAuctionValues!$A$2:$A$331,0)),0),IF(LeagueInfo!$F$7="Custom",IFERROR(INDEX(DefaultAuctionValues!$D$2:$D$331,MATCH(A163,DefaultAuctionValues!$A$2:$A$331,0)),0))))</f>
        <v>1</v>
      </c>
      <c r="L163" s="159">
        <f t="shared" ca="1" si="18"/>
        <v>0.53595964602677237</v>
      </c>
      <c r="M163" s="171"/>
      <c r="N163" s="166">
        <f t="shared" ca="1" si="19"/>
        <v>4.654999999999994</v>
      </c>
      <c r="O163" s="157" t="str">
        <f t="shared" ca="1" si="20"/>
        <v/>
      </c>
    </row>
    <row r="164" spans="1:15" x14ac:dyDescent="0.35">
      <c r="A164" s="157" t="s">
        <v>480</v>
      </c>
      <c r="B164" s="157" t="s">
        <v>40</v>
      </c>
      <c r="C164" s="157">
        <f ca="1">IFERROR(INDEX(BYEs!$B$2:$B$33,MATCH(D164,BYEs!$A$2:$A$33,0)),"N/A")</f>
        <v>7</v>
      </c>
      <c r="D164" s="214" t="str">
        <f t="shared" ca="1" si="14"/>
        <v>CHI</v>
      </c>
      <c r="E164" s="213" t="str">
        <f t="shared" ca="1" si="15"/>
        <v>TE6</v>
      </c>
      <c r="F164" s="158">
        <f ca="1">IF(LeagueInfo!$H$7="Starter/Bench",INDEX(INDIRECT(""&amp;B164&amp;"!T2:T628"),MATCH(A164,INDIRECT(""&amp;B164&amp;"!B2:B628"),0)),INDEX(INDIRECT(""&amp;B164&amp;"!AB2:AB628"),MATCH(A164,INDIRECT(""&amp;B164&amp;"!B2:B628"),0)))</f>
        <v>1.5112127129543769</v>
      </c>
      <c r="G164" s="159">
        <f t="shared" si="16"/>
        <v>0</v>
      </c>
      <c r="H164" s="160"/>
      <c r="I164" s="159">
        <f t="shared" ca="1" si="17"/>
        <v>1.5112127129543769</v>
      </c>
      <c r="J164" s="159" t="s">
        <v>73</v>
      </c>
      <c r="K164" s="159">
        <f>IF(LeagueInfo!$F$7="Yahoo",IFERROR(INDEX(DefaultAuctionValues!$B$2:$B$331,MATCH(A164,DefaultAuctionValues!$A$2:$A$331,0)),0),IF(LeagueInfo!$F$7="ESPN",IFERROR(INDEX(DefaultAuctionValues!$C$2:$C$331,MATCH(A164,DefaultAuctionValues!$A$2:$A$331,0)),0),IF(LeagueInfo!$F$7="Custom",IFERROR(INDEX(DefaultAuctionValues!$D$2:$D$331,MATCH(A164,DefaultAuctionValues!$A$2:$A$331,0)),0))))</f>
        <v>1.1000000000000001</v>
      </c>
      <c r="L164" s="159">
        <f t="shared" ca="1" si="18"/>
        <v>0.41121271295437678</v>
      </c>
      <c r="M164" s="171"/>
      <c r="N164" s="166">
        <f t="shared" ca="1" si="19"/>
        <v>4.5799999999999983</v>
      </c>
      <c r="O164" s="157" t="str">
        <f t="shared" ca="1" si="20"/>
        <v/>
      </c>
    </row>
    <row r="165" spans="1:15" x14ac:dyDescent="0.35">
      <c r="A165" s="157" t="s">
        <v>446</v>
      </c>
      <c r="B165" s="157" t="s">
        <v>40</v>
      </c>
      <c r="C165" s="157">
        <f ca="1">IFERROR(INDEX(BYEs!$B$2:$B$33,MATCH(D165,BYEs!$A$2:$A$33,0)),"N/A")</f>
        <v>14</v>
      </c>
      <c r="D165" s="214" t="str">
        <f t="shared" ca="1" si="14"/>
        <v>NE</v>
      </c>
      <c r="E165" s="213" t="str">
        <f t="shared" ca="1" si="15"/>
        <v>TE6</v>
      </c>
      <c r="F165" s="158">
        <f ca="1">IF(LeagueInfo!$H$7="Starter/Bench",INDEX(INDIRECT(""&amp;B165&amp;"!T2:T628"),MATCH(A165,INDIRECT(""&amp;B165&amp;"!B2:B628"),0)),INDEX(INDIRECT(""&amp;B165&amp;"!AB2:AB628"),MATCH(A165,INDIRECT(""&amp;B165&amp;"!B2:B628"),0)))</f>
        <v>1.450170278042461</v>
      </c>
      <c r="G165" s="159">
        <f t="shared" si="16"/>
        <v>0</v>
      </c>
      <c r="H165" s="160"/>
      <c r="I165" s="159">
        <f t="shared" ca="1" si="17"/>
        <v>1.450170278042461</v>
      </c>
      <c r="J165" s="159" t="s">
        <v>73</v>
      </c>
      <c r="K165" s="159">
        <f>IF(LeagueInfo!$F$7="Yahoo",IFERROR(INDEX(DefaultAuctionValues!$B$2:$B$331,MATCH(A165,DefaultAuctionValues!$A$2:$A$331,0)),0),IF(LeagueInfo!$F$7="ESPN",IFERROR(INDEX(DefaultAuctionValues!$C$2:$C$331,MATCH(A165,DefaultAuctionValues!$A$2:$A$331,0)),0),IF(LeagueInfo!$F$7="Custom",IFERROR(INDEX(DefaultAuctionValues!$D$2:$D$331,MATCH(A165,DefaultAuctionValues!$A$2:$A$331,0)),0))))</f>
        <v>1</v>
      </c>
      <c r="L165" s="159">
        <f t="shared" ca="1" si="18"/>
        <v>0.45017027804246101</v>
      </c>
      <c r="M165" s="171"/>
      <c r="N165" s="166">
        <f t="shared" ca="1" si="19"/>
        <v>4.3949999999999889</v>
      </c>
      <c r="O165" s="157" t="str">
        <f t="shared" ca="1" si="20"/>
        <v/>
      </c>
    </row>
    <row r="166" spans="1:15" x14ac:dyDescent="0.35">
      <c r="A166" s="157" t="s">
        <v>529</v>
      </c>
      <c r="B166" s="157" t="s">
        <v>25</v>
      </c>
      <c r="C166" s="157">
        <f ca="1">IFERROR(INDEX(BYEs!$B$2:$B$33,MATCH(D166,BYEs!$A$2:$A$33,0)),"N/A")</f>
        <v>7</v>
      </c>
      <c r="D166" s="214" t="str">
        <f t="shared" ca="1" si="14"/>
        <v>DAL</v>
      </c>
      <c r="E166" s="213" t="str">
        <f t="shared" ca="1" si="15"/>
        <v>RB7</v>
      </c>
      <c r="F166" s="158">
        <f ca="1">IF(LeagueInfo!$H$7="Starter/Bench",INDEX(INDIRECT(""&amp;B166&amp;"!T2:T628"),MATCH(A166,INDIRECT(""&amp;B166&amp;"!B2:B628"),0)),INDEX(INDIRECT(""&amp;B166&amp;"!AB2:AB628"),MATCH(A166,INDIRECT(""&amp;B166&amp;"!B2:B628"),0)))</f>
        <v>1.4320225271227081</v>
      </c>
      <c r="G166" s="159">
        <f t="shared" si="16"/>
        <v>0</v>
      </c>
      <c r="H166" s="160"/>
      <c r="I166" s="159">
        <f t="shared" ca="1" si="17"/>
        <v>1.4320225271227081</v>
      </c>
      <c r="J166" s="159" t="s">
        <v>73</v>
      </c>
      <c r="K166" s="159">
        <f>IF(LeagueInfo!$F$7="Yahoo",IFERROR(INDEX(DefaultAuctionValues!$B$2:$B$331,MATCH(A166,DefaultAuctionValues!$A$2:$A$331,0)),0),IF(LeagueInfo!$F$7="ESPN",IFERROR(INDEX(DefaultAuctionValues!$C$2:$C$331,MATCH(A166,DefaultAuctionValues!$A$2:$A$331,0)),0),IF(LeagueInfo!$F$7="Custom",IFERROR(INDEX(DefaultAuctionValues!$D$2:$D$331,MATCH(A166,DefaultAuctionValues!$A$2:$A$331,0)),0))))</f>
        <v>1.6</v>
      </c>
      <c r="L166" s="159">
        <f t="shared" ca="1" si="18"/>
        <v>-0.16797747287729203</v>
      </c>
      <c r="M166" s="171"/>
      <c r="N166" s="166">
        <f t="shared" ca="1" si="19"/>
        <v>4.3400000000000034</v>
      </c>
      <c r="O166" s="157" t="str">
        <f t="shared" ca="1" si="20"/>
        <v/>
      </c>
    </row>
    <row r="167" spans="1:15" x14ac:dyDescent="0.35">
      <c r="A167" s="157" t="s">
        <v>377</v>
      </c>
      <c r="B167" s="157" t="s">
        <v>40</v>
      </c>
      <c r="C167" s="157">
        <f ca="1">IFERROR(INDEX(BYEs!$B$2:$B$33,MATCH(D167,BYEs!$A$2:$A$33,0)),"N/A")</f>
        <v>12</v>
      </c>
      <c r="D167" s="214" t="str">
        <f t="shared" ca="1" si="14"/>
        <v>NYJ</v>
      </c>
      <c r="E167" s="213" t="str">
        <f t="shared" ca="1" si="15"/>
        <v>TE6</v>
      </c>
      <c r="F167" s="158">
        <f ca="1">IF(LeagueInfo!$H$7="Starter/Bench",INDEX(INDIRECT(""&amp;B167&amp;"!T2:T628"),MATCH(A167,INDIRECT(""&amp;B167&amp;"!B2:B628"),0)),INDEX(INDIRECT(""&amp;B167&amp;"!AB2:AB628"),MATCH(A167,INDIRECT(""&amp;B167&amp;"!B2:B628"),0)))</f>
        <v>1.4287229360463845</v>
      </c>
      <c r="G167" s="159">
        <f t="shared" si="16"/>
        <v>0</v>
      </c>
      <c r="H167" s="160"/>
      <c r="I167" s="159">
        <f t="shared" ca="1" si="17"/>
        <v>1.4287229360463845</v>
      </c>
      <c r="J167" s="159" t="s">
        <v>73</v>
      </c>
      <c r="K167" s="159">
        <f>IF(LeagueInfo!$F$7="Yahoo",IFERROR(INDEX(DefaultAuctionValues!$B$2:$B$331,MATCH(A167,DefaultAuctionValues!$A$2:$A$331,0)),0),IF(LeagueInfo!$F$7="ESPN",IFERROR(INDEX(DefaultAuctionValues!$C$2:$C$331,MATCH(A167,DefaultAuctionValues!$A$2:$A$331,0)),0),IF(LeagueInfo!$F$7="Custom",IFERROR(INDEX(DefaultAuctionValues!$D$2:$D$331,MATCH(A167,DefaultAuctionValues!$A$2:$A$331,0)),0))))</f>
        <v>1.2</v>
      </c>
      <c r="L167" s="159">
        <f t="shared" ca="1" si="18"/>
        <v>0.2287229360463845</v>
      </c>
      <c r="M167" s="171"/>
      <c r="N167" s="166">
        <f t="shared" ca="1" si="19"/>
        <v>4.3299999999999912</v>
      </c>
      <c r="O167" s="157" t="str">
        <f t="shared" ca="1" si="20"/>
        <v/>
      </c>
    </row>
    <row r="168" spans="1:15" x14ac:dyDescent="0.35">
      <c r="A168" s="157" t="s">
        <v>863</v>
      </c>
      <c r="B168" s="157" t="s">
        <v>25</v>
      </c>
      <c r="C168" s="157">
        <f ca="1">IFERROR(INDEX(BYEs!$B$2:$B$33,MATCH(D168,BYEs!$A$2:$A$33,0)),"N/A")</f>
        <v>6</v>
      </c>
      <c r="D168" s="214" t="str">
        <f t="shared" ca="1" si="14"/>
        <v>LAR</v>
      </c>
      <c r="E168" s="213" t="str">
        <f t="shared" ca="1" si="15"/>
        <v>RB7</v>
      </c>
      <c r="F168" s="158">
        <f ca="1">IF(LeagueInfo!$H$7="Starter/Bench",INDEX(INDIRECT(""&amp;B168&amp;"!T2:T628"),MATCH(A168,INDIRECT(""&amp;B168&amp;"!B2:B628"),0)),INDEX(INDIRECT(""&amp;B168&amp;"!AB2:AB628"),MATCH(A168,INDIRECT(""&amp;B168&amp;"!B2:B628"),0)))</f>
        <v>1.1928021740895318</v>
      </c>
      <c r="G168" s="159">
        <f t="shared" si="16"/>
        <v>0</v>
      </c>
      <c r="H168" s="160"/>
      <c r="I168" s="159">
        <f t="shared" ca="1" si="17"/>
        <v>1.1928021740895318</v>
      </c>
      <c r="J168" s="159" t="s">
        <v>73</v>
      </c>
      <c r="K168" s="159">
        <f>IF(LeagueInfo!$F$7="Yahoo",IFERROR(INDEX(DefaultAuctionValues!$B$2:$B$331,MATCH(A168,DefaultAuctionValues!$A$2:$A$331,0)),0),IF(LeagueInfo!$F$7="ESPN",IFERROR(INDEX(DefaultAuctionValues!$C$2:$C$331,MATCH(A168,DefaultAuctionValues!$A$2:$A$331,0)),0),IF(LeagueInfo!$F$7="Custom",IFERROR(INDEX(DefaultAuctionValues!$D$2:$D$331,MATCH(A168,DefaultAuctionValues!$A$2:$A$331,0)),0))))</f>
        <v>2.1</v>
      </c>
      <c r="L168" s="159">
        <f t="shared" ca="1" si="18"/>
        <v>-0.90719782591046827</v>
      </c>
      <c r="M168" s="171"/>
      <c r="N168" s="166">
        <f t="shared" ca="1" si="19"/>
        <v>3.6149999999999878</v>
      </c>
      <c r="O168" s="157" t="str">
        <f t="shared" ca="1" si="20"/>
        <v/>
      </c>
    </row>
    <row r="169" spans="1:15" x14ac:dyDescent="0.35">
      <c r="A169" s="157" t="s">
        <v>619</v>
      </c>
      <c r="B169" s="157" t="s">
        <v>25</v>
      </c>
      <c r="C169" s="157">
        <f ca="1">IFERROR(INDEX(BYEs!$B$2:$B$33,MATCH(D169,BYEs!$A$2:$A$33,0)),"N/A")</f>
        <v>12</v>
      </c>
      <c r="D169" s="214" t="str">
        <f t="shared" ca="1" si="14"/>
        <v>ATL</v>
      </c>
      <c r="E169" s="213" t="str">
        <f t="shared" ca="1" si="15"/>
        <v>RB7</v>
      </c>
      <c r="F169" s="158">
        <f ca="1">IF(LeagueInfo!$H$7="Starter/Bench",INDEX(INDIRECT(""&amp;B169&amp;"!T2:T628"),MATCH(A169,INDIRECT(""&amp;B169&amp;"!B2:B628"),0)),INDEX(INDIRECT(""&amp;B169&amp;"!AB2:AB628"),MATCH(A169,INDIRECT(""&amp;B169&amp;"!B2:B628"),0)))</f>
        <v>1.1515572856355414</v>
      </c>
      <c r="G169" s="159">
        <f t="shared" si="16"/>
        <v>0</v>
      </c>
      <c r="H169" s="160"/>
      <c r="I169" s="159">
        <f t="shared" ca="1" si="17"/>
        <v>1.1515572856355414</v>
      </c>
      <c r="J169" s="159" t="s">
        <v>73</v>
      </c>
      <c r="K169" s="159">
        <f>IF(LeagueInfo!$F$7="Yahoo",IFERROR(INDEX(DefaultAuctionValues!$B$2:$B$331,MATCH(A169,DefaultAuctionValues!$A$2:$A$331,0)),0),IF(LeagueInfo!$F$7="ESPN",IFERROR(INDEX(DefaultAuctionValues!$C$2:$C$331,MATCH(A169,DefaultAuctionValues!$A$2:$A$331,0)),0),IF(LeagueInfo!$F$7="Custom",IFERROR(INDEX(DefaultAuctionValues!$D$2:$D$331,MATCH(A169,DefaultAuctionValues!$A$2:$A$331,0)),0))))</f>
        <v>1.3</v>
      </c>
      <c r="L169" s="159">
        <f t="shared" ca="1" si="18"/>
        <v>-0.14844271436445866</v>
      </c>
      <c r="M169" s="171"/>
      <c r="N169" s="166">
        <f t="shared" ca="1" si="19"/>
        <v>3.490000000000002</v>
      </c>
      <c r="O169" s="157" t="str">
        <f t="shared" ca="1" si="20"/>
        <v/>
      </c>
    </row>
    <row r="170" spans="1:15" x14ac:dyDescent="0.35">
      <c r="A170" s="157" t="s">
        <v>919</v>
      </c>
      <c r="B170" s="157" t="s">
        <v>32</v>
      </c>
      <c r="C170" s="157">
        <f ca="1">IFERROR(INDEX(BYEs!$B$2:$B$33,MATCH(D170,BYEs!$A$2:$A$33,0)),"N/A")</f>
        <v>14</v>
      </c>
      <c r="D170" s="214" t="str">
        <f t="shared" ca="1" si="14"/>
        <v>NE</v>
      </c>
      <c r="E170" s="213" t="str">
        <f t="shared" ca="1" si="15"/>
        <v>WR7</v>
      </c>
      <c r="F170" s="158">
        <f ca="1">IF(LeagueInfo!$H$7="Starter/Bench",INDEX(INDIRECT(""&amp;B170&amp;"!T2:T628"),MATCH(A170,INDIRECT(""&amp;B170&amp;"!B2:B628"),0)),INDEX(INDIRECT(""&amp;B170&amp;"!AB2:AB628"),MATCH(A170,INDIRECT(""&amp;B170&amp;"!B2:B628"),0)))</f>
        <v>1.1169115793341866</v>
      </c>
      <c r="G170" s="159">
        <f t="shared" si="16"/>
        <v>0</v>
      </c>
      <c r="H170" s="160"/>
      <c r="I170" s="159">
        <f t="shared" ca="1" si="17"/>
        <v>1.1169115793341866</v>
      </c>
      <c r="J170" s="159" t="s">
        <v>73</v>
      </c>
      <c r="K170" s="159">
        <f>IF(LeagueInfo!$F$7="Yahoo",IFERROR(INDEX(DefaultAuctionValues!$B$2:$B$331,MATCH(A170,DefaultAuctionValues!$A$2:$A$331,0)),0),IF(LeagueInfo!$F$7="ESPN",IFERROR(INDEX(DefaultAuctionValues!$C$2:$C$331,MATCH(A170,DefaultAuctionValues!$A$2:$A$331,0)),0),IF(LeagueInfo!$F$7="Custom",IFERROR(INDEX(DefaultAuctionValues!$D$2:$D$331,MATCH(A170,DefaultAuctionValues!$A$2:$A$331,0)),0))))</f>
        <v>1</v>
      </c>
      <c r="L170" s="159">
        <f t="shared" ca="1" si="18"/>
        <v>0.11691157933418661</v>
      </c>
      <c r="M170" s="171"/>
      <c r="N170" s="166">
        <f t="shared" ca="1" si="19"/>
        <v>3.3850000000000051</v>
      </c>
      <c r="O170" s="157" t="str">
        <f t="shared" ca="1" si="20"/>
        <v/>
      </c>
    </row>
    <row r="171" spans="1:15" x14ac:dyDescent="0.35">
      <c r="A171" s="157" t="s">
        <v>499</v>
      </c>
      <c r="B171" s="157" t="s">
        <v>25</v>
      </c>
      <c r="C171" s="157">
        <f ca="1">IFERROR(INDEX(BYEs!$B$2:$B$33,MATCH(D171,BYEs!$A$2:$A$33,0)),"N/A")</f>
        <v>14</v>
      </c>
      <c r="D171" s="214" t="str">
        <f t="shared" ca="1" si="14"/>
        <v>NE</v>
      </c>
      <c r="E171" s="213" t="str">
        <f t="shared" ca="1" si="15"/>
        <v>RB7</v>
      </c>
      <c r="F171" s="158">
        <f ca="1">IF(LeagueInfo!$H$7="Starter/Bench",INDEX(INDIRECT(""&amp;B171&amp;"!T2:T628"),MATCH(A171,INDIRECT(""&amp;B171&amp;"!B2:B628"),0)),INDEX(INDIRECT(""&amp;B171&amp;"!AB2:AB628"),MATCH(A171,INDIRECT(""&amp;B171&amp;"!B2:B628"),0)))</f>
        <v>1.0575189399604317</v>
      </c>
      <c r="G171" s="159">
        <f t="shared" si="16"/>
        <v>0</v>
      </c>
      <c r="H171" s="160"/>
      <c r="I171" s="159">
        <f t="shared" ca="1" si="17"/>
        <v>1.0575189399604317</v>
      </c>
      <c r="J171" s="159" t="s">
        <v>73</v>
      </c>
      <c r="K171" s="159">
        <f>IF(LeagueInfo!$F$7="Yahoo",IFERROR(INDEX(DefaultAuctionValues!$B$2:$B$331,MATCH(A171,DefaultAuctionValues!$A$2:$A$331,0)),0),IF(LeagueInfo!$F$7="ESPN",IFERROR(INDEX(DefaultAuctionValues!$C$2:$C$331,MATCH(A171,DefaultAuctionValues!$A$2:$A$331,0)),0),IF(LeagueInfo!$F$7="Custom",IFERROR(INDEX(DefaultAuctionValues!$D$2:$D$331,MATCH(A171,DefaultAuctionValues!$A$2:$A$331,0)),0))))</f>
        <v>1.1000000000000001</v>
      </c>
      <c r="L171" s="159">
        <f t="shared" ca="1" si="18"/>
        <v>-4.2481060039568419E-2</v>
      </c>
      <c r="M171" s="171"/>
      <c r="N171" s="166">
        <f t="shared" ca="1" si="19"/>
        <v>3.2049999999999983</v>
      </c>
      <c r="O171" s="157" t="str">
        <f t="shared" ca="1" si="20"/>
        <v/>
      </c>
    </row>
    <row r="172" spans="1:15" x14ac:dyDescent="0.35">
      <c r="A172" s="157" t="s">
        <v>469</v>
      </c>
      <c r="B172" s="157" t="s">
        <v>45</v>
      </c>
      <c r="C172" s="157">
        <f ca="1">IFERROR(INDEX(BYEs!$B$2:$B$33,MATCH(D172,BYEs!$A$2:$A$33,0)),"N/A")</f>
        <v>12</v>
      </c>
      <c r="D172" s="214" t="str">
        <f t="shared" ca="1" si="14"/>
        <v>ATL</v>
      </c>
      <c r="E172" s="213" t="str">
        <f t="shared" ca="1" si="15"/>
        <v>K1</v>
      </c>
      <c r="F172" s="158">
        <f ca="1">IF(LeagueInfo!$H$7="Starter/Bench",INDEX(INDIRECT(""&amp;B172&amp;"!T2:T628"),MATCH(A172,INDIRECT(""&amp;B172&amp;"!B2:B628"),0)),INDEX(INDIRECT(""&amp;B172&amp;"!AB2:AB628"),MATCH(A172,INDIRECT(""&amp;B172&amp;"!B2:B628"),0)))</f>
        <v>1</v>
      </c>
      <c r="G172" s="159">
        <f t="shared" si="16"/>
        <v>0</v>
      </c>
      <c r="H172" s="160"/>
      <c r="I172" s="159">
        <f t="shared" ca="1" si="17"/>
        <v>1</v>
      </c>
      <c r="J172" s="159" t="s">
        <v>73</v>
      </c>
      <c r="K172" s="159">
        <f>IF(LeagueInfo!$F$7="Yahoo",IFERROR(INDEX(DefaultAuctionValues!$B$2:$B$331,MATCH(A172,DefaultAuctionValues!$A$2:$A$331,0)),0),IF(LeagueInfo!$F$7="ESPN",IFERROR(INDEX(DefaultAuctionValues!$C$2:$C$331,MATCH(A172,DefaultAuctionValues!$A$2:$A$331,0)),0),IF(LeagueInfo!$F$7="Custom",IFERROR(INDEX(DefaultAuctionValues!$D$2:$D$331,MATCH(A172,DefaultAuctionValues!$A$2:$A$331,0)),0))))</f>
        <v>1.3</v>
      </c>
      <c r="L172" s="159">
        <f t="shared" ca="1" si="18"/>
        <v>-0.30000000000000004</v>
      </c>
      <c r="M172" s="171"/>
      <c r="N172" s="166">
        <f t="shared" ca="1" si="19"/>
        <v>18.400000000000006</v>
      </c>
      <c r="O172" s="157" t="str">
        <f t="shared" ca="1" si="20"/>
        <v/>
      </c>
    </row>
    <row r="173" spans="1:15" x14ac:dyDescent="0.35">
      <c r="A173" s="157" t="s">
        <v>110</v>
      </c>
      <c r="B173" s="157" t="s">
        <v>45</v>
      </c>
      <c r="C173" s="157">
        <f ca="1">IFERROR(INDEX(BYEs!$B$2:$B$33,MATCH(D173,BYEs!$A$2:$A$33,0)),"N/A")</f>
        <v>14</v>
      </c>
      <c r="D173" s="214" t="str">
        <f t="shared" ca="1" si="14"/>
        <v>BAL</v>
      </c>
      <c r="E173" s="213" t="str">
        <f t="shared" ca="1" si="15"/>
        <v>K1</v>
      </c>
      <c r="F173" s="158">
        <f ca="1">IF(LeagueInfo!$H$7="Starter/Bench",INDEX(INDIRECT(""&amp;B173&amp;"!T2:T628"),MATCH(A173,INDIRECT(""&amp;B173&amp;"!B2:B628"),0)),INDEX(INDIRECT(""&amp;B173&amp;"!AB2:AB628"),MATCH(A173,INDIRECT(""&amp;B173&amp;"!B2:B628"),0)))</f>
        <v>1</v>
      </c>
      <c r="G173" s="159">
        <f t="shared" si="16"/>
        <v>0</v>
      </c>
      <c r="H173" s="160"/>
      <c r="I173" s="159">
        <f t="shared" ca="1" si="17"/>
        <v>1</v>
      </c>
      <c r="J173" s="159" t="s">
        <v>73</v>
      </c>
      <c r="K173" s="159">
        <f>IF(LeagueInfo!$F$7="Yahoo",IFERROR(INDEX(DefaultAuctionValues!$B$2:$B$331,MATCH(A173,DefaultAuctionValues!$A$2:$A$331,0)),0),IF(LeagueInfo!$F$7="ESPN",IFERROR(INDEX(DefaultAuctionValues!$C$2:$C$331,MATCH(A173,DefaultAuctionValues!$A$2:$A$331,0)),0),IF(LeagueInfo!$F$7="Custom",IFERROR(INDEX(DefaultAuctionValues!$D$2:$D$331,MATCH(A173,DefaultAuctionValues!$A$2:$A$331,0)),0))))</f>
        <v>3.2</v>
      </c>
      <c r="L173" s="159">
        <f t="shared" ca="1" si="18"/>
        <v>-2.2000000000000002</v>
      </c>
      <c r="M173" s="171"/>
      <c r="N173" s="166">
        <f t="shared" ca="1" si="19"/>
        <v>12.800000000000011</v>
      </c>
      <c r="O173" s="157" t="str">
        <f t="shared" ca="1" si="20"/>
        <v/>
      </c>
    </row>
    <row r="174" spans="1:15" x14ac:dyDescent="0.35">
      <c r="A174" s="157" t="s">
        <v>271</v>
      </c>
      <c r="B174" s="157" t="s">
        <v>45</v>
      </c>
      <c r="C174" s="157">
        <f ca="1">IFERROR(INDEX(BYEs!$B$2:$B$33,MATCH(D174,BYEs!$A$2:$A$33,0)),"N/A")</f>
        <v>6</v>
      </c>
      <c r="D174" s="214" t="str">
        <f t="shared" ca="1" si="14"/>
        <v>KC</v>
      </c>
      <c r="E174" s="213" t="str">
        <f t="shared" ca="1" si="15"/>
        <v>K1</v>
      </c>
      <c r="F174" s="158">
        <f ca="1">IF(LeagueInfo!$H$7="Starter/Bench",INDEX(INDIRECT(""&amp;B174&amp;"!T2:T628"),MATCH(A174,INDIRECT(""&amp;B174&amp;"!B2:B628"),0)),INDEX(INDIRECT(""&amp;B174&amp;"!AB2:AB628"),MATCH(A174,INDIRECT(""&amp;B174&amp;"!B2:B628"),0)))</f>
        <v>1</v>
      </c>
      <c r="G174" s="159">
        <f t="shared" si="16"/>
        <v>0</v>
      </c>
      <c r="H174" s="160"/>
      <c r="I174" s="159">
        <f t="shared" ca="1" si="17"/>
        <v>1</v>
      </c>
      <c r="J174" s="159" t="s">
        <v>73</v>
      </c>
      <c r="K174" s="159">
        <f>IF(LeagueInfo!$F$7="Yahoo",IFERROR(INDEX(DefaultAuctionValues!$B$2:$B$331,MATCH(A174,DefaultAuctionValues!$A$2:$A$331,0)),0),IF(LeagueInfo!$F$7="ESPN",IFERROR(INDEX(DefaultAuctionValues!$C$2:$C$331,MATCH(A174,DefaultAuctionValues!$A$2:$A$331,0)),0),IF(LeagueInfo!$F$7="Custom",IFERROR(INDEX(DefaultAuctionValues!$D$2:$D$331,MATCH(A174,DefaultAuctionValues!$A$2:$A$331,0)),0))))</f>
        <v>1.9</v>
      </c>
      <c r="L174" s="159">
        <f t="shared" ca="1" si="18"/>
        <v>-0.89999999999999991</v>
      </c>
      <c r="M174" s="171"/>
      <c r="N174" s="166">
        <f t="shared" ca="1" si="19"/>
        <v>10.300000000000011</v>
      </c>
      <c r="O174" s="157" t="str">
        <f t="shared" ca="1" si="20"/>
        <v/>
      </c>
    </row>
    <row r="175" spans="1:15" x14ac:dyDescent="0.35">
      <c r="A175" s="157" t="s">
        <v>829</v>
      </c>
      <c r="B175" s="157" t="s">
        <v>45</v>
      </c>
      <c r="C175" s="157">
        <f ca="1">IFERROR(INDEX(BYEs!$B$2:$B$33,MATCH(D175,BYEs!$A$2:$A$33,0)),"N/A")</f>
        <v>7</v>
      </c>
      <c r="D175" s="214" t="str">
        <f t="shared" ca="1" si="14"/>
        <v>DAL</v>
      </c>
      <c r="E175" s="213" t="str">
        <f t="shared" ca="1" si="15"/>
        <v>K1</v>
      </c>
      <c r="F175" s="158">
        <f ca="1">IF(LeagueInfo!$H$7="Starter/Bench",INDEX(INDIRECT(""&amp;B175&amp;"!T2:T628"),MATCH(A175,INDIRECT(""&amp;B175&amp;"!B2:B628"),0)),INDEX(INDIRECT(""&amp;B175&amp;"!AB2:AB628"),MATCH(A175,INDIRECT(""&amp;B175&amp;"!B2:B628"),0)))</f>
        <v>1</v>
      </c>
      <c r="G175" s="159">
        <f t="shared" si="16"/>
        <v>0</v>
      </c>
      <c r="H175" s="160"/>
      <c r="I175" s="159">
        <f t="shared" ca="1" si="17"/>
        <v>1</v>
      </c>
      <c r="J175" s="159" t="s">
        <v>73</v>
      </c>
      <c r="K175" s="159">
        <f>IF(LeagueInfo!$F$7="Yahoo",IFERROR(INDEX(DefaultAuctionValues!$B$2:$B$331,MATCH(A175,DefaultAuctionValues!$A$2:$A$331,0)),0),IF(LeagueInfo!$F$7="ESPN",IFERROR(INDEX(DefaultAuctionValues!$C$2:$C$331,MATCH(A175,DefaultAuctionValues!$A$2:$A$331,0)),0),IF(LeagueInfo!$F$7="Custom",IFERROR(INDEX(DefaultAuctionValues!$D$2:$D$331,MATCH(A175,DefaultAuctionValues!$A$2:$A$331,0)),0))))</f>
        <v>2.2000000000000002</v>
      </c>
      <c r="L175" s="159">
        <f t="shared" ca="1" si="18"/>
        <v>-1.2000000000000002</v>
      </c>
      <c r="M175" s="171"/>
      <c r="N175" s="166">
        <f t="shared" ca="1" si="19"/>
        <v>10</v>
      </c>
      <c r="O175" s="157" t="str">
        <f t="shared" ca="1" si="20"/>
        <v/>
      </c>
    </row>
    <row r="176" spans="1:15" x14ac:dyDescent="0.35">
      <c r="A176" s="157" t="s">
        <v>270</v>
      </c>
      <c r="B176" s="157" t="s">
        <v>45</v>
      </c>
      <c r="C176" s="157">
        <f ca="1">IFERROR(INDEX(BYEs!$B$2:$B$33,MATCH(D176,BYEs!$A$2:$A$33,0)),"N/A")</f>
        <v>5</v>
      </c>
      <c r="D176" s="214" t="str">
        <f t="shared" ca="1" si="14"/>
        <v>PHI</v>
      </c>
      <c r="E176" s="213" t="str">
        <f t="shared" ca="1" si="15"/>
        <v>K1</v>
      </c>
      <c r="F176" s="158">
        <f ca="1">IF(LeagueInfo!$H$7="Starter/Bench",INDEX(INDIRECT(""&amp;B176&amp;"!T2:T628"),MATCH(A176,INDIRECT(""&amp;B176&amp;"!B2:B628"),0)),INDEX(INDIRECT(""&amp;B176&amp;"!AB2:AB628"),MATCH(A176,INDIRECT(""&amp;B176&amp;"!B2:B628"),0)))</f>
        <v>1</v>
      </c>
      <c r="G176" s="159">
        <f t="shared" si="16"/>
        <v>0</v>
      </c>
      <c r="H176" s="160"/>
      <c r="I176" s="159">
        <f t="shared" ca="1" si="17"/>
        <v>1</v>
      </c>
      <c r="J176" s="159" t="s">
        <v>73</v>
      </c>
      <c r="K176" s="159">
        <f>IF(LeagueInfo!$F$7="Yahoo",IFERROR(INDEX(DefaultAuctionValues!$B$2:$B$331,MATCH(A176,DefaultAuctionValues!$A$2:$A$331,0)),0),IF(LeagueInfo!$F$7="ESPN",IFERROR(INDEX(DefaultAuctionValues!$C$2:$C$331,MATCH(A176,DefaultAuctionValues!$A$2:$A$331,0)),0),IF(LeagueInfo!$F$7="Custom",IFERROR(INDEX(DefaultAuctionValues!$D$2:$D$331,MATCH(A176,DefaultAuctionValues!$A$2:$A$331,0)),0))))</f>
        <v>1.1000000000000001</v>
      </c>
      <c r="L176" s="159">
        <f t="shared" ca="1" si="18"/>
        <v>-0.10000000000000009</v>
      </c>
      <c r="M176" s="171"/>
      <c r="N176" s="166">
        <f t="shared" ca="1" si="19"/>
        <v>7.0999999999999943</v>
      </c>
      <c r="O176" s="157" t="str">
        <f t="shared" ca="1" si="20"/>
        <v/>
      </c>
    </row>
    <row r="177" spans="1:15" x14ac:dyDescent="0.35">
      <c r="A177" s="157" t="s">
        <v>268</v>
      </c>
      <c r="B177" s="157" t="s">
        <v>45</v>
      </c>
      <c r="C177" s="157">
        <f ca="1">IFERROR(INDEX(BYEs!$B$2:$B$33,MATCH(D177,BYEs!$A$2:$A$33,0)),"N/A")</f>
        <v>10</v>
      </c>
      <c r="D177" s="214" t="str">
        <f t="shared" ca="1" si="14"/>
        <v>SEA</v>
      </c>
      <c r="E177" s="213" t="str">
        <f t="shared" ca="1" si="15"/>
        <v>K1</v>
      </c>
      <c r="F177" s="158">
        <f ca="1">IF(LeagueInfo!$H$7="Starter/Bench",INDEX(INDIRECT(""&amp;B177&amp;"!T2:T628"),MATCH(A177,INDIRECT(""&amp;B177&amp;"!B2:B628"),0)),INDEX(INDIRECT(""&amp;B177&amp;"!AB2:AB628"),MATCH(A177,INDIRECT(""&amp;B177&amp;"!B2:B628"),0)))</f>
        <v>1</v>
      </c>
      <c r="G177" s="159">
        <f t="shared" si="16"/>
        <v>0</v>
      </c>
      <c r="H177" s="160"/>
      <c r="I177" s="159">
        <f t="shared" ca="1" si="17"/>
        <v>1</v>
      </c>
      <c r="J177" s="159" t="s">
        <v>73</v>
      </c>
      <c r="K177" s="159">
        <f>IF(LeagueInfo!$F$7="Yahoo",IFERROR(INDEX(DefaultAuctionValues!$B$2:$B$331,MATCH(A177,DefaultAuctionValues!$A$2:$A$331,0)),0),IF(LeagueInfo!$F$7="ESPN",IFERROR(INDEX(DefaultAuctionValues!$C$2:$C$331,MATCH(A177,DefaultAuctionValues!$A$2:$A$331,0)),0),IF(LeagueInfo!$F$7="Custom",IFERROR(INDEX(DefaultAuctionValues!$D$2:$D$331,MATCH(A177,DefaultAuctionValues!$A$2:$A$331,0)),0))))</f>
        <v>1</v>
      </c>
      <c r="L177" s="159">
        <f t="shared" ca="1" si="18"/>
        <v>0</v>
      </c>
      <c r="M177" s="171"/>
      <c r="N177" s="166">
        <f t="shared" ca="1" si="19"/>
        <v>5</v>
      </c>
      <c r="O177" s="157" t="str">
        <f t="shared" ca="1" si="20"/>
        <v/>
      </c>
    </row>
    <row r="178" spans="1:15" x14ac:dyDescent="0.35">
      <c r="A178" s="157" t="s">
        <v>379</v>
      </c>
      <c r="B178" s="157" t="s">
        <v>45</v>
      </c>
      <c r="C178" s="157">
        <f ca="1">IFERROR(INDEX(BYEs!$B$2:$B$33,MATCH(D178,BYEs!$A$2:$A$33,0)),"N/A")</f>
        <v>14</v>
      </c>
      <c r="D178" s="214" t="str">
        <f t="shared" ca="1" si="14"/>
        <v>HOU</v>
      </c>
      <c r="E178" s="213" t="str">
        <f t="shared" ca="1" si="15"/>
        <v>K1</v>
      </c>
      <c r="F178" s="158">
        <f ca="1">IF(LeagueInfo!$H$7="Starter/Bench",INDEX(INDIRECT(""&amp;B178&amp;"!T2:T628"),MATCH(A178,INDIRECT(""&amp;B178&amp;"!B2:B628"),0)),INDEX(INDIRECT(""&amp;B178&amp;"!AB2:AB628"),MATCH(A178,INDIRECT(""&amp;B178&amp;"!B2:B628"),0)))</f>
        <v>1</v>
      </c>
      <c r="G178" s="159">
        <f t="shared" si="16"/>
        <v>0</v>
      </c>
      <c r="H178" s="160"/>
      <c r="I178" s="159">
        <f t="shared" ca="1" si="17"/>
        <v>1</v>
      </c>
      <c r="J178" s="159" t="s">
        <v>73</v>
      </c>
      <c r="K178" s="159">
        <f>IF(LeagueInfo!$F$7="Yahoo",IFERROR(INDEX(DefaultAuctionValues!$B$2:$B$331,MATCH(A178,DefaultAuctionValues!$A$2:$A$331,0)),0),IF(LeagueInfo!$F$7="ESPN",IFERROR(INDEX(DefaultAuctionValues!$C$2:$C$331,MATCH(A178,DefaultAuctionValues!$A$2:$A$331,0)),0),IF(LeagueInfo!$F$7="Custom",IFERROR(INDEX(DefaultAuctionValues!$D$2:$D$331,MATCH(A178,DefaultAuctionValues!$A$2:$A$331,0)),0))))</f>
        <v>1.3</v>
      </c>
      <c r="L178" s="159">
        <f t="shared" ca="1" si="18"/>
        <v>-0.30000000000000004</v>
      </c>
      <c r="M178" s="171"/>
      <c r="N178" s="166">
        <f t="shared" ca="1" si="19"/>
        <v>3.3000000000000114</v>
      </c>
      <c r="O178" s="157" t="str">
        <f t="shared" ca="1" si="20"/>
        <v/>
      </c>
    </row>
    <row r="179" spans="1:15" x14ac:dyDescent="0.35">
      <c r="A179" s="157" t="s">
        <v>747</v>
      </c>
      <c r="B179" s="157" t="s">
        <v>45</v>
      </c>
      <c r="C179" s="157">
        <f ca="1">IFERROR(INDEX(BYEs!$B$2:$B$33,MATCH(D179,BYEs!$A$2:$A$33,0)),"N/A")</f>
        <v>5</v>
      </c>
      <c r="D179" s="214" t="str">
        <f t="shared" ca="1" si="14"/>
        <v>LAC</v>
      </c>
      <c r="E179" s="213" t="str">
        <f t="shared" ca="1" si="15"/>
        <v>K1</v>
      </c>
      <c r="F179" s="158">
        <f ca="1">IF(LeagueInfo!$H$7="Starter/Bench",INDEX(INDIRECT(""&amp;B179&amp;"!T2:T628"),MATCH(A179,INDIRECT(""&amp;B179&amp;"!B2:B628"),0)),INDEX(INDIRECT(""&amp;B179&amp;"!AB2:AB628"),MATCH(A179,INDIRECT(""&amp;B179&amp;"!B2:B628"),0)))</f>
        <v>1</v>
      </c>
      <c r="G179" s="159">
        <f t="shared" si="16"/>
        <v>0</v>
      </c>
      <c r="H179" s="160"/>
      <c r="I179" s="159">
        <f t="shared" ca="1" si="17"/>
        <v>1</v>
      </c>
      <c r="J179" s="159" t="s">
        <v>73</v>
      </c>
      <c r="K179" s="159">
        <f>IF(LeagueInfo!$F$7="Yahoo",IFERROR(INDEX(DefaultAuctionValues!$B$2:$B$331,MATCH(A179,DefaultAuctionValues!$A$2:$A$331,0)),0),IF(LeagueInfo!$F$7="ESPN",IFERROR(INDEX(DefaultAuctionValues!$C$2:$C$331,MATCH(A179,DefaultAuctionValues!$A$2:$A$331,0)),0),IF(LeagueInfo!$F$7="Custom",IFERROR(INDEX(DefaultAuctionValues!$D$2:$D$331,MATCH(A179,DefaultAuctionValues!$A$2:$A$331,0)),0))))</f>
        <v>1</v>
      </c>
      <c r="L179" s="159">
        <f t="shared" ca="1" si="18"/>
        <v>0</v>
      </c>
      <c r="M179" s="171"/>
      <c r="N179" s="166">
        <f t="shared" ca="1" si="19"/>
        <v>2.9000000000000057</v>
      </c>
      <c r="O179" s="157" t="str">
        <f t="shared" ca="1" si="20"/>
        <v/>
      </c>
    </row>
    <row r="180" spans="1:15" x14ac:dyDescent="0.35">
      <c r="A180" s="157" t="s">
        <v>834</v>
      </c>
      <c r="B180" s="157" t="s">
        <v>45</v>
      </c>
      <c r="C180" s="157">
        <f ca="1">IFERROR(INDEX(BYEs!$B$2:$B$33,MATCH(D180,BYEs!$A$2:$A$33,0)),"N/A")</f>
        <v>12</v>
      </c>
      <c r="D180" s="214" t="str">
        <f t="shared" ca="1" si="14"/>
        <v>NO</v>
      </c>
      <c r="E180" s="213" t="str">
        <f t="shared" ca="1" si="15"/>
        <v>K1</v>
      </c>
      <c r="F180" s="158">
        <f ca="1">IF(LeagueInfo!$H$7="Starter/Bench",INDEX(INDIRECT(""&amp;B180&amp;"!T2:T628"),MATCH(A180,INDIRECT(""&amp;B180&amp;"!B2:B628"),0)),INDEX(INDIRECT(""&amp;B180&amp;"!AB2:AB628"),MATCH(A180,INDIRECT(""&amp;B180&amp;"!B2:B628"),0)))</f>
        <v>1</v>
      </c>
      <c r="G180" s="159">
        <f t="shared" si="16"/>
        <v>0</v>
      </c>
      <c r="H180" s="160"/>
      <c r="I180" s="159">
        <f t="shared" ca="1" si="17"/>
        <v>1</v>
      </c>
      <c r="J180" s="159" t="s">
        <v>73</v>
      </c>
      <c r="K180" s="159">
        <f>IF(LeagueInfo!$F$7="Yahoo",IFERROR(INDEX(DefaultAuctionValues!$B$2:$B$331,MATCH(A180,DefaultAuctionValues!$A$2:$A$331,0)),0),IF(LeagueInfo!$F$7="ESPN",IFERROR(INDEX(DefaultAuctionValues!$C$2:$C$331,MATCH(A180,DefaultAuctionValues!$A$2:$A$331,0)),0),IF(LeagueInfo!$F$7="Custom",IFERROR(INDEX(DefaultAuctionValues!$D$2:$D$331,MATCH(A180,DefaultAuctionValues!$A$2:$A$331,0)),0))))</f>
        <v>1</v>
      </c>
      <c r="L180" s="159">
        <f t="shared" ca="1" si="18"/>
        <v>0</v>
      </c>
      <c r="M180" s="171"/>
      <c r="N180" s="166">
        <f t="shared" ca="1" si="19"/>
        <v>1.6999999999999886</v>
      </c>
      <c r="O180" s="157" t="str">
        <f t="shared" ca="1" si="20"/>
        <v/>
      </c>
    </row>
    <row r="181" spans="1:15" x14ac:dyDescent="0.35">
      <c r="A181" s="157" t="s">
        <v>269</v>
      </c>
      <c r="B181" s="157" t="s">
        <v>45</v>
      </c>
      <c r="C181" s="157">
        <f ca="1">IFERROR(INDEX(BYEs!$B$2:$B$33,MATCH(D181,BYEs!$A$2:$A$33,0)),"N/A")</f>
        <v>12</v>
      </c>
      <c r="D181" s="214" t="str">
        <f t="shared" ca="1" si="14"/>
        <v>NYJ</v>
      </c>
      <c r="E181" s="213" t="str">
        <f t="shared" ca="1" si="15"/>
        <v>K1</v>
      </c>
      <c r="F181" s="158">
        <f ca="1">IF(LeagueInfo!$H$7="Starter/Bench",INDEX(INDIRECT(""&amp;B181&amp;"!T2:T628"),MATCH(A181,INDIRECT(""&amp;B181&amp;"!B2:B628"),0)),INDEX(INDIRECT(""&amp;B181&amp;"!AB2:AB628"),MATCH(A181,INDIRECT(""&amp;B181&amp;"!B2:B628"),0)))</f>
        <v>1</v>
      </c>
      <c r="G181" s="159">
        <f t="shared" si="16"/>
        <v>0</v>
      </c>
      <c r="H181" s="160"/>
      <c r="I181" s="159">
        <f t="shared" ca="1" si="17"/>
        <v>1</v>
      </c>
      <c r="J181" s="159" t="s">
        <v>73</v>
      </c>
      <c r="K181" s="159">
        <f>IF(LeagueInfo!$F$7="Yahoo",IFERROR(INDEX(DefaultAuctionValues!$B$2:$B$331,MATCH(A181,DefaultAuctionValues!$A$2:$A$331,0)),0),IF(LeagueInfo!$F$7="ESPN",IFERROR(INDEX(DefaultAuctionValues!$C$2:$C$331,MATCH(A181,DefaultAuctionValues!$A$2:$A$331,0)),0),IF(LeagueInfo!$F$7="Custom",IFERROR(INDEX(DefaultAuctionValues!$D$2:$D$331,MATCH(A181,DefaultAuctionValues!$A$2:$A$331,0)),0))))</f>
        <v>1</v>
      </c>
      <c r="L181" s="159">
        <f t="shared" ca="1" si="18"/>
        <v>0</v>
      </c>
      <c r="M181" s="171"/>
      <c r="N181" s="166">
        <f t="shared" ca="1" si="19"/>
        <v>1.0999999999999943</v>
      </c>
      <c r="O181" s="157" t="str">
        <f t="shared" ca="1" si="20"/>
        <v/>
      </c>
    </row>
    <row r="182" spans="1:15" x14ac:dyDescent="0.35">
      <c r="A182" s="157" t="s">
        <v>530</v>
      </c>
      <c r="B182" s="157" t="s">
        <v>45</v>
      </c>
      <c r="C182" s="157">
        <f ca="1">IFERROR(INDEX(BYEs!$B$2:$B$33,MATCH(D182,BYEs!$A$2:$A$33,0)),"N/A")</f>
        <v>12</v>
      </c>
      <c r="D182" s="214" t="str">
        <f t="shared" ca="1" si="14"/>
        <v>CIN</v>
      </c>
      <c r="E182" s="213" t="str">
        <f t="shared" ca="1" si="15"/>
        <v>K1</v>
      </c>
      <c r="F182" s="158">
        <f ca="1">IF(LeagueInfo!$H$7="Starter/Bench",INDEX(INDIRECT(""&amp;B182&amp;"!T2:T628"),MATCH(A182,INDIRECT(""&amp;B182&amp;"!B2:B628"),0)),INDEX(INDIRECT(""&amp;B182&amp;"!AB2:AB628"),MATCH(A182,INDIRECT(""&amp;B182&amp;"!B2:B628"),0)))</f>
        <v>1</v>
      </c>
      <c r="G182" s="159">
        <f t="shared" si="16"/>
        <v>0</v>
      </c>
      <c r="H182" s="160"/>
      <c r="I182" s="159">
        <f t="shared" ca="1" si="17"/>
        <v>1</v>
      </c>
      <c r="J182" s="159" t="s">
        <v>73</v>
      </c>
      <c r="K182" s="159">
        <f>IF(LeagueInfo!$F$7="Yahoo",IFERROR(INDEX(DefaultAuctionValues!$B$2:$B$331,MATCH(A182,DefaultAuctionValues!$A$2:$A$331,0)),0),IF(LeagueInfo!$F$7="ESPN",IFERROR(INDEX(DefaultAuctionValues!$C$2:$C$331,MATCH(A182,DefaultAuctionValues!$A$2:$A$331,0)),0),IF(LeagueInfo!$F$7="Custom",IFERROR(INDEX(DefaultAuctionValues!$D$2:$D$331,MATCH(A182,DefaultAuctionValues!$A$2:$A$331,0)),0))))</f>
        <v>1.4</v>
      </c>
      <c r="L182" s="159">
        <f t="shared" ca="1" si="18"/>
        <v>-0.39999999999999991</v>
      </c>
      <c r="M182" s="171"/>
      <c r="N182" s="166">
        <f t="shared" ca="1" si="19"/>
        <v>0.19999999999998863</v>
      </c>
      <c r="O182" s="157" t="str">
        <f t="shared" ca="1" si="20"/>
        <v/>
      </c>
    </row>
    <row r="183" spans="1:15" x14ac:dyDescent="0.35">
      <c r="A183" s="157" t="s">
        <v>479</v>
      </c>
      <c r="B183" s="157" t="s">
        <v>45</v>
      </c>
      <c r="C183" s="157">
        <f ca="1">IFERROR(INDEX(BYEs!$B$2:$B$33,MATCH(D183,BYEs!$A$2:$A$33,0)),"N/A")</f>
        <v>12</v>
      </c>
      <c r="D183" s="214" t="str">
        <f t="shared" ca="1" si="14"/>
        <v>BUF</v>
      </c>
      <c r="E183" s="213" t="str">
        <f t="shared" ca="1" si="15"/>
        <v>K1</v>
      </c>
      <c r="F183" s="158">
        <f ca="1">IF(LeagueInfo!$H$7="Starter/Bench",INDEX(INDIRECT(""&amp;B183&amp;"!T2:T628"),MATCH(A183,INDIRECT(""&amp;B183&amp;"!B2:B628"),0)),INDEX(INDIRECT(""&amp;B183&amp;"!AB2:AB628"),MATCH(A183,INDIRECT(""&amp;B183&amp;"!B2:B628"),0)))</f>
        <v>1</v>
      </c>
      <c r="G183" s="159">
        <f t="shared" si="16"/>
        <v>0</v>
      </c>
      <c r="H183" s="160"/>
      <c r="I183" s="159">
        <f t="shared" ca="1" si="17"/>
        <v>1</v>
      </c>
      <c r="J183" s="159" t="s">
        <v>73</v>
      </c>
      <c r="K183" s="159">
        <f>IF(LeagueInfo!$F$7="Yahoo",IFERROR(INDEX(DefaultAuctionValues!$B$2:$B$331,MATCH(A183,DefaultAuctionValues!$A$2:$A$331,0)),0),IF(LeagueInfo!$F$7="ESPN",IFERROR(INDEX(DefaultAuctionValues!$C$2:$C$331,MATCH(A183,DefaultAuctionValues!$A$2:$A$331,0)),0),IF(LeagueInfo!$F$7="Custom",IFERROR(INDEX(DefaultAuctionValues!$D$2:$D$331,MATCH(A183,DefaultAuctionValues!$A$2:$A$331,0)),0))))</f>
        <v>1</v>
      </c>
      <c r="L183" s="159">
        <f t="shared" ca="1" si="18"/>
        <v>0</v>
      </c>
      <c r="M183" s="171"/>
      <c r="N183" s="166">
        <f t="shared" ca="1" si="19"/>
        <v>0</v>
      </c>
      <c r="O183" s="157" t="str">
        <f t="shared" ca="1" si="20"/>
        <v/>
      </c>
    </row>
    <row r="184" spans="1:15" x14ac:dyDescent="0.35">
      <c r="A184" s="157" t="s">
        <v>144</v>
      </c>
      <c r="B184" s="157" t="s">
        <v>51</v>
      </c>
      <c r="C184" s="157">
        <f ca="1">IFERROR(INDEX(BYEs!$B$2:$B$33,MATCH(D184,BYEs!$A$2:$A$33,0)),"N/A")</f>
        <v>7</v>
      </c>
      <c r="D184" s="214" t="str">
        <f t="shared" ca="1" si="14"/>
        <v>DAL</v>
      </c>
      <c r="E184" s="213" t="str">
        <f t="shared" ca="1" si="15"/>
        <v>DEF1</v>
      </c>
      <c r="F184" s="158">
        <f ca="1">IF(LeagueInfo!$H$7="Starter/Bench",INDEX(INDIRECT(""&amp;B184&amp;"!T2:T628"),MATCH(A184,INDIRECT(""&amp;B184&amp;"!B2:B628"),0)),INDEX(INDIRECT(""&amp;B184&amp;"!AB2:AB628"),MATCH(A184,INDIRECT(""&amp;B184&amp;"!B2:B628"),0)))</f>
        <v>1</v>
      </c>
      <c r="G184" s="159">
        <f t="shared" si="16"/>
        <v>0</v>
      </c>
      <c r="H184" s="160"/>
      <c r="I184" s="159">
        <f t="shared" ca="1" si="17"/>
        <v>1</v>
      </c>
      <c r="J184" s="159" t="s">
        <v>73</v>
      </c>
      <c r="K184" s="159">
        <f>IF(LeagueInfo!$F$7="Yahoo",IFERROR(INDEX(DefaultAuctionValues!$B$2:$B$331,MATCH(A184,DefaultAuctionValues!$A$2:$A$331,0)),0),IF(LeagueInfo!$F$7="ESPN",IFERROR(INDEX(DefaultAuctionValues!$C$2:$C$331,MATCH(A184,DefaultAuctionValues!$A$2:$A$331,0)),0),IF(LeagueInfo!$F$7="Custom",IFERROR(INDEX(DefaultAuctionValues!$D$2:$D$331,MATCH(A184,DefaultAuctionValues!$A$2:$A$331,0)),0))))</f>
        <v>1</v>
      </c>
      <c r="L184" s="159">
        <f t="shared" ca="1" si="18"/>
        <v>0</v>
      </c>
      <c r="M184" s="171"/>
      <c r="N184" s="166">
        <f t="shared" ca="1" si="19"/>
        <v>0</v>
      </c>
      <c r="O184" s="157" t="str">
        <f t="shared" ca="1" si="20"/>
        <v/>
      </c>
    </row>
    <row r="185" spans="1:15" x14ac:dyDescent="0.35">
      <c r="A185" s="157" t="s">
        <v>151</v>
      </c>
      <c r="B185" s="157" t="s">
        <v>51</v>
      </c>
      <c r="C185" s="157">
        <f ca="1">IFERROR(INDEX(BYEs!$B$2:$B$33,MATCH(D185,BYEs!$A$2:$A$33,0)),"N/A")</f>
        <v>14</v>
      </c>
      <c r="D185" s="214" t="str">
        <f t="shared" ca="1" si="14"/>
        <v>BAL</v>
      </c>
      <c r="E185" s="213" t="str">
        <f t="shared" ca="1" si="15"/>
        <v>DEF1</v>
      </c>
      <c r="F185" s="158">
        <f ca="1">IF(LeagueInfo!$H$7="Starter/Bench",INDEX(INDIRECT(""&amp;B185&amp;"!T2:T628"),MATCH(A185,INDIRECT(""&amp;B185&amp;"!B2:B628"),0)),INDEX(INDIRECT(""&amp;B185&amp;"!AB2:AB628"),MATCH(A185,INDIRECT(""&amp;B185&amp;"!B2:B628"),0)))</f>
        <v>1</v>
      </c>
      <c r="G185" s="159">
        <f t="shared" si="16"/>
        <v>0</v>
      </c>
      <c r="H185" s="160"/>
      <c r="I185" s="159">
        <f t="shared" ca="1" si="17"/>
        <v>1</v>
      </c>
      <c r="J185" s="159" t="s">
        <v>73</v>
      </c>
      <c r="K185" s="159">
        <f>IF(LeagueInfo!$F$7="Yahoo",IFERROR(INDEX(DefaultAuctionValues!$B$2:$B$331,MATCH(A185,DefaultAuctionValues!$A$2:$A$331,0)),0),IF(LeagueInfo!$F$7="ESPN",IFERROR(INDEX(DefaultAuctionValues!$C$2:$C$331,MATCH(A185,DefaultAuctionValues!$A$2:$A$331,0)),0),IF(LeagueInfo!$F$7="Custom",IFERROR(INDEX(DefaultAuctionValues!$D$2:$D$331,MATCH(A185,DefaultAuctionValues!$A$2:$A$331,0)),0))))</f>
        <v>1</v>
      </c>
      <c r="L185" s="159">
        <f t="shared" ca="1" si="18"/>
        <v>0</v>
      </c>
      <c r="M185" s="171"/>
      <c r="N185" s="166">
        <f t="shared" ca="1" si="19"/>
        <v>0</v>
      </c>
      <c r="O185" s="157" t="str">
        <f t="shared" ca="1" si="20"/>
        <v/>
      </c>
    </row>
    <row r="186" spans="1:15" x14ac:dyDescent="0.35">
      <c r="A186" s="157" t="s">
        <v>160</v>
      </c>
      <c r="B186" s="157" t="s">
        <v>51</v>
      </c>
      <c r="C186" s="157">
        <f ca="1">IFERROR(INDEX(BYEs!$B$2:$B$33,MATCH(D186,BYEs!$A$2:$A$33,0)),"N/A")</f>
        <v>12</v>
      </c>
      <c r="D186" s="214" t="str">
        <f t="shared" ca="1" si="14"/>
        <v>NYJ</v>
      </c>
      <c r="E186" s="213" t="str">
        <f t="shared" ca="1" si="15"/>
        <v>DEF1</v>
      </c>
      <c r="F186" s="158">
        <f ca="1">IF(LeagueInfo!$H$7="Starter/Bench",INDEX(INDIRECT(""&amp;B186&amp;"!T2:T628"),MATCH(A186,INDIRECT(""&amp;B186&amp;"!B2:B628"),0)),INDEX(INDIRECT(""&amp;B186&amp;"!AB2:AB628"),MATCH(A186,INDIRECT(""&amp;B186&amp;"!B2:B628"),0)))</f>
        <v>1</v>
      </c>
      <c r="G186" s="159">
        <f t="shared" si="16"/>
        <v>0</v>
      </c>
      <c r="H186" s="160"/>
      <c r="I186" s="159">
        <f t="shared" ca="1" si="17"/>
        <v>1</v>
      </c>
      <c r="J186" s="159" t="s">
        <v>73</v>
      </c>
      <c r="K186" s="159">
        <f>IF(LeagueInfo!$F$7="Yahoo",IFERROR(INDEX(DefaultAuctionValues!$B$2:$B$331,MATCH(A186,DefaultAuctionValues!$A$2:$A$331,0)),0),IF(LeagueInfo!$F$7="ESPN",IFERROR(INDEX(DefaultAuctionValues!$C$2:$C$331,MATCH(A186,DefaultAuctionValues!$A$2:$A$331,0)),0),IF(LeagueInfo!$F$7="Custom",IFERROR(INDEX(DefaultAuctionValues!$D$2:$D$331,MATCH(A186,DefaultAuctionValues!$A$2:$A$331,0)),0))))</f>
        <v>1</v>
      </c>
      <c r="L186" s="159">
        <f t="shared" ca="1" si="18"/>
        <v>0</v>
      </c>
      <c r="M186" s="171"/>
      <c r="N186" s="166">
        <f t="shared" ca="1" si="19"/>
        <v>0</v>
      </c>
      <c r="O186" s="157" t="str">
        <f t="shared" ca="1" si="20"/>
        <v/>
      </c>
    </row>
    <row r="187" spans="1:15" x14ac:dyDescent="0.35">
      <c r="A187" s="157" t="s">
        <v>147</v>
      </c>
      <c r="B187" s="157" t="s">
        <v>51</v>
      </c>
      <c r="C187" s="157">
        <f ca="1">IFERROR(INDEX(BYEs!$B$2:$B$33,MATCH(D187,BYEs!$A$2:$A$33,0)),"N/A")</f>
        <v>5</v>
      </c>
      <c r="D187" s="214" t="str">
        <f t="shared" ca="1" si="14"/>
        <v>PHI</v>
      </c>
      <c r="E187" s="213" t="str">
        <f t="shared" ca="1" si="15"/>
        <v>DEF2</v>
      </c>
      <c r="F187" s="158">
        <f ca="1">IF(LeagueInfo!$H$7="Starter/Bench",INDEX(INDIRECT(""&amp;B187&amp;"!T2:T628"),MATCH(A187,INDIRECT(""&amp;B187&amp;"!B2:B628"),0)),INDEX(INDIRECT(""&amp;B187&amp;"!AB2:AB628"),MATCH(A187,INDIRECT(""&amp;B187&amp;"!B2:B628"),0)))</f>
        <v>1</v>
      </c>
      <c r="G187" s="159">
        <f t="shared" si="16"/>
        <v>0</v>
      </c>
      <c r="H187" s="160"/>
      <c r="I187" s="159">
        <f t="shared" ca="1" si="17"/>
        <v>1</v>
      </c>
      <c r="J187" s="159" t="s">
        <v>73</v>
      </c>
      <c r="K187" s="159">
        <f>IF(LeagueInfo!$F$7="Yahoo",IFERROR(INDEX(DefaultAuctionValues!$B$2:$B$331,MATCH(A187,DefaultAuctionValues!$A$2:$A$331,0)),0),IF(LeagueInfo!$F$7="ESPN",IFERROR(INDEX(DefaultAuctionValues!$C$2:$C$331,MATCH(A187,DefaultAuctionValues!$A$2:$A$331,0)),0),IF(LeagueInfo!$F$7="Custom",IFERROR(INDEX(DefaultAuctionValues!$D$2:$D$331,MATCH(A187,DefaultAuctionValues!$A$2:$A$331,0)),0))))</f>
        <v>1</v>
      </c>
      <c r="L187" s="159">
        <f t="shared" ca="1" si="18"/>
        <v>0</v>
      </c>
      <c r="M187" s="171"/>
      <c r="N187" s="166">
        <f t="shared" ca="1" si="19"/>
        <v>0</v>
      </c>
      <c r="O187" s="157" t="str">
        <f t="shared" ca="1" si="20"/>
        <v/>
      </c>
    </row>
    <row r="188" spans="1:15" x14ac:dyDescent="0.35">
      <c r="A188" s="157" t="s">
        <v>121</v>
      </c>
      <c r="B188" s="157" t="s">
        <v>51</v>
      </c>
      <c r="C188" s="157">
        <f ca="1">IFERROR(INDEX(BYEs!$B$2:$B$33,MATCH(D188,BYEs!$A$2:$A$33,0)),"N/A")</f>
        <v>14</v>
      </c>
      <c r="D188" s="214" t="str">
        <f t="shared" ca="1" si="14"/>
        <v>HOU</v>
      </c>
      <c r="E188" s="213" t="str">
        <f t="shared" ca="1" si="15"/>
        <v>DEF2</v>
      </c>
      <c r="F188" s="158">
        <f ca="1">IF(LeagueInfo!$H$7="Starter/Bench",INDEX(INDIRECT(""&amp;B188&amp;"!T2:T628"),MATCH(A188,INDIRECT(""&amp;B188&amp;"!B2:B628"),0)),INDEX(INDIRECT(""&amp;B188&amp;"!AB2:AB628"),MATCH(A188,INDIRECT(""&amp;B188&amp;"!B2:B628"),0)))</f>
        <v>1</v>
      </c>
      <c r="G188" s="159">
        <f t="shared" si="16"/>
        <v>0</v>
      </c>
      <c r="H188" s="160"/>
      <c r="I188" s="159">
        <f t="shared" ca="1" si="17"/>
        <v>1</v>
      </c>
      <c r="J188" s="159" t="s">
        <v>73</v>
      </c>
      <c r="K188" s="159">
        <f>IF(LeagueInfo!$F$7="Yahoo",IFERROR(INDEX(DefaultAuctionValues!$B$2:$B$331,MATCH(A188,DefaultAuctionValues!$A$2:$A$331,0)),0),IF(LeagueInfo!$F$7="ESPN",IFERROR(INDEX(DefaultAuctionValues!$C$2:$C$331,MATCH(A188,DefaultAuctionValues!$A$2:$A$331,0)),0),IF(LeagueInfo!$F$7="Custom",IFERROR(INDEX(DefaultAuctionValues!$D$2:$D$331,MATCH(A188,DefaultAuctionValues!$A$2:$A$331,0)),0))))</f>
        <v>1</v>
      </c>
      <c r="L188" s="159">
        <f t="shared" ca="1" si="18"/>
        <v>0</v>
      </c>
      <c r="M188" s="171"/>
      <c r="N188" s="166">
        <f t="shared" ca="1" si="19"/>
        <v>0</v>
      </c>
      <c r="O188" s="157" t="str">
        <f t="shared" ca="1" si="20"/>
        <v/>
      </c>
    </row>
    <row r="189" spans="1:15" x14ac:dyDescent="0.35">
      <c r="A189" s="157" t="s">
        <v>124</v>
      </c>
      <c r="B189" s="157" t="s">
        <v>51</v>
      </c>
      <c r="C189" s="157">
        <f ca="1">IFERROR(INDEX(BYEs!$B$2:$B$33,MATCH(D189,BYEs!$A$2:$A$33,0)),"N/A")</f>
        <v>6</v>
      </c>
      <c r="D189" s="214" t="str">
        <f t="shared" ca="1" si="14"/>
        <v>KC</v>
      </c>
      <c r="E189" s="213" t="str">
        <f t="shared" ca="1" si="15"/>
        <v>DEF2</v>
      </c>
      <c r="F189" s="158">
        <f ca="1">IF(LeagueInfo!$H$7="Starter/Bench",INDEX(INDIRECT(""&amp;B189&amp;"!T2:T628"),MATCH(A189,INDIRECT(""&amp;B189&amp;"!B2:B628"),0)),INDEX(INDIRECT(""&amp;B189&amp;"!AB2:AB628"),MATCH(A189,INDIRECT(""&amp;B189&amp;"!B2:B628"),0)))</f>
        <v>1</v>
      </c>
      <c r="G189" s="159">
        <f t="shared" si="16"/>
        <v>0</v>
      </c>
      <c r="H189" s="160"/>
      <c r="I189" s="159">
        <f t="shared" ca="1" si="17"/>
        <v>1</v>
      </c>
      <c r="J189" s="159" t="s">
        <v>73</v>
      </c>
      <c r="K189" s="159">
        <f>IF(LeagueInfo!$F$7="Yahoo",IFERROR(INDEX(DefaultAuctionValues!$B$2:$B$331,MATCH(A189,DefaultAuctionValues!$A$2:$A$331,0)),0),IF(LeagueInfo!$F$7="ESPN",IFERROR(INDEX(DefaultAuctionValues!$C$2:$C$331,MATCH(A189,DefaultAuctionValues!$A$2:$A$331,0)),0),IF(LeagueInfo!$F$7="Custom",IFERROR(INDEX(DefaultAuctionValues!$D$2:$D$331,MATCH(A189,DefaultAuctionValues!$A$2:$A$331,0)),0))))</f>
        <v>1</v>
      </c>
      <c r="L189" s="159">
        <f t="shared" ca="1" si="18"/>
        <v>0</v>
      </c>
      <c r="M189" s="171"/>
      <c r="N189" s="166">
        <f t="shared" ca="1" si="19"/>
        <v>0</v>
      </c>
      <c r="O189" s="157" t="str">
        <f t="shared" ca="1" si="20"/>
        <v/>
      </c>
    </row>
    <row r="190" spans="1:15" x14ac:dyDescent="0.35">
      <c r="A190" s="157" t="s">
        <v>153</v>
      </c>
      <c r="B190" s="157" t="s">
        <v>51</v>
      </c>
      <c r="C190" s="157">
        <f ca="1">IFERROR(INDEX(BYEs!$B$2:$B$33,MATCH(D190,BYEs!$A$2:$A$33,0)),"N/A")</f>
        <v>9</v>
      </c>
      <c r="D190" s="214" t="str">
        <f t="shared" ca="1" si="14"/>
        <v>PIT</v>
      </c>
      <c r="E190" s="213" t="str">
        <f t="shared" ca="1" si="15"/>
        <v>DEF2</v>
      </c>
      <c r="F190" s="158">
        <f ca="1">IF(LeagueInfo!$H$7="Starter/Bench",INDEX(INDIRECT(""&amp;B190&amp;"!T2:T628"),MATCH(A190,INDIRECT(""&amp;B190&amp;"!B2:B628"),0)),INDEX(INDIRECT(""&amp;B190&amp;"!AB2:AB628"),MATCH(A190,INDIRECT(""&amp;B190&amp;"!B2:B628"),0)))</f>
        <v>1</v>
      </c>
      <c r="G190" s="159">
        <f t="shared" si="16"/>
        <v>0</v>
      </c>
      <c r="H190" s="160"/>
      <c r="I190" s="159">
        <f t="shared" ca="1" si="17"/>
        <v>1</v>
      </c>
      <c r="J190" s="159" t="s">
        <v>73</v>
      </c>
      <c r="K190" s="159">
        <f>IF(LeagueInfo!$F$7="Yahoo",IFERROR(INDEX(DefaultAuctionValues!$B$2:$B$331,MATCH(A190,DefaultAuctionValues!$A$2:$A$331,0)),0),IF(LeagueInfo!$F$7="ESPN",IFERROR(INDEX(DefaultAuctionValues!$C$2:$C$331,MATCH(A190,DefaultAuctionValues!$A$2:$A$331,0)),0),IF(LeagueInfo!$F$7="Custom",IFERROR(INDEX(DefaultAuctionValues!$D$2:$D$331,MATCH(A190,DefaultAuctionValues!$A$2:$A$331,0)),0))))</f>
        <v>1</v>
      </c>
      <c r="L190" s="159">
        <f t="shared" ca="1" si="18"/>
        <v>0</v>
      </c>
      <c r="M190" s="171"/>
      <c r="N190" s="166">
        <f t="shared" ca="1" si="19"/>
        <v>0</v>
      </c>
      <c r="O190" s="157" t="str">
        <f t="shared" ca="1" si="20"/>
        <v/>
      </c>
    </row>
    <row r="191" spans="1:15" x14ac:dyDescent="0.35">
      <c r="A191" s="157" t="s">
        <v>277</v>
      </c>
      <c r="B191" s="157" t="s">
        <v>51</v>
      </c>
      <c r="C191" s="157">
        <f ca="1">IFERROR(INDEX(BYEs!$B$2:$B$33,MATCH(D191,BYEs!$A$2:$A$33,0)),"N/A")</f>
        <v>9</v>
      </c>
      <c r="D191" s="214" t="str">
        <f t="shared" ca="1" si="14"/>
        <v>SF</v>
      </c>
      <c r="E191" s="213" t="str">
        <f t="shared" ca="1" si="15"/>
        <v>DEF2</v>
      </c>
      <c r="F191" s="158">
        <f ca="1">IF(LeagueInfo!$H$7="Starter/Bench",INDEX(INDIRECT(""&amp;B191&amp;"!T2:T628"),MATCH(A191,INDIRECT(""&amp;B191&amp;"!B2:B628"),0)),INDEX(INDIRECT(""&amp;B191&amp;"!AB2:AB628"),MATCH(A191,INDIRECT(""&amp;B191&amp;"!B2:B628"),0)))</f>
        <v>1</v>
      </c>
      <c r="G191" s="159">
        <f t="shared" si="16"/>
        <v>0</v>
      </c>
      <c r="H191" s="160"/>
      <c r="I191" s="159">
        <f t="shared" ca="1" si="17"/>
        <v>1</v>
      </c>
      <c r="J191" s="159" t="s">
        <v>73</v>
      </c>
      <c r="K191" s="159">
        <f>IF(LeagueInfo!$F$7="Yahoo",IFERROR(INDEX(DefaultAuctionValues!$B$2:$B$331,MATCH(A191,DefaultAuctionValues!$A$2:$A$331,0)),0),IF(LeagueInfo!$F$7="ESPN",IFERROR(INDEX(DefaultAuctionValues!$C$2:$C$331,MATCH(A191,DefaultAuctionValues!$A$2:$A$331,0)),0),IF(LeagueInfo!$F$7="Custom",IFERROR(INDEX(DefaultAuctionValues!$D$2:$D$331,MATCH(A191,DefaultAuctionValues!$A$2:$A$331,0)),0))))</f>
        <v>1</v>
      </c>
      <c r="L191" s="159">
        <f t="shared" ca="1" si="18"/>
        <v>0</v>
      </c>
      <c r="M191" s="171"/>
      <c r="N191" s="166">
        <f t="shared" ca="1" si="19"/>
        <v>0</v>
      </c>
      <c r="O191" s="157" t="str">
        <f t="shared" ca="1" si="20"/>
        <v/>
      </c>
    </row>
    <row r="192" spans="1:15" x14ac:dyDescent="0.35">
      <c r="A192" s="157" t="s">
        <v>278</v>
      </c>
      <c r="B192" s="157" t="s">
        <v>51</v>
      </c>
      <c r="C192" s="157">
        <f ca="1">IFERROR(INDEX(BYEs!$B$2:$B$33,MATCH(D192,BYEs!$A$2:$A$33,0)),"N/A")</f>
        <v>10</v>
      </c>
      <c r="D192" s="214" t="str">
        <f t="shared" ca="1" si="14"/>
        <v>CLE</v>
      </c>
      <c r="E192" s="213" t="str">
        <f t="shared" ca="1" si="15"/>
        <v>DEF2</v>
      </c>
      <c r="F192" s="158">
        <f ca="1">IF(LeagueInfo!$H$7="Starter/Bench",INDEX(INDIRECT(""&amp;B192&amp;"!T2:T628"),MATCH(A192,INDIRECT(""&amp;B192&amp;"!B2:B628"),0)),INDEX(INDIRECT(""&amp;B192&amp;"!AB2:AB628"),MATCH(A192,INDIRECT(""&amp;B192&amp;"!B2:B628"),0)))</f>
        <v>1</v>
      </c>
      <c r="G192" s="159">
        <f t="shared" si="16"/>
        <v>0</v>
      </c>
      <c r="H192" s="160"/>
      <c r="I192" s="159">
        <f t="shared" ca="1" si="17"/>
        <v>1</v>
      </c>
      <c r="J192" s="159" t="s">
        <v>73</v>
      </c>
      <c r="K192" s="159">
        <f>IF(LeagueInfo!$F$7="Yahoo",IFERROR(INDEX(DefaultAuctionValues!$B$2:$B$331,MATCH(A192,DefaultAuctionValues!$A$2:$A$331,0)),0),IF(LeagueInfo!$F$7="ESPN",IFERROR(INDEX(DefaultAuctionValues!$C$2:$C$331,MATCH(A192,DefaultAuctionValues!$A$2:$A$331,0)),0),IF(LeagueInfo!$F$7="Custom",IFERROR(INDEX(DefaultAuctionValues!$D$2:$D$331,MATCH(A192,DefaultAuctionValues!$A$2:$A$331,0)),0))))</f>
        <v>1</v>
      </c>
      <c r="L192" s="159">
        <f t="shared" ca="1" si="18"/>
        <v>0</v>
      </c>
      <c r="M192" s="171"/>
      <c r="N192" s="166">
        <f t="shared" ca="1" si="19"/>
        <v>0</v>
      </c>
      <c r="O192" s="157" t="str">
        <f t="shared" ca="1" si="20"/>
        <v/>
      </c>
    </row>
    <row r="193" spans="1:15" x14ac:dyDescent="0.35">
      <c r="A193" s="157" t="s">
        <v>162</v>
      </c>
      <c r="B193" s="157" t="s">
        <v>51</v>
      </c>
      <c r="C193" s="157">
        <f ca="1">IFERROR(INDEX(BYEs!$B$2:$B$33,MATCH(D193,BYEs!$A$2:$A$33,0)),"N/A")</f>
        <v>12</v>
      </c>
      <c r="D193" s="214" t="str">
        <f t="shared" ca="1" si="14"/>
        <v>BUF</v>
      </c>
      <c r="E193" s="213" t="str">
        <f t="shared" ca="1" si="15"/>
        <v>DEF2</v>
      </c>
      <c r="F193" s="158">
        <f ca="1">IF(LeagueInfo!$H$7="Starter/Bench",INDEX(INDIRECT(""&amp;B193&amp;"!T2:T628"),MATCH(A193,INDIRECT(""&amp;B193&amp;"!B2:B628"),0)),INDEX(INDIRECT(""&amp;B193&amp;"!AB2:AB628"),MATCH(A193,INDIRECT(""&amp;B193&amp;"!B2:B628"),0)))</f>
        <v>1</v>
      </c>
      <c r="G193" s="159">
        <f t="shared" si="16"/>
        <v>0</v>
      </c>
      <c r="H193" s="160"/>
      <c r="I193" s="159">
        <f t="shared" ca="1" si="17"/>
        <v>1</v>
      </c>
      <c r="J193" s="159" t="s">
        <v>73</v>
      </c>
      <c r="K193" s="159">
        <f>IF(LeagueInfo!$F$7="Yahoo",IFERROR(INDEX(DefaultAuctionValues!$B$2:$B$331,MATCH(A193,DefaultAuctionValues!$A$2:$A$331,0)),0),IF(LeagueInfo!$F$7="ESPN",IFERROR(INDEX(DefaultAuctionValues!$C$2:$C$331,MATCH(A193,DefaultAuctionValues!$A$2:$A$331,0)),0),IF(LeagueInfo!$F$7="Custom",IFERROR(INDEX(DefaultAuctionValues!$D$2:$D$331,MATCH(A193,DefaultAuctionValues!$A$2:$A$331,0)),0))))</f>
        <v>1</v>
      </c>
      <c r="L193" s="159">
        <f t="shared" ca="1" si="18"/>
        <v>0</v>
      </c>
      <c r="M193" s="171"/>
      <c r="N193" s="166">
        <f t="shared" ca="1" si="19"/>
        <v>0</v>
      </c>
      <c r="O193" s="157" t="str">
        <f t="shared" ca="1" si="20"/>
        <v/>
      </c>
    </row>
    <row r="194" spans="1:15" x14ac:dyDescent="0.35">
      <c r="A194" s="157" t="s">
        <v>276</v>
      </c>
      <c r="B194" s="157" t="s">
        <v>51</v>
      </c>
      <c r="C194" s="157">
        <f ca="1">IFERROR(INDEX(BYEs!$B$2:$B$33,MATCH(D194,BYEs!$A$2:$A$33,0)),"N/A")</f>
        <v>14</v>
      </c>
      <c r="D194" s="214" t="str">
        <f t="shared" ca="1" si="14"/>
        <v>IND</v>
      </c>
      <c r="E194" s="213" t="str">
        <f t="shared" ca="1" si="15"/>
        <v>DEF2</v>
      </c>
      <c r="F194" s="158">
        <f ca="1">IF(LeagueInfo!$H$7="Starter/Bench",INDEX(INDIRECT(""&amp;B194&amp;"!T2:T628"),MATCH(A194,INDIRECT(""&amp;B194&amp;"!B2:B628"),0)),INDEX(INDIRECT(""&amp;B194&amp;"!AB2:AB628"),MATCH(A194,INDIRECT(""&amp;B194&amp;"!B2:B628"),0)))</f>
        <v>1</v>
      </c>
      <c r="G194" s="159">
        <f t="shared" si="16"/>
        <v>0</v>
      </c>
      <c r="H194" s="160"/>
      <c r="I194" s="159">
        <f t="shared" ca="1" si="17"/>
        <v>1</v>
      </c>
      <c r="J194" s="159" t="s">
        <v>73</v>
      </c>
      <c r="K194" s="159">
        <f>IF(LeagueInfo!$F$7="Yahoo",IFERROR(INDEX(DefaultAuctionValues!$B$2:$B$331,MATCH(A194,DefaultAuctionValues!$A$2:$A$331,0)),0),IF(LeagueInfo!$F$7="ESPN",IFERROR(INDEX(DefaultAuctionValues!$C$2:$C$331,MATCH(A194,DefaultAuctionValues!$A$2:$A$331,0)),0),IF(LeagueInfo!$F$7="Custom",IFERROR(INDEX(DefaultAuctionValues!$D$2:$D$331,MATCH(A194,DefaultAuctionValues!$A$2:$A$331,0)),0))))</f>
        <v>1</v>
      </c>
      <c r="L194" s="159">
        <f t="shared" ca="1" si="18"/>
        <v>0</v>
      </c>
      <c r="M194" s="171"/>
      <c r="N194" s="166">
        <f t="shared" ca="1" si="19"/>
        <v>0</v>
      </c>
      <c r="O194" s="157" t="str">
        <f t="shared" ca="1" si="20"/>
        <v/>
      </c>
    </row>
    <row r="195" spans="1:15" x14ac:dyDescent="0.35">
      <c r="A195" s="157" t="s">
        <v>118</v>
      </c>
      <c r="B195" s="157" t="s">
        <v>51</v>
      </c>
      <c r="C195" s="157">
        <f ca="1">IFERROR(INDEX(BYEs!$B$2:$B$33,MATCH(D195,BYEs!$A$2:$A$33,0)),"N/A")</f>
        <v>6</v>
      </c>
      <c r="D195" s="214" t="str">
        <f t="shared" ca="1" si="14"/>
        <v>MIA</v>
      </c>
      <c r="E195" s="213" t="str">
        <f t="shared" ca="1" si="15"/>
        <v>DEF2</v>
      </c>
      <c r="F195" s="158">
        <f ca="1">IF(LeagueInfo!$H$7="Starter/Bench",INDEX(INDIRECT(""&amp;B195&amp;"!T2:T628"),MATCH(A195,INDIRECT(""&amp;B195&amp;"!B2:B628"),0)),INDEX(INDIRECT(""&amp;B195&amp;"!AB2:AB628"),MATCH(A195,INDIRECT(""&amp;B195&amp;"!B2:B628"),0)))</f>
        <v>1</v>
      </c>
      <c r="G195" s="159">
        <f t="shared" si="16"/>
        <v>0</v>
      </c>
      <c r="H195" s="160"/>
      <c r="I195" s="159">
        <f t="shared" ca="1" si="17"/>
        <v>1</v>
      </c>
      <c r="J195" s="159" t="s">
        <v>73</v>
      </c>
      <c r="K195" s="159">
        <f>IF(LeagueInfo!$F$7="Yahoo",IFERROR(INDEX(DefaultAuctionValues!$B$2:$B$331,MATCH(A195,DefaultAuctionValues!$A$2:$A$331,0)),0),IF(LeagueInfo!$F$7="ESPN",IFERROR(INDEX(DefaultAuctionValues!$C$2:$C$331,MATCH(A195,DefaultAuctionValues!$A$2:$A$331,0)),0),IF(LeagueInfo!$F$7="Custom",IFERROR(INDEX(DefaultAuctionValues!$D$2:$D$331,MATCH(A195,DefaultAuctionValues!$A$2:$A$331,0)),0))))</f>
        <v>1</v>
      </c>
      <c r="L195" s="159">
        <f t="shared" ca="1" si="18"/>
        <v>0</v>
      </c>
      <c r="M195" s="171"/>
      <c r="N195" s="166">
        <f t="shared" ca="1" si="19"/>
        <v>0</v>
      </c>
      <c r="O195" s="157" t="str">
        <f t="shared" ca="1" si="20"/>
        <v/>
      </c>
    </row>
    <row r="196" spans="1:15" x14ac:dyDescent="0.35">
      <c r="A196" s="157" t="s">
        <v>830</v>
      </c>
      <c r="B196" s="157" t="s">
        <v>25</v>
      </c>
      <c r="C196" s="157">
        <f ca="1">IFERROR(INDEX(BYEs!$B$2:$B$33,MATCH(D196,BYEs!$A$2:$A$33,0)),"N/A")</f>
        <v>14</v>
      </c>
      <c r="D196" s="214" t="str">
        <f t="shared" ca="1" si="14"/>
        <v>DEN</v>
      </c>
      <c r="E196" s="213" t="str">
        <f t="shared" ca="1" si="15"/>
        <v>RB7</v>
      </c>
      <c r="F196" s="158">
        <f ca="1">IF(LeagueInfo!$H$7="Starter/Bench",INDEX(INDIRECT(""&amp;B196&amp;"!T2:T628"),MATCH(A196,INDIRECT(""&amp;B196&amp;"!B2:B628"),0)),INDEX(INDIRECT(""&amp;B196&amp;"!AB2:AB628"),MATCH(A196,INDIRECT(""&amp;B196&amp;"!B2:B628"),0)))</f>
        <v>0.97007977643796672</v>
      </c>
      <c r="G196" s="159">
        <f t="shared" si="16"/>
        <v>0</v>
      </c>
      <c r="H196" s="160"/>
      <c r="I196" s="159">
        <f t="shared" ca="1" si="17"/>
        <v>0.97007977643796672</v>
      </c>
      <c r="J196" s="159" t="s">
        <v>73</v>
      </c>
      <c r="K196" s="159">
        <f>IF(LeagueInfo!$F$7="Yahoo",IFERROR(INDEX(DefaultAuctionValues!$B$2:$B$331,MATCH(A196,DefaultAuctionValues!$A$2:$A$331,0)),0),IF(LeagueInfo!$F$7="ESPN",IFERROR(INDEX(DefaultAuctionValues!$C$2:$C$331,MATCH(A196,DefaultAuctionValues!$A$2:$A$331,0)),0),IF(LeagueInfo!$F$7="Custom",IFERROR(INDEX(DefaultAuctionValues!$D$2:$D$331,MATCH(A196,DefaultAuctionValues!$A$2:$A$331,0)),0))))</f>
        <v>1</v>
      </c>
      <c r="L196" s="159">
        <f t="shared" ca="1" si="18"/>
        <v>-2.9920223562033277E-2</v>
      </c>
      <c r="M196" s="171"/>
      <c r="N196" s="166">
        <f t="shared" ca="1" si="19"/>
        <v>2.9400000000000119</v>
      </c>
      <c r="O196" s="157" t="str">
        <f t="shared" ca="1" si="20"/>
        <v/>
      </c>
    </row>
    <row r="197" spans="1:15" x14ac:dyDescent="0.35">
      <c r="A197" s="157" t="s">
        <v>1082</v>
      </c>
      <c r="B197" s="157" t="s">
        <v>32</v>
      </c>
      <c r="C197" s="157">
        <f ca="1">IFERROR(INDEX(BYEs!$B$2:$B$33,MATCH(D197,BYEs!$A$2:$A$33,0)),"N/A")</f>
        <v>7</v>
      </c>
      <c r="D197" s="214" t="str">
        <f t="shared" ca="1" si="14"/>
        <v>DAL</v>
      </c>
      <c r="E197" s="213" t="str">
        <f t="shared" ca="1" si="15"/>
        <v>WR7</v>
      </c>
      <c r="F197" s="158">
        <f ca="1">IF(LeagueInfo!$H$7="Starter/Bench",INDEX(INDIRECT(""&amp;B197&amp;"!T2:T628"),MATCH(A197,INDIRECT(""&amp;B197&amp;"!B2:B628"),0)),INDEX(INDIRECT(""&amp;B197&amp;"!AB2:AB628"),MATCH(A197,INDIRECT(""&amp;B197&amp;"!B2:B628"),0)))</f>
        <v>0.96348059428532418</v>
      </c>
      <c r="G197" s="159">
        <f t="shared" si="16"/>
        <v>0</v>
      </c>
      <c r="H197" s="160"/>
      <c r="I197" s="159">
        <f t="shared" ca="1" si="17"/>
        <v>0.96348059428532418</v>
      </c>
      <c r="J197" s="159" t="s">
        <v>73</v>
      </c>
      <c r="K197" s="159">
        <f>IF(LeagueInfo!$F$7="Yahoo",IFERROR(INDEX(DefaultAuctionValues!$B$2:$B$331,MATCH(A197,DefaultAuctionValues!$A$2:$A$331,0)),0),IF(LeagueInfo!$F$7="ESPN",IFERROR(INDEX(DefaultAuctionValues!$C$2:$C$331,MATCH(A197,DefaultAuctionValues!$A$2:$A$331,0)),0),IF(LeagueInfo!$F$7="Custom",IFERROR(INDEX(DefaultAuctionValues!$D$2:$D$331,MATCH(A197,DefaultAuctionValues!$A$2:$A$331,0)),0))))</f>
        <v>0</v>
      </c>
      <c r="L197" s="159">
        <f t="shared" ca="1" si="18"/>
        <v>0.96348059428532418</v>
      </c>
      <c r="M197" s="171"/>
      <c r="N197" s="166">
        <f t="shared" ca="1" si="19"/>
        <v>2.9200000000000017</v>
      </c>
      <c r="O197" s="157" t="str">
        <f t="shared" ca="1" si="20"/>
        <v/>
      </c>
    </row>
    <row r="198" spans="1:15" x14ac:dyDescent="0.35">
      <c r="A198" s="157" t="s">
        <v>633</v>
      </c>
      <c r="B198" s="157" t="s">
        <v>40</v>
      </c>
      <c r="C198" s="157">
        <f ca="1">IFERROR(INDEX(BYEs!$B$2:$B$33,MATCH(D198,BYEs!$A$2:$A$33,0)),"N/A")</f>
        <v>11</v>
      </c>
      <c r="D198" s="214" t="str">
        <f t="shared" ca="1" si="14"/>
        <v>TB</v>
      </c>
      <c r="E198" s="213" t="str">
        <f t="shared" ca="1" si="15"/>
        <v>TE6</v>
      </c>
      <c r="F198" s="158">
        <f ca="1">IF(LeagueInfo!$H$7="Starter/Bench",INDEX(INDIRECT(""&amp;B198&amp;"!T2:T628"),MATCH(A198,INDIRECT(""&amp;B198&amp;"!B2:B628"),0)),INDEX(INDIRECT(""&amp;B198&amp;"!AB2:AB628"),MATCH(A198,INDIRECT(""&amp;B198&amp;"!B2:B628"),0)))</f>
        <v>0.68301535279815517</v>
      </c>
      <c r="G198" s="159">
        <f t="shared" si="16"/>
        <v>0</v>
      </c>
      <c r="H198" s="160"/>
      <c r="I198" s="159">
        <f t="shared" ca="1" si="17"/>
        <v>0.68301535279815517</v>
      </c>
      <c r="J198" s="159" t="s">
        <v>73</v>
      </c>
      <c r="K198" s="159">
        <f>IF(LeagueInfo!$F$7="Yahoo",IFERROR(INDEX(DefaultAuctionValues!$B$2:$B$331,MATCH(A198,DefaultAuctionValues!$A$2:$A$331,0)),0),IF(LeagueInfo!$F$7="ESPN",IFERROR(INDEX(DefaultAuctionValues!$C$2:$C$331,MATCH(A198,DefaultAuctionValues!$A$2:$A$331,0)),0),IF(LeagueInfo!$F$7="Custom",IFERROR(INDEX(DefaultAuctionValues!$D$2:$D$331,MATCH(A198,DefaultAuctionValues!$A$2:$A$331,0)),0))))</f>
        <v>1</v>
      </c>
      <c r="L198" s="159">
        <f t="shared" ca="1" si="18"/>
        <v>-0.31698464720184483</v>
      </c>
      <c r="M198" s="171"/>
      <c r="N198" s="166">
        <f t="shared" ca="1" si="19"/>
        <v>2.0699999999999932</v>
      </c>
      <c r="O198" s="157" t="str">
        <f t="shared" ca="1" si="20"/>
        <v/>
      </c>
    </row>
    <row r="199" spans="1:15" x14ac:dyDescent="0.35">
      <c r="A199" s="157" t="s">
        <v>862</v>
      </c>
      <c r="B199" s="157" t="s">
        <v>25</v>
      </c>
      <c r="C199" s="157">
        <f ca="1">IFERROR(INDEX(BYEs!$B$2:$B$33,MATCH(D199,BYEs!$A$2:$A$33,0)),"N/A")</f>
        <v>11</v>
      </c>
      <c r="D199" s="214" t="str">
        <f t="shared" ca="1" si="14"/>
        <v>ARI</v>
      </c>
      <c r="E199" s="213" t="str">
        <f t="shared" ca="1" si="15"/>
        <v>RB7</v>
      </c>
      <c r="F199" s="158">
        <f ca="1">IF(LeagueInfo!$H$7="Starter/Bench",INDEX(INDIRECT(""&amp;B199&amp;"!T2:T628"),MATCH(A199,INDIRECT(""&amp;B199&amp;"!B2:B628"),0)),INDEX(INDIRECT(""&amp;B199&amp;"!AB2:AB628"),MATCH(A199,INDIRECT(""&amp;B199&amp;"!B2:B628"),0)))</f>
        <v>0.5823778249704098</v>
      </c>
      <c r="G199" s="159">
        <f t="shared" si="16"/>
        <v>0</v>
      </c>
      <c r="H199" s="160"/>
      <c r="I199" s="159">
        <f t="shared" ca="1" si="17"/>
        <v>0.5823778249704098</v>
      </c>
      <c r="J199" s="159" t="s">
        <v>73</v>
      </c>
      <c r="K199" s="159">
        <f>IF(LeagueInfo!$F$7="Yahoo",IFERROR(INDEX(DefaultAuctionValues!$B$2:$B$331,MATCH(A199,DefaultAuctionValues!$A$2:$A$331,0)),0),IF(LeagueInfo!$F$7="ESPN",IFERROR(INDEX(DefaultAuctionValues!$C$2:$C$331,MATCH(A199,DefaultAuctionValues!$A$2:$A$331,0)),0),IF(LeagueInfo!$F$7="Custom",IFERROR(INDEX(DefaultAuctionValues!$D$2:$D$331,MATCH(A199,DefaultAuctionValues!$A$2:$A$331,0)),0))))</f>
        <v>1.8</v>
      </c>
      <c r="L199" s="159">
        <f t="shared" ca="1" si="18"/>
        <v>-1.2176221750295904</v>
      </c>
      <c r="M199" s="171"/>
      <c r="N199" s="166">
        <f t="shared" ca="1" si="19"/>
        <v>1.7650000000000006</v>
      </c>
      <c r="O199" s="157" t="str">
        <f t="shared" ca="1" si="20"/>
        <v/>
      </c>
    </row>
    <row r="200" spans="1:15" x14ac:dyDescent="0.35">
      <c r="A200" s="157" t="s">
        <v>767</v>
      </c>
      <c r="B200" s="157" t="s">
        <v>25</v>
      </c>
      <c r="C200" s="157">
        <f ca="1">IFERROR(INDEX(BYEs!$B$2:$B$33,MATCH(D200,BYEs!$A$2:$A$33,0)),"N/A")</f>
        <v>10</v>
      </c>
      <c r="D200" s="214" t="str">
        <f t="shared" ca="1" si="14"/>
        <v>SEA</v>
      </c>
      <c r="E200" s="213" t="str">
        <f t="shared" ca="1" si="15"/>
        <v>RB7</v>
      </c>
      <c r="F200" s="158">
        <f ca="1">IF(LeagueInfo!$H$7="Starter/Bench",INDEX(INDIRECT(""&amp;B200&amp;"!T2:T628"),MATCH(A200,INDIRECT(""&amp;B200&amp;"!B2:B628"),0)),INDEX(INDIRECT(""&amp;B200&amp;"!AB2:AB628"),MATCH(A200,INDIRECT(""&amp;B200&amp;"!B2:B628"),0)))</f>
        <v>0.45864315960842478</v>
      </c>
      <c r="G200" s="159">
        <f t="shared" si="16"/>
        <v>0</v>
      </c>
      <c r="H200" s="160"/>
      <c r="I200" s="159">
        <f t="shared" ca="1" si="17"/>
        <v>0.45864315960842478</v>
      </c>
      <c r="J200" s="159" t="s">
        <v>73</v>
      </c>
      <c r="K200" s="159">
        <f>IF(LeagueInfo!$F$7="Yahoo",IFERROR(INDEX(DefaultAuctionValues!$B$2:$B$331,MATCH(A200,DefaultAuctionValues!$A$2:$A$331,0)),0),IF(LeagueInfo!$F$7="ESPN",IFERROR(INDEX(DefaultAuctionValues!$C$2:$C$331,MATCH(A200,DefaultAuctionValues!$A$2:$A$331,0)),0),IF(LeagueInfo!$F$7="Custom",IFERROR(INDEX(DefaultAuctionValues!$D$2:$D$331,MATCH(A200,DefaultAuctionValues!$A$2:$A$331,0)),0))))</f>
        <v>1.2</v>
      </c>
      <c r="L200" s="159">
        <f t="shared" ca="1" si="18"/>
        <v>-0.74135684039157512</v>
      </c>
      <c r="M200" s="171"/>
      <c r="N200" s="166">
        <f t="shared" ca="1" si="19"/>
        <v>1.3900000000000006</v>
      </c>
      <c r="O200" s="157" t="str">
        <f t="shared" ca="1" si="20"/>
        <v/>
      </c>
    </row>
    <row r="201" spans="1:15" x14ac:dyDescent="0.35">
      <c r="A201" s="157" t="s">
        <v>729</v>
      </c>
      <c r="B201" s="157" t="s">
        <v>40</v>
      </c>
      <c r="C201" s="157">
        <f ca="1">IFERROR(INDEX(BYEs!$B$2:$B$33,MATCH(D201,BYEs!$A$2:$A$33,0)),"N/A")</f>
        <v>10</v>
      </c>
      <c r="D201" s="214" t="str">
        <f t="shared" ca="1" si="14"/>
        <v>GB</v>
      </c>
      <c r="E201" s="213" t="str">
        <f t="shared" ca="1" si="15"/>
        <v>TE6</v>
      </c>
      <c r="F201" s="158">
        <f ca="1">IF(LeagueInfo!$H$7="Starter/Bench",INDEX(INDIRECT(""&amp;B201&amp;"!T2:T628"),MATCH(A201,INDIRECT(""&amp;B201&amp;"!B2:B628"),0)),INDEX(INDIRECT(""&amp;B201&amp;"!AB2:AB628"),MATCH(A201,INDIRECT(""&amp;B201&amp;"!B2:B628"),0)))</f>
        <v>0.2705664682582074</v>
      </c>
      <c r="G201" s="159">
        <f t="shared" si="16"/>
        <v>0</v>
      </c>
      <c r="H201" s="160"/>
      <c r="I201" s="159">
        <f t="shared" ca="1" si="17"/>
        <v>0.2705664682582074</v>
      </c>
      <c r="J201" s="159" t="s">
        <v>73</v>
      </c>
      <c r="K201" s="159">
        <f>IF(LeagueInfo!$F$7="Yahoo",IFERROR(INDEX(DefaultAuctionValues!$B$2:$B$331,MATCH(A201,DefaultAuctionValues!$A$2:$A$331,0)),0),IF(LeagueInfo!$F$7="ESPN",IFERROR(INDEX(DefaultAuctionValues!$C$2:$C$331,MATCH(A201,DefaultAuctionValues!$A$2:$A$331,0)),0),IF(LeagueInfo!$F$7="Custom",IFERROR(INDEX(DefaultAuctionValues!$D$2:$D$331,MATCH(A201,DefaultAuctionValues!$A$2:$A$331,0)),0))))</f>
        <v>1</v>
      </c>
      <c r="L201" s="159">
        <f t="shared" ca="1" si="18"/>
        <v>-0.7294335317417926</v>
      </c>
      <c r="M201" s="171"/>
      <c r="N201" s="166">
        <f t="shared" ca="1" si="19"/>
        <v>0.82000000000000028</v>
      </c>
      <c r="O201" s="157" t="str">
        <f t="shared" ca="1" si="20"/>
        <v/>
      </c>
    </row>
    <row r="202" spans="1:15" x14ac:dyDescent="0.35">
      <c r="A202" s="157" t="s">
        <v>548</v>
      </c>
      <c r="B202" s="157" t="s">
        <v>25</v>
      </c>
      <c r="C202" s="157">
        <f ca="1">IFERROR(INDEX(BYEs!$B$2:$B$33,MATCH(D202,BYEs!$A$2:$A$33,0)),"N/A")</f>
        <v>7</v>
      </c>
      <c r="D202" s="214" t="str">
        <f t="shared" ca="1" si="14"/>
        <v>CHI</v>
      </c>
      <c r="E202" s="213" t="str">
        <f t="shared" ca="1" si="15"/>
        <v>RB7</v>
      </c>
      <c r="F202" s="158">
        <f ca="1">IF(LeagueInfo!$H$7="Starter/Bench",INDEX(INDIRECT(""&amp;B202&amp;"!T2:T628"),MATCH(A202,INDIRECT(""&amp;B202&amp;"!B2:B628"),0)),INDEX(INDIRECT(""&amp;B202&amp;"!AB2:AB628"),MATCH(A202,INDIRECT(""&amp;B202&amp;"!B2:B628"),0)))</f>
        <v>0</v>
      </c>
      <c r="G202" s="159">
        <f t="shared" si="16"/>
        <v>0</v>
      </c>
      <c r="H202" s="160"/>
      <c r="I202" s="159">
        <f t="shared" ca="1" si="17"/>
        <v>0</v>
      </c>
      <c r="J202" s="159" t="s">
        <v>73</v>
      </c>
      <c r="K202" s="159">
        <f>IF(LeagueInfo!$F$7="Yahoo",IFERROR(INDEX(DefaultAuctionValues!$B$2:$B$331,MATCH(A202,DefaultAuctionValues!$A$2:$A$331,0)),0),IF(LeagueInfo!$F$7="ESPN",IFERROR(INDEX(DefaultAuctionValues!$C$2:$C$331,MATCH(A202,DefaultAuctionValues!$A$2:$A$331,0)),0),IF(LeagueInfo!$F$7="Custom",IFERROR(INDEX(DefaultAuctionValues!$D$2:$D$331,MATCH(A202,DefaultAuctionValues!$A$2:$A$331,0)),0))))</f>
        <v>1</v>
      </c>
      <c r="L202" s="159">
        <f t="shared" ca="1" si="18"/>
        <v>-1</v>
      </c>
      <c r="M202" s="171"/>
      <c r="N202" s="166">
        <f t="shared" ca="1" si="19"/>
        <v>0</v>
      </c>
      <c r="O202" s="157" t="str">
        <f t="shared" ca="1" si="20"/>
        <v/>
      </c>
    </row>
    <row r="203" spans="1:15" x14ac:dyDescent="0.35">
      <c r="A203" s="157" t="s">
        <v>728</v>
      </c>
      <c r="B203" s="157" t="s">
        <v>32</v>
      </c>
      <c r="C203" s="157">
        <f ca="1">IFERROR(INDEX(BYEs!$B$2:$B$33,MATCH(D203,BYEs!$A$2:$A$33,0)),"N/A")</f>
        <v>10</v>
      </c>
      <c r="D203" s="214" t="str">
        <f t="shared" ca="1" si="14"/>
        <v>GB</v>
      </c>
      <c r="E203" s="213" t="str">
        <f t="shared" ca="1" si="15"/>
        <v>WR7</v>
      </c>
      <c r="F203" s="158">
        <f ca="1">IF(LeagueInfo!$H$7="Starter/Bench",INDEX(INDIRECT(""&amp;B203&amp;"!T2:T628"),MATCH(A203,INDIRECT(""&amp;B203&amp;"!B2:B628"),0)),INDEX(INDIRECT(""&amp;B203&amp;"!AB2:AB628"),MATCH(A203,INDIRECT(""&amp;B203&amp;"!B2:B628"),0)))</f>
        <v>0</v>
      </c>
      <c r="G203" s="159">
        <f t="shared" si="16"/>
        <v>0</v>
      </c>
      <c r="H203" s="160"/>
      <c r="I203" s="159">
        <f t="shared" ca="1" si="17"/>
        <v>0</v>
      </c>
      <c r="J203" s="159" t="s">
        <v>73</v>
      </c>
      <c r="K203" s="159">
        <f>IF(LeagueInfo!$F$7="Yahoo",IFERROR(INDEX(DefaultAuctionValues!$B$2:$B$331,MATCH(A203,DefaultAuctionValues!$A$2:$A$331,0)),0),IF(LeagueInfo!$F$7="ESPN",IFERROR(INDEX(DefaultAuctionValues!$C$2:$C$331,MATCH(A203,DefaultAuctionValues!$A$2:$A$331,0)),0),IF(LeagueInfo!$F$7="Custom",IFERROR(INDEX(DefaultAuctionValues!$D$2:$D$331,MATCH(A203,DefaultAuctionValues!$A$2:$A$331,0)),0))))</f>
        <v>1</v>
      </c>
      <c r="L203" s="159">
        <f t="shared" ca="1" si="18"/>
        <v>-1</v>
      </c>
      <c r="M203" s="171"/>
      <c r="N203" s="166">
        <f t="shared" ca="1" si="19"/>
        <v>0</v>
      </c>
      <c r="O203" s="157" t="str">
        <f t="shared" ca="1" si="20"/>
        <v/>
      </c>
    </row>
    <row r="204" spans="1:15" x14ac:dyDescent="0.35">
      <c r="A204" s="157" t="s">
        <v>647</v>
      </c>
      <c r="B204" s="157" t="s">
        <v>40</v>
      </c>
      <c r="C204" s="157">
        <f ca="1">IFERROR(INDEX(BYEs!$B$2:$B$33,MATCH(D204,BYEs!$A$2:$A$33,0)),"N/A")</f>
        <v>5</v>
      </c>
      <c r="D204" s="214" t="str">
        <f t="shared" ca="1" si="14"/>
        <v>TEN</v>
      </c>
      <c r="E204" s="213" t="str">
        <f t="shared" ca="1" si="15"/>
        <v>TE6</v>
      </c>
      <c r="F204" s="158">
        <f ca="1">IF(LeagueInfo!$H$7="Starter/Bench",INDEX(INDIRECT(""&amp;B204&amp;"!T2:T628"),MATCH(A204,INDIRECT(""&amp;B204&amp;"!B2:B628"),0)),INDEX(INDIRECT(""&amp;B204&amp;"!AB2:AB628"),MATCH(A204,INDIRECT(""&amp;B204&amp;"!B2:B628"),0)))</f>
        <v>0</v>
      </c>
      <c r="G204" s="159">
        <f t="shared" si="16"/>
        <v>0</v>
      </c>
      <c r="H204" s="160"/>
      <c r="I204" s="159">
        <f t="shared" ca="1" si="17"/>
        <v>0</v>
      </c>
      <c r="J204" s="159" t="s">
        <v>73</v>
      </c>
      <c r="K204" s="159">
        <f>IF(LeagueInfo!$F$7="Yahoo",IFERROR(INDEX(DefaultAuctionValues!$B$2:$B$331,MATCH(A204,DefaultAuctionValues!$A$2:$A$331,0)),0),IF(LeagueInfo!$F$7="ESPN",IFERROR(INDEX(DefaultAuctionValues!$C$2:$C$331,MATCH(A204,DefaultAuctionValues!$A$2:$A$331,0)),0),IF(LeagueInfo!$F$7="Custom",IFERROR(INDEX(DefaultAuctionValues!$D$2:$D$331,MATCH(A204,DefaultAuctionValues!$A$2:$A$331,0)),0))))</f>
        <v>1</v>
      </c>
      <c r="L204" s="159">
        <f t="shared" ca="1" si="18"/>
        <v>-1</v>
      </c>
      <c r="M204" s="171"/>
      <c r="N204" s="166">
        <f t="shared" ca="1" si="19"/>
        <v>0</v>
      </c>
      <c r="O204" s="157" t="str">
        <f t="shared" ca="1" si="20"/>
        <v/>
      </c>
    </row>
    <row r="205" spans="1:15" x14ac:dyDescent="0.35">
      <c r="A205" s="157" t="s">
        <v>509</v>
      </c>
      <c r="B205" s="157" t="s">
        <v>26</v>
      </c>
      <c r="C205" s="157">
        <f ca="1">IFERROR(INDEX(BYEs!$B$2:$B$33,MATCH(D205,BYEs!$A$2:$A$33,0)),"N/A")</f>
        <v>10</v>
      </c>
      <c r="D205" s="214" t="str">
        <f t="shared" ref="D205:D268" ca="1" si="21">INDEX(INDIRECT(""&amp;B205&amp;"!F2:F628"),MATCH(A205,INDIRECT(""&amp;B205&amp;"!B2:B628"),0))</f>
        <v>LV</v>
      </c>
      <c r="E205" s="213" t="str">
        <f t="shared" ref="E205:E268" ca="1" si="22">INDEX(INDIRECT(""&amp;$B205&amp;"!AA2:AA628"),MATCH($A205,INDIRECT(""&amp;$B205&amp;"!B2:B628"),0))</f>
        <v>QB5</v>
      </c>
      <c r="F205" s="158">
        <f ca="1">IF(LeagueInfo!$H$7="Starter/Bench",INDEX(INDIRECT(""&amp;B205&amp;"!T2:T628"),MATCH(A205,INDIRECT(""&amp;B205&amp;"!B2:B628"),0)),INDEX(INDIRECT(""&amp;B205&amp;"!AB2:AB628"),MATCH(A205,INDIRECT(""&amp;B205&amp;"!B2:B628"),0)))</f>
        <v>0</v>
      </c>
      <c r="G205" s="159">
        <f t="shared" ref="G205:G268" si="23">IF(H205&gt;0,F205-H205,0)</f>
        <v>0</v>
      </c>
      <c r="H205" s="160"/>
      <c r="I205" s="159">
        <f t="shared" ref="I205:I268" ca="1" si="24">F205*$A$2</f>
        <v>0</v>
      </c>
      <c r="J205" s="159" t="s">
        <v>73</v>
      </c>
      <c r="K205" s="159">
        <f>IF(LeagueInfo!$F$7="Yahoo",IFERROR(INDEX(DefaultAuctionValues!$B$2:$B$331,MATCH(A205,DefaultAuctionValues!$A$2:$A$331,0)),0),IF(LeagueInfo!$F$7="ESPN",IFERROR(INDEX(DefaultAuctionValues!$C$2:$C$331,MATCH(A205,DefaultAuctionValues!$A$2:$A$331,0)),0),IF(LeagueInfo!$F$7="Custom",IFERROR(INDEX(DefaultAuctionValues!$D$2:$D$331,MATCH(A205,DefaultAuctionValues!$A$2:$A$331,0)),0))))</f>
        <v>0</v>
      </c>
      <c r="L205" s="159">
        <f t="shared" ref="L205:L268" ca="1" si="25">I205-K205</f>
        <v>0</v>
      </c>
      <c r="M205" s="171"/>
      <c r="N205" s="166">
        <f t="shared" ref="N205:N268" ca="1" si="26">INDEX(INDIRECT(""&amp;$B205&amp;"!Z2:Z628"),MATCH($A205,INDIRECT(""&amp;$B205&amp;"!B2:B628"),0))</f>
        <v>0</v>
      </c>
      <c r="O205" s="157" t="str">
        <f t="shared" ref="O205:O268" ca="1" si="27">IF(INDEX(INDIRECT(""&amp;$B205&amp;"!W2:W628"),MATCH($A205,INDIRECT(""&amp;$B205&amp;"!B2:B628"),0))=0,"",INDEX(INDIRECT(""&amp;$B205&amp;"!W2:W628"),MATCH($A205,INDIRECT(""&amp;$B205&amp;"!B2:B628"),0)))</f>
        <v/>
      </c>
    </row>
    <row r="206" spans="1:15" x14ac:dyDescent="0.35">
      <c r="A206" s="157" t="s">
        <v>156</v>
      </c>
      <c r="B206" s="157" t="s">
        <v>51</v>
      </c>
      <c r="C206" s="157">
        <f ca="1">IFERROR(INDEX(BYEs!$B$2:$B$33,MATCH(D206,BYEs!$A$2:$A$33,0)),"N/A")</f>
        <v>12</v>
      </c>
      <c r="D206" s="214" t="str">
        <f t="shared" ca="1" si="21"/>
        <v>CIN</v>
      </c>
      <c r="E206" s="213" t="str">
        <f t="shared" ca="1" si="22"/>
        <v>DEF2</v>
      </c>
      <c r="F206" s="158">
        <f ca="1">IF(LeagueInfo!$H$7="Starter/Bench",INDEX(INDIRECT(""&amp;B206&amp;"!T2:T628"),MATCH(A206,INDIRECT(""&amp;B206&amp;"!B2:B628"),0)),INDEX(INDIRECT(""&amp;B206&amp;"!AB2:AB628"),MATCH(A206,INDIRECT(""&amp;B206&amp;"!B2:B628"),0)))</f>
        <v>0</v>
      </c>
      <c r="G206" s="159">
        <f t="shared" si="23"/>
        <v>0</v>
      </c>
      <c r="H206" s="160"/>
      <c r="I206" s="159">
        <f t="shared" ca="1" si="24"/>
        <v>0</v>
      </c>
      <c r="J206" s="159" t="s">
        <v>73</v>
      </c>
      <c r="K206" s="159">
        <f>IF(LeagueInfo!$F$7="Yahoo",IFERROR(INDEX(DefaultAuctionValues!$B$2:$B$331,MATCH(A206,DefaultAuctionValues!$A$2:$A$331,0)),0),IF(LeagueInfo!$F$7="ESPN",IFERROR(INDEX(DefaultAuctionValues!$C$2:$C$331,MATCH(A206,DefaultAuctionValues!$A$2:$A$331,0)),0),IF(LeagueInfo!$F$7="Custom",IFERROR(INDEX(DefaultAuctionValues!$D$2:$D$331,MATCH(A206,DefaultAuctionValues!$A$2:$A$331,0)),0))))</f>
        <v>1</v>
      </c>
      <c r="L206" s="159">
        <f t="shared" ca="1" si="25"/>
        <v>-1</v>
      </c>
      <c r="M206" s="171"/>
      <c r="N206" s="166">
        <f t="shared" ca="1" si="26"/>
        <v>0</v>
      </c>
      <c r="O206" s="157" t="str">
        <f t="shared" ca="1" si="27"/>
        <v/>
      </c>
    </row>
    <row r="207" spans="1:15" x14ac:dyDescent="0.35">
      <c r="A207" s="157" t="s">
        <v>150</v>
      </c>
      <c r="B207" s="157" t="s">
        <v>51</v>
      </c>
      <c r="C207" s="157">
        <f ca="1">IFERROR(INDEX(BYEs!$B$2:$B$33,MATCH(D207,BYEs!$A$2:$A$33,0)),"N/A")</f>
        <v>5</v>
      </c>
      <c r="D207" s="214" t="str">
        <f t="shared" ca="1" si="21"/>
        <v>LAC</v>
      </c>
      <c r="E207" s="213" t="str">
        <f t="shared" ca="1" si="22"/>
        <v>DEF2</v>
      </c>
      <c r="F207" s="158">
        <f ca="1">IF(LeagueInfo!$H$7="Starter/Bench",INDEX(INDIRECT(""&amp;B207&amp;"!T2:T628"),MATCH(A207,INDIRECT(""&amp;B207&amp;"!B2:B628"),0)),INDEX(INDIRECT(""&amp;B207&amp;"!AB2:AB628"),MATCH(A207,INDIRECT(""&amp;B207&amp;"!B2:B628"),0)))</f>
        <v>0</v>
      </c>
      <c r="G207" s="159">
        <f t="shared" si="23"/>
        <v>0</v>
      </c>
      <c r="H207" s="160"/>
      <c r="I207" s="159">
        <f t="shared" ca="1" si="24"/>
        <v>0</v>
      </c>
      <c r="J207" s="159" t="s">
        <v>73</v>
      </c>
      <c r="K207" s="159">
        <f>IF(LeagueInfo!$F$7="Yahoo",IFERROR(INDEX(DefaultAuctionValues!$B$2:$B$331,MATCH(A207,DefaultAuctionValues!$A$2:$A$331,0)),0),IF(LeagueInfo!$F$7="ESPN",IFERROR(INDEX(DefaultAuctionValues!$C$2:$C$331,MATCH(A207,DefaultAuctionValues!$A$2:$A$331,0)),0),IF(LeagueInfo!$F$7="Custom",IFERROR(INDEX(DefaultAuctionValues!$D$2:$D$331,MATCH(A207,DefaultAuctionValues!$A$2:$A$331,0)),0))))</f>
        <v>1</v>
      </c>
      <c r="L207" s="159">
        <f t="shared" ca="1" si="25"/>
        <v>-1</v>
      </c>
      <c r="M207" s="171"/>
      <c r="N207" s="166">
        <f t="shared" ca="1" si="26"/>
        <v>0</v>
      </c>
      <c r="O207" s="157" t="str">
        <f t="shared" ca="1" si="27"/>
        <v/>
      </c>
    </row>
    <row r="208" spans="1:15" x14ac:dyDescent="0.35">
      <c r="A208" s="157" t="s">
        <v>155</v>
      </c>
      <c r="B208" s="157" t="s">
        <v>51</v>
      </c>
      <c r="C208" s="157">
        <f ca="1">IFERROR(INDEX(BYEs!$B$2:$B$33,MATCH(D208,BYEs!$A$2:$A$33,0)),"N/A")</f>
        <v>12</v>
      </c>
      <c r="D208" s="214" t="str">
        <f t="shared" ca="1" si="21"/>
        <v>JAC</v>
      </c>
      <c r="E208" s="213" t="str">
        <f t="shared" ca="1" si="22"/>
        <v>DEF2</v>
      </c>
      <c r="F208" s="158">
        <f ca="1">IF(LeagueInfo!$H$7="Starter/Bench",INDEX(INDIRECT(""&amp;B208&amp;"!T2:T628"),MATCH(A208,INDIRECT(""&amp;B208&amp;"!B2:B628"),0)),INDEX(INDIRECT(""&amp;B208&amp;"!AB2:AB628"),MATCH(A208,INDIRECT(""&amp;B208&amp;"!B2:B628"),0)))</f>
        <v>0</v>
      </c>
      <c r="G208" s="159">
        <f t="shared" si="23"/>
        <v>0</v>
      </c>
      <c r="H208" s="160"/>
      <c r="I208" s="159">
        <f t="shared" ca="1" si="24"/>
        <v>0</v>
      </c>
      <c r="J208" s="159" t="s">
        <v>73</v>
      </c>
      <c r="K208" s="159">
        <f>IF(LeagueInfo!$F$7="Yahoo",IFERROR(INDEX(DefaultAuctionValues!$B$2:$B$331,MATCH(A208,DefaultAuctionValues!$A$2:$A$331,0)),0),IF(LeagueInfo!$F$7="ESPN",IFERROR(INDEX(DefaultAuctionValues!$C$2:$C$331,MATCH(A208,DefaultAuctionValues!$A$2:$A$331,0)),0),IF(LeagueInfo!$F$7="Custom",IFERROR(INDEX(DefaultAuctionValues!$D$2:$D$331,MATCH(A208,DefaultAuctionValues!$A$2:$A$331,0)),0))))</f>
        <v>1</v>
      </c>
      <c r="L208" s="159">
        <f t="shared" ca="1" si="25"/>
        <v>-1</v>
      </c>
      <c r="M208" s="171"/>
      <c r="N208" s="166">
        <f t="shared" ca="1" si="26"/>
        <v>0</v>
      </c>
      <c r="O208" s="157" t="str">
        <f t="shared" ca="1" si="27"/>
        <v/>
      </c>
    </row>
    <row r="209" spans="1:15" x14ac:dyDescent="0.35">
      <c r="A209" s="157" t="s">
        <v>154</v>
      </c>
      <c r="B209" s="157" t="s">
        <v>51</v>
      </c>
      <c r="C209" s="157">
        <f ca="1">IFERROR(INDEX(BYEs!$B$2:$B$33,MATCH(D209,BYEs!$A$2:$A$33,0)),"N/A")</f>
        <v>10</v>
      </c>
      <c r="D209" s="214" t="str">
        <f t="shared" ca="1" si="21"/>
        <v>GB</v>
      </c>
      <c r="E209" s="213" t="str">
        <f t="shared" ca="1" si="22"/>
        <v>DEF2</v>
      </c>
      <c r="F209" s="158">
        <f ca="1">IF(LeagueInfo!$H$7="Starter/Bench",INDEX(INDIRECT(""&amp;B209&amp;"!T2:T628"),MATCH(A209,INDIRECT(""&amp;B209&amp;"!B2:B628"),0)),INDEX(INDIRECT(""&amp;B209&amp;"!AB2:AB628"),MATCH(A209,INDIRECT(""&amp;B209&amp;"!B2:B628"),0)))</f>
        <v>0</v>
      </c>
      <c r="G209" s="159">
        <f t="shared" si="23"/>
        <v>0</v>
      </c>
      <c r="H209" s="160"/>
      <c r="I209" s="159">
        <f t="shared" ca="1" si="24"/>
        <v>0</v>
      </c>
      <c r="J209" s="159" t="s">
        <v>73</v>
      </c>
      <c r="K209" s="159">
        <f>IF(LeagueInfo!$F$7="Yahoo",IFERROR(INDEX(DefaultAuctionValues!$B$2:$B$331,MATCH(A209,DefaultAuctionValues!$A$2:$A$331,0)),0),IF(LeagueInfo!$F$7="ESPN",IFERROR(INDEX(DefaultAuctionValues!$C$2:$C$331,MATCH(A209,DefaultAuctionValues!$A$2:$A$331,0)),0),IF(LeagueInfo!$F$7="Custom",IFERROR(INDEX(DefaultAuctionValues!$D$2:$D$331,MATCH(A209,DefaultAuctionValues!$A$2:$A$331,0)),0))))</f>
        <v>1</v>
      </c>
      <c r="L209" s="159">
        <f t="shared" ca="1" si="25"/>
        <v>-1</v>
      </c>
      <c r="M209" s="171"/>
      <c r="N209" s="166">
        <f t="shared" ca="1" si="26"/>
        <v>0</v>
      </c>
      <c r="O209" s="157" t="str">
        <f t="shared" ca="1" si="27"/>
        <v/>
      </c>
    </row>
    <row r="210" spans="1:15" x14ac:dyDescent="0.35">
      <c r="A210" s="157" t="s">
        <v>584</v>
      </c>
      <c r="B210" s="157" t="s">
        <v>51</v>
      </c>
      <c r="C210" s="157">
        <f ca="1">IFERROR(INDEX(BYEs!$B$2:$B$33,MATCH(D210,BYEs!$A$2:$A$33,0)),"N/A")</f>
        <v>14</v>
      </c>
      <c r="D210" s="214" t="str">
        <f t="shared" ca="1" si="21"/>
        <v>WAS</v>
      </c>
      <c r="E210" s="213" t="str">
        <f t="shared" ca="1" si="22"/>
        <v>DEF2</v>
      </c>
      <c r="F210" s="158">
        <f ca="1">IF(LeagueInfo!$H$7="Starter/Bench",INDEX(INDIRECT(""&amp;B210&amp;"!T2:T628"),MATCH(A210,INDIRECT(""&amp;B210&amp;"!B2:B628"),0)),INDEX(INDIRECT(""&amp;B210&amp;"!AB2:AB628"),MATCH(A210,INDIRECT(""&amp;B210&amp;"!B2:B628"),0)))</f>
        <v>0</v>
      </c>
      <c r="G210" s="159">
        <f t="shared" si="23"/>
        <v>0</v>
      </c>
      <c r="H210" s="160"/>
      <c r="I210" s="159">
        <f t="shared" ca="1" si="24"/>
        <v>0</v>
      </c>
      <c r="J210" s="159" t="s">
        <v>73</v>
      </c>
      <c r="K210" s="159">
        <f>IF(LeagueInfo!$F$7="Yahoo",IFERROR(INDEX(DefaultAuctionValues!$B$2:$B$331,MATCH(A210,DefaultAuctionValues!$A$2:$A$331,0)),0),IF(LeagueInfo!$F$7="ESPN",IFERROR(INDEX(DefaultAuctionValues!$C$2:$C$331,MATCH(A210,DefaultAuctionValues!$A$2:$A$331,0)),0),IF(LeagueInfo!$F$7="Custom",IFERROR(INDEX(DefaultAuctionValues!$D$2:$D$331,MATCH(A210,DefaultAuctionValues!$A$2:$A$331,0)),0))))</f>
        <v>1</v>
      </c>
      <c r="L210" s="159">
        <f t="shared" ca="1" si="25"/>
        <v>-1</v>
      </c>
      <c r="M210" s="171"/>
      <c r="N210" s="166">
        <f t="shared" ca="1" si="26"/>
        <v>0</v>
      </c>
      <c r="O210" s="157" t="str">
        <f t="shared" ca="1" si="27"/>
        <v/>
      </c>
    </row>
    <row r="211" spans="1:15" x14ac:dyDescent="0.35">
      <c r="A211" s="157" t="s">
        <v>152</v>
      </c>
      <c r="B211" s="157" t="s">
        <v>51</v>
      </c>
      <c r="C211" s="157">
        <f ca="1">IFERROR(INDEX(BYEs!$B$2:$B$33,MATCH(D211,BYEs!$A$2:$A$33,0)),"N/A")</f>
        <v>11</v>
      </c>
      <c r="D211" s="214" t="str">
        <f t="shared" ca="1" si="21"/>
        <v>NYG</v>
      </c>
      <c r="E211" s="213" t="str">
        <f t="shared" ca="1" si="22"/>
        <v>DEF2</v>
      </c>
      <c r="F211" s="158">
        <f ca="1">IF(LeagueInfo!$H$7="Starter/Bench",INDEX(INDIRECT(""&amp;B211&amp;"!T2:T628"),MATCH(A211,INDIRECT(""&amp;B211&amp;"!B2:B628"),0)),INDEX(INDIRECT(""&amp;B211&amp;"!AB2:AB628"),MATCH(A211,INDIRECT(""&amp;B211&amp;"!B2:B628"),0)))</f>
        <v>0</v>
      </c>
      <c r="G211" s="159">
        <f t="shared" si="23"/>
        <v>0</v>
      </c>
      <c r="H211" s="160"/>
      <c r="I211" s="159">
        <f t="shared" ca="1" si="24"/>
        <v>0</v>
      </c>
      <c r="J211" s="159" t="s">
        <v>73</v>
      </c>
      <c r="K211" s="159">
        <f>IF(LeagueInfo!$F$7="Yahoo",IFERROR(INDEX(DefaultAuctionValues!$B$2:$B$331,MATCH(A211,DefaultAuctionValues!$A$2:$A$331,0)),0),IF(LeagueInfo!$F$7="ESPN",IFERROR(INDEX(DefaultAuctionValues!$C$2:$C$331,MATCH(A211,DefaultAuctionValues!$A$2:$A$331,0)),0),IF(LeagueInfo!$F$7="Custom",IFERROR(INDEX(DefaultAuctionValues!$D$2:$D$331,MATCH(A211,DefaultAuctionValues!$A$2:$A$331,0)),0))))</f>
        <v>1</v>
      </c>
      <c r="L211" s="159">
        <f t="shared" ca="1" si="25"/>
        <v>-1</v>
      </c>
      <c r="M211" s="171"/>
      <c r="N211" s="166">
        <f t="shared" ca="1" si="26"/>
        <v>0</v>
      </c>
      <c r="O211" s="157" t="str">
        <f t="shared" ca="1" si="27"/>
        <v/>
      </c>
    </row>
    <row r="212" spans="1:15" x14ac:dyDescent="0.35">
      <c r="A212" s="157" t="s">
        <v>279</v>
      </c>
      <c r="B212" s="157" t="s">
        <v>51</v>
      </c>
      <c r="C212" s="157">
        <f ca="1">IFERROR(INDEX(BYEs!$B$2:$B$33,MATCH(D212,BYEs!$A$2:$A$33,0)),"N/A")</f>
        <v>12</v>
      </c>
      <c r="D212" s="214" t="str">
        <f t="shared" ca="1" si="21"/>
        <v>NO</v>
      </c>
      <c r="E212" s="213" t="str">
        <f t="shared" ca="1" si="22"/>
        <v>DEF2</v>
      </c>
      <c r="F212" s="158">
        <f ca="1">IF(LeagueInfo!$H$7="Starter/Bench",INDEX(INDIRECT(""&amp;B212&amp;"!T2:T628"),MATCH(A212,INDIRECT(""&amp;B212&amp;"!B2:B628"),0)),INDEX(INDIRECT(""&amp;B212&amp;"!AB2:AB628"),MATCH(A212,INDIRECT(""&amp;B212&amp;"!B2:B628"),0)))</f>
        <v>0</v>
      </c>
      <c r="G212" s="159">
        <f t="shared" si="23"/>
        <v>0</v>
      </c>
      <c r="H212" s="160"/>
      <c r="I212" s="159">
        <f t="shared" ca="1" si="24"/>
        <v>0</v>
      </c>
      <c r="J212" s="159" t="s">
        <v>73</v>
      </c>
      <c r="K212" s="159">
        <f>IF(LeagueInfo!$F$7="Yahoo",IFERROR(INDEX(DefaultAuctionValues!$B$2:$B$331,MATCH(A212,DefaultAuctionValues!$A$2:$A$331,0)),0),IF(LeagueInfo!$F$7="ESPN",IFERROR(INDEX(DefaultAuctionValues!$C$2:$C$331,MATCH(A212,DefaultAuctionValues!$A$2:$A$331,0)),0),IF(LeagueInfo!$F$7="Custom",IFERROR(INDEX(DefaultAuctionValues!$D$2:$D$331,MATCH(A212,DefaultAuctionValues!$A$2:$A$331,0)),0))))</f>
        <v>1</v>
      </c>
      <c r="L212" s="159">
        <f t="shared" ca="1" si="25"/>
        <v>-1</v>
      </c>
      <c r="M212" s="171"/>
      <c r="N212" s="166">
        <f t="shared" ca="1" si="26"/>
        <v>0</v>
      </c>
      <c r="O212" s="157" t="str">
        <f t="shared" ca="1" si="27"/>
        <v/>
      </c>
    </row>
    <row r="213" spans="1:15" x14ac:dyDescent="0.35">
      <c r="A213" s="157" t="s">
        <v>112</v>
      </c>
      <c r="B213" s="157" t="s">
        <v>51</v>
      </c>
      <c r="C213" s="157">
        <f ca="1">IFERROR(INDEX(BYEs!$B$2:$B$33,MATCH(D213,BYEs!$A$2:$A$33,0)),"N/A")</f>
        <v>10</v>
      </c>
      <c r="D213" s="214" t="str">
        <f t="shared" ca="1" si="21"/>
        <v>SEA</v>
      </c>
      <c r="E213" s="213" t="str">
        <f t="shared" ca="1" si="22"/>
        <v>DEF2</v>
      </c>
      <c r="F213" s="158">
        <f ca="1">IF(LeagueInfo!$H$7="Starter/Bench",INDEX(INDIRECT(""&amp;B213&amp;"!T2:T628"),MATCH(A213,INDIRECT(""&amp;B213&amp;"!B2:B628"),0)),INDEX(INDIRECT(""&amp;B213&amp;"!AB2:AB628"),MATCH(A213,INDIRECT(""&amp;B213&amp;"!B2:B628"),0)))</f>
        <v>0</v>
      </c>
      <c r="G213" s="159">
        <f t="shared" si="23"/>
        <v>0</v>
      </c>
      <c r="H213" s="160"/>
      <c r="I213" s="159">
        <f t="shared" ca="1" si="24"/>
        <v>0</v>
      </c>
      <c r="J213" s="159" t="s">
        <v>73</v>
      </c>
      <c r="K213" s="159">
        <f>IF(LeagueInfo!$F$7="Yahoo",IFERROR(INDEX(DefaultAuctionValues!$B$2:$B$331,MATCH(A213,DefaultAuctionValues!$A$2:$A$331,0)),0),IF(LeagueInfo!$F$7="ESPN",IFERROR(INDEX(DefaultAuctionValues!$C$2:$C$331,MATCH(A213,DefaultAuctionValues!$A$2:$A$331,0)),0),IF(LeagueInfo!$F$7="Custom",IFERROR(INDEX(DefaultAuctionValues!$D$2:$D$331,MATCH(A213,DefaultAuctionValues!$A$2:$A$331,0)),0))))</f>
        <v>1</v>
      </c>
      <c r="L213" s="159">
        <f t="shared" ca="1" si="25"/>
        <v>-1</v>
      </c>
      <c r="M213" s="171"/>
      <c r="N213" s="166">
        <f t="shared" ca="1" si="26"/>
        <v>0</v>
      </c>
      <c r="O213" s="157" t="str">
        <f t="shared" ca="1" si="27"/>
        <v/>
      </c>
    </row>
    <row r="214" spans="1:15" x14ac:dyDescent="0.35">
      <c r="A214" s="157" t="s">
        <v>148</v>
      </c>
      <c r="B214" s="157" t="s">
        <v>51</v>
      </c>
      <c r="C214" s="157">
        <f ca="1">IFERROR(INDEX(BYEs!$B$2:$B$33,MATCH(D214,BYEs!$A$2:$A$33,0)),"N/A")</f>
        <v>11</v>
      </c>
      <c r="D214" s="214" t="str">
        <f t="shared" ca="1" si="21"/>
        <v>TB</v>
      </c>
      <c r="E214" s="213" t="str">
        <f t="shared" ca="1" si="22"/>
        <v>DEF2</v>
      </c>
      <c r="F214" s="158">
        <f ca="1">IF(LeagueInfo!$H$7="Starter/Bench",INDEX(INDIRECT(""&amp;B214&amp;"!T2:T628"),MATCH(A214,INDIRECT(""&amp;B214&amp;"!B2:B628"),0)),INDEX(INDIRECT(""&amp;B214&amp;"!AB2:AB628"),MATCH(A214,INDIRECT(""&amp;B214&amp;"!B2:B628"),0)))</f>
        <v>0</v>
      </c>
      <c r="G214" s="159">
        <f t="shared" si="23"/>
        <v>0</v>
      </c>
      <c r="H214" s="160"/>
      <c r="I214" s="159">
        <f t="shared" ca="1" si="24"/>
        <v>0</v>
      </c>
      <c r="J214" s="159" t="s">
        <v>73</v>
      </c>
      <c r="K214" s="159">
        <f>IF(LeagueInfo!$F$7="Yahoo",IFERROR(INDEX(DefaultAuctionValues!$B$2:$B$331,MATCH(A214,DefaultAuctionValues!$A$2:$A$331,0)),0),IF(LeagueInfo!$F$7="ESPN",IFERROR(INDEX(DefaultAuctionValues!$C$2:$C$331,MATCH(A214,DefaultAuctionValues!$A$2:$A$331,0)),0),IF(LeagueInfo!$F$7="Custom",IFERROR(INDEX(DefaultAuctionValues!$D$2:$D$331,MATCH(A214,DefaultAuctionValues!$A$2:$A$331,0)),0))))</f>
        <v>1</v>
      </c>
      <c r="L214" s="159">
        <f t="shared" ca="1" si="25"/>
        <v>-1</v>
      </c>
      <c r="M214" s="171"/>
      <c r="N214" s="166">
        <f t="shared" ca="1" si="26"/>
        <v>0</v>
      </c>
      <c r="O214" s="157" t="str">
        <f t="shared" ca="1" si="27"/>
        <v/>
      </c>
    </row>
    <row r="215" spans="1:15" x14ac:dyDescent="0.35">
      <c r="A215" s="157" t="s">
        <v>477</v>
      </c>
      <c r="B215" s="157" t="s">
        <v>51</v>
      </c>
      <c r="C215" s="157">
        <f ca="1">IFERROR(INDEX(BYEs!$B$2:$B$33,MATCH(D215,BYEs!$A$2:$A$33,0)),"N/A")</f>
        <v>10</v>
      </c>
      <c r="D215" s="214" t="str">
        <f t="shared" ca="1" si="21"/>
        <v>LV</v>
      </c>
      <c r="E215" s="213" t="str">
        <f t="shared" ca="1" si="22"/>
        <v>DEF2</v>
      </c>
      <c r="F215" s="158">
        <f ca="1">IF(LeagueInfo!$H$7="Starter/Bench",INDEX(INDIRECT(""&amp;B215&amp;"!T2:T628"),MATCH(A215,INDIRECT(""&amp;B215&amp;"!B2:B628"),0)),INDEX(INDIRECT(""&amp;B215&amp;"!AB2:AB628"),MATCH(A215,INDIRECT(""&amp;B215&amp;"!B2:B628"),0)))</f>
        <v>0</v>
      </c>
      <c r="G215" s="159">
        <f t="shared" si="23"/>
        <v>0</v>
      </c>
      <c r="H215" s="160"/>
      <c r="I215" s="159">
        <f t="shared" ca="1" si="24"/>
        <v>0</v>
      </c>
      <c r="J215" s="159" t="s">
        <v>73</v>
      </c>
      <c r="K215" s="159">
        <f>IF(LeagueInfo!$F$7="Yahoo",IFERROR(INDEX(DefaultAuctionValues!$B$2:$B$331,MATCH(A215,DefaultAuctionValues!$A$2:$A$331,0)),0),IF(LeagueInfo!$F$7="ESPN",IFERROR(INDEX(DefaultAuctionValues!$C$2:$C$331,MATCH(A215,DefaultAuctionValues!$A$2:$A$331,0)),0),IF(LeagueInfo!$F$7="Custom",IFERROR(INDEX(DefaultAuctionValues!$D$2:$D$331,MATCH(A215,DefaultAuctionValues!$A$2:$A$331,0)),0))))</f>
        <v>1</v>
      </c>
      <c r="L215" s="159">
        <f t="shared" ca="1" si="25"/>
        <v>-1</v>
      </c>
      <c r="M215" s="171"/>
      <c r="N215" s="166">
        <f t="shared" ca="1" si="26"/>
        <v>0</v>
      </c>
      <c r="O215" s="157" t="str">
        <f t="shared" ca="1" si="27"/>
        <v/>
      </c>
    </row>
    <row r="216" spans="1:15" x14ac:dyDescent="0.35">
      <c r="A216" s="157" t="s">
        <v>122</v>
      </c>
      <c r="B216" s="157" t="s">
        <v>51</v>
      </c>
      <c r="C216" s="157">
        <f ca="1">IFERROR(INDEX(BYEs!$B$2:$B$33,MATCH(D216,BYEs!$A$2:$A$33,0)),"N/A")</f>
        <v>12</v>
      </c>
      <c r="D216" s="214" t="str">
        <f t="shared" ca="1" si="21"/>
        <v>ATL</v>
      </c>
      <c r="E216" s="213" t="str">
        <f t="shared" ca="1" si="22"/>
        <v>DEF2</v>
      </c>
      <c r="F216" s="158">
        <f ca="1">IF(LeagueInfo!$H$7="Starter/Bench",INDEX(INDIRECT(""&amp;B216&amp;"!T2:T628"),MATCH(A216,INDIRECT(""&amp;B216&amp;"!B2:B628"),0)),INDEX(INDIRECT(""&amp;B216&amp;"!AB2:AB628"),MATCH(A216,INDIRECT(""&amp;B216&amp;"!B2:B628"),0)))</f>
        <v>0</v>
      </c>
      <c r="G216" s="159">
        <f t="shared" si="23"/>
        <v>0</v>
      </c>
      <c r="H216" s="160"/>
      <c r="I216" s="159">
        <f t="shared" ca="1" si="24"/>
        <v>0</v>
      </c>
      <c r="J216" s="159" t="s">
        <v>73</v>
      </c>
      <c r="K216" s="159">
        <f>IF(LeagueInfo!$F$7="Yahoo",IFERROR(INDEX(DefaultAuctionValues!$B$2:$B$331,MATCH(A216,DefaultAuctionValues!$A$2:$A$331,0)),0),IF(LeagueInfo!$F$7="ESPN",IFERROR(INDEX(DefaultAuctionValues!$C$2:$C$331,MATCH(A216,DefaultAuctionValues!$A$2:$A$331,0)),0),IF(LeagueInfo!$F$7="Custom",IFERROR(INDEX(DefaultAuctionValues!$D$2:$D$331,MATCH(A216,DefaultAuctionValues!$A$2:$A$331,0)),0))))</f>
        <v>1</v>
      </c>
      <c r="L216" s="159">
        <f t="shared" ca="1" si="25"/>
        <v>-1</v>
      </c>
      <c r="M216" s="171"/>
      <c r="N216" s="166">
        <f t="shared" ca="1" si="26"/>
        <v>0</v>
      </c>
      <c r="O216" s="157" t="str">
        <f t="shared" ca="1" si="27"/>
        <v/>
      </c>
    </row>
    <row r="217" spans="1:15" x14ac:dyDescent="0.35">
      <c r="A217" s="157" t="s">
        <v>109</v>
      </c>
      <c r="B217" s="157" t="s">
        <v>51</v>
      </c>
      <c r="C217" s="157">
        <f ca="1">IFERROR(INDEX(BYEs!$B$2:$B$33,MATCH(D217,BYEs!$A$2:$A$33,0)),"N/A")</f>
        <v>14</v>
      </c>
      <c r="D217" s="214" t="str">
        <f t="shared" ca="1" si="21"/>
        <v>DEN</v>
      </c>
      <c r="E217" s="213" t="str">
        <f t="shared" ca="1" si="22"/>
        <v>DEF2</v>
      </c>
      <c r="F217" s="158">
        <f ca="1">IF(LeagueInfo!$H$7="Starter/Bench",INDEX(INDIRECT(""&amp;B217&amp;"!T2:T628"),MATCH(A217,INDIRECT(""&amp;B217&amp;"!B2:B628"),0)),INDEX(INDIRECT(""&amp;B217&amp;"!AB2:AB628"),MATCH(A217,INDIRECT(""&amp;B217&amp;"!B2:B628"),0)))</f>
        <v>0</v>
      </c>
      <c r="G217" s="159">
        <f t="shared" si="23"/>
        <v>0</v>
      </c>
      <c r="H217" s="160"/>
      <c r="I217" s="159">
        <f t="shared" ca="1" si="24"/>
        <v>0</v>
      </c>
      <c r="J217" s="159" t="s">
        <v>73</v>
      </c>
      <c r="K217" s="159">
        <f>IF(LeagueInfo!$F$7="Yahoo",IFERROR(INDEX(DefaultAuctionValues!$B$2:$B$331,MATCH(A217,DefaultAuctionValues!$A$2:$A$331,0)),0),IF(LeagueInfo!$F$7="ESPN",IFERROR(INDEX(DefaultAuctionValues!$C$2:$C$331,MATCH(A217,DefaultAuctionValues!$A$2:$A$331,0)),0),IF(LeagueInfo!$F$7="Custom",IFERROR(INDEX(DefaultAuctionValues!$D$2:$D$331,MATCH(A217,DefaultAuctionValues!$A$2:$A$331,0)),0))))</f>
        <v>1</v>
      </c>
      <c r="L217" s="159">
        <f t="shared" ca="1" si="25"/>
        <v>-1</v>
      </c>
      <c r="M217" s="171"/>
      <c r="N217" s="166">
        <f t="shared" ca="1" si="26"/>
        <v>0</v>
      </c>
      <c r="O217" s="157" t="str">
        <f t="shared" ca="1" si="27"/>
        <v/>
      </c>
    </row>
    <row r="218" spans="1:15" x14ac:dyDescent="0.35">
      <c r="A218" s="157" t="s">
        <v>131</v>
      </c>
      <c r="B218" s="157" t="s">
        <v>51</v>
      </c>
      <c r="C218" s="157">
        <f ca="1">IFERROR(INDEX(BYEs!$B$2:$B$33,MATCH(D218,BYEs!$A$2:$A$33,0)),"N/A")</f>
        <v>6</v>
      </c>
      <c r="D218" s="214" t="str">
        <f t="shared" ca="1" si="21"/>
        <v>MIN</v>
      </c>
      <c r="E218" s="213" t="str">
        <f t="shared" ca="1" si="22"/>
        <v>DEF2</v>
      </c>
      <c r="F218" s="158">
        <f ca="1">IF(LeagueInfo!$H$7="Starter/Bench",INDEX(INDIRECT(""&amp;B218&amp;"!T2:T628"),MATCH(A218,INDIRECT(""&amp;B218&amp;"!B2:B628"),0)),INDEX(INDIRECT(""&amp;B218&amp;"!AB2:AB628"),MATCH(A218,INDIRECT(""&amp;B218&amp;"!B2:B628"),0)))</f>
        <v>0</v>
      </c>
      <c r="G218" s="159">
        <f t="shared" si="23"/>
        <v>0</v>
      </c>
      <c r="H218" s="160"/>
      <c r="I218" s="159">
        <f t="shared" ca="1" si="24"/>
        <v>0</v>
      </c>
      <c r="J218" s="159" t="s">
        <v>73</v>
      </c>
      <c r="K218" s="159">
        <f>IF(LeagueInfo!$F$7="Yahoo",IFERROR(INDEX(DefaultAuctionValues!$B$2:$B$331,MATCH(A218,DefaultAuctionValues!$A$2:$A$331,0)),0),IF(LeagueInfo!$F$7="ESPN",IFERROR(INDEX(DefaultAuctionValues!$C$2:$C$331,MATCH(A218,DefaultAuctionValues!$A$2:$A$331,0)),0),IF(LeagueInfo!$F$7="Custom",IFERROR(INDEX(DefaultAuctionValues!$D$2:$D$331,MATCH(A218,DefaultAuctionValues!$A$2:$A$331,0)),0))))</f>
        <v>1</v>
      </c>
      <c r="L218" s="159">
        <f t="shared" ca="1" si="25"/>
        <v>-1</v>
      </c>
      <c r="M218" s="171"/>
      <c r="N218" s="166">
        <f t="shared" ca="1" si="26"/>
        <v>0</v>
      </c>
      <c r="O218" s="157" t="str">
        <f t="shared" ca="1" si="27"/>
        <v/>
      </c>
    </row>
    <row r="219" spans="1:15" x14ac:dyDescent="0.35">
      <c r="A219" s="157" t="s">
        <v>274</v>
      </c>
      <c r="B219" s="157" t="s">
        <v>51</v>
      </c>
      <c r="C219" s="157">
        <f ca="1">IFERROR(INDEX(BYEs!$B$2:$B$33,MATCH(D219,BYEs!$A$2:$A$33,0)),"N/A")</f>
        <v>5</v>
      </c>
      <c r="D219" s="214" t="str">
        <f t="shared" ca="1" si="21"/>
        <v>DET</v>
      </c>
      <c r="E219" s="213" t="str">
        <f t="shared" ca="1" si="22"/>
        <v>DEF2</v>
      </c>
      <c r="F219" s="158">
        <f ca="1">IF(LeagueInfo!$H$7="Starter/Bench",INDEX(INDIRECT(""&amp;B219&amp;"!T2:T628"),MATCH(A219,INDIRECT(""&amp;B219&amp;"!B2:B628"),0)),INDEX(INDIRECT(""&amp;B219&amp;"!AB2:AB628"),MATCH(A219,INDIRECT(""&amp;B219&amp;"!B2:B628"),0)))</f>
        <v>0</v>
      </c>
      <c r="G219" s="159">
        <f t="shared" si="23"/>
        <v>0</v>
      </c>
      <c r="H219" s="160"/>
      <c r="I219" s="159">
        <f t="shared" ca="1" si="24"/>
        <v>0</v>
      </c>
      <c r="J219" s="159" t="s">
        <v>73</v>
      </c>
      <c r="K219" s="159">
        <f>IF(LeagueInfo!$F$7="Yahoo",IFERROR(INDEX(DefaultAuctionValues!$B$2:$B$331,MATCH(A219,DefaultAuctionValues!$A$2:$A$331,0)),0),IF(LeagueInfo!$F$7="ESPN",IFERROR(INDEX(DefaultAuctionValues!$C$2:$C$331,MATCH(A219,DefaultAuctionValues!$A$2:$A$331,0)),0),IF(LeagueInfo!$F$7="Custom",IFERROR(INDEX(DefaultAuctionValues!$D$2:$D$331,MATCH(A219,DefaultAuctionValues!$A$2:$A$331,0)),0))))</f>
        <v>1</v>
      </c>
      <c r="L219" s="159">
        <f t="shared" ca="1" si="25"/>
        <v>-1</v>
      </c>
      <c r="M219" s="171"/>
      <c r="N219" s="166">
        <f t="shared" ca="1" si="26"/>
        <v>0</v>
      </c>
      <c r="O219" s="157" t="str">
        <f t="shared" ca="1" si="27"/>
        <v/>
      </c>
    </row>
    <row r="220" spans="1:15" x14ac:dyDescent="0.35">
      <c r="A220" s="157" t="s">
        <v>275</v>
      </c>
      <c r="B220" s="157" t="s">
        <v>51</v>
      </c>
      <c r="C220" s="157">
        <f ca="1">IFERROR(INDEX(BYEs!$B$2:$B$33,MATCH(D220,BYEs!$A$2:$A$33,0)),"N/A")</f>
        <v>7</v>
      </c>
      <c r="D220" s="214" t="str">
        <f t="shared" ca="1" si="21"/>
        <v>CHI</v>
      </c>
      <c r="E220" s="213" t="str">
        <f t="shared" ca="1" si="22"/>
        <v>DEF3</v>
      </c>
      <c r="F220" s="158">
        <f ca="1">IF(LeagueInfo!$H$7="Starter/Bench",INDEX(INDIRECT(""&amp;B220&amp;"!T2:T628"),MATCH(A220,INDIRECT(""&amp;B220&amp;"!B2:B628"),0)),INDEX(INDIRECT(""&amp;B220&amp;"!AB2:AB628"),MATCH(A220,INDIRECT(""&amp;B220&amp;"!B2:B628"),0)))</f>
        <v>0</v>
      </c>
      <c r="G220" s="159">
        <f t="shared" si="23"/>
        <v>0</v>
      </c>
      <c r="H220" s="160"/>
      <c r="I220" s="159">
        <f t="shared" ca="1" si="24"/>
        <v>0</v>
      </c>
      <c r="J220" s="159" t="s">
        <v>73</v>
      </c>
      <c r="K220" s="159">
        <f>IF(LeagueInfo!$F$7="Yahoo",IFERROR(INDEX(DefaultAuctionValues!$B$2:$B$331,MATCH(A220,DefaultAuctionValues!$A$2:$A$331,0)),0),IF(LeagueInfo!$F$7="ESPN",IFERROR(INDEX(DefaultAuctionValues!$C$2:$C$331,MATCH(A220,DefaultAuctionValues!$A$2:$A$331,0)),0),IF(LeagueInfo!$F$7="Custom",IFERROR(INDEX(DefaultAuctionValues!$D$2:$D$331,MATCH(A220,DefaultAuctionValues!$A$2:$A$331,0)),0))))</f>
        <v>1</v>
      </c>
      <c r="L220" s="159">
        <f t="shared" ca="1" si="25"/>
        <v>-1</v>
      </c>
      <c r="M220" s="171"/>
      <c r="N220" s="166">
        <f t="shared" ca="1" si="26"/>
        <v>0</v>
      </c>
      <c r="O220" s="157" t="str">
        <f t="shared" ca="1" si="27"/>
        <v/>
      </c>
    </row>
    <row r="221" spans="1:15" x14ac:dyDescent="0.35">
      <c r="A221" s="157" t="s">
        <v>130</v>
      </c>
      <c r="B221" s="157" t="s">
        <v>51</v>
      </c>
      <c r="C221" s="157">
        <f ca="1">IFERROR(INDEX(BYEs!$B$2:$B$33,MATCH(D221,BYEs!$A$2:$A$33,0)),"N/A")</f>
        <v>6</v>
      </c>
      <c r="D221" s="214" t="str">
        <f t="shared" ca="1" si="21"/>
        <v>LAR</v>
      </c>
      <c r="E221" s="213" t="str">
        <f t="shared" ca="1" si="22"/>
        <v>DEF3</v>
      </c>
      <c r="F221" s="158">
        <f ca="1">IF(LeagueInfo!$H$7="Starter/Bench",INDEX(INDIRECT(""&amp;B221&amp;"!T2:T628"),MATCH(A221,INDIRECT(""&amp;B221&amp;"!B2:B628"),0)),INDEX(INDIRECT(""&amp;B221&amp;"!AB2:AB628"),MATCH(A221,INDIRECT(""&amp;B221&amp;"!B2:B628"),0)))</f>
        <v>0</v>
      </c>
      <c r="G221" s="159">
        <f t="shared" si="23"/>
        <v>0</v>
      </c>
      <c r="H221" s="160"/>
      <c r="I221" s="159">
        <f t="shared" ca="1" si="24"/>
        <v>0</v>
      </c>
      <c r="J221" s="159" t="s">
        <v>73</v>
      </c>
      <c r="K221" s="159">
        <f>IF(LeagueInfo!$F$7="Yahoo",IFERROR(INDEX(DefaultAuctionValues!$B$2:$B$331,MATCH(A221,DefaultAuctionValues!$A$2:$A$331,0)),0),IF(LeagueInfo!$F$7="ESPN",IFERROR(INDEX(DefaultAuctionValues!$C$2:$C$331,MATCH(A221,DefaultAuctionValues!$A$2:$A$331,0)),0),IF(LeagueInfo!$F$7="Custom",IFERROR(INDEX(DefaultAuctionValues!$D$2:$D$331,MATCH(A221,DefaultAuctionValues!$A$2:$A$331,0)),0))))</f>
        <v>1</v>
      </c>
      <c r="L221" s="159">
        <f t="shared" ca="1" si="25"/>
        <v>-1</v>
      </c>
      <c r="M221" s="171"/>
      <c r="N221" s="166">
        <f t="shared" ca="1" si="26"/>
        <v>0</v>
      </c>
      <c r="O221" s="157" t="str">
        <f t="shared" ca="1" si="27"/>
        <v/>
      </c>
    </row>
    <row r="222" spans="1:15" x14ac:dyDescent="0.35">
      <c r="A222" s="157" t="s">
        <v>134</v>
      </c>
      <c r="B222" s="157" t="s">
        <v>51</v>
      </c>
      <c r="C222" s="157">
        <f ca="1">IFERROR(INDEX(BYEs!$B$2:$B$33,MATCH(D222,BYEs!$A$2:$A$33,0)),"N/A")</f>
        <v>5</v>
      </c>
      <c r="D222" s="214" t="str">
        <f t="shared" ca="1" si="21"/>
        <v>TEN</v>
      </c>
      <c r="E222" s="213" t="str">
        <f t="shared" ca="1" si="22"/>
        <v>DEF3</v>
      </c>
      <c r="F222" s="158">
        <f ca="1">IF(LeagueInfo!$H$7="Starter/Bench",INDEX(INDIRECT(""&amp;B222&amp;"!T2:T628"),MATCH(A222,INDIRECT(""&amp;B222&amp;"!B2:B628"),0)),INDEX(INDIRECT(""&amp;B222&amp;"!AB2:AB628"),MATCH(A222,INDIRECT(""&amp;B222&amp;"!B2:B628"),0)))</f>
        <v>0</v>
      </c>
      <c r="G222" s="159">
        <f t="shared" si="23"/>
        <v>0</v>
      </c>
      <c r="H222" s="160"/>
      <c r="I222" s="159">
        <f t="shared" ca="1" si="24"/>
        <v>0</v>
      </c>
      <c r="J222" s="159" t="s">
        <v>73</v>
      </c>
      <c r="K222" s="159">
        <f>IF(LeagueInfo!$F$7="Yahoo",IFERROR(INDEX(DefaultAuctionValues!$B$2:$B$331,MATCH(A222,DefaultAuctionValues!$A$2:$A$331,0)),0),IF(LeagueInfo!$F$7="ESPN",IFERROR(INDEX(DefaultAuctionValues!$C$2:$C$331,MATCH(A222,DefaultAuctionValues!$A$2:$A$331,0)),0),IF(LeagueInfo!$F$7="Custom",IFERROR(INDEX(DefaultAuctionValues!$D$2:$D$331,MATCH(A222,DefaultAuctionValues!$A$2:$A$331,0)),0))))</f>
        <v>1</v>
      </c>
      <c r="L222" s="159">
        <f t="shared" ca="1" si="25"/>
        <v>-1</v>
      </c>
      <c r="M222" s="171"/>
      <c r="N222" s="166">
        <f t="shared" ca="1" si="26"/>
        <v>0</v>
      </c>
      <c r="O222" s="157" t="str">
        <f t="shared" ca="1" si="27"/>
        <v/>
      </c>
    </row>
    <row r="223" spans="1:15" x14ac:dyDescent="0.35">
      <c r="A223" s="157" t="s">
        <v>125</v>
      </c>
      <c r="B223" s="157" t="s">
        <v>51</v>
      </c>
      <c r="C223" s="157">
        <f ca="1">IFERROR(INDEX(BYEs!$B$2:$B$33,MATCH(D223,BYEs!$A$2:$A$33,0)),"N/A")</f>
        <v>14</v>
      </c>
      <c r="D223" s="214" t="str">
        <f t="shared" ca="1" si="21"/>
        <v>NE</v>
      </c>
      <c r="E223" s="213" t="str">
        <f t="shared" ca="1" si="22"/>
        <v>DEF3</v>
      </c>
      <c r="F223" s="158">
        <f ca="1">IF(LeagueInfo!$H$7="Starter/Bench",INDEX(INDIRECT(""&amp;B223&amp;"!T2:T628"),MATCH(A223,INDIRECT(""&amp;B223&amp;"!B2:B628"),0)),INDEX(INDIRECT(""&amp;B223&amp;"!AB2:AB628"),MATCH(A223,INDIRECT(""&amp;B223&amp;"!B2:B628"),0)))</f>
        <v>0</v>
      </c>
      <c r="G223" s="159">
        <f t="shared" si="23"/>
        <v>0</v>
      </c>
      <c r="H223" s="160"/>
      <c r="I223" s="159">
        <f t="shared" ca="1" si="24"/>
        <v>0</v>
      </c>
      <c r="J223" s="159" t="s">
        <v>73</v>
      </c>
      <c r="K223" s="159">
        <f>IF(LeagueInfo!$F$7="Yahoo",IFERROR(INDEX(DefaultAuctionValues!$B$2:$B$331,MATCH(A223,DefaultAuctionValues!$A$2:$A$331,0)),0),IF(LeagueInfo!$F$7="ESPN",IFERROR(INDEX(DefaultAuctionValues!$C$2:$C$331,MATCH(A223,DefaultAuctionValues!$A$2:$A$331,0)),0),IF(LeagueInfo!$F$7="Custom",IFERROR(INDEX(DefaultAuctionValues!$D$2:$D$331,MATCH(A223,DefaultAuctionValues!$A$2:$A$331,0)),0))))</f>
        <v>1</v>
      </c>
      <c r="L223" s="159">
        <f t="shared" ca="1" si="25"/>
        <v>-1</v>
      </c>
      <c r="M223" s="171"/>
      <c r="N223" s="166">
        <f t="shared" ca="1" si="26"/>
        <v>0</v>
      </c>
      <c r="O223" s="157" t="str">
        <f t="shared" ca="1" si="27"/>
        <v/>
      </c>
    </row>
    <row r="224" spans="1:15" x14ac:dyDescent="0.35">
      <c r="A224" s="157" t="s">
        <v>136</v>
      </c>
      <c r="B224" s="157" t="s">
        <v>51</v>
      </c>
      <c r="C224" s="157">
        <f ca="1">IFERROR(INDEX(BYEs!$B$2:$B$33,MATCH(D224,BYEs!$A$2:$A$33,0)),"N/A")</f>
        <v>11</v>
      </c>
      <c r="D224" s="214" t="str">
        <f t="shared" ca="1" si="21"/>
        <v>ARI</v>
      </c>
      <c r="E224" s="213" t="str">
        <f t="shared" ca="1" si="22"/>
        <v>DEF3</v>
      </c>
      <c r="F224" s="158">
        <f ca="1">IF(LeagueInfo!$H$7="Starter/Bench",INDEX(INDIRECT(""&amp;B224&amp;"!T2:T628"),MATCH(A224,INDIRECT(""&amp;B224&amp;"!B2:B628"),0)),INDEX(INDIRECT(""&amp;B224&amp;"!AB2:AB628"),MATCH(A224,INDIRECT(""&amp;B224&amp;"!B2:B628"),0)))</f>
        <v>0</v>
      </c>
      <c r="G224" s="159">
        <f t="shared" si="23"/>
        <v>0</v>
      </c>
      <c r="H224" s="160"/>
      <c r="I224" s="159">
        <f t="shared" ca="1" si="24"/>
        <v>0</v>
      </c>
      <c r="J224" s="159" t="s">
        <v>73</v>
      </c>
      <c r="K224" s="159">
        <f>IF(LeagueInfo!$F$7="Yahoo",IFERROR(INDEX(DefaultAuctionValues!$B$2:$B$331,MATCH(A224,DefaultAuctionValues!$A$2:$A$331,0)),0),IF(LeagueInfo!$F$7="ESPN",IFERROR(INDEX(DefaultAuctionValues!$C$2:$C$331,MATCH(A224,DefaultAuctionValues!$A$2:$A$331,0)),0),IF(LeagueInfo!$F$7="Custom",IFERROR(INDEX(DefaultAuctionValues!$D$2:$D$331,MATCH(A224,DefaultAuctionValues!$A$2:$A$331,0)),0))))</f>
        <v>1</v>
      </c>
      <c r="L224" s="159">
        <f t="shared" ca="1" si="25"/>
        <v>-1</v>
      </c>
      <c r="M224" s="171"/>
      <c r="N224" s="166">
        <f t="shared" ca="1" si="26"/>
        <v>0</v>
      </c>
      <c r="O224" s="157" t="str">
        <f t="shared" ca="1" si="27"/>
        <v/>
      </c>
    </row>
    <row r="225" spans="1:15" x14ac:dyDescent="0.35">
      <c r="A225" s="157" t="s">
        <v>273</v>
      </c>
      <c r="B225" s="157" t="s">
        <v>51</v>
      </c>
      <c r="C225" s="157">
        <f ca="1">IFERROR(INDEX(BYEs!$B$2:$B$33,MATCH(D225,BYEs!$A$2:$A$33,0)),"N/A")</f>
        <v>11</v>
      </c>
      <c r="D225" s="214" t="str">
        <f t="shared" ca="1" si="21"/>
        <v>CAR</v>
      </c>
      <c r="E225" s="213" t="str">
        <f t="shared" ca="1" si="22"/>
        <v>DEF3</v>
      </c>
      <c r="F225" s="158">
        <f ca="1">IF(LeagueInfo!$H$7="Starter/Bench",INDEX(INDIRECT(""&amp;B225&amp;"!T2:T628"),MATCH(A225,INDIRECT(""&amp;B225&amp;"!B2:B628"),0)),INDEX(INDIRECT(""&amp;B225&amp;"!AB2:AB628"),MATCH(A225,INDIRECT(""&amp;B225&amp;"!B2:B628"),0)))</f>
        <v>0</v>
      </c>
      <c r="G225" s="159">
        <f t="shared" si="23"/>
        <v>0</v>
      </c>
      <c r="H225" s="160"/>
      <c r="I225" s="159">
        <f t="shared" ca="1" si="24"/>
        <v>0</v>
      </c>
      <c r="J225" s="159" t="s">
        <v>73</v>
      </c>
      <c r="K225" s="159">
        <f>IF(LeagueInfo!$F$7="Yahoo",IFERROR(INDEX(DefaultAuctionValues!$B$2:$B$331,MATCH(A225,DefaultAuctionValues!$A$2:$A$331,0)),0),IF(LeagueInfo!$F$7="ESPN",IFERROR(INDEX(DefaultAuctionValues!$C$2:$C$331,MATCH(A225,DefaultAuctionValues!$A$2:$A$331,0)),0),IF(LeagueInfo!$F$7="Custom",IFERROR(INDEX(DefaultAuctionValues!$D$2:$D$331,MATCH(A225,DefaultAuctionValues!$A$2:$A$331,0)),0))))</f>
        <v>1</v>
      </c>
      <c r="L225" s="159">
        <f t="shared" ca="1" si="25"/>
        <v>-1</v>
      </c>
      <c r="M225" s="171"/>
      <c r="N225" s="166">
        <f t="shared" ca="1" si="26"/>
        <v>0</v>
      </c>
      <c r="O225" s="157" t="str">
        <f t="shared" ca="1" si="27"/>
        <v/>
      </c>
    </row>
    <row r="226" spans="1:15" x14ac:dyDescent="0.35">
      <c r="A226" s="157" t="s">
        <v>159</v>
      </c>
      <c r="B226" s="157" t="s">
        <v>45</v>
      </c>
      <c r="C226" s="157">
        <f ca="1">IFERROR(INDEX(BYEs!$B$2:$B$33,MATCH(D226,BYEs!$A$2:$A$33,0)),"N/A")</f>
        <v>7</v>
      </c>
      <c r="D226" s="214" t="str">
        <f t="shared" ca="1" si="21"/>
        <v>CHI</v>
      </c>
      <c r="E226" s="213" t="str">
        <f t="shared" ca="1" si="22"/>
        <v>K1</v>
      </c>
      <c r="F226" s="158">
        <f ca="1">IF(LeagueInfo!$H$7="Starter/Bench",INDEX(INDIRECT(""&amp;B226&amp;"!T2:T628"),MATCH(A226,INDIRECT(""&amp;B226&amp;"!B2:B628"),0)),INDEX(INDIRECT(""&amp;B226&amp;"!AB2:AB628"),MATCH(A226,INDIRECT(""&amp;B226&amp;"!B2:B628"),0)))</f>
        <v>0</v>
      </c>
      <c r="G226" s="159">
        <f t="shared" si="23"/>
        <v>0</v>
      </c>
      <c r="H226" s="160"/>
      <c r="I226" s="159">
        <f t="shared" ca="1" si="24"/>
        <v>0</v>
      </c>
      <c r="J226" s="159" t="s">
        <v>73</v>
      </c>
      <c r="K226" s="159">
        <f>IF(LeagueInfo!$F$7="Yahoo",IFERROR(INDEX(DefaultAuctionValues!$B$2:$B$331,MATCH(A226,DefaultAuctionValues!$A$2:$A$331,0)),0),IF(LeagueInfo!$F$7="ESPN",IFERROR(INDEX(DefaultAuctionValues!$C$2:$C$331,MATCH(A226,DefaultAuctionValues!$A$2:$A$331,0)),0),IF(LeagueInfo!$F$7="Custom",IFERROR(INDEX(DefaultAuctionValues!$D$2:$D$331,MATCH(A226,DefaultAuctionValues!$A$2:$A$331,0)),0))))</f>
        <v>1</v>
      </c>
      <c r="L226" s="159">
        <f t="shared" ca="1" si="25"/>
        <v>-1</v>
      </c>
      <c r="M226" s="171"/>
      <c r="N226" s="166">
        <f t="shared" ca="1" si="26"/>
        <v>-0.40000000000000568</v>
      </c>
      <c r="O226" s="157" t="str">
        <f t="shared" ca="1" si="27"/>
        <v/>
      </c>
    </row>
    <row r="227" spans="1:15" x14ac:dyDescent="0.35">
      <c r="A227" s="157" t="s">
        <v>766</v>
      </c>
      <c r="B227" s="157" t="s">
        <v>45</v>
      </c>
      <c r="C227" s="157">
        <f ca="1">IFERROR(INDEX(BYEs!$B$2:$B$33,MATCH(D227,BYEs!$A$2:$A$33,0)),"N/A")</f>
        <v>9</v>
      </c>
      <c r="D227" s="214" t="str">
        <f t="shared" ca="1" si="21"/>
        <v>SF</v>
      </c>
      <c r="E227" s="213" t="str">
        <f t="shared" ca="1" si="22"/>
        <v>K1</v>
      </c>
      <c r="F227" s="158">
        <f ca="1">IF(LeagueInfo!$H$7="Starter/Bench",INDEX(INDIRECT(""&amp;B227&amp;"!T2:T628"),MATCH(A227,INDIRECT(""&amp;B227&amp;"!B2:B628"),0)),INDEX(INDIRECT(""&amp;B227&amp;"!AB2:AB628"),MATCH(A227,INDIRECT(""&amp;B227&amp;"!B2:B628"),0)))</f>
        <v>0</v>
      </c>
      <c r="G227" s="159">
        <f t="shared" si="23"/>
        <v>0</v>
      </c>
      <c r="H227" s="160"/>
      <c r="I227" s="159">
        <f t="shared" ca="1" si="24"/>
        <v>0</v>
      </c>
      <c r="J227" s="159" t="s">
        <v>73</v>
      </c>
      <c r="K227" s="159">
        <f>IF(LeagueInfo!$F$7="Yahoo",IFERROR(INDEX(DefaultAuctionValues!$B$2:$B$331,MATCH(A227,DefaultAuctionValues!$A$2:$A$331,0)),0),IF(LeagueInfo!$F$7="ESPN",IFERROR(INDEX(DefaultAuctionValues!$C$2:$C$331,MATCH(A227,DefaultAuctionValues!$A$2:$A$331,0)),0),IF(LeagueInfo!$F$7="Custom",IFERROR(INDEX(DefaultAuctionValues!$D$2:$D$331,MATCH(A227,DefaultAuctionValues!$A$2:$A$331,0)),0))))</f>
        <v>1</v>
      </c>
      <c r="L227" s="159">
        <f t="shared" ca="1" si="25"/>
        <v>-1</v>
      </c>
      <c r="M227" s="171"/>
      <c r="N227" s="166">
        <f t="shared" ca="1" si="26"/>
        <v>-0.5</v>
      </c>
      <c r="O227" s="157" t="str">
        <f t="shared" ca="1" si="27"/>
        <v/>
      </c>
    </row>
    <row r="228" spans="1:15" x14ac:dyDescent="0.35">
      <c r="A228" s="157" t="s">
        <v>460</v>
      </c>
      <c r="B228" s="157" t="s">
        <v>45</v>
      </c>
      <c r="C228" s="157">
        <f ca="1">IFERROR(INDEX(BYEs!$B$2:$B$33,MATCH(D228,BYEs!$A$2:$A$33,0)),"N/A")</f>
        <v>14</v>
      </c>
      <c r="D228" s="214" t="str">
        <f t="shared" ca="1" si="21"/>
        <v>IND</v>
      </c>
      <c r="E228" s="213" t="str">
        <f t="shared" ca="1" si="22"/>
        <v>K1</v>
      </c>
      <c r="F228" s="158">
        <f ca="1">IF(LeagueInfo!$H$7="Starter/Bench",INDEX(INDIRECT(""&amp;B228&amp;"!T2:T628"),MATCH(A228,INDIRECT(""&amp;B228&amp;"!B2:B628"),0)),INDEX(INDIRECT(""&amp;B228&amp;"!AB2:AB628"),MATCH(A228,INDIRECT(""&amp;B228&amp;"!B2:B628"),0)))</f>
        <v>0</v>
      </c>
      <c r="G228" s="159">
        <f t="shared" si="23"/>
        <v>0</v>
      </c>
      <c r="H228" s="160"/>
      <c r="I228" s="159">
        <f t="shared" ca="1" si="24"/>
        <v>0</v>
      </c>
      <c r="J228" s="159" t="s">
        <v>73</v>
      </c>
      <c r="K228" s="159">
        <f>IF(LeagueInfo!$F$7="Yahoo",IFERROR(INDEX(DefaultAuctionValues!$B$2:$B$331,MATCH(A228,DefaultAuctionValues!$A$2:$A$331,0)),0),IF(LeagueInfo!$F$7="ESPN",IFERROR(INDEX(DefaultAuctionValues!$C$2:$C$331,MATCH(A228,DefaultAuctionValues!$A$2:$A$331,0)),0),IF(LeagueInfo!$F$7="Custom",IFERROR(INDEX(DefaultAuctionValues!$D$2:$D$331,MATCH(A228,DefaultAuctionValues!$A$2:$A$331,0)),0))))</f>
        <v>1</v>
      </c>
      <c r="L228" s="159">
        <f t="shared" ca="1" si="25"/>
        <v>-1</v>
      </c>
      <c r="M228" s="171"/>
      <c r="N228" s="166">
        <f t="shared" ca="1" si="26"/>
        <v>-0.90000000000000568</v>
      </c>
      <c r="O228" s="157" t="str">
        <f t="shared" ca="1" si="27"/>
        <v/>
      </c>
    </row>
    <row r="229" spans="1:15" x14ac:dyDescent="0.35">
      <c r="A229" s="157" t="s">
        <v>1185</v>
      </c>
      <c r="B229" s="157" t="s">
        <v>45</v>
      </c>
      <c r="C229" s="157">
        <f ca="1">IFERROR(INDEX(BYEs!$B$2:$B$33,MATCH(D229,BYEs!$A$2:$A$33,0)),"N/A")</f>
        <v>10</v>
      </c>
      <c r="D229" s="214" t="str">
        <f t="shared" ca="1" si="21"/>
        <v>GB</v>
      </c>
      <c r="E229" s="213" t="str">
        <f t="shared" ca="1" si="22"/>
        <v>K1</v>
      </c>
      <c r="F229" s="158">
        <f ca="1">IF(LeagueInfo!$H$7="Starter/Bench",INDEX(INDIRECT(""&amp;B229&amp;"!T2:T628"),MATCH(A229,INDIRECT(""&amp;B229&amp;"!B2:B628"),0)),INDEX(INDIRECT(""&amp;B229&amp;"!AB2:AB628"),MATCH(A229,INDIRECT(""&amp;B229&amp;"!B2:B628"),0)))</f>
        <v>0</v>
      </c>
      <c r="G229" s="159">
        <f t="shared" si="23"/>
        <v>0</v>
      </c>
      <c r="H229" s="160"/>
      <c r="I229" s="159">
        <f t="shared" ca="1" si="24"/>
        <v>0</v>
      </c>
      <c r="J229" s="159" t="s">
        <v>73</v>
      </c>
      <c r="K229" s="159">
        <f>IF(LeagueInfo!$F$7="Yahoo",IFERROR(INDEX(DefaultAuctionValues!$B$2:$B$331,MATCH(A229,DefaultAuctionValues!$A$2:$A$331,0)),0),IF(LeagueInfo!$F$7="ESPN",IFERROR(INDEX(DefaultAuctionValues!$C$2:$C$331,MATCH(A229,DefaultAuctionValues!$A$2:$A$331,0)),0),IF(LeagueInfo!$F$7="Custom",IFERROR(INDEX(DefaultAuctionValues!$D$2:$D$331,MATCH(A229,DefaultAuctionValues!$A$2:$A$331,0)),0))))</f>
        <v>0</v>
      </c>
      <c r="L229" s="159">
        <f t="shared" ca="1" si="25"/>
        <v>0</v>
      </c>
      <c r="M229" s="171"/>
      <c r="N229" s="166">
        <f t="shared" ca="1" si="26"/>
        <v>-2</v>
      </c>
      <c r="O229" s="157" t="str">
        <f t="shared" ca="1" si="27"/>
        <v/>
      </c>
    </row>
    <row r="230" spans="1:15" x14ac:dyDescent="0.35">
      <c r="A230" s="157" t="s">
        <v>380</v>
      </c>
      <c r="B230" s="157" t="s">
        <v>45</v>
      </c>
      <c r="C230" s="157">
        <f ca="1">IFERROR(INDEX(BYEs!$B$2:$B$33,MATCH(D230,BYEs!$A$2:$A$33,0)),"N/A")</f>
        <v>6</v>
      </c>
      <c r="D230" s="214" t="str">
        <f t="shared" ca="1" si="21"/>
        <v>MIA</v>
      </c>
      <c r="E230" s="213" t="str">
        <f t="shared" ca="1" si="22"/>
        <v>K1</v>
      </c>
      <c r="F230" s="158">
        <f ca="1">IF(LeagueInfo!$H$7="Starter/Bench",INDEX(INDIRECT(""&amp;B230&amp;"!T2:T628"),MATCH(A230,INDIRECT(""&amp;B230&amp;"!B2:B628"),0)),INDEX(INDIRECT(""&amp;B230&amp;"!AB2:AB628"),MATCH(A230,INDIRECT(""&amp;B230&amp;"!B2:B628"),0)))</f>
        <v>0</v>
      </c>
      <c r="G230" s="159">
        <f t="shared" si="23"/>
        <v>0</v>
      </c>
      <c r="H230" s="160"/>
      <c r="I230" s="159">
        <f t="shared" ca="1" si="24"/>
        <v>0</v>
      </c>
      <c r="J230" s="159" t="s">
        <v>73</v>
      </c>
      <c r="K230" s="159">
        <f>IF(LeagueInfo!$F$7="Yahoo",IFERROR(INDEX(DefaultAuctionValues!$B$2:$B$331,MATCH(A230,DefaultAuctionValues!$A$2:$A$331,0)),0),IF(LeagueInfo!$F$7="ESPN",IFERROR(INDEX(DefaultAuctionValues!$C$2:$C$331,MATCH(A230,DefaultAuctionValues!$A$2:$A$331,0)),0),IF(LeagueInfo!$F$7="Custom",IFERROR(INDEX(DefaultAuctionValues!$D$2:$D$331,MATCH(A230,DefaultAuctionValues!$A$2:$A$331,0)),0))))</f>
        <v>1</v>
      </c>
      <c r="L230" s="159">
        <f t="shared" ca="1" si="25"/>
        <v>-1</v>
      </c>
      <c r="M230" s="171"/>
      <c r="N230" s="166">
        <f t="shared" ca="1" si="26"/>
        <v>-2.0999999999999943</v>
      </c>
      <c r="O230" s="157" t="str">
        <f t="shared" ca="1" si="27"/>
        <v/>
      </c>
    </row>
    <row r="231" spans="1:15" x14ac:dyDescent="0.35">
      <c r="A231" s="157" t="s">
        <v>773</v>
      </c>
      <c r="B231" s="157" t="s">
        <v>45</v>
      </c>
      <c r="C231" s="157">
        <f ca="1">IFERROR(INDEX(BYEs!$B$2:$B$33,MATCH(D231,BYEs!$A$2:$A$33,0)),"N/A")</f>
        <v>11</v>
      </c>
      <c r="D231" s="214" t="str">
        <f t="shared" ca="1" si="21"/>
        <v>TB</v>
      </c>
      <c r="E231" s="213" t="str">
        <f t="shared" ca="1" si="22"/>
        <v>K2</v>
      </c>
      <c r="F231" s="158">
        <f ca="1">IF(LeagueInfo!$H$7="Starter/Bench",INDEX(INDIRECT(""&amp;B231&amp;"!T2:T628"),MATCH(A231,INDIRECT(""&amp;B231&amp;"!B2:B628"),0)),INDEX(INDIRECT(""&amp;B231&amp;"!AB2:AB628"),MATCH(A231,INDIRECT(""&amp;B231&amp;"!B2:B628"),0)))</f>
        <v>0</v>
      </c>
      <c r="G231" s="159">
        <f t="shared" si="23"/>
        <v>0</v>
      </c>
      <c r="H231" s="160"/>
      <c r="I231" s="159">
        <f t="shared" ca="1" si="24"/>
        <v>0</v>
      </c>
      <c r="J231" s="159" t="s">
        <v>73</v>
      </c>
      <c r="K231" s="159">
        <f>IF(LeagueInfo!$F$7="Yahoo",IFERROR(INDEX(DefaultAuctionValues!$B$2:$B$331,MATCH(A231,DefaultAuctionValues!$A$2:$A$331,0)),0),IF(LeagueInfo!$F$7="ESPN",IFERROR(INDEX(DefaultAuctionValues!$C$2:$C$331,MATCH(A231,DefaultAuctionValues!$A$2:$A$331,0)),0),IF(LeagueInfo!$F$7="Custom",IFERROR(INDEX(DefaultAuctionValues!$D$2:$D$331,MATCH(A231,DefaultAuctionValues!$A$2:$A$331,0)),0))))</f>
        <v>1</v>
      </c>
      <c r="L231" s="159">
        <f t="shared" ca="1" si="25"/>
        <v>-1</v>
      </c>
      <c r="M231" s="171"/>
      <c r="N231" s="166">
        <f t="shared" ca="1" si="26"/>
        <v>-5.7000000000000028</v>
      </c>
      <c r="O231" s="157" t="str">
        <f t="shared" ca="1" si="27"/>
        <v/>
      </c>
    </row>
    <row r="232" spans="1:15" x14ac:dyDescent="0.35">
      <c r="A232" s="157" t="s">
        <v>158</v>
      </c>
      <c r="B232" s="157" t="s">
        <v>45</v>
      </c>
      <c r="C232" s="157">
        <f ca="1">IFERROR(INDEX(BYEs!$B$2:$B$33,MATCH(D232,BYEs!$A$2:$A$33,0)),"N/A")</f>
        <v>11</v>
      </c>
      <c r="D232" s="214" t="str">
        <f t="shared" ca="1" si="21"/>
        <v>ARI</v>
      </c>
      <c r="E232" s="213" t="str">
        <f t="shared" ca="1" si="22"/>
        <v>K2</v>
      </c>
      <c r="F232" s="158">
        <f ca="1">IF(LeagueInfo!$H$7="Starter/Bench",INDEX(INDIRECT(""&amp;B232&amp;"!T2:T628"),MATCH(A232,INDIRECT(""&amp;B232&amp;"!B2:B628"),0)),INDEX(INDIRECT(""&amp;B232&amp;"!AB2:AB628"),MATCH(A232,INDIRECT(""&amp;B232&amp;"!B2:B628"),0)))</f>
        <v>0</v>
      </c>
      <c r="G232" s="159">
        <f t="shared" si="23"/>
        <v>0</v>
      </c>
      <c r="H232" s="160"/>
      <c r="I232" s="159">
        <f t="shared" ca="1" si="24"/>
        <v>0</v>
      </c>
      <c r="J232" s="159" t="s">
        <v>73</v>
      </c>
      <c r="K232" s="159">
        <f>IF(LeagueInfo!$F$7="Yahoo",IFERROR(INDEX(DefaultAuctionValues!$B$2:$B$331,MATCH(A232,DefaultAuctionValues!$A$2:$A$331,0)),0),IF(LeagueInfo!$F$7="ESPN",IFERROR(INDEX(DefaultAuctionValues!$C$2:$C$331,MATCH(A232,DefaultAuctionValues!$A$2:$A$331,0)),0),IF(LeagueInfo!$F$7="Custom",IFERROR(INDEX(DefaultAuctionValues!$D$2:$D$331,MATCH(A232,DefaultAuctionValues!$A$2:$A$331,0)),0))))</f>
        <v>1</v>
      </c>
      <c r="L232" s="159">
        <f t="shared" ca="1" si="25"/>
        <v>-1</v>
      </c>
      <c r="M232" s="171"/>
      <c r="N232" s="166">
        <f t="shared" ca="1" si="26"/>
        <v>-6.5999999999999943</v>
      </c>
      <c r="O232" s="157" t="str">
        <f t="shared" ca="1" si="27"/>
        <v/>
      </c>
    </row>
    <row r="233" spans="1:15" x14ac:dyDescent="0.35">
      <c r="A233" s="157" t="s">
        <v>164</v>
      </c>
      <c r="B233" s="157" t="s">
        <v>45</v>
      </c>
      <c r="C233" s="157">
        <f ca="1">IFERROR(INDEX(BYEs!$B$2:$B$33,MATCH(D233,BYEs!$A$2:$A$33,0)),"N/A")</f>
        <v>10</v>
      </c>
      <c r="D233" s="214" t="str">
        <f t="shared" ca="1" si="21"/>
        <v>CLE</v>
      </c>
      <c r="E233" s="213" t="str">
        <f t="shared" ca="1" si="22"/>
        <v>K2</v>
      </c>
      <c r="F233" s="158">
        <f ca="1">IF(LeagueInfo!$H$7="Starter/Bench",INDEX(INDIRECT(""&amp;B233&amp;"!T2:T628"),MATCH(A233,INDIRECT(""&amp;B233&amp;"!B2:B628"),0)),INDEX(INDIRECT(""&amp;B233&amp;"!AB2:AB628"),MATCH(A233,INDIRECT(""&amp;B233&amp;"!B2:B628"),0)))</f>
        <v>0</v>
      </c>
      <c r="G233" s="159">
        <f t="shared" si="23"/>
        <v>0</v>
      </c>
      <c r="H233" s="160"/>
      <c r="I233" s="159">
        <f t="shared" ca="1" si="24"/>
        <v>0</v>
      </c>
      <c r="J233" s="159" t="s">
        <v>73</v>
      </c>
      <c r="K233" s="159">
        <f>IF(LeagueInfo!$F$7="Yahoo",IFERROR(INDEX(DefaultAuctionValues!$B$2:$B$331,MATCH(A233,DefaultAuctionValues!$A$2:$A$331,0)),0),IF(LeagueInfo!$F$7="ESPN",IFERROR(INDEX(DefaultAuctionValues!$C$2:$C$331,MATCH(A233,DefaultAuctionValues!$A$2:$A$331,0)),0),IF(LeagueInfo!$F$7="Custom",IFERROR(INDEX(DefaultAuctionValues!$D$2:$D$331,MATCH(A233,DefaultAuctionValues!$A$2:$A$331,0)),0))))</f>
        <v>1</v>
      </c>
      <c r="L233" s="159">
        <f t="shared" ca="1" si="25"/>
        <v>-1</v>
      </c>
      <c r="M233" s="171"/>
      <c r="N233" s="166">
        <f t="shared" ca="1" si="26"/>
        <v>-6.9000000000000057</v>
      </c>
      <c r="O233" s="157" t="str">
        <f t="shared" ca="1" si="27"/>
        <v/>
      </c>
    </row>
    <row r="234" spans="1:15" x14ac:dyDescent="0.35">
      <c r="A234" s="157" t="s">
        <v>954</v>
      </c>
      <c r="B234" s="157" t="s">
        <v>45</v>
      </c>
      <c r="C234" s="157">
        <f ca="1">IFERROR(INDEX(BYEs!$B$2:$B$33,MATCH(D234,BYEs!$A$2:$A$33,0)),"N/A")</f>
        <v>5</v>
      </c>
      <c r="D234" s="214" t="str">
        <f t="shared" ca="1" si="21"/>
        <v>DET</v>
      </c>
      <c r="E234" s="213" t="str">
        <f t="shared" ca="1" si="22"/>
        <v>K2</v>
      </c>
      <c r="F234" s="158">
        <f ca="1">IF(LeagueInfo!$H$7="Starter/Bench",INDEX(INDIRECT(""&amp;B234&amp;"!T2:T628"),MATCH(A234,INDIRECT(""&amp;B234&amp;"!B2:B628"),0)),INDEX(INDIRECT(""&amp;B234&amp;"!AB2:AB628"),MATCH(A234,INDIRECT(""&amp;B234&amp;"!B2:B628"),0)))</f>
        <v>0</v>
      </c>
      <c r="G234" s="159">
        <f t="shared" si="23"/>
        <v>0</v>
      </c>
      <c r="H234" s="160"/>
      <c r="I234" s="159">
        <f t="shared" ca="1" si="24"/>
        <v>0</v>
      </c>
      <c r="J234" s="159" t="s">
        <v>73</v>
      </c>
      <c r="K234" s="159">
        <f>IF(LeagueInfo!$F$7="Yahoo",IFERROR(INDEX(DefaultAuctionValues!$B$2:$B$331,MATCH(A234,DefaultAuctionValues!$A$2:$A$331,0)),0),IF(LeagueInfo!$F$7="ESPN",IFERROR(INDEX(DefaultAuctionValues!$C$2:$C$331,MATCH(A234,DefaultAuctionValues!$A$2:$A$331,0)),0),IF(LeagueInfo!$F$7="Custom",IFERROR(INDEX(DefaultAuctionValues!$D$2:$D$331,MATCH(A234,DefaultAuctionValues!$A$2:$A$331,0)),0))))</f>
        <v>1</v>
      </c>
      <c r="L234" s="159">
        <f t="shared" ca="1" si="25"/>
        <v>-1</v>
      </c>
      <c r="M234" s="171"/>
      <c r="N234" s="166">
        <f t="shared" ca="1" si="26"/>
        <v>-7.5999999999999943</v>
      </c>
      <c r="O234" s="157" t="str">
        <f t="shared" ca="1" si="27"/>
        <v/>
      </c>
    </row>
    <row r="235" spans="1:15" x14ac:dyDescent="0.35">
      <c r="A235" s="157" t="s">
        <v>958</v>
      </c>
      <c r="B235" s="157" t="s">
        <v>45</v>
      </c>
      <c r="C235" s="157">
        <f ca="1">IFERROR(INDEX(BYEs!$B$2:$B$33,MATCH(D235,BYEs!$A$2:$A$33,0)),"N/A")</f>
        <v>12</v>
      </c>
      <c r="D235" s="214" t="str">
        <f t="shared" ca="1" si="21"/>
        <v>JAC</v>
      </c>
      <c r="E235" s="213" t="str">
        <f t="shared" ca="1" si="22"/>
        <v>K2</v>
      </c>
      <c r="F235" s="158">
        <f ca="1">IF(LeagueInfo!$H$7="Starter/Bench",INDEX(INDIRECT(""&amp;B235&amp;"!T2:T628"),MATCH(A235,INDIRECT(""&amp;B235&amp;"!B2:B628"),0)),INDEX(INDIRECT(""&amp;B235&amp;"!AB2:AB628"),MATCH(A235,INDIRECT(""&amp;B235&amp;"!B2:B628"),0)))</f>
        <v>0</v>
      </c>
      <c r="G235" s="159">
        <f t="shared" si="23"/>
        <v>0</v>
      </c>
      <c r="H235" s="160"/>
      <c r="I235" s="159">
        <f t="shared" ca="1" si="24"/>
        <v>0</v>
      </c>
      <c r="J235" s="159" t="s">
        <v>73</v>
      </c>
      <c r="K235" s="159">
        <f>IF(LeagueInfo!$F$7="Yahoo",IFERROR(INDEX(DefaultAuctionValues!$B$2:$B$331,MATCH(A235,DefaultAuctionValues!$A$2:$A$331,0)),0),IF(LeagueInfo!$F$7="ESPN",IFERROR(INDEX(DefaultAuctionValues!$C$2:$C$331,MATCH(A235,DefaultAuctionValues!$A$2:$A$331,0)),0),IF(LeagueInfo!$F$7="Custom",IFERROR(INDEX(DefaultAuctionValues!$D$2:$D$331,MATCH(A235,DefaultAuctionValues!$A$2:$A$331,0)),0))))</f>
        <v>1</v>
      </c>
      <c r="L235" s="159">
        <f t="shared" ca="1" si="25"/>
        <v>-1</v>
      </c>
      <c r="M235" s="171"/>
      <c r="N235" s="166">
        <f t="shared" ca="1" si="26"/>
        <v>-7.5999999999999943</v>
      </c>
      <c r="O235" s="157" t="str">
        <f t="shared" ca="1" si="27"/>
        <v/>
      </c>
    </row>
    <row r="236" spans="1:15" x14ac:dyDescent="0.35">
      <c r="A236" s="157" t="s">
        <v>955</v>
      </c>
      <c r="B236" s="157" t="s">
        <v>45</v>
      </c>
      <c r="C236" s="157">
        <f ca="1">IFERROR(INDEX(BYEs!$B$2:$B$33,MATCH(D236,BYEs!$A$2:$A$33,0)),"N/A")</f>
        <v>6</v>
      </c>
      <c r="D236" s="214" t="str">
        <f t="shared" ca="1" si="21"/>
        <v>LAR</v>
      </c>
      <c r="E236" s="213" t="str">
        <f t="shared" ca="1" si="22"/>
        <v>K2</v>
      </c>
      <c r="F236" s="158">
        <f ca="1">IF(LeagueInfo!$H$7="Starter/Bench",INDEX(INDIRECT(""&amp;B236&amp;"!T2:T628"),MATCH(A236,INDIRECT(""&amp;B236&amp;"!B2:B628"),0)),INDEX(INDIRECT(""&amp;B236&amp;"!AB2:AB628"),MATCH(A236,INDIRECT(""&amp;B236&amp;"!B2:B628"),0)))</f>
        <v>0</v>
      </c>
      <c r="G236" s="159">
        <f t="shared" si="23"/>
        <v>0</v>
      </c>
      <c r="H236" s="160"/>
      <c r="I236" s="159">
        <f t="shared" ca="1" si="24"/>
        <v>0</v>
      </c>
      <c r="J236" s="159" t="s">
        <v>73</v>
      </c>
      <c r="K236" s="159">
        <f>IF(LeagueInfo!$F$7="Yahoo",IFERROR(INDEX(DefaultAuctionValues!$B$2:$B$331,MATCH(A236,DefaultAuctionValues!$A$2:$A$331,0)),0),IF(LeagueInfo!$F$7="ESPN",IFERROR(INDEX(DefaultAuctionValues!$C$2:$C$331,MATCH(A236,DefaultAuctionValues!$A$2:$A$331,0)),0),IF(LeagueInfo!$F$7="Custom",IFERROR(INDEX(DefaultAuctionValues!$D$2:$D$331,MATCH(A236,DefaultAuctionValues!$A$2:$A$331,0)),0))))</f>
        <v>1</v>
      </c>
      <c r="L236" s="159">
        <f t="shared" ca="1" si="25"/>
        <v>-1</v>
      </c>
      <c r="M236" s="171"/>
      <c r="N236" s="166">
        <f t="shared" ca="1" si="26"/>
        <v>-7.9000000000000057</v>
      </c>
      <c r="O236" s="157" t="str">
        <f t="shared" ca="1" si="27"/>
        <v/>
      </c>
    </row>
    <row r="237" spans="1:15" x14ac:dyDescent="0.35">
      <c r="A237" s="157" t="s">
        <v>123</v>
      </c>
      <c r="B237" s="157" t="s">
        <v>45</v>
      </c>
      <c r="C237" s="157">
        <f ca="1">IFERROR(INDEX(BYEs!$B$2:$B$33,MATCH(D237,BYEs!$A$2:$A$33,0)),"N/A")</f>
        <v>9</v>
      </c>
      <c r="D237" s="214" t="str">
        <f t="shared" ca="1" si="21"/>
        <v>PIT</v>
      </c>
      <c r="E237" s="213" t="str">
        <f t="shared" ca="1" si="22"/>
        <v>K2</v>
      </c>
      <c r="F237" s="158">
        <f ca="1">IF(LeagueInfo!$H$7="Starter/Bench",INDEX(INDIRECT(""&amp;B237&amp;"!T2:T628"),MATCH(A237,INDIRECT(""&amp;B237&amp;"!B2:B628"),0)),INDEX(INDIRECT(""&amp;B237&amp;"!AB2:AB628"),MATCH(A237,INDIRECT(""&amp;B237&amp;"!B2:B628"),0)))</f>
        <v>0</v>
      </c>
      <c r="G237" s="159">
        <f t="shared" si="23"/>
        <v>0</v>
      </c>
      <c r="H237" s="160"/>
      <c r="I237" s="159">
        <f t="shared" ca="1" si="24"/>
        <v>0</v>
      </c>
      <c r="J237" s="159" t="s">
        <v>73</v>
      </c>
      <c r="K237" s="159">
        <f>IF(LeagueInfo!$F$7="Yahoo",IFERROR(INDEX(DefaultAuctionValues!$B$2:$B$331,MATCH(A237,DefaultAuctionValues!$A$2:$A$331,0)),0),IF(LeagueInfo!$F$7="ESPN",IFERROR(INDEX(DefaultAuctionValues!$C$2:$C$331,MATCH(A237,DefaultAuctionValues!$A$2:$A$331,0)),0),IF(LeagueInfo!$F$7="Custom",IFERROR(INDEX(DefaultAuctionValues!$D$2:$D$331,MATCH(A237,DefaultAuctionValues!$A$2:$A$331,0)),0))))</f>
        <v>1</v>
      </c>
      <c r="L237" s="159">
        <f t="shared" ca="1" si="25"/>
        <v>-1</v>
      </c>
      <c r="M237" s="171"/>
      <c r="N237" s="166">
        <f t="shared" ca="1" si="26"/>
        <v>-13.700000000000003</v>
      </c>
      <c r="O237" s="157" t="str">
        <f t="shared" ca="1" si="27"/>
        <v/>
      </c>
    </row>
    <row r="238" spans="1:15" x14ac:dyDescent="0.35">
      <c r="A238" s="157" t="s">
        <v>468</v>
      </c>
      <c r="B238" s="157" t="s">
        <v>45</v>
      </c>
      <c r="C238" s="157">
        <f ca="1">IFERROR(INDEX(BYEs!$B$2:$B$33,MATCH(D238,BYEs!$A$2:$A$33,0)),"N/A")</f>
        <v>5</v>
      </c>
      <c r="D238" s="214" t="str">
        <f t="shared" ca="1" si="21"/>
        <v>TEN</v>
      </c>
      <c r="E238" s="213" t="str">
        <f t="shared" ca="1" si="22"/>
        <v>K2</v>
      </c>
      <c r="F238" s="158">
        <f ca="1">IF(LeagueInfo!$H$7="Starter/Bench",INDEX(INDIRECT(""&amp;B238&amp;"!T2:T628"),MATCH(A238,INDIRECT(""&amp;B238&amp;"!B2:B628"),0)),INDEX(INDIRECT(""&amp;B238&amp;"!AB2:AB628"),MATCH(A238,INDIRECT(""&amp;B238&amp;"!B2:B628"),0)))</f>
        <v>0</v>
      </c>
      <c r="G238" s="159">
        <f t="shared" si="23"/>
        <v>0</v>
      </c>
      <c r="H238" s="160"/>
      <c r="I238" s="159">
        <f t="shared" ca="1" si="24"/>
        <v>0</v>
      </c>
      <c r="J238" s="159" t="s">
        <v>73</v>
      </c>
      <c r="K238" s="159">
        <f>IF(LeagueInfo!$F$7="Yahoo",IFERROR(INDEX(DefaultAuctionValues!$B$2:$B$331,MATCH(A238,DefaultAuctionValues!$A$2:$A$331,0)),0),IF(LeagueInfo!$F$7="ESPN",IFERROR(INDEX(DefaultAuctionValues!$C$2:$C$331,MATCH(A238,DefaultAuctionValues!$A$2:$A$331,0)),0),IF(LeagueInfo!$F$7="Custom",IFERROR(INDEX(DefaultAuctionValues!$D$2:$D$331,MATCH(A238,DefaultAuctionValues!$A$2:$A$331,0)),0))))</f>
        <v>1</v>
      </c>
      <c r="L238" s="159">
        <f t="shared" ca="1" si="25"/>
        <v>-1</v>
      </c>
      <c r="M238" s="171"/>
      <c r="N238" s="166">
        <f t="shared" ca="1" si="26"/>
        <v>-14.200000000000003</v>
      </c>
      <c r="O238" s="157" t="str">
        <f t="shared" ca="1" si="27"/>
        <v/>
      </c>
    </row>
    <row r="239" spans="1:15" x14ac:dyDescent="0.35">
      <c r="A239" s="157" t="s">
        <v>146</v>
      </c>
      <c r="B239" s="157" t="s">
        <v>45</v>
      </c>
      <c r="C239" s="157">
        <f ca="1">IFERROR(INDEX(BYEs!$B$2:$B$33,MATCH(D239,BYEs!$A$2:$A$33,0)),"N/A")</f>
        <v>14</v>
      </c>
      <c r="D239" s="214" t="str">
        <f t="shared" ca="1" si="21"/>
        <v>DEN</v>
      </c>
      <c r="E239" s="213" t="str">
        <f t="shared" ca="1" si="22"/>
        <v>K2</v>
      </c>
      <c r="F239" s="158">
        <f ca="1">IF(LeagueInfo!$H$7="Starter/Bench",INDEX(INDIRECT(""&amp;B239&amp;"!T2:T628"),MATCH(A239,INDIRECT(""&amp;B239&amp;"!B2:B628"),0)),INDEX(INDIRECT(""&amp;B239&amp;"!AB2:AB628"),MATCH(A239,INDIRECT(""&amp;B239&amp;"!B2:B628"),0)))</f>
        <v>0</v>
      </c>
      <c r="G239" s="159">
        <f t="shared" si="23"/>
        <v>0</v>
      </c>
      <c r="H239" s="160"/>
      <c r="I239" s="159">
        <f t="shared" ca="1" si="24"/>
        <v>0</v>
      </c>
      <c r="J239" s="159" t="s">
        <v>73</v>
      </c>
      <c r="K239" s="159">
        <f>IF(LeagueInfo!$F$7="Yahoo",IFERROR(INDEX(DefaultAuctionValues!$B$2:$B$331,MATCH(A239,DefaultAuctionValues!$A$2:$A$331,0)),0),IF(LeagueInfo!$F$7="ESPN",IFERROR(INDEX(DefaultAuctionValues!$C$2:$C$331,MATCH(A239,DefaultAuctionValues!$A$2:$A$331,0)),0),IF(LeagueInfo!$F$7="Custom",IFERROR(INDEX(DefaultAuctionValues!$D$2:$D$331,MATCH(A239,DefaultAuctionValues!$A$2:$A$331,0)),0))))</f>
        <v>1</v>
      </c>
      <c r="L239" s="159">
        <f t="shared" ca="1" si="25"/>
        <v>-1</v>
      </c>
      <c r="M239" s="171"/>
      <c r="N239" s="166">
        <f t="shared" ca="1" si="26"/>
        <v>-14.799999999999997</v>
      </c>
      <c r="O239" s="157" t="str">
        <f t="shared" ca="1" si="27"/>
        <v/>
      </c>
    </row>
    <row r="240" spans="1:15" x14ac:dyDescent="0.35">
      <c r="A240" s="157" t="s">
        <v>378</v>
      </c>
      <c r="B240" s="157" t="s">
        <v>45</v>
      </c>
      <c r="C240" s="157">
        <f ca="1">IFERROR(INDEX(BYEs!$B$2:$B$33,MATCH(D240,BYEs!$A$2:$A$33,0)),"N/A")</f>
        <v>10</v>
      </c>
      <c r="D240" s="214" t="str">
        <f t="shared" ca="1" si="21"/>
        <v>LV</v>
      </c>
      <c r="E240" s="213" t="str">
        <f t="shared" ca="1" si="22"/>
        <v>K2</v>
      </c>
      <c r="F240" s="158">
        <f ca="1">IF(LeagueInfo!$H$7="Starter/Bench",INDEX(INDIRECT(""&amp;B240&amp;"!T2:T628"),MATCH(A240,INDIRECT(""&amp;B240&amp;"!B2:B628"),0)),INDEX(INDIRECT(""&amp;B240&amp;"!AB2:AB628"),MATCH(A240,INDIRECT(""&amp;B240&amp;"!B2:B628"),0)))</f>
        <v>0</v>
      </c>
      <c r="G240" s="159">
        <f t="shared" si="23"/>
        <v>0</v>
      </c>
      <c r="H240" s="160"/>
      <c r="I240" s="159">
        <f t="shared" ca="1" si="24"/>
        <v>0</v>
      </c>
      <c r="J240" s="159" t="s">
        <v>73</v>
      </c>
      <c r="K240" s="159">
        <f>IF(LeagueInfo!$F$7="Yahoo",IFERROR(INDEX(DefaultAuctionValues!$B$2:$B$331,MATCH(A240,DefaultAuctionValues!$A$2:$A$331,0)),0),IF(LeagueInfo!$F$7="ESPN",IFERROR(INDEX(DefaultAuctionValues!$C$2:$C$331,MATCH(A240,DefaultAuctionValues!$A$2:$A$331,0)),0),IF(LeagueInfo!$F$7="Custom",IFERROR(INDEX(DefaultAuctionValues!$D$2:$D$331,MATCH(A240,DefaultAuctionValues!$A$2:$A$331,0)),0))))</f>
        <v>1</v>
      </c>
      <c r="L240" s="159">
        <f t="shared" ca="1" si="25"/>
        <v>-1</v>
      </c>
      <c r="M240" s="171"/>
      <c r="N240" s="166">
        <f t="shared" ca="1" si="26"/>
        <v>-15.900000000000006</v>
      </c>
      <c r="O240" s="157" t="str">
        <f t="shared" ca="1" si="27"/>
        <v/>
      </c>
    </row>
    <row r="241" spans="1:15" x14ac:dyDescent="0.35">
      <c r="A241" s="157" t="s">
        <v>956</v>
      </c>
      <c r="B241" s="157" t="s">
        <v>45</v>
      </c>
      <c r="C241" s="157">
        <f ca="1">IFERROR(INDEX(BYEs!$B$2:$B$33,MATCH(D241,BYEs!$A$2:$A$33,0)),"N/A")</f>
        <v>6</v>
      </c>
      <c r="D241" s="214" t="str">
        <f t="shared" ca="1" si="21"/>
        <v>MIN</v>
      </c>
      <c r="E241" s="213" t="str">
        <f t="shared" ca="1" si="22"/>
        <v>K2</v>
      </c>
      <c r="F241" s="158">
        <f ca="1">IF(LeagueInfo!$H$7="Starter/Bench",INDEX(INDIRECT(""&amp;B241&amp;"!T2:T628"),MATCH(A241,INDIRECT(""&amp;B241&amp;"!B2:B628"),0)),INDEX(INDIRECT(""&amp;B241&amp;"!AB2:AB628"),MATCH(A241,INDIRECT(""&amp;B241&amp;"!B2:B628"),0)))</f>
        <v>0</v>
      </c>
      <c r="G241" s="159">
        <f t="shared" si="23"/>
        <v>0</v>
      </c>
      <c r="H241" s="160"/>
      <c r="I241" s="159">
        <f t="shared" ca="1" si="24"/>
        <v>0</v>
      </c>
      <c r="J241" s="159" t="s">
        <v>73</v>
      </c>
      <c r="K241" s="159">
        <f>IF(LeagueInfo!$F$7="Yahoo",IFERROR(INDEX(DefaultAuctionValues!$B$2:$B$331,MATCH(A241,DefaultAuctionValues!$A$2:$A$331,0)),0),IF(LeagueInfo!$F$7="ESPN",IFERROR(INDEX(DefaultAuctionValues!$C$2:$C$331,MATCH(A241,DefaultAuctionValues!$A$2:$A$331,0)),0),IF(LeagueInfo!$F$7="Custom",IFERROR(INDEX(DefaultAuctionValues!$D$2:$D$331,MATCH(A241,DefaultAuctionValues!$A$2:$A$331,0)),0))))</f>
        <v>1</v>
      </c>
      <c r="L241" s="159">
        <f t="shared" ca="1" si="25"/>
        <v>-1</v>
      </c>
      <c r="M241" s="171"/>
      <c r="N241" s="166">
        <f t="shared" ca="1" si="26"/>
        <v>-20.200000000000003</v>
      </c>
      <c r="O241" s="157" t="str">
        <f t="shared" ca="1" si="27"/>
        <v/>
      </c>
    </row>
    <row r="242" spans="1:15" x14ac:dyDescent="0.35">
      <c r="A242" s="157" t="s">
        <v>706</v>
      </c>
      <c r="B242" s="157" t="s">
        <v>45</v>
      </c>
      <c r="C242" s="157">
        <f ca="1">IFERROR(INDEX(BYEs!$B$2:$B$33,MATCH(D242,BYEs!$A$2:$A$33,0)),"N/A")</f>
        <v>11</v>
      </c>
      <c r="D242" s="214" t="str">
        <f t="shared" ca="1" si="21"/>
        <v>CAR</v>
      </c>
      <c r="E242" s="213" t="str">
        <f t="shared" ca="1" si="22"/>
        <v>K2</v>
      </c>
      <c r="F242" s="158">
        <f ca="1">IF(LeagueInfo!$H$7="Starter/Bench",INDEX(INDIRECT(""&amp;B242&amp;"!T2:T628"),MATCH(A242,INDIRECT(""&amp;B242&amp;"!B2:B628"),0)),INDEX(INDIRECT(""&amp;B242&amp;"!AB2:AB628"),MATCH(A242,INDIRECT(""&amp;B242&amp;"!B2:B628"),0)))</f>
        <v>0</v>
      </c>
      <c r="G242" s="159">
        <f t="shared" si="23"/>
        <v>0</v>
      </c>
      <c r="H242" s="160"/>
      <c r="I242" s="159">
        <f t="shared" ca="1" si="24"/>
        <v>0</v>
      </c>
      <c r="J242" s="159" t="s">
        <v>73</v>
      </c>
      <c r="K242" s="159">
        <f>IF(LeagueInfo!$F$7="Yahoo",IFERROR(INDEX(DefaultAuctionValues!$B$2:$B$331,MATCH(A242,DefaultAuctionValues!$A$2:$A$331,0)),0),IF(LeagueInfo!$F$7="ESPN",IFERROR(INDEX(DefaultAuctionValues!$C$2:$C$331,MATCH(A242,DefaultAuctionValues!$A$2:$A$331,0)),0),IF(LeagueInfo!$F$7="Custom",IFERROR(INDEX(DefaultAuctionValues!$D$2:$D$331,MATCH(A242,DefaultAuctionValues!$A$2:$A$331,0)),0))))</f>
        <v>1</v>
      </c>
      <c r="L242" s="159">
        <f t="shared" ca="1" si="25"/>
        <v>-1</v>
      </c>
      <c r="M242" s="171"/>
      <c r="N242" s="166">
        <f t="shared" ca="1" si="26"/>
        <v>-21</v>
      </c>
      <c r="O242" s="157" t="str">
        <f t="shared" ca="1" si="27"/>
        <v/>
      </c>
    </row>
    <row r="243" spans="1:15" x14ac:dyDescent="0.35">
      <c r="A243" s="157" t="s">
        <v>1117</v>
      </c>
      <c r="B243" s="157" t="s">
        <v>45</v>
      </c>
      <c r="C243" s="157">
        <f ca="1">IFERROR(INDEX(BYEs!$B$2:$B$33,MATCH(D243,BYEs!$A$2:$A$33,0)),"N/A")</f>
        <v>14</v>
      </c>
      <c r="D243" s="214" t="str">
        <f t="shared" ca="1" si="21"/>
        <v>WAS</v>
      </c>
      <c r="E243" s="213" t="str">
        <f t="shared" ca="1" si="22"/>
        <v>K2</v>
      </c>
      <c r="F243" s="158">
        <f ca="1">IF(LeagueInfo!$H$7="Starter/Bench",INDEX(INDIRECT(""&amp;B243&amp;"!T2:T628"),MATCH(A243,INDIRECT(""&amp;B243&amp;"!B2:B628"),0)),INDEX(INDIRECT(""&amp;B243&amp;"!AB2:AB628"),MATCH(A243,INDIRECT(""&amp;B243&amp;"!B2:B628"),0)))</f>
        <v>0</v>
      </c>
      <c r="G243" s="159">
        <f t="shared" si="23"/>
        <v>0</v>
      </c>
      <c r="H243" s="160"/>
      <c r="I243" s="159">
        <f t="shared" ca="1" si="24"/>
        <v>0</v>
      </c>
      <c r="J243" s="159" t="s">
        <v>73</v>
      </c>
      <c r="K243" s="159">
        <f>IF(LeagueInfo!$F$7="Yahoo",IFERROR(INDEX(DefaultAuctionValues!$B$2:$B$331,MATCH(A243,DefaultAuctionValues!$A$2:$A$331,0)),0),IF(LeagueInfo!$F$7="ESPN",IFERROR(INDEX(DefaultAuctionValues!$C$2:$C$331,MATCH(A243,DefaultAuctionValues!$A$2:$A$331,0)),0),IF(LeagueInfo!$F$7="Custom",IFERROR(INDEX(DefaultAuctionValues!$D$2:$D$331,MATCH(A243,DefaultAuctionValues!$A$2:$A$331,0)),0))))</f>
        <v>0</v>
      </c>
      <c r="L243" s="159">
        <f t="shared" ca="1" si="25"/>
        <v>0</v>
      </c>
      <c r="M243" s="171"/>
      <c r="N243" s="166">
        <f t="shared" ca="1" si="26"/>
        <v>-21.700000000000003</v>
      </c>
      <c r="O243" s="157" t="str">
        <f t="shared" ca="1" si="27"/>
        <v/>
      </c>
    </row>
    <row r="244" spans="1:15" x14ac:dyDescent="0.35">
      <c r="A244" s="157" t="s">
        <v>161</v>
      </c>
      <c r="B244" s="157" t="s">
        <v>45</v>
      </c>
      <c r="C244" s="157">
        <f ca="1">IFERROR(INDEX(BYEs!$B$2:$B$33,MATCH(D244,BYEs!$A$2:$A$33,0)),"N/A")</f>
        <v>11</v>
      </c>
      <c r="D244" s="214" t="str">
        <f t="shared" ca="1" si="21"/>
        <v>NYG</v>
      </c>
      <c r="E244" s="213" t="str">
        <f t="shared" ca="1" si="22"/>
        <v>K2</v>
      </c>
      <c r="F244" s="158">
        <f ca="1">IF(LeagueInfo!$H$7="Starter/Bench",INDEX(INDIRECT(""&amp;B244&amp;"!T2:T628"),MATCH(A244,INDIRECT(""&amp;B244&amp;"!B2:B628"),0)),INDEX(INDIRECT(""&amp;B244&amp;"!AB2:AB628"),MATCH(A244,INDIRECT(""&amp;B244&amp;"!B2:B628"),0)))</f>
        <v>0</v>
      </c>
      <c r="G244" s="159">
        <f t="shared" si="23"/>
        <v>0</v>
      </c>
      <c r="H244" s="160"/>
      <c r="I244" s="159">
        <f t="shared" ca="1" si="24"/>
        <v>0</v>
      </c>
      <c r="J244" s="159" t="s">
        <v>73</v>
      </c>
      <c r="K244" s="159">
        <f>IF(LeagueInfo!$F$7="Yahoo",IFERROR(INDEX(DefaultAuctionValues!$B$2:$B$331,MATCH(A244,DefaultAuctionValues!$A$2:$A$331,0)),0),IF(LeagueInfo!$F$7="ESPN",IFERROR(INDEX(DefaultAuctionValues!$C$2:$C$331,MATCH(A244,DefaultAuctionValues!$A$2:$A$331,0)),0),IF(LeagueInfo!$F$7="Custom",IFERROR(INDEX(DefaultAuctionValues!$D$2:$D$331,MATCH(A244,DefaultAuctionValues!$A$2:$A$331,0)),0))))</f>
        <v>1</v>
      </c>
      <c r="L244" s="159">
        <f t="shared" ca="1" si="25"/>
        <v>-1</v>
      </c>
      <c r="M244" s="171"/>
      <c r="N244" s="166">
        <f t="shared" ca="1" si="26"/>
        <v>-24</v>
      </c>
      <c r="O244" s="157" t="str">
        <f t="shared" ca="1" si="27"/>
        <v/>
      </c>
    </row>
    <row r="245" spans="1:15" x14ac:dyDescent="0.35">
      <c r="A245" s="157" t="s">
        <v>1186</v>
      </c>
      <c r="B245" s="157" t="s">
        <v>45</v>
      </c>
      <c r="C245" s="157">
        <f ca="1">IFERROR(INDEX(BYEs!$B$2:$B$33,MATCH(D245,BYEs!$A$2:$A$33,0)),"N/A")</f>
        <v>14</v>
      </c>
      <c r="D245" s="214" t="str">
        <f t="shared" ca="1" si="21"/>
        <v>NE</v>
      </c>
      <c r="E245" s="213" t="str">
        <f t="shared" ca="1" si="22"/>
        <v>K2</v>
      </c>
      <c r="F245" s="158">
        <f ca="1">IF(LeagueInfo!$H$7="Starter/Bench",INDEX(INDIRECT(""&amp;B245&amp;"!T2:T628"),MATCH(A245,INDIRECT(""&amp;B245&amp;"!B2:B628"),0)),INDEX(INDIRECT(""&amp;B245&amp;"!AB2:AB628"),MATCH(A245,INDIRECT(""&amp;B245&amp;"!B2:B628"),0)))</f>
        <v>0</v>
      </c>
      <c r="G245" s="159">
        <f t="shared" si="23"/>
        <v>0</v>
      </c>
      <c r="H245" s="160"/>
      <c r="I245" s="159">
        <f t="shared" ca="1" si="24"/>
        <v>0</v>
      </c>
      <c r="J245" s="159" t="s">
        <v>73</v>
      </c>
      <c r="K245" s="159">
        <f>IF(LeagueInfo!$F$7="Yahoo",IFERROR(INDEX(DefaultAuctionValues!$B$2:$B$331,MATCH(A245,DefaultAuctionValues!$A$2:$A$331,0)),0),IF(LeagueInfo!$F$7="ESPN",IFERROR(INDEX(DefaultAuctionValues!$C$2:$C$331,MATCH(A245,DefaultAuctionValues!$A$2:$A$331,0)),0),IF(LeagueInfo!$F$7="Custom",IFERROR(INDEX(DefaultAuctionValues!$D$2:$D$331,MATCH(A245,DefaultAuctionValues!$A$2:$A$331,0)),0))))</f>
        <v>0</v>
      </c>
      <c r="L245" s="159">
        <f t="shared" ca="1" si="25"/>
        <v>0</v>
      </c>
      <c r="M245" s="171"/>
      <c r="N245" s="166">
        <f t="shared" ca="1" si="26"/>
        <v>-31.799999999999997</v>
      </c>
      <c r="O245" s="157" t="str">
        <f t="shared" ca="1" si="27"/>
        <v/>
      </c>
    </row>
    <row r="246" spans="1:15" x14ac:dyDescent="0.35">
      <c r="A246" s="157" t="s">
        <v>562</v>
      </c>
      <c r="B246" s="157" t="s">
        <v>40</v>
      </c>
      <c r="C246" s="157">
        <f ca="1">IFERROR(INDEX(BYEs!$B$2:$B$33,MATCH(D246,BYEs!$A$2:$A$33,0)),"N/A")</f>
        <v>12</v>
      </c>
      <c r="D246" s="214" t="str">
        <f t="shared" ca="1" si="21"/>
        <v>NO</v>
      </c>
      <c r="E246" s="213" t="str">
        <f t="shared" ca="1" si="22"/>
        <v>TE6</v>
      </c>
      <c r="F246" s="158">
        <f ca="1">IF(LeagueInfo!$H$7="Starter/Bench",INDEX(INDIRECT(""&amp;B246&amp;"!T2:T628"),MATCH(A246,INDIRECT(""&amp;B246&amp;"!B2:B628"),0)),INDEX(INDIRECT(""&amp;B246&amp;"!AB2:AB628"),MATCH(A246,INDIRECT(""&amp;B246&amp;"!B2:B628"),0)))</f>
        <v>-9.898773228961523E-3</v>
      </c>
      <c r="G246" s="159">
        <f t="shared" si="23"/>
        <v>0</v>
      </c>
      <c r="H246" s="160"/>
      <c r="I246" s="159">
        <f t="shared" ca="1" si="24"/>
        <v>-9.898773228961523E-3</v>
      </c>
      <c r="J246" s="159" t="s">
        <v>73</v>
      </c>
      <c r="K246" s="159">
        <f>IF(LeagueInfo!$F$7="Yahoo",IFERROR(INDEX(DefaultAuctionValues!$B$2:$B$331,MATCH(A246,DefaultAuctionValues!$A$2:$A$331,0)),0),IF(LeagueInfo!$F$7="ESPN",IFERROR(INDEX(DefaultAuctionValues!$C$2:$C$331,MATCH(A246,DefaultAuctionValues!$A$2:$A$331,0)),0),IF(LeagueInfo!$F$7="Custom",IFERROR(INDEX(DefaultAuctionValues!$D$2:$D$331,MATCH(A246,DefaultAuctionValues!$A$2:$A$331,0)),0))))</f>
        <v>1</v>
      </c>
      <c r="L246" s="159">
        <f t="shared" ca="1" si="25"/>
        <v>-1.0098987732289615</v>
      </c>
      <c r="M246" s="171"/>
      <c r="N246" s="166">
        <f t="shared" ca="1" si="26"/>
        <v>-3.0000000000008242E-2</v>
      </c>
      <c r="O246" s="157" t="str">
        <f t="shared" ca="1" si="27"/>
        <v/>
      </c>
    </row>
    <row r="247" spans="1:15" x14ac:dyDescent="0.35">
      <c r="A247" s="157" t="s">
        <v>709</v>
      </c>
      <c r="B247" s="157" t="s">
        <v>32</v>
      </c>
      <c r="C247" s="157">
        <f ca="1">IFERROR(INDEX(BYEs!$B$2:$B$33,MATCH(D247,BYEs!$A$2:$A$33,0)),"N/A")</f>
        <v>11</v>
      </c>
      <c r="D247" s="214" t="str">
        <f t="shared" ca="1" si="21"/>
        <v>ARI</v>
      </c>
      <c r="E247" s="213" t="str">
        <f t="shared" ca="1" si="22"/>
        <v>WR7</v>
      </c>
      <c r="F247" s="158">
        <f ca="1">IF(LeagueInfo!$H$7="Starter/Bench",INDEX(INDIRECT(""&amp;B247&amp;"!T2:T628"),MATCH(A247,INDIRECT(""&amp;B247&amp;"!B2:B628"),0)),INDEX(INDIRECT(""&amp;B247&amp;"!AB2:AB628"),MATCH(A247,INDIRECT(""&amp;B247&amp;"!B2:B628"),0)))</f>
        <v>-0.12703425643830399</v>
      </c>
      <c r="G247" s="159">
        <f t="shared" si="23"/>
        <v>0</v>
      </c>
      <c r="H247" s="160"/>
      <c r="I247" s="159">
        <f t="shared" ca="1" si="24"/>
        <v>-0.12703425643830399</v>
      </c>
      <c r="J247" s="159" t="s">
        <v>73</v>
      </c>
      <c r="K247" s="159">
        <f>IF(LeagueInfo!$F$7="Yahoo",IFERROR(INDEX(DefaultAuctionValues!$B$2:$B$331,MATCH(A247,DefaultAuctionValues!$A$2:$A$331,0)),0),IF(LeagueInfo!$F$7="ESPN",IFERROR(INDEX(DefaultAuctionValues!$C$2:$C$331,MATCH(A247,DefaultAuctionValues!$A$2:$A$331,0)),0),IF(LeagueInfo!$F$7="Custom",IFERROR(INDEX(DefaultAuctionValues!$D$2:$D$331,MATCH(A247,DefaultAuctionValues!$A$2:$A$331,0)),0))))</f>
        <v>1</v>
      </c>
      <c r="L247" s="159">
        <f t="shared" ca="1" si="25"/>
        <v>-1.127034256438304</v>
      </c>
      <c r="M247" s="171"/>
      <c r="N247" s="166">
        <f t="shared" ca="1" si="26"/>
        <v>-0.38499999999999801</v>
      </c>
      <c r="O247" s="157" t="str">
        <f t="shared" ca="1" si="27"/>
        <v/>
      </c>
    </row>
    <row r="248" spans="1:15" x14ac:dyDescent="0.35">
      <c r="A248" s="157" t="s">
        <v>602</v>
      </c>
      <c r="B248" s="157" t="s">
        <v>32</v>
      </c>
      <c r="C248" s="157">
        <f ca="1">IFERROR(INDEX(BYEs!$B$2:$B$33,MATCH(D248,BYEs!$A$2:$A$33,0)),"N/A")</f>
        <v>11</v>
      </c>
      <c r="D248" s="214" t="str">
        <f t="shared" ca="1" si="21"/>
        <v>NYG</v>
      </c>
      <c r="E248" s="213" t="str">
        <f t="shared" ca="1" si="22"/>
        <v>WR7</v>
      </c>
      <c r="F248" s="158">
        <f ca="1">IF(LeagueInfo!$H$7="Starter/Bench",INDEX(INDIRECT(""&amp;B248&amp;"!T2:T628"),MATCH(A248,INDIRECT(""&amp;B248&amp;"!B2:B628"),0)),INDEX(INDIRECT(""&amp;B248&amp;"!AB2:AB628"),MATCH(A248,INDIRECT(""&amp;B248&amp;"!B2:B628"),0)))</f>
        <v>-0.13858282520542381</v>
      </c>
      <c r="G248" s="159">
        <f t="shared" si="23"/>
        <v>0</v>
      </c>
      <c r="H248" s="160"/>
      <c r="I248" s="159">
        <f t="shared" ca="1" si="24"/>
        <v>-0.13858282520542381</v>
      </c>
      <c r="J248" s="159" t="s">
        <v>73</v>
      </c>
      <c r="K248" s="159">
        <f>IF(LeagueInfo!$F$7="Yahoo",IFERROR(INDEX(DefaultAuctionValues!$B$2:$B$331,MATCH(A248,DefaultAuctionValues!$A$2:$A$331,0)),0),IF(LeagueInfo!$F$7="ESPN",IFERROR(INDEX(DefaultAuctionValues!$C$2:$C$331,MATCH(A248,DefaultAuctionValues!$A$2:$A$331,0)),0),IF(LeagueInfo!$F$7="Custom",IFERROR(INDEX(DefaultAuctionValues!$D$2:$D$331,MATCH(A248,DefaultAuctionValues!$A$2:$A$331,0)),0))))</f>
        <v>1</v>
      </c>
      <c r="L248" s="159">
        <f t="shared" ca="1" si="25"/>
        <v>-1.1385828252054238</v>
      </c>
      <c r="M248" s="171"/>
      <c r="N248" s="166">
        <f t="shared" ca="1" si="26"/>
        <v>-0.42000000000000171</v>
      </c>
      <c r="O248" s="157" t="str">
        <f t="shared" ca="1" si="27"/>
        <v/>
      </c>
    </row>
    <row r="249" spans="1:15" x14ac:dyDescent="0.35">
      <c r="A249" s="157" t="s">
        <v>917</v>
      </c>
      <c r="B249" s="157" t="s">
        <v>32</v>
      </c>
      <c r="C249" s="157">
        <f ca="1">IFERROR(INDEX(BYEs!$B$2:$B$33,MATCH(D249,BYEs!$A$2:$A$33,0)),"N/A")</f>
        <v>14</v>
      </c>
      <c r="D249" s="214" t="str">
        <f t="shared" ca="1" si="21"/>
        <v>IND</v>
      </c>
      <c r="E249" s="213" t="str">
        <f t="shared" ca="1" si="22"/>
        <v>WR7</v>
      </c>
      <c r="F249" s="158">
        <f ca="1">IF(LeagueInfo!$H$7="Starter/Bench",INDEX(INDIRECT(""&amp;B249&amp;"!T2:T628"),MATCH(A249,INDIRECT(""&amp;B249&amp;"!B2:B628"),0)),INDEX(INDIRECT(""&amp;B249&amp;"!AB2:AB628"),MATCH(A249,INDIRECT(""&amp;B249&amp;"!B2:B628"),0)))</f>
        <v>-0.18807669135021737</v>
      </c>
      <c r="G249" s="159">
        <f t="shared" si="23"/>
        <v>0</v>
      </c>
      <c r="H249" s="160"/>
      <c r="I249" s="159">
        <f t="shared" ca="1" si="24"/>
        <v>-0.18807669135021737</v>
      </c>
      <c r="J249" s="159" t="s">
        <v>73</v>
      </c>
      <c r="K249" s="159">
        <f>IF(LeagueInfo!$F$7="Yahoo",IFERROR(INDEX(DefaultAuctionValues!$B$2:$B$331,MATCH(A249,DefaultAuctionValues!$A$2:$A$331,0)),0),IF(LeagueInfo!$F$7="ESPN",IFERROR(INDEX(DefaultAuctionValues!$C$2:$C$331,MATCH(A249,DefaultAuctionValues!$A$2:$A$331,0)),0),IF(LeagueInfo!$F$7="Custom",IFERROR(INDEX(DefaultAuctionValues!$D$2:$D$331,MATCH(A249,DefaultAuctionValues!$A$2:$A$331,0)),0))))</f>
        <v>1</v>
      </c>
      <c r="L249" s="159">
        <f t="shared" ca="1" si="25"/>
        <v>-1.1880766913502174</v>
      </c>
      <c r="M249" s="171"/>
      <c r="N249" s="166">
        <f t="shared" ca="1" si="26"/>
        <v>-0.57000000000000028</v>
      </c>
      <c r="O249" s="157" t="str">
        <f t="shared" ca="1" si="27"/>
        <v/>
      </c>
    </row>
    <row r="250" spans="1:15" x14ac:dyDescent="0.35">
      <c r="A250" s="157" t="s">
        <v>447</v>
      </c>
      <c r="B250" s="157" t="s">
        <v>40</v>
      </c>
      <c r="C250" s="157">
        <f ca="1">IFERROR(INDEX(BYEs!$B$2:$B$33,MATCH(D250,BYEs!$A$2:$A$33,0)),"N/A")</f>
        <v>10</v>
      </c>
      <c r="D250" s="214" t="str">
        <f t="shared" ca="1" si="21"/>
        <v>SEA</v>
      </c>
      <c r="E250" s="213" t="str">
        <f t="shared" ca="1" si="22"/>
        <v>TE6</v>
      </c>
      <c r="F250" s="158">
        <f ca="1">IF(LeagueInfo!$H$7="Starter/Bench",INDEX(INDIRECT(""&amp;B250&amp;"!T2:T628"),MATCH(A250,INDIRECT(""&amp;B250&amp;"!B2:B628"),0)),INDEX(INDIRECT(""&amp;B250&amp;"!AB2:AB628"),MATCH(A250,INDIRECT(""&amp;B250&amp;"!B2:B628"),0)))</f>
        <v>-0.37945297377675602</v>
      </c>
      <c r="G250" s="159">
        <f t="shared" si="23"/>
        <v>0</v>
      </c>
      <c r="H250" s="160"/>
      <c r="I250" s="159">
        <f t="shared" ca="1" si="24"/>
        <v>-0.37945297377675602</v>
      </c>
      <c r="J250" s="159" t="s">
        <v>73</v>
      </c>
      <c r="K250" s="159">
        <f>IF(LeagueInfo!$F$7="Yahoo",IFERROR(INDEX(DefaultAuctionValues!$B$2:$B$331,MATCH(A250,DefaultAuctionValues!$A$2:$A$331,0)),0),IF(LeagueInfo!$F$7="ESPN",IFERROR(INDEX(DefaultAuctionValues!$C$2:$C$331,MATCH(A250,DefaultAuctionValues!$A$2:$A$331,0)),0),IF(LeagueInfo!$F$7="Custom",IFERROR(INDEX(DefaultAuctionValues!$D$2:$D$331,MATCH(A250,DefaultAuctionValues!$A$2:$A$331,0)),0))))</f>
        <v>1</v>
      </c>
      <c r="L250" s="159">
        <f t="shared" ca="1" si="25"/>
        <v>-1.379452973776756</v>
      </c>
      <c r="M250" s="171"/>
      <c r="N250" s="166">
        <f t="shared" ca="1" si="26"/>
        <v>-1.1500000000000057</v>
      </c>
      <c r="O250" s="157" t="str">
        <f t="shared" ca="1" si="27"/>
        <v/>
      </c>
    </row>
    <row r="251" spans="1:15" x14ac:dyDescent="0.35">
      <c r="A251" s="157" t="s">
        <v>736</v>
      </c>
      <c r="B251" s="157" t="s">
        <v>32</v>
      </c>
      <c r="C251" s="157">
        <f ca="1">IFERROR(INDEX(BYEs!$B$2:$B$33,MATCH(D251,BYEs!$A$2:$A$33,0)),"N/A")</f>
        <v>14</v>
      </c>
      <c r="D251" s="214" t="str">
        <f t="shared" ca="1" si="21"/>
        <v>IND</v>
      </c>
      <c r="E251" s="213" t="str">
        <f t="shared" ca="1" si="22"/>
        <v>WR7</v>
      </c>
      <c r="F251" s="158">
        <f ca="1">IF(LeagueInfo!$H$7="Starter/Bench",INDEX(INDIRECT(""&amp;B251&amp;"!T2:T628"),MATCH(A251,INDIRECT(""&amp;B251&amp;"!B2:B628"),0)),INDEX(INDIRECT(""&amp;B251&amp;"!AB2:AB628"),MATCH(A251,INDIRECT(""&amp;B251&amp;"!B2:B628"),0)))</f>
        <v>-0.56093048297433312</v>
      </c>
      <c r="G251" s="159">
        <f t="shared" si="23"/>
        <v>0</v>
      </c>
      <c r="H251" s="160"/>
      <c r="I251" s="159">
        <f t="shared" ca="1" si="24"/>
        <v>-0.56093048297433312</v>
      </c>
      <c r="J251" s="159" t="s">
        <v>73</v>
      </c>
      <c r="K251" s="159">
        <f>IF(LeagueInfo!$F$7="Yahoo",IFERROR(INDEX(DefaultAuctionValues!$B$2:$B$331,MATCH(A251,DefaultAuctionValues!$A$2:$A$331,0)),0),IF(LeagueInfo!$F$7="ESPN",IFERROR(INDEX(DefaultAuctionValues!$C$2:$C$331,MATCH(A251,DefaultAuctionValues!$A$2:$A$331,0)),0),IF(LeagueInfo!$F$7="Custom",IFERROR(INDEX(DefaultAuctionValues!$D$2:$D$331,MATCH(A251,DefaultAuctionValues!$A$2:$A$331,0)),0))))</f>
        <v>1</v>
      </c>
      <c r="L251" s="159">
        <f t="shared" ca="1" si="25"/>
        <v>-1.5609304829743331</v>
      </c>
      <c r="M251" s="171"/>
      <c r="N251" s="166">
        <f t="shared" ca="1" si="26"/>
        <v>-1.7000000000000028</v>
      </c>
      <c r="O251" s="157" t="str">
        <f t="shared" ca="1" si="27"/>
        <v/>
      </c>
    </row>
    <row r="252" spans="1:15" x14ac:dyDescent="0.35">
      <c r="A252" s="157" t="s">
        <v>245</v>
      </c>
      <c r="B252" s="157" t="s">
        <v>32</v>
      </c>
      <c r="C252" s="157">
        <f ca="1">IFERROR(INDEX(BYEs!$B$2:$B$33,MATCH(D252,BYEs!$A$2:$A$33,0)),"N/A")</f>
        <v>6</v>
      </c>
      <c r="D252" s="214" t="str">
        <f t="shared" ca="1" si="21"/>
        <v>LAR</v>
      </c>
      <c r="E252" s="213" t="str">
        <f t="shared" ca="1" si="22"/>
        <v>WR7</v>
      </c>
      <c r="F252" s="158">
        <f ca="1">IF(LeagueInfo!$H$7="Starter/Bench",INDEX(INDIRECT(""&amp;B252&amp;"!T2:T628"),MATCH(A252,INDIRECT(""&amp;B252&amp;"!B2:B628"),0)),INDEX(INDIRECT(""&amp;B252&amp;"!AB2:AB628"),MATCH(A252,INDIRECT(""&amp;B252&amp;"!B2:B628"),0)))</f>
        <v>-0.84799490661413757</v>
      </c>
      <c r="G252" s="159">
        <f t="shared" si="23"/>
        <v>0</v>
      </c>
      <c r="H252" s="160"/>
      <c r="I252" s="159">
        <f t="shared" ca="1" si="24"/>
        <v>-0.84799490661413757</v>
      </c>
      <c r="J252" s="159" t="s">
        <v>73</v>
      </c>
      <c r="K252" s="159">
        <f>IF(LeagueInfo!$F$7="Yahoo",IFERROR(INDEX(DefaultAuctionValues!$B$2:$B$331,MATCH(A252,DefaultAuctionValues!$A$2:$A$331,0)),0),IF(LeagueInfo!$F$7="ESPN",IFERROR(INDEX(DefaultAuctionValues!$C$2:$C$331,MATCH(A252,DefaultAuctionValues!$A$2:$A$331,0)),0),IF(LeagueInfo!$F$7="Custom",IFERROR(INDEX(DefaultAuctionValues!$D$2:$D$331,MATCH(A252,DefaultAuctionValues!$A$2:$A$331,0)),0))))</f>
        <v>1</v>
      </c>
      <c r="L252" s="159">
        <f t="shared" ca="1" si="25"/>
        <v>-1.8479949066141375</v>
      </c>
      <c r="M252" s="171"/>
      <c r="N252" s="166">
        <f t="shared" ca="1" si="26"/>
        <v>-2.5700000000000003</v>
      </c>
      <c r="O252" s="157" t="str">
        <f t="shared" ca="1" si="27"/>
        <v/>
      </c>
    </row>
    <row r="253" spans="1:15" x14ac:dyDescent="0.35">
      <c r="A253" s="157" t="s">
        <v>643</v>
      </c>
      <c r="B253" s="157" t="s">
        <v>40</v>
      </c>
      <c r="C253" s="157">
        <f ca="1">IFERROR(INDEX(BYEs!$B$2:$B$33,MATCH(D253,BYEs!$A$2:$A$33,0)),"N/A")</f>
        <v>14</v>
      </c>
      <c r="D253" s="214" t="str">
        <f t="shared" ca="1" si="21"/>
        <v>BAL</v>
      </c>
      <c r="E253" s="213" t="str">
        <f t="shared" ca="1" si="22"/>
        <v>TE6</v>
      </c>
      <c r="F253" s="158">
        <f ca="1">IF(LeagueInfo!$H$7="Starter/Bench",INDEX(INDIRECT(""&amp;B253&amp;"!T2:T628"),MATCH(A253,INDIRECT(""&amp;B253&amp;"!B2:B628"),0)),INDEX(INDIRECT(""&amp;B253&amp;"!AB2:AB628"),MATCH(A253,INDIRECT(""&amp;B253&amp;"!B2:B628"),0)))</f>
        <v>-1.0723670998038728</v>
      </c>
      <c r="G253" s="159">
        <f t="shared" si="23"/>
        <v>0</v>
      </c>
      <c r="H253" s="160"/>
      <c r="I253" s="159">
        <f t="shared" ca="1" si="24"/>
        <v>-1.0723670998038728</v>
      </c>
      <c r="J253" s="159" t="s">
        <v>73</v>
      </c>
      <c r="K253" s="159">
        <f>IF(LeagueInfo!$F$7="Yahoo",IFERROR(INDEX(DefaultAuctionValues!$B$2:$B$331,MATCH(A253,DefaultAuctionValues!$A$2:$A$331,0)),0),IF(LeagueInfo!$F$7="ESPN",IFERROR(INDEX(DefaultAuctionValues!$C$2:$C$331,MATCH(A253,DefaultAuctionValues!$A$2:$A$331,0)),0),IF(LeagueInfo!$F$7="Custom",IFERROR(INDEX(DefaultAuctionValues!$D$2:$D$331,MATCH(A253,DefaultAuctionValues!$A$2:$A$331,0)),0))))</f>
        <v>1</v>
      </c>
      <c r="L253" s="159">
        <f t="shared" ca="1" si="25"/>
        <v>-2.0723670998038726</v>
      </c>
      <c r="M253" s="171"/>
      <c r="N253" s="166">
        <f t="shared" ca="1" si="26"/>
        <v>-3.2500000000000071</v>
      </c>
      <c r="O253" s="157" t="str">
        <f t="shared" ca="1" si="27"/>
        <v/>
      </c>
    </row>
    <row r="254" spans="1:15" x14ac:dyDescent="0.35">
      <c r="A254" s="157" t="s">
        <v>553</v>
      </c>
      <c r="B254" s="157" t="s">
        <v>32</v>
      </c>
      <c r="C254" s="157">
        <f ca="1">IFERROR(INDEX(BYEs!$B$2:$B$33,MATCH(D254,BYEs!$A$2:$A$33,0)),"N/A")</f>
        <v>14</v>
      </c>
      <c r="D254" s="214" t="str">
        <f t="shared" ca="1" si="21"/>
        <v>BAL</v>
      </c>
      <c r="E254" s="213" t="str">
        <f t="shared" ca="1" si="22"/>
        <v>WR7</v>
      </c>
      <c r="F254" s="158">
        <f ca="1">IF(LeagueInfo!$H$7="Starter/Bench",INDEX(INDIRECT(""&amp;B254&amp;"!T2:T628"),MATCH(A254,INDIRECT(""&amp;B254&amp;"!B2:B628"),0)),INDEX(INDIRECT(""&amp;B254&amp;"!AB2:AB628"),MATCH(A254,INDIRECT(""&amp;B254&amp;"!B2:B628"),0)))</f>
        <v>-1.3429335680620778</v>
      </c>
      <c r="G254" s="159">
        <f t="shared" si="23"/>
        <v>0</v>
      </c>
      <c r="H254" s="160"/>
      <c r="I254" s="159">
        <f t="shared" ca="1" si="24"/>
        <v>-1.3429335680620778</v>
      </c>
      <c r="J254" s="159" t="s">
        <v>73</v>
      </c>
      <c r="K254" s="159">
        <f>IF(LeagueInfo!$F$7="Yahoo",IFERROR(INDEX(DefaultAuctionValues!$B$2:$B$331,MATCH(A254,DefaultAuctionValues!$A$2:$A$331,0)),0),IF(LeagueInfo!$F$7="ESPN",IFERROR(INDEX(DefaultAuctionValues!$C$2:$C$331,MATCH(A254,DefaultAuctionValues!$A$2:$A$331,0)),0),IF(LeagueInfo!$F$7="Custom",IFERROR(INDEX(DefaultAuctionValues!$D$2:$D$331,MATCH(A254,DefaultAuctionValues!$A$2:$A$331,0)),0))))</f>
        <v>1</v>
      </c>
      <c r="L254" s="159">
        <f t="shared" ca="1" si="25"/>
        <v>-2.3429335680620778</v>
      </c>
      <c r="M254" s="171"/>
      <c r="N254" s="166">
        <f t="shared" ca="1" si="26"/>
        <v>-4.07</v>
      </c>
      <c r="O254" s="157" t="str">
        <f t="shared" ca="1" si="27"/>
        <v/>
      </c>
    </row>
    <row r="255" spans="1:15" x14ac:dyDescent="0.35">
      <c r="A255" s="157" t="s">
        <v>591</v>
      </c>
      <c r="B255" s="157" t="s">
        <v>32</v>
      </c>
      <c r="C255" s="157">
        <f ca="1">IFERROR(INDEX(BYEs!$B$2:$B$33,MATCH(D255,BYEs!$A$2:$A$33,0)),"N/A")</f>
        <v>5</v>
      </c>
      <c r="D255" s="214" t="str">
        <f t="shared" ca="1" si="21"/>
        <v>LAC</v>
      </c>
      <c r="E255" s="213" t="str">
        <f t="shared" ca="1" si="22"/>
        <v>WR7</v>
      </c>
      <c r="F255" s="158">
        <f ca="1">IF(LeagueInfo!$H$7="Starter/Bench",INDEX(INDIRECT(""&amp;B255&amp;"!T2:T628"),MATCH(A255,INDIRECT(""&amp;B255&amp;"!B2:B628"),0)),INDEX(INDIRECT(""&amp;B255&amp;"!AB2:AB628"),MATCH(A255,INDIRECT(""&amp;B255&amp;"!B2:B628"),0)))</f>
        <v>-1.6135000363202852</v>
      </c>
      <c r="G255" s="159">
        <f t="shared" si="23"/>
        <v>0</v>
      </c>
      <c r="H255" s="160"/>
      <c r="I255" s="159">
        <f t="shared" ca="1" si="24"/>
        <v>-1.6135000363202852</v>
      </c>
      <c r="J255" s="159" t="s">
        <v>73</v>
      </c>
      <c r="K255" s="159">
        <f>IF(LeagueInfo!$F$7="Yahoo",IFERROR(INDEX(DefaultAuctionValues!$B$2:$B$331,MATCH(A255,DefaultAuctionValues!$A$2:$A$331,0)),0),IF(LeagueInfo!$F$7="ESPN",IFERROR(INDEX(DefaultAuctionValues!$C$2:$C$331,MATCH(A255,DefaultAuctionValues!$A$2:$A$331,0)),0),IF(LeagueInfo!$F$7="Custom",IFERROR(INDEX(DefaultAuctionValues!$D$2:$D$331,MATCH(A255,DefaultAuctionValues!$A$2:$A$331,0)),0))))</f>
        <v>1</v>
      </c>
      <c r="L255" s="159">
        <f t="shared" ca="1" si="25"/>
        <v>-2.6135000363202852</v>
      </c>
      <c r="M255" s="171"/>
      <c r="N255" s="166">
        <f t="shared" ca="1" si="26"/>
        <v>-4.8900000000000006</v>
      </c>
      <c r="O255" s="157" t="str">
        <f t="shared" ca="1" si="27"/>
        <v/>
      </c>
    </row>
    <row r="256" spans="1:15" x14ac:dyDescent="0.35">
      <c r="A256" s="157" t="s">
        <v>438</v>
      </c>
      <c r="B256" s="157" t="s">
        <v>32</v>
      </c>
      <c r="C256" s="157">
        <f ca="1">IFERROR(INDEX(BYEs!$B$2:$B$33,MATCH(D256,BYEs!$A$2:$A$33,0)),"N/A")</f>
        <v>11</v>
      </c>
      <c r="D256" s="214" t="str">
        <f t="shared" ca="1" si="21"/>
        <v>NYG</v>
      </c>
      <c r="E256" s="213" t="str">
        <f t="shared" ca="1" si="22"/>
        <v>WR7</v>
      </c>
      <c r="F256" s="158">
        <f ca="1">IF(LeagueInfo!$H$7="Starter/Bench",INDEX(INDIRECT(""&amp;B256&amp;"!T2:T628"),MATCH(A256,INDIRECT(""&amp;B256&amp;"!B2:B628"),0)),INDEX(INDIRECT(""&amp;B256&amp;"!AB2:AB628"),MATCH(A256,INDIRECT(""&amp;B256&amp;"!B2:B628"),0)))</f>
        <v>-1.7619816347546682</v>
      </c>
      <c r="G256" s="159">
        <f t="shared" si="23"/>
        <v>0</v>
      </c>
      <c r="H256" s="160"/>
      <c r="I256" s="159">
        <f t="shared" ca="1" si="24"/>
        <v>-1.7619816347546682</v>
      </c>
      <c r="J256" s="159" t="s">
        <v>73</v>
      </c>
      <c r="K256" s="159">
        <f>IF(LeagueInfo!$F$7="Yahoo",IFERROR(INDEX(DefaultAuctionValues!$B$2:$B$331,MATCH(A256,DefaultAuctionValues!$A$2:$A$331,0)),0),IF(LeagueInfo!$F$7="ESPN",IFERROR(INDEX(DefaultAuctionValues!$C$2:$C$331,MATCH(A256,DefaultAuctionValues!$A$2:$A$331,0)),0),IF(LeagueInfo!$F$7="Custom",IFERROR(INDEX(DefaultAuctionValues!$D$2:$D$331,MATCH(A256,DefaultAuctionValues!$A$2:$A$331,0)),0))))</f>
        <v>1</v>
      </c>
      <c r="L256" s="159">
        <f t="shared" ca="1" si="25"/>
        <v>-2.761981634754668</v>
      </c>
      <c r="M256" s="171"/>
      <c r="N256" s="166">
        <f t="shared" ca="1" si="26"/>
        <v>-5.3400000000000034</v>
      </c>
      <c r="O256" s="157" t="str">
        <f t="shared" ca="1" si="27"/>
        <v/>
      </c>
    </row>
    <row r="257" spans="1:15" x14ac:dyDescent="0.35">
      <c r="A257" s="157" t="s">
        <v>916</v>
      </c>
      <c r="B257" s="157" t="s">
        <v>32</v>
      </c>
      <c r="C257" s="157">
        <f ca="1">IFERROR(INDEX(BYEs!$B$2:$B$33,MATCH(D257,BYEs!$A$2:$A$33,0)),"N/A")</f>
        <v>11</v>
      </c>
      <c r="D257" s="214" t="str">
        <f t="shared" ca="1" si="21"/>
        <v>CAR</v>
      </c>
      <c r="E257" s="213" t="str">
        <f t="shared" ca="1" si="22"/>
        <v>WR7</v>
      </c>
      <c r="F257" s="158">
        <f ca="1">IF(LeagueInfo!$H$7="Starter/Bench",INDEX(INDIRECT(""&amp;B257&amp;"!T2:T628"),MATCH(A257,INDIRECT(""&amp;B257&amp;"!B2:B628"),0)),INDEX(INDIRECT(""&amp;B257&amp;"!AB2:AB628"),MATCH(A257,INDIRECT(""&amp;B257&amp;"!B2:B628"),0)))</f>
        <v>-1.8296232518192195</v>
      </c>
      <c r="G257" s="159">
        <f t="shared" si="23"/>
        <v>0</v>
      </c>
      <c r="H257" s="160"/>
      <c r="I257" s="159">
        <f t="shared" ca="1" si="24"/>
        <v>-1.8296232518192195</v>
      </c>
      <c r="J257" s="159" t="s">
        <v>73</v>
      </c>
      <c r="K257" s="159">
        <f>IF(LeagueInfo!$F$7="Yahoo",IFERROR(INDEX(DefaultAuctionValues!$B$2:$B$331,MATCH(A257,DefaultAuctionValues!$A$2:$A$331,0)),0),IF(LeagueInfo!$F$7="ESPN",IFERROR(INDEX(DefaultAuctionValues!$C$2:$C$331,MATCH(A257,DefaultAuctionValues!$A$2:$A$331,0)),0),IF(LeagueInfo!$F$7="Custom",IFERROR(INDEX(DefaultAuctionValues!$D$2:$D$331,MATCH(A257,DefaultAuctionValues!$A$2:$A$331,0)),0))))</f>
        <v>1.2</v>
      </c>
      <c r="L257" s="159">
        <f t="shared" ca="1" si="25"/>
        <v>-3.0296232518192197</v>
      </c>
      <c r="M257" s="171"/>
      <c r="N257" s="166">
        <f t="shared" ca="1" si="26"/>
        <v>-5.5450000000000017</v>
      </c>
      <c r="O257" s="157" t="str">
        <f t="shared" ca="1" si="27"/>
        <v/>
      </c>
    </row>
    <row r="258" spans="1:15" x14ac:dyDescent="0.35">
      <c r="A258" s="157" t="s">
        <v>869</v>
      </c>
      <c r="B258" s="157" t="s">
        <v>25</v>
      </c>
      <c r="C258" s="157">
        <f ca="1">IFERROR(INDEX(BYEs!$B$2:$B$33,MATCH(D258,BYEs!$A$2:$A$33,0)),"N/A")</f>
        <v>11</v>
      </c>
      <c r="D258" s="214" t="str">
        <f t="shared" ca="1" si="21"/>
        <v>TB</v>
      </c>
      <c r="E258" s="213" t="str">
        <f t="shared" ca="1" si="22"/>
        <v>RB8</v>
      </c>
      <c r="F258" s="158">
        <f ca="1">IF(LeagueInfo!$H$7="Starter/Bench",INDEX(INDIRECT(""&amp;B258&amp;"!T2:T628"),MATCH(A258,INDIRECT(""&amp;B258&amp;"!B2:B628"),0)),INDEX(INDIRECT(""&amp;B258&amp;"!AB2:AB628"),MATCH(A258,INDIRECT(""&amp;B258&amp;"!B2:B628"),0)))</f>
        <v>-2.1760803148327765</v>
      </c>
      <c r="G258" s="159">
        <f t="shared" si="23"/>
        <v>0</v>
      </c>
      <c r="H258" s="160"/>
      <c r="I258" s="159">
        <f t="shared" ca="1" si="24"/>
        <v>-2.1760803148327765</v>
      </c>
      <c r="J258" s="159" t="s">
        <v>73</v>
      </c>
      <c r="K258" s="159">
        <f>IF(LeagueInfo!$F$7="Yahoo",IFERROR(INDEX(DefaultAuctionValues!$B$2:$B$331,MATCH(A258,DefaultAuctionValues!$A$2:$A$331,0)),0),IF(LeagueInfo!$F$7="ESPN",IFERROR(INDEX(DefaultAuctionValues!$C$2:$C$331,MATCH(A258,DefaultAuctionValues!$A$2:$A$331,0)),0),IF(LeagueInfo!$F$7="Custom",IFERROR(INDEX(DefaultAuctionValues!$D$2:$D$331,MATCH(A258,DefaultAuctionValues!$A$2:$A$331,0)),0))))</f>
        <v>1</v>
      </c>
      <c r="L258" s="159">
        <f t="shared" ca="1" si="25"/>
        <v>-3.1760803148327765</v>
      </c>
      <c r="M258" s="171"/>
      <c r="N258" s="166">
        <f t="shared" ca="1" si="26"/>
        <v>-6.5949999999999989</v>
      </c>
      <c r="O258" s="157" t="str">
        <f t="shared" ca="1" si="27"/>
        <v/>
      </c>
    </row>
    <row r="259" spans="1:15" x14ac:dyDescent="0.35">
      <c r="A259" s="157" t="s">
        <v>258</v>
      </c>
      <c r="B259" s="157" t="s">
        <v>40</v>
      </c>
      <c r="C259" s="157">
        <f ca="1">IFERROR(INDEX(BYEs!$B$2:$B$33,MATCH(D259,BYEs!$A$2:$A$33,0)),"N/A")</f>
        <v>6</v>
      </c>
      <c r="D259" s="214" t="str">
        <f t="shared" ca="1" si="21"/>
        <v>MIA</v>
      </c>
      <c r="E259" s="213" t="str">
        <f t="shared" ca="1" si="22"/>
        <v>TE7</v>
      </c>
      <c r="F259" s="158">
        <f ca="1">IF(LeagueInfo!$H$7="Starter/Bench",INDEX(INDIRECT(""&amp;B259&amp;"!T2:T628"),MATCH(A259,INDIRECT(""&amp;B259&amp;"!B2:B628"),0)),INDEX(INDIRECT(""&amp;B259&amp;"!AB2:AB628"),MATCH(A259,INDIRECT(""&amp;B259&amp;"!B2:B628"),0)))</f>
        <v>-2.247021522973649</v>
      </c>
      <c r="G259" s="159">
        <f t="shared" si="23"/>
        <v>0</v>
      </c>
      <c r="H259" s="160"/>
      <c r="I259" s="159">
        <f t="shared" ca="1" si="24"/>
        <v>-2.247021522973649</v>
      </c>
      <c r="J259" s="159" t="s">
        <v>73</v>
      </c>
      <c r="K259" s="159">
        <f>IF(LeagueInfo!$F$7="Yahoo",IFERROR(INDEX(DefaultAuctionValues!$B$2:$B$331,MATCH(A259,DefaultAuctionValues!$A$2:$A$331,0)),0),IF(LeagueInfo!$F$7="ESPN",IFERROR(INDEX(DefaultAuctionValues!$C$2:$C$331,MATCH(A259,DefaultAuctionValues!$A$2:$A$331,0)),0),IF(LeagueInfo!$F$7="Custom",IFERROR(INDEX(DefaultAuctionValues!$D$2:$D$331,MATCH(A259,DefaultAuctionValues!$A$2:$A$331,0)),0))))</f>
        <v>1</v>
      </c>
      <c r="L259" s="159">
        <f t="shared" ca="1" si="25"/>
        <v>-3.247021522973649</v>
      </c>
      <c r="M259" s="171"/>
      <c r="N259" s="166">
        <f t="shared" ca="1" si="26"/>
        <v>-6.8100000000000023</v>
      </c>
      <c r="O259" s="157" t="str">
        <f t="shared" ca="1" si="27"/>
        <v/>
      </c>
    </row>
    <row r="260" spans="1:15" x14ac:dyDescent="0.35">
      <c r="A260" s="157" t="s">
        <v>369</v>
      </c>
      <c r="B260" s="157" t="s">
        <v>40</v>
      </c>
      <c r="C260" s="157">
        <f ca="1">IFERROR(INDEX(BYEs!$B$2:$B$33,MATCH(D260,BYEs!$A$2:$A$33,0)),"N/A")</f>
        <v>5</v>
      </c>
      <c r="D260" s="214" t="str">
        <f t="shared" ca="1" si="21"/>
        <v>LAC</v>
      </c>
      <c r="E260" s="213" t="str">
        <f t="shared" ca="1" si="22"/>
        <v>TE7</v>
      </c>
      <c r="F260" s="158">
        <f ca="1">IF(LeagueInfo!$H$7="Starter/Bench",INDEX(INDIRECT(""&amp;B260&amp;"!T2:T628"),MATCH(A260,INDIRECT(""&amp;B260&amp;"!B2:B628"),0)),INDEX(INDIRECT(""&amp;B260&amp;"!AB2:AB628"),MATCH(A260,INDIRECT(""&amp;B260&amp;"!B2:B628"),0)))</f>
        <v>-2.3509586418777184</v>
      </c>
      <c r="G260" s="159">
        <f t="shared" si="23"/>
        <v>0</v>
      </c>
      <c r="H260" s="160"/>
      <c r="I260" s="159">
        <f t="shared" ca="1" si="24"/>
        <v>-2.3509586418777184</v>
      </c>
      <c r="J260" s="159" t="s">
        <v>73</v>
      </c>
      <c r="K260" s="159">
        <f>IF(LeagueInfo!$F$7="Yahoo",IFERROR(INDEX(DefaultAuctionValues!$B$2:$B$331,MATCH(A260,DefaultAuctionValues!$A$2:$A$331,0)),0),IF(LeagueInfo!$F$7="ESPN",IFERROR(INDEX(DefaultAuctionValues!$C$2:$C$331,MATCH(A260,DefaultAuctionValues!$A$2:$A$331,0)),0),IF(LeagueInfo!$F$7="Custom",IFERROR(INDEX(DefaultAuctionValues!$D$2:$D$331,MATCH(A260,DefaultAuctionValues!$A$2:$A$331,0)),0))))</f>
        <v>1</v>
      </c>
      <c r="L260" s="159">
        <f t="shared" ca="1" si="25"/>
        <v>-3.3509586418777184</v>
      </c>
      <c r="M260" s="171"/>
      <c r="N260" s="166">
        <f t="shared" ca="1" si="26"/>
        <v>-7.1250000000000071</v>
      </c>
      <c r="O260" s="157" t="str">
        <f t="shared" ca="1" si="27"/>
        <v/>
      </c>
    </row>
    <row r="261" spans="1:15" x14ac:dyDescent="0.35">
      <c r="A261" s="157" t="s">
        <v>243</v>
      </c>
      <c r="B261" s="157" t="s">
        <v>32</v>
      </c>
      <c r="C261" s="157">
        <f ca="1">IFERROR(INDEX(BYEs!$B$2:$B$33,MATCH(D261,BYEs!$A$2:$A$33,0)),"N/A")</f>
        <v>14</v>
      </c>
      <c r="D261" s="214" t="str">
        <f t="shared" ca="1" si="21"/>
        <v>DEN</v>
      </c>
      <c r="E261" s="213" t="str">
        <f t="shared" ca="1" si="22"/>
        <v>WR7</v>
      </c>
      <c r="F261" s="158">
        <f ca="1">IF(LeagueInfo!$H$7="Starter/Bench",INDEX(INDIRECT(""&amp;B261&amp;"!T2:T628"),MATCH(A261,INDIRECT(""&amp;B261&amp;"!B2:B628"),0)),INDEX(INDIRECT(""&amp;B261&amp;"!AB2:AB628"),MATCH(A261,INDIRECT(""&amp;B261&amp;"!B2:B628"),0)))</f>
        <v>-3.0125266526797967</v>
      </c>
      <c r="G261" s="159">
        <f t="shared" si="23"/>
        <v>0</v>
      </c>
      <c r="H261" s="160"/>
      <c r="I261" s="159">
        <f t="shared" ca="1" si="24"/>
        <v>-3.0125266526797967</v>
      </c>
      <c r="J261" s="159" t="s">
        <v>73</v>
      </c>
      <c r="K261" s="159">
        <f>IF(LeagueInfo!$F$7="Yahoo",IFERROR(INDEX(DefaultAuctionValues!$B$2:$B$331,MATCH(A261,DefaultAuctionValues!$A$2:$A$331,0)),0),IF(LeagueInfo!$F$7="ESPN",IFERROR(INDEX(DefaultAuctionValues!$C$2:$C$331,MATCH(A261,DefaultAuctionValues!$A$2:$A$331,0)),0),IF(LeagueInfo!$F$7="Custom",IFERROR(INDEX(DefaultAuctionValues!$D$2:$D$331,MATCH(A261,DefaultAuctionValues!$A$2:$A$331,0)),0))))</f>
        <v>1</v>
      </c>
      <c r="L261" s="159">
        <f t="shared" ca="1" si="25"/>
        <v>-4.0125266526797967</v>
      </c>
      <c r="M261" s="171"/>
      <c r="N261" s="166">
        <f t="shared" ca="1" si="26"/>
        <v>-9.1300000000000026</v>
      </c>
      <c r="O261" s="157" t="str">
        <f t="shared" ca="1" si="27"/>
        <v/>
      </c>
    </row>
    <row r="262" spans="1:15" x14ac:dyDescent="0.35">
      <c r="A262" s="157" t="s">
        <v>368</v>
      </c>
      <c r="B262" s="157" t="s">
        <v>40</v>
      </c>
      <c r="C262" s="157">
        <f ca="1">IFERROR(INDEX(BYEs!$B$2:$B$33,MATCH(D262,BYEs!$A$2:$A$33,0)),"N/A")</f>
        <v>12</v>
      </c>
      <c r="D262" s="214" t="str">
        <f t="shared" ca="1" si="21"/>
        <v>CIN</v>
      </c>
      <c r="E262" s="213" t="str">
        <f t="shared" ca="1" si="22"/>
        <v>TE7</v>
      </c>
      <c r="F262" s="158">
        <f ca="1">IF(LeagueInfo!$H$7="Starter/Bench",INDEX(INDIRECT(""&amp;B262&amp;"!T2:T628"),MATCH(A262,INDIRECT(""&amp;B262&amp;"!B2:B628"),0)),INDEX(INDIRECT(""&amp;B262&amp;"!AB2:AB628"),MATCH(A262,INDIRECT(""&amp;B262&amp;"!B2:B628"),0)))</f>
        <v>-3.1692572288049807</v>
      </c>
      <c r="G262" s="159">
        <f t="shared" si="23"/>
        <v>0</v>
      </c>
      <c r="H262" s="160"/>
      <c r="I262" s="159">
        <f t="shared" ca="1" si="24"/>
        <v>-3.1692572288049807</v>
      </c>
      <c r="J262" s="159" t="s">
        <v>73</v>
      </c>
      <c r="K262" s="159">
        <f>IF(LeagueInfo!$F$7="Yahoo",IFERROR(INDEX(DefaultAuctionValues!$B$2:$B$331,MATCH(A262,DefaultAuctionValues!$A$2:$A$331,0)),0),IF(LeagueInfo!$F$7="ESPN",IFERROR(INDEX(DefaultAuctionValues!$C$2:$C$331,MATCH(A262,DefaultAuctionValues!$A$2:$A$331,0)),0),IF(LeagueInfo!$F$7="Custom",IFERROR(INDEX(DefaultAuctionValues!$D$2:$D$331,MATCH(A262,DefaultAuctionValues!$A$2:$A$331,0)),0))))</f>
        <v>1</v>
      </c>
      <c r="L262" s="159">
        <f t="shared" ca="1" si="25"/>
        <v>-4.1692572288049803</v>
      </c>
      <c r="M262" s="171"/>
      <c r="N262" s="166">
        <f t="shared" ca="1" si="26"/>
        <v>-9.6050000000000111</v>
      </c>
      <c r="O262" s="157" t="str">
        <f t="shared" ca="1" si="27"/>
        <v/>
      </c>
    </row>
    <row r="263" spans="1:15" x14ac:dyDescent="0.35">
      <c r="A263" s="157" t="s">
        <v>925</v>
      </c>
      <c r="B263" s="157" t="s">
        <v>32</v>
      </c>
      <c r="C263" s="157">
        <f ca="1">IFERROR(INDEX(BYEs!$B$2:$B$33,MATCH(D263,BYEs!$A$2:$A$33,0)),"N/A")</f>
        <v>11</v>
      </c>
      <c r="D263" s="214" t="str">
        <f t="shared" ca="1" si="21"/>
        <v>TB</v>
      </c>
      <c r="E263" s="213" t="str">
        <f t="shared" ca="1" si="22"/>
        <v>WR7</v>
      </c>
      <c r="F263" s="158">
        <f ca="1">IF(LeagueInfo!$H$7="Starter/Bench",INDEX(INDIRECT(""&amp;B263&amp;"!T2:T628"),MATCH(A263,INDIRECT(""&amp;B263&amp;"!B2:B628"),0)),INDEX(INDIRECT(""&amp;B263&amp;"!AB2:AB628"),MATCH(A263,INDIRECT(""&amp;B263&amp;"!B2:B628"),0)))</f>
        <v>-3.2237004815642489</v>
      </c>
      <c r="G263" s="159">
        <f t="shared" si="23"/>
        <v>0</v>
      </c>
      <c r="H263" s="160"/>
      <c r="I263" s="159">
        <f t="shared" ca="1" si="24"/>
        <v>-3.2237004815642489</v>
      </c>
      <c r="J263" s="159" t="s">
        <v>73</v>
      </c>
      <c r="K263" s="159">
        <f>IF(LeagueInfo!$F$7="Yahoo",IFERROR(INDEX(DefaultAuctionValues!$B$2:$B$331,MATCH(A263,DefaultAuctionValues!$A$2:$A$331,0)),0),IF(LeagueInfo!$F$7="ESPN",IFERROR(INDEX(DefaultAuctionValues!$C$2:$C$331,MATCH(A263,DefaultAuctionValues!$A$2:$A$331,0)),0),IF(LeagueInfo!$F$7="Custom",IFERROR(INDEX(DefaultAuctionValues!$D$2:$D$331,MATCH(A263,DefaultAuctionValues!$A$2:$A$331,0)),0))))</f>
        <v>1</v>
      </c>
      <c r="L263" s="159">
        <f t="shared" ca="1" si="25"/>
        <v>-4.2237004815642489</v>
      </c>
      <c r="M263" s="171"/>
      <c r="N263" s="166">
        <f t="shared" ca="1" si="26"/>
        <v>-9.769999999999996</v>
      </c>
      <c r="O263" s="157" t="str">
        <f t="shared" ca="1" si="27"/>
        <v/>
      </c>
    </row>
    <row r="264" spans="1:15" x14ac:dyDescent="0.35">
      <c r="A264" s="157" t="s">
        <v>864</v>
      </c>
      <c r="B264" s="157" t="s">
        <v>25</v>
      </c>
      <c r="C264" s="157">
        <f ca="1">IFERROR(INDEX(BYEs!$B$2:$B$33,MATCH(D264,BYEs!$A$2:$A$33,0)),"N/A")</f>
        <v>10</v>
      </c>
      <c r="D264" s="214" t="str">
        <f t="shared" ca="1" si="21"/>
        <v>GB</v>
      </c>
      <c r="E264" s="213" t="str">
        <f t="shared" ca="1" si="22"/>
        <v>RB8</v>
      </c>
      <c r="F264" s="158">
        <f ca="1">IF(LeagueInfo!$H$7="Starter/Bench",INDEX(INDIRECT(""&amp;B264&amp;"!T2:T628"),MATCH(A264,INDIRECT(""&amp;B264&amp;"!B2:B628"),0)),INDEX(INDIRECT(""&amp;B264&amp;"!AB2:AB628"),MATCH(A264,INDIRECT(""&amp;B264&amp;"!B2:B628"),0)))</f>
        <v>-3.264945370018244</v>
      </c>
      <c r="G264" s="159">
        <f t="shared" si="23"/>
        <v>0</v>
      </c>
      <c r="H264" s="160"/>
      <c r="I264" s="159">
        <f t="shared" ca="1" si="24"/>
        <v>-3.264945370018244</v>
      </c>
      <c r="J264" s="159" t="s">
        <v>73</v>
      </c>
      <c r="K264" s="159">
        <f>IF(LeagueInfo!$F$7="Yahoo",IFERROR(INDEX(DefaultAuctionValues!$B$2:$B$331,MATCH(A264,DefaultAuctionValues!$A$2:$A$331,0)),0),IF(LeagueInfo!$F$7="ESPN",IFERROR(INDEX(DefaultAuctionValues!$C$2:$C$331,MATCH(A264,DefaultAuctionValues!$A$2:$A$331,0)),0),IF(LeagueInfo!$F$7="Custom",IFERROR(INDEX(DefaultAuctionValues!$D$2:$D$331,MATCH(A264,DefaultAuctionValues!$A$2:$A$331,0)),0))))</f>
        <v>1</v>
      </c>
      <c r="L264" s="159">
        <f t="shared" ca="1" si="25"/>
        <v>-4.2649453700182445</v>
      </c>
      <c r="M264" s="171"/>
      <c r="N264" s="166">
        <f t="shared" ca="1" si="26"/>
        <v>-9.894999999999996</v>
      </c>
      <c r="O264" s="157" t="str">
        <f t="shared" ca="1" si="27"/>
        <v/>
      </c>
    </row>
    <row r="265" spans="1:15" x14ac:dyDescent="0.35">
      <c r="A265" s="157" t="s">
        <v>722</v>
      </c>
      <c r="B265" s="157" t="s">
        <v>32</v>
      </c>
      <c r="C265" s="157">
        <f ca="1">IFERROR(INDEX(BYEs!$B$2:$B$33,MATCH(D265,BYEs!$A$2:$A$33,0)),"N/A")</f>
        <v>14</v>
      </c>
      <c r="D265" s="214" t="str">
        <f t="shared" ca="1" si="21"/>
        <v>DEN</v>
      </c>
      <c r="E265" s="213" t="str">
        <f t="shared" ca="1" si="22"/>
        <v>WR7</v>
      </c>
      <c r="F265" s="158">
        <f ca="1">IF(LeagueInfo!$H$7="Starter/Bench",INDEX(INDIRECT(""&amp;B265&amp;"!T2:T628"),MATCH(A265,INDIRECT(""&amp;B265&amp;"!B2:B628"),0)),INDEX(INDIRECT(""&amp;B265&amp;"!AB2:AB628"),MATCH(A265,INDIRECT(""&amp;B265&amp;"!B2:B628"),0)))</f>
        <v>-3.3144392361630377</v>
      </c>
      <c r="G265" s="159">
        <f t="shared" si="23"/>
        <v>0</v>
      </c>
      <c r="H265" s="160"/>
      <c r="I265" s="159">
        <f t="shared" ca="1" si="24"/>
        <v>-3.3144392361630377</v>
      </c>
      <c r="J265" s="159" t="s">
        <v>73</v>
      </c>
      <c r="K265" s="159">
        <f>IF(LeagueInfo!$F$7="Yahoo",IFERROR(INDEX(DefaultAuctionValues!$B$2:$B$331,MATCH(A265,DefaultAuctionValues!$A$2:$A$331,0)),0),IF(LeagueInfo!$F$7="ESPN",IFERROR(INDEX(DefaultAuctionValues!$C$2:$C$331,MATCH(A265,DefaultAuctionValues!$A$2:$A$331,0)),0),IF(LeagueInfo!$F$7="Custom",IFERROR(INDEX(DefaultAuctionValues!$D$2:$D$331,MATCH(A265,DefaultAuctionValues!$A$2:$A$331,0)),0))))</f>
        <v>1</v>
      </c>
      <c r="L265" s="159">
        <f t="shared" ca="1" si="25"/>
        <v>-4.3144392361630377</v>
      </c>
      <c r="M265" s="171"/>
      <c r="N265" s="166">
        <f t="shared" ca="1" si="26"/>
        <v>-10.044999999999995</v>
      </c>
      <c r="O265" s="157" t="str">
        <f t="shared" ca="1" si="27"/>
        <v/>
      </c>
    </row>
    <row r="266" spans="1:15" x14ac:dyDescent="0.35">
      <c r="A266" s="157" t="s">
        <v>701</v>
      </c>
      <c r="B266" s="157" t="s">
        <v>25</v>
      </c>
      <c r="C266" s="157">
        <f ca="1">IFERROR(INDEX(BYEs!$B$2:$B$33,MATCH(D266,BYEs!$A$2:$A$33,0)),"N/A")</f>
        <v>9</v>
      </c>
      <c r="D266" s="214" t="str">
        <f t="shared" ca="1" si="21"/>
        <v>SF</v>
      </c>
      <c r="E266" s="213" t="str">
        <f t="shared" ca="1" si="22"/>
        <v>RB8</v>
      </c>
      <c r="F266" s="158">
        <f ca="1">IF(LeagueInfo!$H$7="Starter/Bench",INDEX(INDIRECT(""&amp;B266&amp;"!T2:T628"),MATCH(A266,INDIRECT(""&amp;B266&amp;"!B2:B628"),0)),INDEX(INDIRECT(""&amp;B266&amp;"!AB2:AB628"),MATCH(A266,INDIRECT(""&amp;B266&amp;"!B2:B628"),0)))</f>
        <v>-3.4563216524447853</v>
      </c>
      <c r="G266" s="159">
        <f t="shared" si="23"/>
        <v>0</v>
      </c>
      <c r="H266" s="160"/>
      <c r="I266" s="159">
        <f t="shared" ca="1" si="24"/>
        <v>-3.4563216524447853</v>
      </c>
      <c r="J266" s="159" t="s">
        <v>73</v>
      </c>
      <c r="K266" s="159">
        <f>IF(LeagueInfo!$F$7="Yahoo",IFERROR(INDEX(DefaultAuctionValues!$B$2:$B$331,MATCH(A266,DefaultAuctionValues!$A$2:$A$331,0)),0),IF(LeagueInfo!$F$7="ESPN",IFERROR(INDEX(DefaultAuctionValues!$C$2:$C$331,MATCH(A266,DefaultAuctionValues!$A$2:$A$331,0)),0),IF(LeagueInfo!$F$7="Custom",IFERROR(INDEX(DefaultAuctionValues!$D$2:$D$331,MATCH(A266,DefaultAuctionValues!$A$2:$A$331,0)),0))))</f>
        <v>0</v>
      </c>
      <c r="L266" s="159">
        <f t="shared" ca="1" si="25"/>
        <v>-3.4563216524447853</v>
      </c>
      <c r="M266" s="171"/>
      <c r="N266" s="166">
        <f t="shared" ca="1" si="26"/>
        <v>-10.475000000000009</v>
      </c>
      <c r="O266" s="157" t="str">
        <f t="shared" ca="1" si="27"/>
        <v/>
      </c>
    </row>
    <row r="267" spans="1:15" x14ac:dyDescent="0.35">
      <c r="A267" s="157" t="s">
        <v>128</v>
      </c>
      <c r="B267" s="157" t="s">
        <v>40</v>
      </c>
      <c r="C267" s="157">
        <f ca="1">IFERROR(INDEX(BYEs!$B$2:$B$33,MATCH(D267,BYEs!$A$2:$A$33,0)),"N/A")</f>
        <v>14</v>
      </c>
      <c r="D267" s="214" t="str">
        <f t="shared" ca="1" si="21"/>
        <v>WAS</v>
      </c>
      <c r="E267" s="213" t="str">
        <f t="shared" ca="1" si="22"/>
        <v>TE7</v>
      </c>
      <c r="F267" s="158">
        <f ca="1">IF(LeagueInfo!$H$7="Starter/Bench",INDEX(INDIRECT(""&amp;B267&amp;"!T2:T628"),MATCH(A267,INDIRECT(""&amp;B267&amp;"!B2:B628"),0)),INDEX(INDIRECT(""&amp;B267&amp;"!AB2:AB628"),MATCH(A267,INDIRECT(""&amp;B267&amp;"!B2:B628"),0)))</f>
        <v>-3.4579714479829433</v>
      </c>
      <c r="G267" s="159">
        <f t="shared" si="23"/>
        <v>0</v>
      </c>
      <c r="H267" s="160"/>
      <c r="I267" s="159">
        <f t="shared" ca="1" si="24"/>
        <v>-3.4579714479829433</v>
      </c>
      <c r="J267" s="159" t="s">
        <v>73</v>
      </c>
      <c r="K267" s="159">
        <f>IF(LeagueInfo!$F$7="Yahoo",IFERROR(INDEX(DefaultAuctionValues!$B$2:$B$331,MATCH(A267,DefaultAuctionValues!$A$2:$A$331,0)),0),IF(LeagueInfo!$F$7="ESPN",IFERROR(INDEX(DefaultAuctionValues!$C$2:$C$331,MATCH(A267,DefaultAuctionValues!$A$2:$A$331,0)),0),IF(LeagueInfo!$F$7="Custom",IFERROR(INDEX(DefaultAuctionValues!$D$2:$D$331,MATCH(A267,DefaultAuctionValues!$A$2:$A$331,0)),0))))</f>
        <v>1</v>
      </c>
      <c r="L267" s="159">
        <f t="shared" ca="1" si="25"/>
        <v>-4.4579714479829438</v>
      </c>
      <c r="M267" s="171"/>
      <c r="N267" s="166">
        <f t="shared" ca="1" si="26"/>
        <v>-10.480000000000004</v>
      </c>
      <c r="O267" s="157" t="str">
        <f t="shared" ca="1" si="27"/>
        <v/>
      </c>
    </row>
    <row r="268" spans="1:15" x14ac:dyDescent="0.35">
      <c r="A268" s="157" t="s">
        <v>937</v>
      </c>
      <c r="B268" s="157" t="s">
        <v>40</v>
      </c>
      <c r="C268" s="157">
        <f ca="1">IFERROR(INDEX(BYEs!$B$2:$B$33,MATCH(D268,BYEs!$A$2:$A$33,0)),"N/A")</f>
        <v>14</v>
      </c>
      <c r="D268" s="214" t="str">
        <f t="shared" ca="1" si="21"/>
        <v>WAS</v>
      </c>
      <c r="E268" s="213" t="str">
        <f t="shared" ca="1" si="22"/>
        <v>TE7</v>
      </c>
      <c r="F268" s="158">
        <f ca="1">IF(LeagueInfo!$H$7="Starter/Bench",INDEX(INDIRECT(""&amp;B268&amp;"!T2:T628"),MATCH(A268,INDIRECT(""&amp;B268&amp;"!B2:B628"),0)),INDEX(INDIRECT(""&amp;B268&amp;"!AB2:AB628"),MATCH(A268,INDIRECT(""&amp;B268&amp;"!B2:B628"),0)))</f>
        <v>-3.5421110204290942</v>
      </c>
      <c r="G268" s="159">
        <f t="shared" si="23"/>
        <v>0</v>
      </c>
      <c r="H268" s="160"/>
      <c r="I268" s="159">
        <f t="shared" ca="1" si="24"/>
        <v>-3.5421110204290942</v>
      </c>
      <c r="J268" s="159" t="s">
        <v>73</v>
      </c>
      <c r="K268" s="159">
        <f>IF(LeagueInfo!$F$7="Yahoo",IFERROR(INDEX(DefaultAuctionValues!$B$2:$B$331,MATCH(A268,DefaultAuctionValues!$A$2:$A$331,0)),0),IF(LeagueInfo!$F$7="ESPN",IFERROR(INDEX(DefaultAuctionValues!$C$2:$C$331,MATCH(A268,DefaultAuctionValues!$A$2:$A$331,0)),0),IF(LeagueInfo!$F$7="Custom",IFERROR(INDEX(DefaultAuctionValues!$D$2:$D$331,MATCH(A268,DefaultAuctionValues!$A$2:$A$331,0)),0))))</f>
        <v>1</v>
      </c>
      <c r="L268" s="159">
        <f t="shared" ca="1" si="25"/>
        <v>-4.5421110204290942</v>
      </c>
      <c r="M268" s="171"/>
      <c r="N268" s="166">
        <f t="shared" ca="1" si="26"/>
        <v>-10.735000000000007</v>
      </c>
      <c r="O268" s="157" t="str">
        <f t="shared" ca="1" si="27"/>
        <v/>
      </c>
    </row>
    <row r="269" spans="1:15" x14ac:dyDescent="0.35">
      <c r="A269" s="157" t="s">
        <v>746</v>
      </c>
      <c r="B269" s="157" t="s">
        <v>32</v>
      </c>
      <c r="C269" s="157">
        <f ca="1">IFERROR(INDEX(BYEs!$B$2:$B$33,MATCH(D269,BYEs!$A$2:$A$33,0)),"N/A")</f>
        <v>5</v>
      </c>
      <c r="D269" s="214" t="str">
        <f t="shared" ref="D269:D332" ca="1" si="28">INDEX(INDIRECT(""&amp;B269&amp;"!F2:F628"),MATCH(A269,INDIRECT(""&amp;B269&amp;"!B2:B628"),0))</f>
        <v>LAC</v>
      </c>
      <c r="E269" s="213" t="str">
        <f t="shared" ref="E269:E332" ca="1" si="29">INDEX(INDIRECT(""&amp;$B269&amp;"!AA2:AA628"),MATCH($A269,INDIRECT(""&amp;$B269&amp;"!B2:B628"),0))</f>
        <v>WR7</v>
      </c>
      <c r="F269" s="158">
        <f ca="1">IF(LeagueInfo!$H$7="Starter/Bench",INDEX(INDIRECT(""&amp;B269&amp;"!T2:T628"),MATCH(A269,INDIRECT(""&amp;B269&amp;"!B2:B628"),0)),INDEX(INDIRECT(""&amp;B269&amp;"!AB2:AB628"),MATCH(A269,INDIRECT(""&amp;B269&amp;"!B2:B628"),0)))</f>
        <v>-3.6839934367108347</v>
      </c>
      <c r="G269" s="159">
        <f t="shared" ref="G269:G332" si="30">IF(H269&gt;0,F269-H269,0)</f>
        <v>0</v>
      </c>
      <c r="H269" s="160"/>
      <c r="I269" s="159">
        <f t="shared" ref="I269:I332" ca="1" si="31">F269*$A$2</f>
        <v>-3.6839934367108347</v>
      </c>
      <c r="J269" s="159" t="s">
        <v>73</v>
      </c>
      <c r="K269" s="159">
        <f>IF(LeagueInfo!$F$7="Yahoo",IFERROR(INDEX(DefaultAuctionValues!$B$2:$B$331,MATCH(A269,DefaultAuctionValues!$A$2:$A$331,0)),0),IF(LeagueInfo!$F$7="ESPN",IFERROR(INDEX(DefaultAuctionValues!$C$2:$C$331,MATCH(A269,DefaultAuctionValues!$A$2:$A$331,0)),0),IF(LeagueInfo!$F$7="Custom",IFERROR(INDEX(DefaultAuctionValues!$D$2:$D$331,MATCH(A269,DefaultAuctionValues!$A$2:$A$331,0)),0))))</f>
        <v>1</v>
      </c>
      <c r="L269" s="159">
        <f t="shared" ref="L269:L332" ca="1" si="32">I269-K269</f>
        <v>-4.6839934367108347</v>
      </c>
      <c r="M269" s="171"/>
      <c r="N269" s="166">
        <f t="shared" ref="N269:N332" ca="1" si="33">INDEX(INDIRECT(""&amp;$B269&amp;"!Z2:Z628"),MATCH($A269,INDIRECT(""&amp;$B269&amp;"!B2:B628"),0))</f>
        <v>-11.164999999999999</v>
      </c>
      <c r="O269" s="157" t="str">
        <f t="shared" ref="O269:O332" ca="1" si="34">IF(INDEX(INDIRECT(""&amp;$B269&amp;"!W2:W628"),MATCH($A269,INDIRECT(""&amp;$B269&amp;"!B2:B628"),0))=0,"",INDEX(INDIRECT(""&amp;$B269&amp;"!W2:W628"),MATCH($A269,INDIRECT(""&amp;$B269&amp;"!B2:B628"),0)))</f>
        <v/>
      </c>
    </row>
    <row r="270" spans="1:15" x14ac:dyDescent="0.35">
      <c r="A270" s="157" t="s">
        <v>787</v>
      </c>
      <c r="B270" s="157" t="s">
        <v>32</v>
      </c>
      <c r="C270" s="157">
        <f ca="1">IFERROR(INDEX(BYEs!$B$2:$B$33,MATCH(D270,BYEs!$A$2:$A$33,0)),"N/A")</f>
        <v>11</v>
      </c>
      <c r="D270" s="214" t="str">
        <f t="shared" ca="1" si="28"/>
        <v>NYG</v>
      </c>
      <c r="E270" s="213" t="str">
        <f t="shared" ca="1" si="29"/>
        <v>WR7</v>
      </c>
      <c r="F270" s="158">
        <f ca="1">IF(LeagueInfo!$H$7="Starter/Bench",INDEX(INDIRECT(""&amp;B270&amp;"!T2:T628"),MATCH(A270,INDIRECT(""&amp;B270&amp;"!B2:B628"),0)),INDEX(INDIRECT(""&amp;B270&amp;"!AB2:AB628"),MATCH(A270,INDIRECT(""&amp;B270&amp;"!B2:B628"),0)))</f>
        <v>-3.743386076084585</v>
      </c>
      <c r="G270" s="159">
        <f t="shared" si="30"/>
        <v>0</v>
      </c>
      <c r="H270" s="160"/>
      <c r="I270" s="159">
        <f t="shared" ca="1" si="31"/>
        <v>-3.743386076084585</v>
      </c>
      <c r="J270" s="159" t="s">
        <v>73</v>
      </c>
      <c r="K270" s="159">
        <f>IF(LeagueInfo!$F$7="Yahoo",IFERROR(INDEX(DefaultAuctionValues!$B$2:$B$331,MATCH(A270,DefaultAuctionValues!$A$2:$A$331,0)),0),IF(LeagueInfo!$F$7="ESPN",IFERROR(INDEX(DefaultAuctionValues!$C$2:$C$331,MATCH(A270,DefaultAuctionValues!$A$2:$A$331,0)),0),IF(LeagueInfo!$F$7="Custom",IFERROR(INDEX(DefaultAuctionValues!$D$2:$D$331,MATCH(A270,DefaultAuctionValues!$A$2:$A$331,0)),0))))</f>
        <v>1</v>
      </c>
      <c r="L270" s="159">
        <f t="shared" ca="1" si="32"/>
        <v>-4.743386076084585</v>
      </c>
      <c r="M270" s="171"/>
      <c r="N270" s="166">
        <f t="shared" ca="1" si="33"/>
        <v>-11.344999999999992</v>
      </c>
      <c r="O270" s="157" t="str">
        <f t="shared" ca="1" si="34"/>
        <v/>
      </c>
    </row>
    <row r="271" spans="1:15" x14ac:dyDescent="0.35">
      <c r="A271" s="157" t="s">
        <v>238</v>
      </c>
      <c r="B271" s="157" t="s">
        <v>32</v>
      </c>
      <c r="C271" s="157">
        <f ca="1">IFERROR(INDEX(BYEs!$B$2:$B$33,MATCH(D271,BYEs!$A$2:$A$33,0)),"N/A")</f>
        <v>5</v>
      </c>
      <c r="D271" s="214" t="str">
        <f t="shared" ca="1" si="28"/>
        <v>TEN</v>
      </c>
      <c r="E271" s="213" t="str">
        <f t="shared" ca="1" si="29"/>
        <v>WR7</v>
      </c>
      <c r="F271" s="158">
        <f ca="1">IF(LeagueInfo!$H$7="Starter/Bench",INDEX(INDIRECT(""&amp;B271&amp;"!T2:T628"),MATCH(A271,INDIRECT(""&amp;B271&amp;"!B2:B628"),0)),INDEX(INDIRECT(""&amp;B271&amp;"!AB2:AB628"),MATCH(A271,INDIRECT(""&amp;B271&amp;"!B2:B628"),0)))</f>
        <v>-3.8077281020728195</v>
      </c>
      <c r="G271" s="159">
        <f t="shared" si="30"/>
        <v>0</v>
      </c>
      <c r="H271" s="160"/>
      <c r="I271" s="159">
        <f t="shared" ca="1" si="31"/>
        <v>-3.8077281020728195</v>
      </c>
      <c r="J271" s="159" t="s">
        <v>73</v>
      </c>
      <c r="K271" s="159">
        <f>IF(LeagueInfo!$F$7="Yahoo",IFERROR(INDEX(DefaultAuctionValues!$B$2:$B$331,MATCH(A271,DefaultAuctionValues!$A$2:$A$331,0)),0),IF(LeagueInfo!$F$7="ESPN",IFERROR(INDEX(DefaultAuctionValues!$C$2:$C$331,MATCH(A271,DefaultAuctionValues!$A$2:$A$331,0)),0),IF(LeagueInfo!$F$7="Custom",IFERROR(INDEX(DefaultAuctionValues!$D$2:$D$331,MATCH(A271,DefaultAuctionValues!$A$2:$A$331,0)),0))))</f>
        <v>1</v>
      </c>
      <c r="L271" s="159">
        <f t="shared" ca="1" si="32"/>
        <v>-4.8077281020728195</v>
      </c>
      <c r="M271" s="171"/>
      <c r="N271" s="166">
        <f t="shared" ca="1" si="33"/>
        <v>-11.54</v>
      </c>
      <c r="O271" s="157" t="str">
        <f t="shared" ca="1" si="34"/>
        <v/>
      </c>
    </row>
    <row r="272" spans="1:15" x14ac:dyDescent="0.35">
      <c r="A272" s="157" t="s">
        <v>868</v>
      </c>
      <c r="B272" s="157" t="s">
        <v>25</v>
      </c>
      <c r="C272" s="157">
        <f ca="1">IFERROR(INDEX(BYEs!$B$2:$B$33,MATCH(D272,BYEs!$A$2:$A$33,0)),"N/A")</f>
        <v>12</v>
      </c>
      <c r="D272" s="214" t="str">
        <f t="shared" ca="1" si="28"/>
        <v>BUF</v>
      </c>
      <c r="E272" s="213" t="str">
        <f t="shared" ca="1" si="29"/>
        <v>RB8</v>
      </c>
      <c r="F272" s="158">
        <f ca="1">IF(LeagueInfo!$H$7="Starter/Bench",INDEX(INDIRECT(""&amp;B272&amp;"!T2:T628"),MATCH(A272,INDIRECT(""&amp;B272&amp;"!B2:B628"),0)),INDEX(INDIRECT(""&amp;B272&amp;"!AB2:AB628"),MATCH(A272,INDIRECT(""&amp;B272&amp;"!B2:B628"),0)))</f>
        <v>-3.8902178789808119</v>
      </c>
      <c r="G272" s="159">
        <f t="shared" si="30"/>
        <v>0</v>
      </c>
      <c r="H272" s="160"/>
      <c r="I272" s="159">
        <f t="shared" ca="1" si="31"/>
        <v>-3.8902178789808119</v>
      </c>
      <c r="J272" s="159" t="s">
        <v>73</v>
      </c>
      <c r="K272" s="159">
        <f>IF(LeagueInfo!$F$7="Yahoo",IFERROR(INDEX(DefaultAuctionValues!$B$2:$B$331,MATCH(A272,DefaultAuctionValues!$A$2:$A$331,0)),0),IF(LeagueInfo!$F$7="ESPN",IFERROR(INDEX(DefaultAuctionValues!$C$2:$C$331,MATCH(A272,DefaultAuctionValues!$A$2:$A$331,0)),0),IF(LeagueInfo!$F$7="Custom",IFERROR(INDEX(DefaultAuctionValues!$D$2:$D$331,MATCH(A272,DefaultAuctionValues!$A$2:$A$331,0)),0))))</f>
        <v>1</v>
      </c>
      <c r="L272" s="159">
        <f t="shared" ca="1" si="32"/>
        <v>-4.8902178789808115</v>
      </c>
      <c r="M272" s="171"/>
      <c r="N272" s="166">
        <f t="shared" ca="1" si="33"/>
        <v>-11.790000000000006</v>
      </c>
      <c r="O272" s="157" t="str">
        <f t="shared" ca="1" si="34"/>
        <v/>
      </c>
    </row>
    <row r="273" spans="1:15" x14ac:dyDescent="0.35">
      <c r="A273" s="157" t="s">
        <v>730</v>
      </c>
      <c r="B273" s="157" t="s">
        <v>40</v>
      </c>
      <c r="C273" s="157">
        <f ca="1">IFERROR(INDEX(BYEs!$B$2:$B$33,MATCH(D273,BYEs!$A$2:$A$33,0)),"N/A")</f>
        <v>10</v>
      </c>
      <c r="D273" s="214" t="str">
        <f t="shared" ca="1" si="28"/>
        <v>GB</v>
      </c>
      <c r="E273" s="213" t="str">
        <f t="shared" ca="1" si="29"/>
        <v>TE7</v>
      </c>
      <c r="F273" s="158">
        <f ca="1">IF(LeagueInfo!$H$7="Starter/Bench",INDEX(INDIRECT(""&amp;B273&amp;"!T2:T628"),MATCH(A273,INDIRECT(""&amp;B273&amp;"!B2:B628"),0)),INDEX(INDIRECT(""&amp;B273&amp;"!AB2:AB628"),MATCH(A273,INDIRECT(""&amp;B273&amp;"!B2:B628"),0)))</f>
        <v>-4.0106529532664776</v>
      </c>
      <c r="G273" s="159">
        <f t="shared" si="30"/>
        <v>0</v>
      </c>
      <c r="H273" s="160"/>
      <c r="I273" s="159">
        <f t="shared" ca="1" si="31"/>
        <v>-4.0106529532664776</v>
      </c>
      <c r="J273" s="159" t="s">
        <v>73</v>
      </c>
      <c r="K273" s="159">
        <f>IF(LeagueInfo!$F$7="Yahoo",IFERROR(INDEX(DefaultAuctionValues!$B$2:$B$331,MATCH(A273,DefaultAuctionValues!$A$2:$A$331,0)),0),IF(LeagueInfo!$F$7="ESPN",IFERROR(INDEX(DefaultAuctionValues!$C$2:$C$331,MATCH(A273,DefaultAuctionValues!$A$2:$A$331,0)),0),IF(LeagueInfo!$F$7="Custom",IFERROR(INDEX(DefaultAuctionValues!$D$2:$D$331,MATCH(A273,DefaultAuctionValues!$A$2:$A$331,0)),0))))</f>
        <v>1</v>
      </c>
      <c r="L273" s="159">
        <f t="shared" ca="1" si="32"/>
        <v>-5.0106529532664776</v>
      </c>
      <c r="M273" s="171"/>
      <c r="N273" s="166">
        <f t="shared" ca="1" si="33"/>
        <v>-12.155000000000008</v>
      </c>
      <c r="O273" s="157" t="str">
        <f t="shared" ca="1" si="34"/>
        <v/>
      </c>
    </row>
    <row r="274" spans="1:15" x14ac:dyDescent="0.35">
      <c r="A274" s="157" t="s">
        <v>424</v>
      </c>
      <c r="B274" s="157" t="s">
        <v>25</v>
      </c>
      <c r="C274" s="157">
        <f ca="1">IFERROR(INDEX(BYEs!$B$2:$B$33,MATCH(D274,BYEs!$A$2:$A$33,0)),"N/A")</f>
        <v>10</v>
      </c>
      <c r="D274" s="214" t="str">
        <f t="shared" ca="1" si="28"/>
        <v>LV</v>
      </c>
      <c r="E274" s="213" t="str">
        <f t="shared" ca="1" si="29"/>
        <v>RB8</v>
      </c>
      <c r="F274" s="158">
        <f ca="1">IF(LeagueInfo!$H$7="Starter/Bench",INDEX(INDIRECT(""&amp;B274&amp;"!T2:T628"),MATCH(A274,INDIRECT(""&amp;B274&amp;"!B2:B628"),0)),INDEX(INDIRECT(""&amp;B274&amp;"!AB2:AB628"),MATCH(A274,INDIRECT(""&amp;B274&amp;"!B2:B628"),0)))</f>
        <v>-4.0353998863388716</v>
      </c>
      <c r="G274" s="159">
        <f t="shared" si="30"/>
        <v>0</v>
      </c>
      <c r="H274" s="160"/>
      <c r="I274" s="159">
        <f t="shared" ca="1" si="31"/>
        <v>-4.0353998863388716</v>
      </c>
      <c r="J274" s="159" t="s">
        <v>73</v>
      </c>
      <c r="K274" s="159">
        <f>IF(LeagueInfo!$F$7="Yahoo",IFERROR(INDEX(DefaultAuctionValues!$B$2:$B$331,MATCH(A274,DefaultAuctionValues!$A$2:$A$331,0)),0),IF(LeagueInfo!$F$7="ESPN",IFERROR(INDEX(DefaultAuctionValues!$C$2:$C$331,MATCH(A274,DefaultAuctionValues!$A$2:$A$331,0)),0),IF(LeagueInfo!$F$7="Custom",IFERROR(INDEX(DefaultAuctionValues!$D$2:$D$331,MATCH(A274,DefaultAuctionValues!$A$2:$A$331,0)),0))))</f>
        <v>1</v>
      </c>
      <c r="L274" s="159">
        <f t="shared" ca="1" si="32"/>
        <v>-5.0353998863388716</v>
      </c>
      <c r="M274" s="171"/>
      <c r="N274" s="166">
        <f t="shared" ca="1" si="33"/>
        <v>-12.229999999999997</v>
      </c>
      <c r="O274" s="157" t="str">
        <f t="shared" ca="1" si="34"/>
        <v/>
      </c>
    </row>
    <row r="275" spans="1:15" x14ac:dyDescent="0.35">
      <c r="A275" s="157" t="s">
        <v>126</v>
      </c>
      <c r="B275" s="157" t="s">
        <v>25</v>
      </c>
      <c r="C275" s="157">
        <f ca="1">IFERROR(INDEX(BYEs!$B$2:$B$33,MATCH(D275,BYEs!$A$2:$A$33,0)),"N/A")</f>
        <v>12</v>
      </c>
      <c r="D275" s="214" t="str">
        <f t="shared" ca="1" si="28"/>
        <v>NO</v>
      </c>
      <c r="E275" s="213" t="str">
        <f t="shared" ca="1" si="29"/>
        <v>RB8</v>
      </c>
      <c r="F275" s="158">
        <f ca="1">IF(LeagueInfo!$H$7="Starter/Bench",INDEX(INDIRECT(""&amp;B275&amp;"!T2:T628"),MATCH(A275,INDIRECT(""&amp;B275&amp;"!B2:B628"),0)),INDEX(INDIRECT(""&amp;B275&amp;"!AB2:AB628"),MATCH(A275,INDIRECT(""&amp;B275&amp;"!B2:B628"),0)))</f>
        <v>-4.0667460015639092</v>
      </c>
      <c r="G275" s="159">
        <f t="shared" si="30"/>
        <v>0</v>
      </c>
      <c r="H275" s="160"/>
      <c r="I275" s="159">
        <f t="shared" ca="1" si="31"/>
        <v>-4.0667460015639092</v>
      </c>
      <c r="J275" s="159" t="s">
        <v>73</v>
      </c>
      <c r="K275" s="159">
        <f>IF(LeagueInfo!$F$7="Yahoo",IFERROR(INDEX(DefaultAuctionValues!$B$2:$B$331,MATCH(A275,DefaultAuctionValues!$A$2:$A$331,0)),0),IF(LeagueInfo!$F$7="ESPN",IFERROR(INDEX(DefaultAuctionValues!$C$2:$C$331,MATCH(A275,DefaultAuctionValues!$A$2:$A$331,0)),0),IF(LeagueInfo!$F$7="Custom",IFERROR(INDEX(DefaultAuctionValues!$D$2:$D$331,MATCH(A275,DefaultAuctionValues!$A$2:$A$331,0)),0))))</f>
        <v>1</v>
      </c>
      <c r="L275" s="159">
        <f t="shared" ca="1" si="32"/>
        <v>-5.0667460015639092</v>
      </c>
      <c r="M275" s="171"/>
      <c r="N275" s="166">
        <f t="shared" ca="1" si="33"/>
        <v>-12.325000000000003</v>
      </c>
      <c r="O275" s="157" t="str">
        <f t="shared" ca="1" si="34"/>
        <v/>
      </c>
    </row>
    <row r="276" spans="1:15" x14ac:dyDescent="0.35">
      <c r="A276" s="157" t="s">
        <v>923</v>
      </c>
      <c r="B276" s="157" t="s">
        <v>32</v>
      </c>
      <c r="C276" s="157">
        <f ca="1">IFERROR(INDEX(BYEs!$B$2:$B$33,MATCH(D276,BYEs!$A$2:$A$33,0)),"N/A")</f>
        <v>9</v>
      </c>
      <c r="D276" s="214" t="str">
        <f t="shared" ca="1" si="28"/>
        <v>SF</v>
      </c>
      <c r="E276" s="213" t="str">
        <f t="shared" ca="1" si="29"/>
        <v>WR7</v>
      </c>
      <c r="F276" s="158">
        <f ca="1">IF(LeagueInfo!$H$7="Starter/Bench",INDEX(INDIRECT(""&amp;B276&amp;"!T2:T628"),MATCH(A276,INDIRECT(""&amp;B276&amp;"!B2:B628"),0)),INDEX(INDIRECT(""&amp;B276&amp;"!AB2:AB628"),MATCH(A276,INDIRECT(""&amp;B276&amp;"!B2:B628"),0)))</f>
        <v>-4.0964423212507874</v>
      </c>
      <c r="G276" s="159">
        <f t="shared" si="30"/>
        <v>0</v>
      </c>
      <c r="H276" s="160"/>
      <c r="I276" s="159">
        <f t="shared" ca="1" si="31"/>
        <v>-4.0964423212507874</v>
      </c>
      <c r="J276" s="159" t="s">
        <v>73</v>
      </c>
      <c r="K276" s="159">
        <f>IF(LeagueInfo!$F$7="Yahoo",IFERROR(INDEX(DefaultAuctionValues!$B$2:$B$331,MATCH(A276,DefaultAuctionValues!$A$2:$A$331,0)),0),IF(LeagueInfo!$F$7="ESPN",IFERROR(INDEX(DefaultAuctionValues!$C$2:$C$331,MATCH(A276,DefaultAuctionValues!$A$2:$A$331,0)),0),IF(LeagueInfo!$F$7="Custom",IFERROR(INDEX(DefaultAuctionValues!$D$2:$D$331,MATCH(A276,DefaultAuctionValues!$A$2:$A$331,0)),0))))</f>
        <v>1</v>
      </c>
      <c r="L276" s="159">
        <f t="shared" ca="1" si="32"/>
        <v>-5.0964423212507874</v>
      </c>
      <c r="M276" s="171"/>
      <c r="N276" s="166">
        <f t="shared" ca="1" si="33"/>
        <v>-12.415000000000006</v>
      </c>
      <c r="O276" s="157" t="str">
        <f t="shared" ca="1" si="34"/>
        <v/>
      </c>
    </row>
    <row r="277" spans="1:15" x14ac:dyDescent="0.35">
      <c r="A277" s="157" t="s">
        <v>635</v>
      </c>
      <c r="B277" s="157" t="s">
        <v>40</v>
      </c>
      <c r="C277" s="157">
        <f ca="1">IFERROR(INDEX(BYEs!$B$2:$B$33,MATCH(D277,BYEs!$A$2:$A$33,0)),"N/A")</f>
        <v>14</v>
      </c>
      <c r="D277" s="214" t="str">
        <f t="shared" ca="1" si="28"/>
        <v>DEN</v>
      </c>
      <c r="E277" s="213" t="str">
        <f t="shared" ca="1" si="29"/>
        <v>TE7</v>
      </c>
      <c r="F277" s="158">
        <f ca="1">IF(LeagueInfo!$H$7="Starter/Bench",INDEX(INDIRECT(""&amp;B277&amp;"!T2:T628"),MATCH(A277,INDIRECT(""&amp;B277&amp;"!B2:B628"),0)),INDEX(INDIRECT(""&amp;B277&amp;"!AB2:AB628"),MATCH(A277,INDIRECT(""&amp;B277&amp;"!B2:B628"),0)))</f>
        <v>-4.154185165086381</v>
      </c>
      <c r="G277" s="159">
        <f t="shared" si="30"/>
        <v>0</v>
      </c>
      <c r="H277" s="160"/>
      <c r="I277" s="159">
        <f t="shared" ca="1" si="31"/>
        <v>-4.154185165086381</v>
      </c>
      <c r="J277" s="159" t="s">
        <v>73</v>
      </c>
      <c r="K277" s="159">
        <f>IF(LeagueInfo!$F$7="Yahoo",IFERROR(INDEX(DefaultAuctionValues!$B$2:$B$331,MATCH(A277,DefaultAuctionValues!$A$2:$A$331,0)),0),IF(LeagueInfo!$F$7="ESPN",IFERROR(INDEX(DefaultAuctionValues!$C$2:$C$331,MATCH(A277,DefaultAuctionValues!$A$2:$A$331,0)),0),IF(LeagueInfo!$F$7="Custom",IFERROR(INDEX(DefaultAuctionValues!$D$2:$D$331,MATCH(A277,DefaultAuctionValues!$A$2:$A$331,0)),0))))</f>
        <v>1</v>
      </c>
      <c r="L277" s="159">
        <f t="shared" ca="1" si="32"/>
        <v>-5.154185165086381</v>
      </c>
      <c r="M277" s="171"/>
      <c r="N277" s="166">
        <f t="shared" ca="1" si="33"/>
        <v>-12.590000000000011</v>
      </c>
      <c r="O277" s="157" t="str">
        <f t="shared" ca="1" si="34"/>
        <v/>
      </c>
    </row>
    <row r="278" spans="1:15" x14ac:dyDescent="0.35">
      <c r="A278" s="157" t="s">
        <v>867</v>
      </c>
      <c r="B278" s="157" t="s">
        <v>25</v>
      </c>
      <c r="C278" s="157">
        <f ca="1">IFERROR(INDEX(BYEs!$B$2:$B$33,MATCH(D278,BYEs!$A$2:$A$33,0)),"N/A")</f>
        <v>12</v>
      </c>
      <c r="D278" s="214" t="str">
        <f t="shared" ca="1" si="28"/>
        <v>NYJ</v>
      </c>
      <c r="E278" s="213" t="str">
        <f t="shared" ca="1" si="29"/>
        <v>RB8</v>
      </c>
      <c r="F278" s="158">
        <f ca="1">IF(LeagueInfo!$H$7="Starter/Bench",INDEX(INDIRECT(""&amp;B278&amp;"!T2:T628"),MATCH(A278,INDIRECT(""&amp;B278&amp;"!B2:B628"),0)),INDEX(INDIRECT(""&amp;B278&amp;"!AB2:AB628"),MATCH(A278,INDIRECT(""&amp;B278&amp;"!B2:B628"),0)))</f>
        <v>-4.2185271910746112</v>
      </c>
      <c r="G278" s="159">
        <f t="shared" si="30"/>
        <v>0</v>
      </c>
      <c r="H278" s="160"/>
      <c r="I278" s="159">
        <f t="shared" ca="1" si="31"/>
        <v>-4.2185271910746112</v>
      </c>
      <c r="J278" s="159" t="s">
        <v>73</v>
      </c>
      <c r="K278" s="159">
        <f>IF(LeagueInfo!$F$7="Yahoo",IFERROR(INDEX(DefaultAuctionValues!$B$2:$B$331,MATCH(A278,DefaultAuctionValues!$A$2:$A$331,0)),0),IF(LeagueInfo!$F$7="ESPN",IFERROR(INDEX(DefaultAuctionValues!$C$2:$C$331,MATCH(A278,DefaultAuctionValues!$A$2:$A$331,0)),0),IF(LeagueInfo!$F$7="Custom",IFERROR(INDEX(DefaultAuctionValues!$D$2:$D$331,MATCH(A278,DefaultAuctionValues!$A$2:$A$331,0)),0))))</f>
        <v>1</v>
      </c>
      <c r="L278" s="159">
        <f t="shared" ca="1" si="32"/>
        <v>-5.2185271910746112</v>
      </c>
      <c r="M278" s="171"/>
      <c r="N278" s="166">
        <f t="shared" ca="1" si="33"/>
        <v>-12.785000000000004</v>
      </c>
      <c r="O278" s="157" t="str">
        <f t="shared" ca="1" si="34"/>
        <v/>
      </c>
    </row>
    <row r="279" spans="1:15" x14ac:dyDescent="0.35">
      <c r="A279" s="157" t="s">
        <v>938</v>
      </c>
      <c r="B279" s="157" t="s">
        <v>40</v>
      </c>
      <c r="C279" s="157">
        <f ca="1">IFERROR(INDEX(BYEs!$B$2:$B$33,MATCH(D279,BYEs!$A$2:$A$33,0)),"N/A")</f>
        <v>11</v>
      </c>
      <c r="D279" s="214" t="str">
        <f t="shared" ca="1" si="28"/>
        <v>NYG</v>
      </c>
      <c r="E279" s="213" t="str">
        <f t="shared" ca="1" si="29"/>
        <v>TE7</v>
      </c>
      <c r="F279" s="158">
        <f ca="1">IF(LeagueInfo!$H$7="Starter/Bench",INDEX(INDIRECT(""&amp;B279&amp;"!T2:T628"),MATCH(A279,INDIRECT(""&amp;B279&amp;"!B2:B628"),0)),INDEX(INDIRECT(""&amp;B279&amp;"!AB2:AB628"),MATCH(A279,INDIRECT(""&amp;B279&amp;"!B2:B628"),0)))</f>
        <v>-4.2663712616812468</v>
      </c>
      <c r="G279" s="159">
        <f t="shared" si="30"/>
        <v>0</v>
      </c>
      <c r="H279" s="160"/>
      <c r="I279" s="159">
        <f t="shared" ca="1" si="31"/>
        <v>-4.2663712616812468</v>
      </c>
      <c r="J279" s="159" t="s">
        <v>73</v>
      </c>
      <c r="K279" s="159">
        <f>IF(LeagueInfo!$F$7="Yahoo",IFERROR(INDEX(DefaultAuctionValues!$B$2:$B$331,MATCH(A279,DefaultAuctionValues!$A$2:$A$331,0)),0),IF(LeagueInfo!$F$7="ESPN",IFERROR(INDEX(DefaultAuctionValues!$C$2:$C$331,MATCH(A279,DefaultAuctionValues!$A$2:$A$331,0)),0),IF(LeagueInfo!$F$7="Custom",IFERROR(INDEX(DefaultAuctionValues!$D$2:$D$331,MATCH(A279,DefaultAuctionValues!$A$2:$A$331,0)),0))))</f>
        <v>1</v>
      </c>
      <c r="L279" s="159">
        <f t="shared" ca="1" si="32"/>
        <v>-5.2663712616812468</v>
      </c>
      <c r="M279" s="171"/>
      <c r="N279" s="166">
        <f t="shared" ca="1" si="33"/>
        <v>-12.930000000000007</v>
      </c>
      <c r="O279" s="157" t="str">
        <f t="shared" ca="1" si="34"/>
        <v/>
      </c>
    </row>
    <row r="280" spans="1:15" x14ac:dyDescent="0.35">
      <c r="A280" s="157" t="s">
        <v>866</v>
      </c>
      <c r="B280" s="157" t="s">
        <v>25</v>
      </c>
      <c r="C280" s="157">
        <f ca="1">IFERROR(INDEX(BYEs!$B$2:$B$33,MATCH(D280,BYEs!$A$2:$A$33,0)),"N/A")</f>
        <v>11</v>
      </c>
      <c r="D280" s="214" t="str">
        <f t="shared" ca="1" si="28"/>
        <v>NYG</v>
      </c>
      <c r="E280" s="213" t="str">
        <f t="shared" ca="1" si="29"/>
        <v>RB8</v>
      </c>
      <c r="F280" s="158">
        <f ca="1">IF(LeagueInfo!$H$7="Starter/Bench",INDEX(INDIRECT(""&amp;B280&amp;"!T2:T628"),MATCH(A280,INDIRECT(""&amp;B280&amp;"!B2:B628"),0)),INDEX(INDIRECT(""&amp;B280&amp;"!AB2:AB628"),MATCH(A280,INDIRECT(""&amp;B280&amp;"!B2:B628"),0)))</f>
        <v>-4.3472112430510759</v>
      </c>
      <c r="G280" s="159">
        <f t="shared" si="30"/>
        <v>0</v>
      </c>
      <c r="H280" s="160"/>
      <c r="I280" s="159">
        <f t="shared" ca="1" si="31"/>
        <v>-4.3472112430510759</v>
      </c>
      <c r="J280" s="159" t="s">
        <v>73</v>
      </c>
      <c r="K280" s="159">
        <f>IF(LeagueInfo!$F$7="Yahoo",IFERROR(INDEX(DefaultAuctionValues!$B$2:$B$331,MATCH(A280,DefaultAuctionValues!$A$2:$A$331,0)),0),IF(LeagueInfo!$F$7="ESPN",IFERROR(INDEX(DefaultAuctionValues!$C$2:$C$331,MATCH(A280,DefaultAuctionValues!$A$2:$A$331,0)),0),IF(LeagueInfo!$F$7="Custom",IFERROR(INDEX(DefaultAuctionValues!$D$2:$D$331,MATCH(A280,DefaultAuctionValues!$A$2:$A$331,0)),0))))</f>
        <v>1</v>
      </c>
      <c r="L280" s="159">
        <f t="shared" ca="1" si="32"/>
        <v>-5.3472112430510759</v>
      </c>
      <c r="M280" s="171"/>
      <c r="N280" s="166">
        <f t="shared" ca="1" si="33"/>
        <v>-13.175000000000004</v>
      </c>
      <c r="O280" s="157" t="str">
        <f t="shared" ca="1" si="34"/>
        <v/>
      </c>
    </row>
    <row r="281" spans="1:15" x14ac:dyDescent="0.35">
      <c r="A281" s="157" t="s">
        <v>364</v>
      </c>
      <c r="B281" s="157" t="s">
        <v>32</v>
      </c>
      <c r="C281" s="157">
        <f ca="1">IFERROR(INDEX(BYEs!$B$2:$B$33,MATCH(D281,BYEs!$A$2:$A$33,0)),"N/A")</f>
        <v>14</v>
      </c>
      <c r="D281" s="214" t="str">
        <f t="shared" ca="1" si="28"/>
        <v>NE</v>
      </c>
      <c r="E281" s="213" t="str">
        <f t="shared" ca="1" si="29"/>
        <v>WR8</v>
      </c>
      <c r="F281" s="158">
        <f ca="1">IF(LeagueInfo!$H$7="Starter/Bench",INDEX(INDIRECT(""&amp;B281&amp;"!T2:T628"),MATCH(A281,INDIRECT(""&amp;B281&amp;"!B2:B628"),0)),INDEX(INDIRECT(""&amp;B281&amp;"!AB2:AB628"),MATCH(A281,INDIRECT(""&amp;B281&amp;"!B2:B628"),0)))</f>
        <v>-4.4165026556537859</v>
      </c>
      <c r="G281" s="159">
        <f t="shared" si="30"/>
        <v>0</v>
      </c>
      <c r="H281" s="160"/>
      <c r="I281" s="159">
        <f t="shared" ca="1" si="31"/>
        <v>-4.4165026556537859</v>
      </c>
      <c r="J281" s="159" t="s">
        <v>73</v>
      </c>
      <c r="K281" s="159">
        <f>IF(LeagueInfo!$F$7="Yahoo",IFERROR(INDEX(DefaultAuctionValues!$B$2:$B$331,MATCH(A281,DefaultAuctionValues!$A$2:$A$331,0)),0),IF(LeagueInfo!$F$7="ESPN",IFERROR(INDEX(DefaultAuctionValues!$C$2:$C$331,MATCH(A281,DefaultAuctionValues!$A$2:$A$331,0)),0),IF(LeagueInfo!$F$7="Custom",IFERROR(INDEX(DefaultAuctionValues!$D$2:$D$331,MATCH(A281,DefaultAuctionValues!$A$2:$A$331,0)),0))))</f>
        <v>1</v>
      </c>
      <c r="L281" s="159">
        <f t="shared" ca="1" si="32"/>
        <v>-5.4165026556537859</v>
      </c>
      <c r="M281" s="171"/>
      <c r="N281" s="166">
        <f t="shared" ca="1" si="33"/>
        <v>-13.384999999999998</v>
      </c>
      <c r="O281" s="157" t="str">
        <f t="shared" ca="1" si="34"/>
        <v/>
      </c>
    </row>
    <row r="282" spans="1:15" x14ac:dyDescent="0.35">
      <c r="A282" s="157" t="s">
        <v>452</v>
      </c>
      <c r="B282" s="157" t="s">
        <v>40</v>
      </c>
      <c r="C282" s="157">
        <f ca="1">IFERROR(INDEX(BYEs!$B$2:$B$33,MATCH(D282,BYEs!$A$2:$A$33,0)),"N/A")</f>
        <v>12</v>
      </c>
      <c r="D282" s="214" t="str">
        <f t="shared" ca="1" si="28"/>
        <v>BUF</v>
      </c>
      <c r="E282" s="213" t="str">
        <f t="shared" ca="1" si="29"/>
        <v>TE7</v>
      </c>
      <c r="F282" s="158">
        <f ca="1">IF(LeagueInfo!$H$7="Starter/Bench",INDEX(INDIRECT(""&amp;B282&amp;"!T2:T628"),MATCH(A282,INDIRECT(""&amp;B282&amp;"!B2:B628"),0)),INDEX(INDIRECT(""&amp;B282&amp;"!AB2:AB628"),MATCH(A282,INDIRECT(""&amp;B282&amp;"!B2:B628"),0)))</f>
        <v>-4.5105410013288978</v>
      </c>
      <c r="G282" s="159">
        <f t="shared" si="30"/>
        <v>0</v>
      </c>
      <c r="H282" s="160"/>
      <c r="I282" s="159">
        <f t="shared" ca="1" si="31"/>
        <v>-4.5105410013288978</v>
      </c>
      <c r="J282" s="159" t="s">
        <v>73</v>
      </c>
      <c r="K282" s="159">
        <f>IF(LeagueInfo!$F$7="Yahoo",IFERROR(INDEX(DefaultAuctionValues!$B$2:$B$331,MATCH(A282,DefaultAuctionValues!$A$2:$A$331,0)),0),IF(LeagueInfo!$F$7="ESPN",IFERROR(INDEX(DefaultAuctionValues!$C$2:$C$331,MATCH(A282,DefaultAuctionValues!$A$2:$A$331,0)),0),IF(LeagueInfo!$F$7="Custom",IFERROR(INDEX(DefaultAuctionValues!$D$2:$D$331,MATCH(A282,DefaultAuctionValues!$A$2:$A$331,0)),0))))</f>
        <v>1</v>
      </c>
      <c r="L282" s="159">
        <f t="shared" ca="1" si="32"/>
        <v>-5.5105410013288978</v>
      </c>
      <c r="M282" s="171"/>
      <c r="N282" s="166">
        <f t="shared" ca="1" si="33"/>
        <v>-13.670000000000009</v>
      </c>
      <c r="O282" s="157" t="str">
        <f t="shared" ca="1" si="34"/>
        <v/>
      </c>
    </row>
    <row r="283" spans="1:15" x14ac:dyDescent="0.35">
      <c r="A283" s="157" t="s">
        <v>408</v>
      </c>
      <c r="B283" s="157" t="s">
        <v>32</v>
      </c>
      <c r="C283" s="157">
        <f ca="1">IFERROR(INDEX(BYEs!$B$2:$B$33,MATCH(D283,BYEs!$A$2:$A$33,0)),"N/A")</f>
        <v>5</v>
      </c>
      <c r="D283" s="214" t="str">
        <f t="shared" ca="1" si="28"/>
        <v>DET</v>
      </c>
      <c r="E283" s="213" t="str">
        <f t="shared" ca="1" si="29"/>
        <v>WR8</v>
      </c>
      <c r="F283" s="158">
        <f ca="1">IF(LeagueInfo!$H$7="Starter/Bench",INDEX(INDIRECT(""&amp;B283&amp;"!T2:T628"),MATCH(A283,INDIRECT(""&amp;B283&amp;"!B2:B628"),0)),INDEX(INDIRECT(""&amp;B283&amp;"!AB2:AB628"),MATCH(A283,INDIRECT(""&amp;B283&amp;"!B2:B628"),0)))</f>
        <v>-4.6458242354579999</v>
      </c>
      <c r="G283" s="159">
        <f t="shared" si="30"/>
        <v>0</v>
      </c>
      <c r="H283" s="160"/>
      <c r="I283" s="159">
        <f t="shared" ca="1" si="31"/>
        <v>-4.6458242354579999</v>
      </c>
      <c r="J283" s="159" t="s">
        <v>73</v>
      </c>
      <c r="K283" s="159">
        <f>IF(LeagueInfo!$F$7="Yahoo",IFERROR(INDEX(DefaultAuctionValues!$B$2:$B$331,MATCH(A283,DefaultAuctionValues!$A$2:$A$331,0)),0),IF(LeagueInfo!$F$7="ESPN",IFERROR(INDEX(DefaultAuctionValues!$C$2:$C$331,MATCH(A283,DefaultAuctionValues!$A$2:$A$331,0)),0),IF(LeagueInfo!$F$7="Custom",IFERROR(INDEX(DefaultAuctionValues!$D$2:$D$331,MATCH(A283,DefaultAuctionValues!$A$2:$A$331,0)),0))))</f>
        <v>1</v>
      </c>
      <c r="L283" s="159">
        <f t="shared" ca="1" si="32"/>
        <v>-5.6458242354579999</v>
      </c>
      <c r="M283" s="171"/>
      <c r="N283" s="166">
        <f t="shared" ca="1" si="33"/>
        <v>-14.080000000000005</v>
      </c>
      <c r="O283" s="157" t="str">
        <f t="shared" ca="1" si="34"/>
        <v/>
      </c>
    </row>
    <row r="284" spans="1:15" x14ac:dyDescent="0.35">
      <c r="A284" s="157" t="s">
        <v>256</v>
      </c>
      <c r="B284" s="157" t="s">
        <v>40</v>
      </c>
      <c r="C284" s="157">
        <f ca="1">IFERROR(INDEX(BYEs!$B$2:$B$33,MATCH(D284,BYEs!$A$2:$A$33,0)),"N/A")</f>
        <v>7</v>
      </c>
      <c r="D284" s="214" t="str">
        <f t="shared" ca="1" si="28"/>
        <v>CHI</v>
      </c>
      <c r="E284" s="213" t="str">
        <f t="shared" ca="1" si="29"/>
        <v>TE7</v>
      </c>
      <c r="F284" s="158">
        <f ca="1">IF(LeagueInfo!$H$7="Starter/Bench",INDEX(INDIRECT(""&amp;B284&amp;"!T2:T628"),MATCH(A284,INDIRECT(""&amp;B284&amp;"!B2:B628"),0)),INDEX(INDIRECT(""&amp;B284&amp;"!AB2:AB628"),MATCH(A284,INDIRECT(""&amp;B284&amp;"!B2:B628"),0)))</f>
        <v>-4.7811074695871039</v>
      </c>
      <c r="G284" s="159">
        <f t="shared" si="30"/>
        <v>0</v>
      </c>
      <c r="H284" s="160"/>
      <c r="I284" s="159">
        <f t="shared" ca="1" si="31"/>
        <v>-4.7811074695871039</v>
      </c>
      <c r="J284" s="159" t="s">
        <v>73</v>
      </c>
      <c r="K284" s="159">
        <f>IF(LeagueInfo!$F$7="Yahoo",IFERROR(INDEX(DefaultAuctionValues!$B$2:$B$331,MATCH(A284,DefaultAuctionValues!$A$2:$A$331,0)),0),IF(LeagueInfo!$F$7="ESPN",IFERROR(INDEX(DefaultAuctionValues!$C$2:$C$331,MATCH(A284,DefaultAuctionValues!$A$2:$A$331,0)),0),IF(LeagueInfo!$F$7="Custom",IFERROR(INDEX(DefaultAuctionValues!$D$2:$D$331,MATCH(A284,DefaultAuctionValues!$A$2:$A$331,0)),0))))</f>
        <v>1</v>
      </c>
      <c r="L284" s="159">
        <f t="shared" ca="1" si="32"/>
        <v>-5.7811074695871039</v>
      </c>
      <c r="M284" s="171"/>
      <c r="N284" s="166">
        <f t="shared" ca="1" si="33"/>
        <v>-14.490000000000006</v>
      </c>
      <c r="O284" s="157" t="str">
        <f t="shared" ca="1" si="34"/>
        <v/>
      </c>
    </row>
    <row r="285" spans="1:15" x14ac:dyDescent="0.35">
      <c r="A285" s="157" t="s">
        <v>920</v>
      </c>
      <c r="B285" s="157" t="s">
        <v>32</v>
      </c>
      <c r="C285" s="157">
        <f ca="1">IFERROR(INDEX(BYEs!$B$2:$B$33,MATCH(D285,BYEs!$A$2:$A$33,0)),"N/A")</f>
        <v>9</v>
      </c>
      <c r="D285" s="214" t="str">
        <f t="shared" ca="1" si="28"/>
        <v>PIT</v>
      </c>
      <c r="E285" s="213" t="str">
        <f t="shared" ca="1" si="29"/>
        <v>WR8</v>
      </c>
      <c r="F285" s="158">
        <f ca="1">IF(LeagueInfo!$H$7="Starter/Bench",INDEX(INDIRECT(""&amp;B285&amp;"!T2:T628"),MATCH(A285,INDIRECT(""&amp;B285&amp;"!B2:B628"),0)),INDEX(INDIRECT(""&amp;B285&amp;"!AB2:AB628"),MATCH(A285,INDIRECT(""&amp;B285&amp;"!B2:B628"),0)))</f>
        <v>-4.828951540193736</v>
      </c>
      <c r="G285" s="159">
        <f t="shared" si="30"/>
        <v>0</v>
      </c>
      <c r="H285" s="160"/>
      <c r="I285" s="159">
        <f t="shared" ca="1" si="31"/>
        <v>-4.828951540193736</v>
      </c>
      <c r="J285" s="159" t="s">
        <v>73</v>
      </c>
      <c r="K285" s="159">
        <f>IF(LeagueInfo!$F$7="Yahoo",IFERROR(INDEX(DefaultAuctionValues!$B$2:$B$331,MATCH(A285,DefaultAuctionValues!$A$2:$A$331,0)),0),IF(LeagueInfo!$F$7="ESPN",IFERROR(INDEX(DefaultAuctionValues!$C$2:$C$331,MATCH(A285,DefaultAuctionValues!$A$2:$A$331,0)),0),IF(LeagueInfo!$F$7="Custom",IFERROR(INDEX(DefaultAuctionValues!$D$2:$D$331,MATCH(A285,DefaultAuctionValues!$A$2:$A$331,0)),0))))</f>
        <v>1</v>
      </c>
      <c r="L285" s="159">
        <f t="shared" ca="1" si="32"/>
        <v>-5.828951540193736</v>
      </c>
      <c r="M285" s="171"/>
      <c r="N285" s="166">
        <f t="shared" ca="1" si="33"/>
        <v>-14.634999999999998</v>
      </c>
      <c r="O285" s="157" t="str">
        <f t="shared" ca="1" si="34"/>
        <v/>
      </c>
    </row>
    <row r="286" spans="1:15" x14ac:dyDescent="0.35">
      <c r="A286" s="157" t="s">
        <v>577</v>
      </c>
      <c r="B286" s="157" t="s">
        <v>40</v>
      </c>
      <c r="C286" s="157">
        <f ca="1">IFERROR(INDEX(BYEs!$B$2:$B$33,MATCH(D286,BYEs!$A$2:$A$33,0)),"N/A")</f>
        <v>14</v>
      </c>
      <c r="D286" s="214" t="str">
        <f t="shared" ca="1" si="28"/>
        <v>IND</v>
      </c>
      <c r="E286" s="213" t="str">
        <f t="shared" ca="1" si="29"/>
        <v>TE7</v>
      </c>
      <c r="F286" s="158">
        <f ca="1">IF(LeagueInfo!$H$7="Starter/Bench",INDEX(INDIRECT(""&amp;B286&amp;"!T2:T628"),MATCH(A286,INDIRECT(""&amp;B286&amp;"!B2:B628"),0)),INDEX(INDIRECT(""&amp;B286&amp;"!AB2:AB628"),MATCH(A286,INDIRECT(""&amp;B286&amp;"!B2:B628"),0)))</f>
        <v>-4.8833947929530108</v>
      </c>
      <c r="G286" s="159">
        <f t="shared" si="30"/>
        <v>0</v>
      </c>
      <c r="H286" s="160"/>
      <c r="I286" s="159">
        <f t="shared" ca="1" si="31"/>
        <v>-4.8833947929530108</v>
      </c>
      <c r="J286" s="159" t="s">
        <v>73</v>
      </c>
      <c r="K286" s="159">
        <f>IF(LeagueInfo!$F$7="Yahoo",IFERROR(INDEX(DefaultAuctionValues!$B$2:$B$331,MATCH(A286,DefaultAuctionValues!$A$2:$A$331,0)),0),IF(LeagueInfo!$F$7="ESPN",IFERROR(INDEX(DefaultAuctionValues!$C$2:$C$331,MATCH(A286,DefaultAuctionValues!$A$2:$A$331,0)),0),IF(LeagueInfo!$F$7="Custom",IFERROR(INDEX(DefaultAuctionValues!$D$2:$D$331,MATCH(A286,DefaultAuctionValues!$A$2:$A$331,0)),0))))</f>
        <v>1</v>
      </c>
      <c r="L286" s="159">
        <f t="shared" ca="1" si="32"/>
        <v>-5.8833947929530108</v>
      </c>
      <c r="M286" s="171"/>
      <c r="N286" s="166">
        <f t="shared" ca="1" si="33"/>
        <v>-14.800000000000004</v>
      </c>
      <c r="O286" s="157" t="str">
        <f t="shared" ca="1" si="34"/>
        <v/>
      </c>
    </row>
    <row r="287" spans="1:15" x14ac:dyDescent="0.35">
      <c r="A287" s="157" t="s">
        <v>592</v>
      </c>
      <c r="B287" s="157" t="s">
        <v>32</v>
      </c>
      <c r="C287" s="157">
        <f ca="1">IFERROR(INDEX(BYEs!$B$2:$B$33,MATCH(D287,BYEs!$A$2:$A$33,0)),"N/A")</f>
        <v>7</v>
      </c>
      <c r="D287" s="214" t="str">
        <f t="shared" ca="1" si="28"/>
        <v>DAL</v>
      </c>
      <c r="E287" s="213" t="str">
        <f t="shared" ca="1" si="29"/>
        <v>WR8</v>
      </c>
      <c r="F287" s="158">
        <f ca="1">IF(LeagueInfo!$H$7="Starter/Bench",INDEX(INDIRECT(""&amp;B287&amp;"!T2:T628"),MATCH(A287,INDIRECT(""&amp;B287&amp;"!B2:B628"),0)),INDEX(INDIRECT(""&amp;B287&amp;"!AB2:AB628"),MATCH(A287,INDIRECT(""&amp;B287&amp;"!B2:B628"),0)))</f>
        <v>-4.906491930487249</v>
      </c>
      <c r="G287" s="159">
        <f t="shared" si="30"/>
        <v>0</v>
      </c>
      <c r="H287" s="160"/>
      <c r="I287" s="159">
        <f t="shared" ca="1" si="31"/>
        <v>-4.906491930487249</v>
      </c>
      <c r="J287" s="159" t="s">
        <v>73</v>
      </c>
      <c r="K287" s="159">
        <f>IF(LeagueInfo!$F$7="Yahoo",IFERROR(INDEX(DefaultAuctionValues!$B$2:$B$331,MATCH(A287,DefaultAuctionValues!$A$2:$A$331,0)),0),IF(LeagueInfo!$F$7="ESPN",IFERROR(INDEX(DefaultAuctionValues!$C$2:$C$331,MATCH(A287,DefaultAuctionValues!$A$2:$A$331,0)),0),IF(LeagueInfo!$F$7="Custom",IFERROR(INDEX(DefaultAuctionValues!$D$2:$D$331,MATCH(A287,DefaultAuctionValues!$A$2:$A$331,0)),0))))</f>
        <v>1</v>
      </c>
      <c r="L287" s="159">
        <f t="shared" ca="1" si="32"/>
        <v>-5.906491930487249</v>
      </c>
      <c r="M287" s="171"/>
      <c r="N287" s="166">
        <f t="shared" ca="1" si="33"/>
        <v>-14.870000000000005</v>
      </c>
      <c r="O287" s="157" t="str">
        <f t="shared" ca="1" si="34"/>
        <v/>
      </c>
    </row>
    <row r="288" spans="1:15" x14ac:dyDescent="0.35">
      <c r="A288" s="157" t="s">
        <v>939</v>
      </c>
      <c r="B288" s="157" t="s">
        <v>40</v>
      </c>
      <c r="C288" s="157">
        <f ca="1">IFERROR(INDEX(BYEs!$B$2:$B$33,MATCH(D288,BYEs!$A$2:$A$33,0)),"N/A")</f>
        <v>11</v>
      </c>
      <c r="D288" s="214" t="str">
        <f t="shared" ca="1" si="28"/>
        <v>CAR</v>
      </c>
      <c r="E288" s="213" t="str">
        <f t="shared" ca="1" si="29"/>
        <v>TE7</v>
      </c>
      <c r="F288" s="158">
        <f ca="1">IF(LeagueInfo!$H$7="Starter/Bench",INDEX(INDIRECT(""&amp;B288&amp;"!T2:T628"),MATCH(A288,INDIRECT(""&amp;B288&amp;"!B2:B628"),0)),INDEX(INDIRECT(""&amp;B288&amp;"!AB2:AB628"),MATCH(A288,INDIRECT(""&amp;B288&amp;"!B2:B628"),0)))</f>
        <v>-4.9097915215635686</v>
      </c>
      <c r="G288" s="159">
        <f t="shared" si="30"/>
        <v>0</v>
      </c>
      <c r="H288" s="160"/>
      <c r="I288" s="159">
        <f t="shared" ca="1" si="31"/>
        <v>-4.9097915215635686</v>
      </c>
      <c r="J288" s="159" t="s">
        <v>73</v>
      </c>
      <c r="K288" s="159">
        <f>IF(LeagueInfo!$F$7="Yahoo",IFERROR(INDEX(DefaultAuctionValues!$B$2:$B$331,MATCH(A288,DefaultAuctionValues!$A$2:$A$331,0)),0),IF(LeagueInfo!$F$7="ESPN",IFERROR(INDEX(DefaultAuctionValues!$C$2:$C$331,MATCH(A288,DefaultAuctionValues!$A$2:$A$331,0)),0),IF(LeagueInfo!$F$7="Custom",IFERROR(INDEX(DefaultAuctionValues!$D$2:$D$331,MATCH(A288,DefaultAuctionValues!$A$2:$A$331,0)),0))))</f>
        <v>1</v>
      </c>
      <c r="L288" s="159">
        <f t="shared" ca="1" si="32"/>
        <v>-5.9097915215635686</v>
      </c>
      <c r="M288" s="171"/>
      <c r="N288" s="166">
        <f t="shared" ca="1" si="33"/>
        <v>-14.880000000000006</v>
      </c>
      <c r="O288" s="157" t="str">
        <f t="shared" ca="1" si="34"/>
        <v/>
      </c>
    </row>
    <row r="289" spans="1:15" x14ac:dyDescent="0.35">
      <c r="A289" s="157" t="s">
        <v>594</v>
      </c>
      <c r="B289" s="157" t="s">
        <v>32</v>
      </c>
      <c r="C289" s="157">
        <f ca="1">IFERROR(INDEX(BYEs!$B$2:$B$33,MATCH(D289,BYEs!$A$2:$A$33,0)),"N/A")</f>
        <v>5</v>
      </c>
      <c r="D289" s="214" t="str">
        <f t="shared" ca="1" si="28"/>
        <v>PHI</v>
      </c>
      <c r="E289" s="213" t="str">
        <f t="shared" ca="1" si="29"/>
        <v>WR8</v>
      </c>
      <c r="F289" s="158">
        <f ca="1">IF(LeagueInfo!$H$7="Starter/Bench",INDEX(INDIRECT(""&amp;B289&amp;"!T2:T628"),MATCH(A289,INDIRECT(""&amp;B289&amp;"!B2:B628"),0)),INDEX(INDIRECT(""&amp;B289&amp;"!AB2:AB628"),MATCH(A289,INDIRECT(""&amp;B289&amp;"!B2:B628"),0)))</f>
        <v>-5.1110665772190629</v>
      </c>
      <c r="G289" s="159">
        <f t="shared" si="30"/>
        <v>0</v>
      </c>
      <c r="H289" s="160"/>
      <c r="I289" s="159">
        <f t="shared" ca="1" si="31"/>
        <v>-5.1110665772190629</v>
      </c>
      <c r="J289" s="159" t="s">
        <v>73</v>
      </c>
      <c r="K289" s="159">
        <f>IF(LeagueInfo!$F$7="Yahoo",IFERROR(INDEX(DefaultAuctionValues!$B$2:$B$331,MATCH(A289,DefaultAuctionValues!$A$2:$A$331,0)),0),IF(LeagueInfo!$F$7="ESPN",IFERROR(INDEX(DefaultAuctionValues!$C$2:$C$331,MATCH(A289,DefaultAuctionValues!$A$2:$A$331,0)),0),IF(LeagueInfo!$F$7="Custom",IFERROR(INDEX(DefaultAuctionValues!$D$2:$D$331,MATCH(A289,DefaultAuctionValues!$A$2:$A$331,0)),0))))</f>
        <v>1</v>
      </c>
      <c r="L289" s="159">
        <f t="shared" ca="1" si="32"/>
        <v>-6.1110665772190629</v>
      </c>
      <c r="M289" s="171"/>
      <c r="N289" s="166">
        <f t="shared" ca="1" si="33"/>
        <v>-15.490000000000002</v>
      </c>
      <c r="O289" s="157" t="str">
        <f t="shared" ca="1" si="34"/>
        <v/>
      </c>
    </row>
    <row r="290" spans="1:15" x14ac:dyDescent="0.35">
      <c r="A290" s="157" t="s">
        <v>255</v>
      </c>
      <c r="B290" s="157" t="s">
        <v>40</v>
      </c>
      <c r="C290" s="157">
        <f ca="1">IFERROR(INDEX(BYEs!$B$2:$B$33,MATCH(D290,BYEs!$A$2:$A$33,0)),"N/A")</f>
        <v>6</v>
      </c>
      <c r="D290" s="214" t="str">
        <f t="shared" ca="1" si="28"/>
        <v>LAR</v>
      </c>
      <c r="E290" s="213" t="str">
        <f t="shared" ca="1" si="29"/>
        <v>TE7</v>
      </c>
      <c r="F290" s="158">
        <f ca="1">IF(LeagueInfo!$H$7="Starter/Bench",INDEX(INDIRECT(""&amp;B290&amp;"!T2:T628"),MATCH(A290,INDIRECT(""&amp;B290&amp;"!B2:B628"),0)),INDEX(INDIRECT(""&amp;B290&amp;"!AB2:AB628"),MATCH(A290,INDIRECT(""&amp;B290&amp;"!B2:B628"),0)))</f>
        <v>-5.210054309508652</v>
      </c>
      <c r="G290" s="159">
        <f t="shared" si="30"/>
        <v>0</v>
      </c>
      <c r="H290" s="160"/>
      <c r="I290" s="159">
        <f t="shared" ca="1" si="31"/>
        <v>-5.210054309508652</v>
      </c>
      <c r="J290" s="159" t="s">
        <v>73</v>
      </c>
      <c r="K290" s="159">
        <f>IF(LeagueInfo!$F$7="Yahoo",IFERROR(INDEX(DefaultAuctionValues!$B$2:$B$331,MATCH(A290,DefaultAuctionValues!$A$2:$A$331,0)),0),IF(LeagueInfo!$F$7="ESPN",IFERROR(INDEX(DefaultAuctionValues!$C$2:$C$331,MATCH(A290,DefaultAuctionValues!$A$2:$A$331,0)),0),IF(LeagueInfo!$F$7="Custom",IFERROR(INDEX(DefaultAuctionValues!$D$2:$D$331,MATCH(A290,DefaultAuctionValues!$A$2:$A$331,0)),0))))</f>
        <v>1</v>
      </c>
      <c r="L290" s="159">
        <f t="shared" ca="1" si="32"/>
        <v>-6.210054309508652</v>
      </c>
      <c r="M290" s="171"/>
      <c r="N290" s="166">
        <f t="shared" ca="1" si="33"/>
        <v>-15.790000000000006</v>
      </c>
      <c r="O290" s="157" t="str">
        <f t="shared" ca="1" si="34"/>
        <v/>
      </c>
    </row>
    <row r="291" spans="1:15" x14ac:dyDescent="0.35">
      <c r="A291" s="157" t="s">
        <v>445</v>
      </c>
      <c r="B291" s="157" t="s">
        <v>32</v>
      </c>
      <c r="C291" s="157">
        <f ca="1">IFERROR(INDEX(BYEs!$B$2:$B$33,MATCH(D291,BYEs!$A$2:$A$33,0)),"N/A")</f>
        <v>11</v>
      </c>
      <c r="D291" s="214" t="str">
        <f t="shared" ca="1" si="28"/>
        <v>ARI</v>
      </c>
      <c r="E291" s="213" t="str">
        <f t="shared" ca="1" si="29"/>
        <v>WR8</v>
      </c>
      <c r="F291" s="158">
        <f ca="1">IF(LeagueInfo!$H$7="Starter/Bench",INDEX(INDIRECT(""&amp;B291&amp;"!T2:T628"),MATCH(A291,INDIRECT(""&amp;B291&amp;"!B2:B628"),0)),INDEX(INDIRECT(""&amp;B291&amp;"!AB2:AB628"),MATCH(A291,INDIRECT(""&amp;B291&amp;"!B2:B628"),0)))</f>
        <v>-5.3948314097825483</v>
      </c>
      <c r="G291" s="159">
        <f t="shared" si="30"/>
        <v>0</v>
      </c>
      <c r="H291" s="160"/>
      <c r="I291" s="159">
        <f t="shared" ca="1" si="31"/>
        <v>-5.3948314097825483</v>
      </c>
      <c r="J291" s="159" t="s">
        <v>73</v>
      </c>
      <c r="K291" s="159">
        <f>IF(LeagueInfo!$F$7="Yahoo",IFERROR(INDEX(DefaultAuctionValues!$B$2:$B$331,MATCH(A291,DefaultAuctionValues!$A$2:$A$331,0)),0),IF(LeagueInfo!$F$7="ESPN",IFERROR(INDEX(DefaultAuctionValues!$C$2:$C$331,MATCH(A291,DefaultAuctionValues!$A$2:$A$331,0)),0),IF(LeagueInfo!$F$7="Custom",IFERROR(INDEX(DefaultAuctionValues!$D$2:$D$331,MATCH(A291,DefaultAuctionValues!$A$2:$A$331,0)),0))))</f>
        <v>1</v>
      </c>
      <c r="L291" s="159">
        <f t="shared" ca="1" si="32"/>
        <v>-6.3948314097825483</v>
      </c>
      <c r="M291" s="171"/>
      <c r="N291" s="166">
        <f t="shared" ca="1" si="33"/>
        <v>-16.350000000000001</v>
      </c>
      <c r="O291" s="157" t="str">
        <f t="shared" ca="1" si="34"/>
        <v/>
      </c>
    </row>
    <row r="292" spans="1:15" x14ac:dyDescent="0.35">
      <c r="A292" s="157" t="s">
        <v>796</v>
      </c>
      <c r="B292" s="157" t="s">
        <v>32</v>
      </c>
      <c r="C292" s="157">
        <f ca="1">IFERROR(INDEX(BYEs!$B$2:$B$33,MATCH(D292,BYEs!$A$2:$A$33,0)),"N/A")</f>
        <v>12</v>
      </c>
      <c r="D292" s="214" t="str">
        <f t="shared" ca="1" si="28"/>
        <v>CIN</v>
      </c>
      <c r="E292" s="213" t="str">
        <f t="shared" ca="1" si="29"/>
        <v>WR8</v>
      </c>
      <c r="F292" s="158">
        <f ca="1">IF(LeagueInfo!$H$7="Starter/Bench",INDEX(INDIRECT(""&amp;B292&amp;"!T2:T628"),MATCH(A292,INDIRECT(""&amp;B292&amp;"!B2:B628"),0)),INDEX(INDIRECT(""&amp;B292&amp;"!AB2:AB628"),MATCH(A292,INDIRECT(""&amp;B292&amp;"!B2:B628"),0)))</f>
        <v>-5.4377260937747041</v>
      </c>
      <c r="G292" s="159">
        <f t="shared" si="30"/>
        <v>0</v>
      </c>
      <c r="H292" s="160"/>
      <c r="I292" s="159">
        <f t="shared" ca="1" si="31"/>
        <v>-5.4377260937747041</v>
      </c>
      <c r="J292" s="159" t="s">
        <v>73</v>
      </c>
      <c r="K292" s="159">
        <f>IF(LeagueInfo!$F$7="Yahoo",IFERROR(INDEX(DefaultAuctionValues!$B$2:$B$331,MATCH(A292,DefaultAuctionValues!$A$2:$A$331,0)),0),IF(LeagueInfo!$F$7="ESPN",IFERROR(INDEX(DefaultAuctionValues!$C$2:$C$331,MATCH(A292,DefaultAuctionValues!$A$2:$A$331,0)),0),IF(LeagueInfo!$F$7="Custom",IFERROR(INDEX(DefaultAuctionValues!$D$2:$D$331,MATCH(A292,DefaultAuctionValues!$A$2:$A$331,0)),0))))</f>
        <v>0</v>
      </c>
      <c r="L292" s="159">
        <f t="shared" ca="1" si="32"/>
        <v>-5.4377260937747041</v>
      </c>
      <c r="M292" s="171"/>
      <c r="N292" s="166">
        <f t="shared" ca="1" si="33"/>
        <v>-16.480000000000004</v>
      </c>
      <c r="O292" s="157" t="str">
        <f t="shared" ca="1" si="34"/>
        <v/>
      </c>
    </row>
    <row r="293" spans="1:15" x14ac:dyDescent="0.35">
      <c r="A293" s="157" t="s">
        <v>745</v>
      </c>
      <c r="B293" s="157" t="s">
        <v>40</v>
      </c>
      <c r="C293" s="157">
        <f ca="1">IFERROR(INDEX(BYEs!$B$2:$B$33,MATCH(D293,BYEs!$A$2:$A$33,0)),"N/A")</f>
        <v>10</v>
      </c>
      <c r="D293" s="214" t="str">
        <f t="shared" ca="1" si="28"/>
        <v>LV</v>
      </c>
      <c r="E293" s="213" t="str">
        <f t="shared" ca="1" si="29"/>
        <v>TE7</v>
      </c>
      <c r="F293" s="158">
        <f ca="1">IF(LeagueInfo!$H$7="Starter/Bench",INDEX(INDIRECT(""&amp;B293&amp;"!T2:T628"),MATCH(A293,INDIRECT(""&amp;B293&amp;"!B2:B628"),0)),INDEX(INDIRECT(""&amp;B293&amp;"!AB2:AB628"),MATCH(A293,INDIRECT(""&amp;B293&amp;"!B2:B628"),0)))</f>
        <v>-5.470722004537901</v>
      </c>
      <c r="G293" s="159">
        <f t="shared" si="30"/>
        <v>0</v>
      </c>
      <c r="H293" s="160"/>
      <c r="I293" s="159">
        <f t="shared" ca="1" si="31"/>
        <v>-5.470722004537901</v>
      </c>
      <c r="J293" s="159" t="s">
        <v>73</v>
      </c>
      <c r="K293" s="159">
        <f>IF(LeagueInfo!$F$7="Yahoo",IFERROR(INDEX(DefaultAuctionValues!$B$2:$B$331,MATCH(A293,DefaultAuctionValues!$A$2:$A$331,0)),0),IF(LeagueInfo!$F$7="ESPN",IFERROR(INDEX(DefaultAuctionValues!$C$2:$C$331,MATCH(A293,DefaultAuctionValues!$A$2:$A$331,0)),0),IF(LeagueInfo!$F$7="Custom",IFERROR(INDEX(DefaultAuctionValues!$D$2:$D$331,MATCH(A293,DefaultAuctionValues!$A$2:$A$331,0)),0))))</f>
        <v>1</v>
      </c>
      <c r="L293" s="159">
        <f t="shared" ca="1" si="32"/>
        <v>-6.470722004537901</v>
      </c>
      <c r="M293" s="171"/>
      <c r="N293" s="166">
        <f t="shared" ca="1" si="33"/>
        <v>-16.580000000000005</v>
      </c>
      <c r="O293" s="157" t="str">
        <f t="shared" ca="1" si="34"/>
        <v/>
      </c>
    </row>
    <row r="294" spans="1:15" x14ac:dyDescent="0.35">
      <c r="A294" s="157" t="s">
        <v>744</v>
      </c>
      <c r="B294" s="157" t="s">
        <v>32</v>
      </c>
      <c r="C294" s="157">
        <f ca="1">IFERROR(INDEX(BYEs!$B$2:$B$33,MATCH(D294,BYEs!$A$2:$A$33,0)),"N/A")</f>
        <v>10</v>
      </c>
      <c r="D294" s="214" t="str">
        <f t="shared" ca="1" si="28"/>
        <v>LV</v>
      </c>
      <c r="E294" s="213" t="str">
        <f t="shared" ca="1" si="29"/>
        <v>WR8</v>
      </c>
      <c r="F294" s="158">
        <f ca="1">IF(LeagueInfo!$H$7="Starter/Bench",INDEX(INDIRECT(""&amp;B294&amp;"!T2:T628"),MATCH(A294,INDIRECT(""&amp;B294&amp;"!B2:B628"),0)),INDEX(INDIRECT(""&amp;B294&amp;"!AB2:AB628"),MATCH(A294,INDIRECT(""&amp;B294&amp;"!B2:B628"),0)))</f>
        <v>-5.5730093279038044</v>
      </c>
      <c r="G294" s="159">
        <f t="shared" si="30"/>
        <v>0</v>
      </c>
      <c r="H294" s="160"/>
      <c r="I294" s="159">
        <f t="shared" ca="1" si="31"/>
        <v>-5.5730093279038044</v>
      </c>
      <c r="J294" s="159" t="s">
        <v>73</v>
      </c>
      <c r="K294" s="159">
        <f>IF(LeagueInfo!$F$7="Yahoo",IFERROR(INDEX(DefaultAuctionValues!$B$2:$B$331,MATCH(A294,DefaultAuctionValues!$A$2:$A$331,0)),0),IF(LeagueInfo!$F$7="ESPN",IFERROR(INDEX(DefaultAuctionValues!$C$2:$C$331,MATCH(A294,DefaultAuctionValues!$A$2:$A$331,0)),0),IF(LeagueInfo!$F$7="Custom",IFERROR(INDEX(DefaultAuctionValues!$D$2:$D$331,MATCH(A294,DefaultAuctionValues!$A$2:$A$331,0)),0))))</f>
        <v>0</v>
      </c>
      <c r="L294" s="159">
        <f t="shared" ca="1" si="32"/>
        <v>-5.5730093279038044</v>
      </c>
      <c r="M294" s="171"/>
      <c r="N294" s="166">
        <f t="shared" ca="1" si="33"/>
        <v>-16.889999999999993</v>
      </c>
      <c r="O294" s="157" t="str">
        <f t="shared" ca="1" si="34"/>
        <v/>
      </c>
    </row>
    <row r="295" spans="1:15" x14ac:dyDescent="0.35">
      <c r="A295" s="157" t="s">
        <v>918</v>
      </c>
      <c r="B295" s="157" t="s">
        <v>32</v>
      </c>
      <c r="C295" s="157">
        <f ca="1">IFERROR(INDEX(BYEs!$B$2:$B$33,MATCH(D295,BYEs!$A$2:$A$33,0)),"N/A")</f>
        <v>12</v>
      </c>
      <c r="D295" s="214" t="str">
        <f t="shared" ca="1" si="28"/>
        <v>CIN</v>
      </c>
      <c r="E295" s="213" t="str">
        <f t="shared" ca="1" si="29"/>
        <v>WR8</v>
      </c>
      <c r="F295" s="158">
        <f ca="1">IF(LeagueInfo!$H$7="Starter/Bench",INDEX(INDIRECT(""&amp;B295&amp;"!T2:T628"),MATCH(A295,INDIRECT(""&amp;B295&amp;"!B2:B628"),0)),INDEX(INDIRECT(""&amp;B295&amp;"!AB2:AB628"),MATCH(A295,INDIRECT(""&amp;B295&amp;"!B2:B628"),0)))</f>
        <v>-5.7016933798802736</v>
      </c>
      <c r="G295" s="159">
        <f t="shared" si="30"/>
        <v>0</v>
      </c>
      <c r="H295" s="160"/>
      <c r="I295" s="159">
        <f t="shared" ca="1" si="31"/>
        <v>-5.7016933798802736</v>
      </c>
      <c r="J295" s="159" t="s">
        <v>73</v>
      </c>
      <c r="K295" s="159">
        <f>IF(LeagueInfo!$F$7="Yahoo",IFERROR(INDEX(DefaultAuctionValues!$B$2:$B$331,MATCH(A295,DefaultAuctionValues!$A$2:$A$331,0)),0),IF(LeagueInfo!$F$7="ESPN",IFERROR(INDEX(DefaultAuctionValues!$C$2:$C$331,MATCH(A295,DefaultAuctionValues!$A$2:$A$331,0)),0),IF(LeagueInfo!$F$7="Custom",IFERROR(INDEX(DefaultAuctionValues!$D$2:$D$331,MATCH(A295,DefaultAuctionValues!$A$2:$A$331,0)),0))))</f>
        <v>1</v>
      </c>
      <c r="L295" s="159">
        <f t="shared" ca="1" si="32"/>
        <v>-6.7016933798802736</v>
      </c>
      <c r="M295" s="171"/>
      <c r="N295" s="166">
        <f t="shared" ca="1" si="33"/>
        <v>-17.280000000000008</v>
      </c>
      <c r="O295" s="157" t="str">
        <f t="shared" ca="1" si="34"/>
        <v/>
      </c>
    </row>
    <row r="296" spans="1:15" x14ac:dyDescent="0.35">
      <c r="A296" s="157" t="s">
        <v>674</v>
      </c>
      <c r="B296" s="157" t="s">
        <v>32</v>
      </c>
      <c r="C296" s="157">
        <f ca="1">IFERROR(INDEX(BYEs!$B$2:$B$33,MATCH(D296,BYEs!$A$2:$A$33,0)),"N/A")</f>
        <v>12</v>
      </c>
      <c r="D296" s="214" t="str">
        <f t="shared" ca="1" si="28"/>
        <v>ATL</v>
      </c>
      <c r="E296" s="213" t="str">
        <f t="shared" ca="1" si="29"/>
        <v>WR8</v>
      </c>
      <c r="F296" s="158">
        <f ca="1">IF(LeagueInfo!$H$7="Starter/Bench",INDEX(INDIRECT(""&amp;B296&amp;"!T2:T628"),MATCH(A296,INDIRECT(""&amp;B296&amp;"!B2:B628"),0)),INDEX(INDIRECT(""&amp;B296&amp;"!AB2:AB628"),MATCH(A296,INDIRECT(""&amp;B296&amp;"!B2:B628"),0)))</f>
        <v>-5.7115921531092306</v>
      </c>
      <c r="G296" s="159">
        <f t="shared" si="30"/>
        <v>0</v>
      </c>
      <c r="H296" s="160"/>
      <c r="I296" s="159">
        <f t="shared" ca="1" si="31"/>
        <v>-5.7115921531092306</v>
      </c>
      <c r="J296" s="159" t="s">
        <v>73</v>
      </c>
      <c r="K296" s="159">
        <f>IF(LeagueInfo!$F$7="Yahoo",IFERROR(INDEX(DefaultAuctionValues!$B$2:$B$331,MATCH(A296,DefaultAuctionValues!$A$2:$A$331,0)),0),IF(LeagueInfo!$F$7="ESPN",IFERROR(INDEX(DefaultAuctionValues!$C$2:$C$331,MATCH(A296,DefaultAuctionValues!$A$2:$A$331,0)),0),IF(LeagueInfo!$F$7="Custom",IFERROR(INDEX(DefaultAuctionValues!$D$2:$D$331,MATCH(A296,DefaultAuctionValues!$A$2:$A$331,0)),0))))</f>
        <v>0</v>
      </c>
      <c r="L296" s="159">
        <f t="shared" ca="1" si="32"/>
        <v>-5.7115921531092306</v>
      </c>
      <c r="M296" s="171"/>
      <c r="N296" s="166">
        <f t="shared" ca="1" si="33"/>
        <v>-17.310000000000002</v>
      </c>
      <c r="O296" s="157" t="str">
        <f t="shared" ca="1" si="34"/>
        <v/>
      </c>
    </row>
    <row r="297" spans="1:15" x14ac:dyDescent="0.35">
      <c r="A297" s="157" t="s">
        <v>637</v>
      </c>
      <c r="B297" s="157" t="s">
        <v>40</v>
      </c>
      <c r="C297" s="157">
        <f ca="1">IFERROR(INDEX(BYEs!$B$2:$B$33,MATCH(D297,BYEs!$A$2:$A$33,0)),"N/A")</f>
        <v>11</v>
      </c>
      <c r="D297" s="214" t="str">
        <f t="shared" ca="1" si="28"/>
        <v>NYG</v>
      </c>
      <c r="E297" s="213" t="str">
        <f t="shared" ca="1" si="29"/>
        <v>TE7</v>
      </c>
      <c r="F297" s="158">
        <f ca="1">IF(LeagueInfo!$H$7="Starter/Bench",INDEX(INDIRECT(""&amp;B297&amp;"!T2:T628"),MATCH(A297,INDIRECT(""&amp;B297&amp;"!B2:B628"),0)),INDEX(INDIRECT(""&amp;B297&amp;"!AB2:AB628"),MATCH(A297,INDIRECT(""&amp;B297&amp;"!B2:B628"),0)))</f>
        <v>-5.7379888817197893</v>
      </c>
      <c r="G297" s="159">
        <f t="shared" si="30"/>
        <v>0</v>
      </c>
      <c r="H297" s="160"/>
      <c r="I297" s="159">
        <f t="shared" ca="1" si="31"/>
        <v>-5.7379888817197893</v>
      </c>
      <c r="J297" s="159" t="s">
        <v>73</v>
      </c>
      <c r="K297" s="159">
        <f>IF(LeagueInfo!$F$7="Yahoo",IFERROR(INDEX(DefaultAuctionValues!$B$2:$B$331,MATCH(A297,DefaultAuctionValues!$A$2:$A$331,0)),0),IF(LeagueInfo!$F$7="ESPN",IFERROR(INDEX(DefaultAuctionValues!$C$2:$C$331,MATCH(A297,DefaultAuctionValues!$A$2:$A$331,0)),0),IF(LeagueInfo!$F$7="Custom",IFERROR(INDEX(DefaultAuctionValues!$D$2:$D$331,MATCH(A297,DefaultAuctionValues!$A$2:$A$331,0)),0))))</f>
        <v>1</v>
      </c>
      <c r="L297" s="159">
        <f t="shared" ca="1" si="32"/>
        <v>-6.7379888817197893</v>
      </c>
      <c r="M297" s="171"/>
      <c r="N297" s="166">
        <f t="shared" ca="1" si="33"/>
        <v>-17.390000000000008</v>
      </c>
      <c r="O297" s="157" t="str">
        <f t="shared" ca="1" si="34"/>
        <v/>
      </c>
    </row>
    <row r="298" spans="1:15" x14ac:dyDescent="0.35">
      <c r="A298" s="157" t="s">
        <v>487</v>
      </c>
      <c r="B298" s="157" t="s">
        <v>40</v>
      </c>
      <c r="C298" s="157">
        <f ca="1">IFERROR(INDEX(BYEs!$B$2:$B$33,MATCH(D298,BYEs!$A$2:$A$33,0)),"N/A")</f>
        <v>6</v>
      </c>
      <c r="D298" s="214" t="str">
        <f t="shared" ca="1" si="28"/>
        <v>LAR</v>
      </c>
      <c r="E298" s="213" t="str">
        <f t="shared" ca="1" si="29"/>
        <v>TE7</v>
      </c>
      <c r="F298" s="158">
        <f ca="1">IF(LeagueInfo!$H$7="Starter/Bench",INDEX(INDIRECT(""&amp;B298&amp;"!T2:T628"),MATCH(A298,INDIRECT(""&amp;B298&amp;"!B2:B628"),0)),INDEX(INDIRECT(""&amp;B298&amp;"!AB2:AB628"),MATCH(A298,INDIRECT(""&amp;B298&amp;"!B2:B628"),0)))</f>
        <v>-5.8567741604672934</v>
      </c>
      <c r="G298" s="159">
        <f t="shared" si="30"/>
        <v>0</v>
      </c>
      <c r="H298" s="160"/>
      <c r="I298" s="159">
        <f t="shared" ca="1" si="31"/>
        <v>-5.8567741604672934</v>
      </c>
      <c r="J298" s="159" t="s">
        <v>73</v>
      </c>
      <c r="K298" s="159">
        <f>IF(LeagueInfo!$F$7="Yahoo",IFERROR(INDEX(DefaultAuctionValues!$B$2:$B$331,MATCH(A298,DefaultAuctionValues!$A$2:$A$331,0)),0),IF(LeagueInfo!$F$7="ESPN",IFERROR(INDEX(DefaultAuctionValues!$C$2:$C$331,MATCH(A298,DefaultAuctionValues!$A$2:$A$331,0)),0),IF(LeagueInfo!$F$7="Custom",IFERROR(INDEX(DefaultAuctionValues!$D$2:$D$331,MATCH(A298,DefaultAuctionValues!$A$2:$A$331,0)),0))))</f>
        <v>1</v>
      </c>
      <c r="L298" s="159">
        <f t="shared" ca="1" si="32"/>
        <v>-6.8567741604672934</v>
      </c>
      <c r="M298" s="171"/>
      <c r="N298" s="166">
        <f t="shared" ca="1" si="33"/>
        <v>-17.750000000000004</v>
      </c>
      <c r="O298" s="157" t="str">
        <f t="shared" ca="1" si="34"/>
        <v/>
      </c>
    </row>
    <row r="299" spans="1:15" x14ac:dyDescent="0.35">
      <c r="A299" s="157" t="s">
        <v>922</v>
      </c>
      <c r="B299" s="157" t="s">
        <v>32</v>
      </c>
      <c r="C299" s="157">
        <f ca="1">IFERROR(INDEX(BYEs!$B$2:$B$33,MATCH(D299,BYEs!$A$2:$A$33,0)),"N/A")</f>
        <v>14</v>
      </c>
      <c r="D299" s="214" t="str">
        <f t="shared" ca="1" si="28"/>
        <v>DEN</v>
      </c>
      <c r="E299" s="213" t="str">
        <f t="shared" ca="1" si="29"/>
        <v>WR8</v>
      </c>
      <c r="F299" s="158">
        <f ca="1">IF(LeagueInfo!$H$7="Starter/Bench",INDEX(INDIRECT(""&amp;B299&amp;"!T2:T628"),MATCH(A299,INDIRECT(""&amp;B299&amp;"!B2:B628"),0)),INDEX(INDIRECT(""&amp;B299&amp;"!AB2:AB628"),MATCH(A299,INDIRECT(""&amp;B299&amp;"!B2:B628"),0)))</f>
        <v>-5.86997252477257</v>
      </c>
      <c r="G299" s="159">
        <f t="shared" si="30"/>
        <v>0</v>
      </c>
      <c r="H299" s="160"/>
      <c r="I299" s="159">
        <f t="shared" ca="1" si="31"/>
        <v>-5.86997252477257</v>
      </c>
      <c r="J299" s="159" t="s">
        <v>73</v>
      </c>
      <c r="K299" s="159">
        <f>IF(LeagueInfo!$F$7="Yahoo",IFERROR(INDEX(DefaultAuctionValues!$B$2:$B$331,MATCH(A299,DefaultAuctionValues!$A$2:$A$331,0)),0),IF(LeagueInfo!$F$7="ESPN",IFERROR(INDEX(DefaultAuctionValues!$C$2:$C$331,MATCH(A299,DefaultAuctionValues!$A$2:$A$331,0)),0),IF(LeagueInfo!$F$7="Custom",IFERROR(INDEX(DefaultAuctionValues!$D$2:$D$331,MATCH(A299,DefaultAuctionValues!$A$2:$A$331,0)),0))))</f>
        <v>1</v>
      </c>
      <c r="L299" s="159">
        <f t="shared" ca="1" si="32"/>
        <v>-6.86997252477257</v>
      </c>
      <c r="M299" s="171"/>
      <c r="N299" s="166">
        <f t="shared" ca="1" si="33"/>
        <v>-17.79</v>
      </c>
      <c r="O299" s="157" t="str">
        <f t="shared" ca="1" si="34"/>
        <v/>
      </c>
    </row>
    <row r="300" spans="1:15" x14ac:dyDescent="0.35">
      <c r="A300" s="157" t="s">
        <v>554</v>
      </c>
      <c r="B300" s="157" t="s">
        <v>32</v>
      </c>
      <c r="C300" s="157">
        <f ca="1">IFERROR(INDEX(BYEs!$B$2:$B$33,MATCH(D300,BYEs!$A$2:$A$33,0)),"N/A")</f>
        <v>10</v>
      </c>
      <c r="D300" s="214" t="str">
        <f t="shared" ca="1" si="28"/>
        <v>CLE</v>
      </c>
      <c r="E300" s="213" t="str">
        <f t="shared" ca="1" si="29"/>
        <v>WR8</v>
      </c>
      <c r="F300" s="158">
        <f ca="1">IF(LeagueInfo!$H$7="Starter/Bench",INDEX(INDIRECT(""&amp;B300&amp;"!T2:T628"),MATCH(A300,INDIRECT(""&amp;B300&amp;"!B2:B628"),0)),INDEX(INDIRECT(""&amp;B300&amp;"!AB2:AB628"),MATCH(A300,INDIRECT(""&amp;B300&amp;"!B2:B628"),0)))</f>
        <v>-5.8765717069252101</v>
      </c>
      <c r="G300" s="159">
        <f t="shared" si="30"/>
        <v>0</v>
      </c>
      <c r="H300" s="160"/>
      <c r="I300" s="159">
        <f t="shared" ca="1" si="31"/>
        <v>-5.8765717069252101</v>
      </c>
      <c r="J300" s="159" t="s">
        <v>73</v>
      </c>
      <c r="K300" s="159">
        <f>IF(LeagueInfo!$F$7="Yahoo",IFERROR(INDEX(DefaultAuctionValues!$B$2:$B$331,MATCH(A300,DefaultAuctionValues!$A$2:$A$331,0)),0),IF(LeagueInfo!$F$7="ESPN",IFERROR(INDEX(DefaultAuctionValues!$C$2:$C$331,MATCH(A300,DefaultAuctionValues!$A$2:$A$331,0)),0),IF(LeagueInfo!$F$7="Custom",IFERROR(INDEX(DefaultAuctionValues!$D$2:$D$331,MATCH(A300,DefaultAuctionValues!$A$2:$A$331,0)),0))))</f>
        <v>1</v>
      </c>
      <c r="L300" s="159">
        <f t="shared" ca="1" si="32"/>
        <v>-6.8765717069252101</v>
      </c>
      <c r="M300" s="171"/>
      <c r="N300" s="166">
        <f t="shared" ca="1" si="33"/>
        <v>-17.810000000000002</v>
      </c>
      <c r="O300" s="157" t="str">
        <f t="shared" ca="1" si="34"/>
        <v/>
      </c>
    </row>
    <row r="301" spans="1:15" x14ac:dyDescent="0.35">
      <c r="A301" s="157" t="s">
        <v>575</v>
      </c>
      <c r="B301" s="157" t="s">
        <v>40</v>
      </c>
      <c r="C301" s="157">
        <f ca="1">IFERROR(INDEX(BYEs!$B$2:$B$33,MATCH(D301,BYEs!$A$2:$A$33,0)),"N/A")</f>
        <v>11</v>
      </c>
      <c r="D301" s="214" t="str">
        <f t="shared" ca="1" si="28"/>
        <v>CAR</v>
      </c>
      <c r="E301" s="213" t="str">
        <f t="shared" ca="1" si="29"/>
        <v>TE7</v>
      </c>
      <c r="F301" s="158">
        <f ca="1">IF(LeagueInfo!$H$7="Starter/Bench",INDEX(INDIRECT(""&amp;B301&amp;"!T2:T628"),MATCH(A301,INDIRECT(""&amp;B301&amp;"!B2:B628"),0)),INDEX(INDIRECT(""&amp;B301&amp;"!AB2:AB628"),MATCH(A301,INDIRECT(""&amp;B301&amp;"!B2:B628"),0)))</f>
        <v>-5.9607112793713615</v>
      </c>
      <c r="G301" s="159">
        <f t="shared" si="30"/>
        <v>0</v>
      </c>
      <c r="H301" s="160"/>
      <c r="I301" s="159">
        <f t="shared" ca="1" si="31"/>
        <v>-5.9607112793713615</v>
      </c>
      <c r="J301" s="159" t="s">
        <v>73</v>
      </c>
      <c r="K301" s="159">
        <f>IF(LeagueInfo!$F$7="Yahoo",IFERROR(INDEX(DefaultAuctionValues!$B$2:$B$331,MATCH(A301,DefaultAuctionValues!$A$2:$A$331,0)),0),IF(LeagueInfo!$F$7="ESPN",IFERROR(INDEX(DefaultAuctionValues!$C$2:$C$331,MATCH(A301,DefaultAuctionValues!$A$2:$A$331,0)),0),IF(LeagueInfo!$F$7="Custom",IFERROR(INDEX(DefaultAuctionValues!$D$2:$D$331,MATCH(A301,DefaultAuctionValues!$A$2:$A$331,0)),0))))</f>
        <v>1</v>
      </c>
      <c r="L301" s="159">
        <f t="shared" ca="1" si="32"/>
        <v>-6.9607112793713615</v>
      </c>
      <c r="M301" s="171"/>
      <c r="N301" s="166">
        <f t="shared" ca="1" si="33"/>
        <v>-18.065000000000005</v>
      </c>
      <c r="O301" s="157" t="str">
        <f t="shared" ca="1" si="34"/>
        <v/>
      </c>
    </row>
    <row r="302" spans="1:15" x14ac:dyDescent="0.35">
      <c r="A302" s="157" t="s">
        <v>350</v>
      </c>
      <c r="B302" s="157" t="s">
        <v>40</v>
      </c>
      <c r="C302" s="157">
        <f ca="1">IFERROR(INDEX(BYEs!$B$2:$B$33,MATCH(D302,BYEs!$A$2:$A$33,0)),"N/A")</f>
        <v>12</v>
      </c>
      <c r="D302" s="214" t="str">
        <f t="shared" ca="1" si="28"/>
        <v>NO</v>
      </c>
      <c r="E302" s="213" t="str">
        <f t="shared" ca="1" si="29"/>
        <v>TE7</v>
      </c>
      <c r="F302" s="158">
        <f ca="1">IF(LeagueInfo!$H$7="Starter/Bench",INDEX(INDIRECT(""&amp;B302&amp;"!T2:T628"),MATCH(A302,INDIRECT(""&amp;B302&amp;"!B2:B628"),0)),INDEX(INDIRECT(""&amp;B302&amp;"!AB2:AB628"),MATCH(A302,INDIRECT(""&amp;B302&amp;"!B2:B628"),0)))</f>
        <v>-6.1553871528742174</v>
      </c>
      <c r="G302" s="159">
        <f t="shared" si="30"/>
        <v>0</v>
      </c>
      <c r="H302" s="160"/>
      <c r="I302" s="159">
        <f t="shared" ca="1" si="31"/>
        <v>-6.1553871528742174</v>
      </c>
      <c r="J302" s="159" t="s">
        <v>73</v>
      </c>
      <c r="K302" s="159">
        <f>IF(LeagueInfo!$F$7="Yahoo",IFERROR(INDEX(DefaultAuctionValues!$B$2:$B$331,MATCH(A302,DefaultAuctionValues!$A$2:$A$331,0)),0),IF(LeagueInfo!$F$7="ESPN",IFERROR(INDEX(DefaultAuctionValues!$C$2:$C$331,MATCH(A302,DefaultAuctionValues!$A$2:$A$331,0)),0),IF(LeagueInfo!$F$7="Custom",IFERROR(INDEX(DefaultAuctionValues!$D$2:$D$331,MATCH(A302,DefaultAuctionValues!$A$2:$A$331,0)),0))))</f>
        <v>1</v>
      </c>
      <c r="L302" s="159">
        <f t="shared" ca="1" si="32"/>
        <v>-7.1553871528742174</v>
      </c>
      <c r="M302" s="171"/>
      <c r="N302" s="166">
        <f t="shared" ca="1" si="33"/>
        <v>-18.655000000000005</v>
      </c>
      <c r="O302" s="157" t="str">
        <f t="shared" ca="1" si="34"/>
        <v/>
      </c>
    </row>
    <row r="303" spans="1:15" x14ac:dyDescent="0.35">
      <c r="A303" s="157" t="s">
        <v>247</v>
      </c>
      <c r="B303" s="157" t="s">
        <v>32</v>
      </c>
      <c r="C303" s="157">
        <f ca="1">IFERROR(INDEX(BYEs!$B$2:$B$33,MATCH(D303,BYEs!$A$2:$A$33,0)),"N/A")</f>
        <v>14</v>
      </c>
      <c r="D303" s="214" t="str">
        <f t="shared" ca="1" si="28"/>
        <v>WAS</v>
      </c>
      <c r="E303" s="213" t="str">
        <f t="shared" ca="1" si="29"/>
        <v>WR8</v>
      </c>
      <c r="F303" s="158">
        <f ca="1">IF(LeagueInfo!$H$7="Starter/Bench",INDEX(INDIRECT(""&amp;B303&amp;"!T2:T628"),MATCH(A303,INDIRECT(""&amp;B303&amp;"!B2:B628"),0)),INDEX(INDIRECT(""&amp;B303&amp;"!AB2:AB628"),MATCH(A303,INDIRECT(""&amp;B303&amp;"!B2:B628"),0)))</f>
        <v>-6.1619863350268567</v>
      </c>
      <c r="G303" s="159">
        <f t="shared" si="30"/>
        <v>0</v>
      </c>
      <c r="H303" s="160"/>
      <c r="I303" s="159">
        <f t="shared" ca="1" si="31"/>
        <v>-6.1619863350268567</v>
      </c>
      <c r="J303" s="159" t="s">
        <v>73</v>
      </c>
      <c r="K303" s="159">
        <f>IF(LeagueInfo!$F$7="Yahoo",IFERROR(INDEX(DefaultAuctionValues!$B$2:$B$331,MATCH(A303,DefaultAuctionValues!$A$2:$A$331,0)),0),IF(LeagueInfo!$F$7="ESPN",IFERROR(INDEX(DefaultAuctionValues!$C$2:$C$331,MATCH(A303,DefaultAuctionValues!$A$2:$A$331,0)),0),IF(LeagueInfo!$F$7="Custom",IFERROR(INDEX(DefaultAuctionValues!$D$2:$D$331,MATCH(A303,DefaultAuctionValues!$A$2:$A$331,0)),0))))</f>
        <v>1</v>
      </c>
      <c r="L303" s="159">
        <f t="shared" ca="1" si="32"/>
        <v>-7.1619863350268567</v>
      </c>
      <c r="M303" s="171"/>
      <c r="N303" s="166">
        <f t="shared" ca="1" si="33"/>
        <v>-18.675000000000004</v>
      </c>
      <c r="O303" s="157" t="str">
        <f t="shared" ca="1" si="34"/>
        <v/>
      </c>
    </row>
    <row r="304" spans="1:15" x14ac:dyDescent="0.35">
      <c r="A304" s="157" t="s">
        <v>515</v>
      </c>
      <c r="B304" s="157" t="s">
        <v>25</v>
      </c>
      <c r="C304" s="157">
        <f ca="1">IFERROR(INDEX(BYEs!$B$2:$B$33,MATCH(D304,BYEs!$A$2:$A$33,0)),"N/A")</f>
        <v>6</v>
      </c>
      <c r="D304" s="214" t="str">
        <f t="shared" ca="1" si="28"/>
        <v>KC</v>
      </c>
      <c r="E304" s="213" t="str">
        <f t="shared" ca="1" si="29"/>
        <v>RB8</v>
      </c>
      <c r="F304" s="158">
        <f ca="1">IF(LeagueInfo!$H$7="Starter/Bench",INDEX(INDIRECT(""&amp;B304&amp;"!T2:T628"),MATCH(A304,INDIRECT(""&amp;B304&amp;"!B2:B628"),0)),INDEX(INDIRECT(""&amp;B304&amp;"!AB2:AB628"),MATCH(A304,INDIRECT(""&amp;B304&amp;"!B2:B628"),0)))</f>
        <v>-6.1702353127176579</v>
      </c>
      <c r="G304" s="159">
        <f t="shared" si="30"/>
        <v>0</v>
      </c>
      <c r="H304" s="160"/>
      <c r="I304" s="159">
        <f t="shared" ca="1" si="31"/>
        <v>-6.1702353127176579</v>
      </c>
      <c r="J304" s="159" t="s">
        <v>73</v>
      </c>
      <c r="K304" s="159">
        <f>IF(LeagueInfo!$F$7="Yahoo",IFERROR(INDEX(DefaultAuctionValues!$B$2:$B$331,MATCH(A304,DefaultAuctionValues!$A$2:$A$331,0)),0),IF(LeagueInfo!$F$7="ESPN",IFERROR(INDEX(DefaultAuctionValues!$C$2:$C$331,MATCH(A304,DefaultAuctionValues!$A$2:$A$331,0)),0),IF(LeagueInfo!$F$7="Custom",IFERROR(INDEX(DefaultAuctionValues!$D$2:$D$331,MATCH(A304,DefaultAuctionValues!$A$2:$A$331,0)),0))))</f>
        <v>0</v>
      </c>
      <c r="L304" s="159">
        <f t="shared" ca="1" si="32"/>
        <v>-6.1702353127176579</v>
      </c>
      <c r="M304" s="171"/>
      <c r="N304" s="166">
        <f t="shared" ca="1" si="33"/>
        <v>-18.70000000000001</v>
      </c>
      <c r="O304" s="157" t="str">
        <f t="shared" ca="1" si="34"/>
        <v/>
      </c>
    </row>
    <row r="305" spans="1:15" x14ac:dyDescent="0.35">
      <c r="A305" s="157" t="s">
        <v>921</v>
      </c>
      <c r="B305" s="157" t="s">
        <v>32</v>
      </c>
      <c r="C305" s="157">
        <f ca="1">IFERROR(INDEX(BYEs!$B$2:$B$33,MATCH(D305,BYEs!$A$2:$A$33,0)),"N/A")</f>
        <v>12</v>
      </c>
      <c r="D305" s="214" t="str">
        <f t="shared" ca="1" si="28"/>
        <v>NYJ</v>
      </c>
      <c r="E305" s="213" t="str">
        <f t="shared" ca="1" si="29"/>
        <v>WR8</v>
      </c>
      <c r="F305" s="158">
        <f ca="1">IF(LeagueInfo!$H$7="Starter/Bench",INDEX(INDIRECT(""&amp;B305&amp;"!T2:T628"),MATCH(A305,INDIRECT(""&amp;B305&amp;"!B2:B628"),0)),INDEX(INDIRECT(""&amp;B305&amp;"!AB2:AB628"),MATCH(A305,INDIRECT(""&amp;B305&amp;"!B2:B628"),0)))</f>
        <v>-6.2840712048506813</v>
      </c>
      <c r="G305" s="159">
        <f t="shared" si="30"/>
        <v>0</v>
      </c>
      <c r="H305" s="160"/>
      <c r="I305" s="159">
        <f t="shared" ca="1" si="31"/>
        <v>-6.2840712048506813</v>
      </c>
      <c r="J305" s="159" t="s">
        <v>73</v>
      </c>
      <c r="K305" s="159">
        <f>IF(LeagueInfo!$F$7="Yahoo",IFERROR(INDEX(DefaultAuctionValues!$B$2:$B$331,MATCH(A305,DefaultAuctionValues!$A$2:$A$331,0)),0),IF(LeagueInfo!$F$7="ESPN",IFERROR(INDEX(DefaultAuctionValues!$C$2:$C$331,MATCH(A305,DefaultAuctionValues!$A$2:$A$331,0)),0),IF(LeagueInfo!$F$7="Custom",IFERROR(INDEX(DefaultAuctionValues!$D$2:$D$331,MATCH(A305,DefaultAuctionValues!$A$2:$A$331,0)),0))))</f>
        <v>1</v>
      </c>
      <c r="L305" s="159">
        <f t="shared" ca="1" si="32"/>
        <v>-7.2840712048506813</v>
      </c>
      <c r="M305" s="171"/>
      <c r="N305" s="166">
        <f t="shared" ca="1" si="33"/>
        <v>-19.045000000000002</v>
      </c>
      <c r="O305" s="157" t="str">
        <f t="shared" ca="1" si="34"/>
        <v/>
      </c>
    </row>
    <row r="306" spans="1:15" x14ac:dyDescent="0.35">
      <c r="A306" s="157" t="s">
        <v>715</v>
      </c>
      <c r="B306" s="157" t="s">
        <v>32</v>
      </c>
      <c r="C306" s="157">
        <f ca="1">IFERROR(INDEX(BYEs!$B$2:$B$33,MATCH(D306,BYEs!$A$2:$A$33,0)),"N/A")</f>
        <v>11</v>
      </c>
      <c r="D306" s="214" t="str">
        <f t="shared" ca="1" si="28"/>
        <v>CAR</v>
      </c>
      <c r="E306" s="213" t="str">
        <f t="shared" ca="1" si="29"/>
        <v>WR8</v>
      </c>
      <c r="F306" s="158">
        <f ca="1">IF(LeagueInfo!$H$7="Starter/Bench",INDEX(INDIRECT(""&amp;B306&amp;"!T2:T628"),MATCH(A306,INDIRECT(""&amp;B306&amp;"!B2:B628"),0)),INDEX(INDIRECT(""&amp;B306&amp;"!AB2:AB628"),MATCH(A306,INDIRECT(""&amp;B306&amp;"!B2:B628"),0)))</f>
        <v>-6.5628866507996868</v>
      </c>
      <c r="G306" s="159">
        <f t="shared" si="30"/>
        <v>0</v>
      </c>
      <c r="H306" s="160"/>
      <c r="I306" s="159">
        <f t="shared" ca="1" si="31"/>
        <v>-6.5628866507996868</v>
      </c>
      <c r="J306" s="159" t="s">
        <v>73</v>
      </c>
      <c r="K306" s="159">
        <f>IF(LeagueInfo!$F$7="Yahoo",IFERROR(INDEX(DefaultAuctionValues!$B$2:$B$331,MATCH(A306,DefaultAuctionValues!$A$2:$A$331,0)),0),IF(LeagueInfo!$F$7="ESPN",IFERROR(INDEX(DefaultAuctionValues!$C$2:$C$331,MATCH(A306,DefaultAuctionValues!$A$2:$A$331,0)),0),IF(LeagueInfo!$F$7="Custom",IFERROR(INDEX(DefaultAuctionValues!$D$2:$D$331,MATCH(A306,DefaultAuctionValues!$A$2:$A$331,0)),0))))</f>
        <v>1</v>
      </c>
      <c r="L306" s="159">
        <f t="shared" ca="1" si="32"/>
        <v>-7.5628866507996868</v>
      </c>
      <c r="M306" s="171"/>
      <c r="N306" s="166">
        <f t="shared" ca="1" si="33"/>
        <v>-19.89</v>
      </c>
      <c r="O306" s="157" t="str">
        <f t="shared" ca="1" si="34"/>
        <v/>
      </c>
    </row>
    <row r="307" spans="1:15" x14ac:dyDescent="0.35">
      <c r="A307" s="157" t="s">
        <v>924</v>
      </c>
      <c r="B307" s="157" t="s">
        <v>32</v>
      </c>
      <c r="C307" s="157">
        <f ca="1">IFERROR(INDEX(BYEs!$B$2:$B$33,MATCH(D307,BYEs!$A$2:$A$33,0)),"N/A")</f>
        <v>14</v>
      </c>
      <c r="D307" s="214" t="str">
        <f t="shared" ca="1" si="28"/>
        <v>WAS</v>
      </c>
      <c r="E307" s="213" t="str">
        <f t="shared" ca="1" si="29"/>
        <v>WR8</v>
      </c>
      <c r="F307" s="158">
        <f ca="1">IF(LeagueInfo!$H$7="Starter/Bench",INDEX(INDIRECT(""&amp;B307&amp;"!T2:T628"),MATCH(A307,INDIRECT(""&amp;B307&amp;"!B2:B628"),0)),INDEX(INDIRECT(""&amp;B307&amp;"!AB2:AB628"),MATCH(A307,INDIRECT(""&amp;B307&amp;"!B2:B628"),0)))</f>
        <v>-6.6371274500168767</v>
      </c>
      <c r="G307" s="159">
        <f t="shared" si="30"/>
        <v>0</v>
      </c>
      <c r="H307" s="160"/>
      <c r="I307" s="159">
        <f t="shared" ca="1" si="31"/>
        <v>-6.6371274500168767</v>
      </c>
      <c r="J307" s="159" t="s">
        <v>73</v>
      </c>
      <c r="K307" s="159">
        <f>IF(LeagueInfo!$F$7="Yahoo",IFERROR(INDEX(DefaultAuctionValues!$B$2:$B$331,MATCH(A307,DefaultAuctionValues!$A$2:$A$331,0)),0),IF(LeagueInfo!$F$7="ESPN",IFERROR(INDEX(DefaultAuctionValues!$C$2:$C$331,MATCH(A307,DefaultAuctionValues!$A$2:$A$331,0)),0),IF(LeagueInfo!$F$7="Custom",IFERROR(INDEX(DefaultAuctionValues!$D$2:$D$331,MATCH(A307,DefaultAuctionValues!$A$2:$A$331,0)),0))))</f>
        <v>1</v>
      </c>
      <c r="L307" s="159">
        <f t="shared" ca="1" si="32"/>
        <v>-7.6371274500168767</v>
      </c>
      <c r="M307" s="171"/>
      <c r="N307" s="166">
        <f t="shared" ca="1" si="33"/>
        <v>-20.114999999999995</v>
      </c>
      <c r="O307" s="157" t="str">
        <f t="shared" ca="1" si="34"/>
        <v/>
      </c>
    </row>
    <row r="308" spans="1:15" x14ac:dyDescent="0.35">
      <c r="A308" s="157" t="s">
        <v>423</v>
      </c>
      <c r="B308" s="157" t="s">
        <v>25</v>
      </c>
      <c r="C308" s="157">
        <f ca="1">IFERROR(INDEX(BYEs!$B$2:$B$33,MATCH(D308,BYEs!$A$2:$A$33,0)),"N/A")</f>
        <v>11</v>
      </c>
      <c r="D308" s="214" t="str">
        <f t="shared" ca="1" si="28"/>
        <v>CAR</v>
      </c>
      <c r="E308" s="213" t="str">
        <f t="shared" ca="1" si="29"/>
        <v>RB8</v>
      </c>
      <c r="F308" s="158">
        <f ca="1">IF(LeagueInfo!$H$7="Starter/Bench",INDEX(INDIRECT(""&amp;B308&amp;"!T2:T628"),MATCH(A308,INDIRECT(""&amp;B308&amp;"!B2:B628"),0)),INDEX(INDIRECT(""&amp;B308&amp;"!AB2:AB628"),MATCH(A308,INDIRECT(""&amp;B308&amp;"!B2:B628"),0)))</f>
        <v>-6.6668237697037576</v>
      </c>
      <c r="G308" s="159">
        <f t="shared" si="30"/>
        <v>0</v>
      </c>
      <c r="H308" s="160"/>
      <c r="I308" s="159">
        <f t="shared" ca="1" si="31"/>
        <v>-6.6668237697037576</v>
      </c>
      <c r="J308" s="159" t="s">
        <v>73</v>
      </c>
      <c r="K308" s="159">
        <f>IF(LeagueInfo!$F$7="Yahoo",IFERROR(INDEX(DefaultAuctionValues!$B$2:$B$331,MATCH(A308,DefaultAuctionValues!$A$2:$A$331,0)),0),IF(LeagueInfo!$F$7="ESPN",IFERROR(INDEX(DefaultAuctionValues!$C$2:$C$331,MATCH(A308,DefaultAuctionValues!$A$2:$A$331,0)),0),IF(LeagueInfo!$F$7="Custom",IFERROR(INDEX(DefaultAuctionValues!$D$2:$D$331,MATCH(A308,DefaultAuctionValues!$A$2:$A$331,0)),0))))</f>
        <v>1</v>
      </c>
      <c r="L308" s="159">
        <f t="shared" ca="1" si="32"/>
        <v>-7.6668237697037576</v>
      </c>
      <c r="M308" s="171"/>
      <c r="N308" s="166">
        <f t="shared" ca="1" si="33"/>
        <v>-20.205000000000009</v>
      </c>
      <c r="O308" s="157" t="str">
        <f t="shared" ca="1" si="34"/>
        <v/>
      </c>
    </row>
    <row r="309" spans="1:15" x14ac:dyDescent="0.35">
      <c r="A309" s="157" t="s">
        <v>739</v>
      </c>
      <c r="B309" s="157" t="s">
        <v>25</v>
      </c>
      <c r="C309" s="157">
        <f ca="1">IFERROR(INDEX(BYEs!$B$2:$B$33,MATCH(D309,BYEs!$A$2:$A$33,0)),"N/A")</f>
        <v>12</v>
      </c>
      <c r="D309" s="214" t="str">
        <f t="shared" ca="1" si="28"/>
        <v>JAC</v>
      </c>
      <c r="E309" s="213" t="str">
        <f t="shared" ca="1" si="29"/>
        <v>RB8</v>
      </c>
      <c r="F309" s="158">
        <f ca="1">IF(LeagueInfo!$H$7="Starter/Bench",INDEX(INDIRECT(""&amp;B309&amp;"!T2:T628"),MATCH(A309,INDIRECT(""&amp;B309&amp;"!B2:B628"),0)),INDEX(INDIRECT(""&amp;B309&amp;"!AB2:AB628"),MATCH(A309,INDIRECT(""&amp;B309&amp;"!B2:B628"),0)))</f>
        <v>-6.9852343085685975</v>
      </c>
      <c r="G309" s="159">
        <f t="shared" si="30"/>
        <v>0</v>
      </c>
      <c r="H309" s="160"/>
      <c r="I309" s="159">
        <f t="shared" ca="1" si="31"/>
        <v>-6.9852343085685975</v>
      </c>
      <c r="J309" s="159" t="s">
        <v>73</v>
      </c>
      <c r="K309" s="159">
        <f>IF(LeagueInfo!$F$7="Yahoo",IFERROR(INDEX(DefaultAuctionValues!$B$2:$B$331,MATCH(A309,DefaultAuctionValues!$A$2:$A$331,0)),0),IF(LeagueInfo!$F$7="ESPN",IFERROR(INDEX(DefaultAuctionValues!$C$2:$C$331,MATCH(A309,DefaultAuctionValues!$A$2:$A$331,0)),0),IF(LeagueInfo!$F$7="Custom",IFERROR(INDEX(DefaultAuctionValues!$D$2:$D$331,MATCH(A309,DefaultAuctionValues!$A$2:$A$331,0)),0))))</f>
        <v>1</v>
      </c>
      <c r="L309" s="159">
        <f t="shared" ca="1" si="32"/>
        <v>-7.9852343085685975</v>
      </c>
      <c r="M309" s="171"/>
      <c r="N309" s="166">
        <f t="shared" ca="1" si="33"/>
        <v>-21.170000000000005</v>
      </c>
      <c r="O309" s="157" t="str">
        <f t="shared" ca="1" si="34"/>
        <v/>
      </c>
    </row>
    <row r="310" spans="1:15" x14ac:dyDescent="0.35">
      <c r="A310" s="157" t="s">
        <v>560</v>
      </c>
      <c r="B310" s="157" t="s">
        <v>32</v>
      </c>
      <c r="C310" s="157">
        <f ca="1">IFERROR(INDEX(BYEs!$B$2:$B$33,MATCH(D310,BYEs!$A$2:$A$33,0)),"N/A")</f>
        <v>14</v>
      </c>
      <c r="D310" s="214" t="str">
        <f t="shared" ca="1" si="28"/>
        <v>WAS</v>
      </c>
      <c r="E310" s="213" t="str">
        <f t="shared" ca="1" si="29"/>
        <v>WR8</v>
      </c>
      <c r="F310" s="158">
        <f ca="1">IF(LeagueInfo!$H$7="Starter/Bench",INDEX(INDIRECT(""&amp;B310&amp;"!T2:T628"),MATCH(A310,INDIRECT(""&amp;B310&amp;"!B2:B628"),0)),INDEX(INDIRECT(""&amp;B310&amp;"!AB2:AB628"),MATCH(A310,INDIRECT(""&amp;B310&amp;"!B2:B628"),0)))</f>
        <v>-7.1469142713082574</v>
      </c>
      <c r="G310" s="159">
        <f t="shared" si="30"/>
        <v>0</v>
      </c>
      <c r="H310" s="160"/>
      <c r="I310" s="159">
        <f t="shared" ca="1" si="31"/>
        <v>-7.1469142713082574</v>
      </c>
      <c r="J310" s="159" t="s">
        <v>73</v>
      </c>
      <c r="K310" s="159">
        <f>IF(LeagueInfo!$F$7="Yahoo",IFERROR(INDEX(DefaultAuctionValues!$B$2:$B$331,MATCH(A310,DefaultAuctionValues!$A$2:$A$331,0)),0),IF(LeagueInfo!$F$7="ESPN",IFERROR(INDEX(DefaultAuctionValues!$C$2:$C$331,MATCH(A310,DefaultAuctionValues!$A$2:$A$331,0)),0),IF(LeagueInfo!$F$7="Custom",IFERROR(INDEX(DefaultAuctionValues!$D$2:$D$331,MATCH(A310,DefaultAuctionValues!$A$2:$A$331,0)),0))))</f>
        <v>0</v>
      </c>
      <c r="L310" s="159">
        <f t="shared" ca="1" si="32"/>
        <v>-7.1469142713082574</v>
      </c>
      <c r="M310" s="171"/>
      <c r="N310" s="166">
        <f t="shared" ca="1" si="33"/>
        <v>-21.660000000000004</v>
      </c>
      <c r="O310" s="157" t="str">
        <f t="shared" ca="1" si="34"/>
        <v/>
      </c>
    </row>
    <row r="311" spans="1:15" x14ac:dyDescent="0.35">
      <c r="A311" s="157" t="s">
        <v>716</v>
      </c>
      <c r="B311" s="157" t="s">
        <v>25</v>
      </c>
      <c r="C311" s="157">
        <f ca="1">IFERROR(INDEX(BYEs!$B$2:$B$33,MATCH(D311,BYEs!$A$2:$A$33,0)),"N/A")</f>
        <v>7</v>
      </c>
      <c r="D311" s="214" t="str">
        <f t="shared" ca="1" si="28"/>
        <v>CHI</v>
      </c>
      <c r="E311" s="213" t="str">
        <f t="shared" ca="1" si="29"/>
        <v>RB8</v>
      </c>
      <c r="F311" s="158">
        <f ca="1">IF(LeagueInfo!$H$7="Starter/Bench",INDEX(INDIRECT(""&amp;B311&amp;"!T2:T628"),MATCH(A311,INDIRECT(""&amp;B311&amp;"!B2:B628"),0)),INDEX(INDIRECT(""&amp;B311&amp;"!AB2:AB628"),MATCH(A311,INDIRECT(""&amp;B311&amp;"!B2:B628"),0)))</f>
        <v>-7.2244546616017695</v>
      </c>
      <c r="G311" s="159">
        <f t="shared" si="30"/>
        <v>0</v>
      </c>
      <c r="H311" s="160"/>
      <c r="I311" s="159">
        <f t="shared" ca="1" si="31"/>
        <v>-7.2244546616017695</v>
      </c>
      <c r="J311" s="159" t="s">
        <v>73</v>
      </c>
      <c r="K311" s="159">
        <f>IF(LeagueInfo!$F$7="Yahoo",IFERROR(INDEX(DefaultAuctionValues!$B$2:$B$331,MATCH(A311,DefaultAuctionValues!$A$2:$A$331,0)),0),IF(LeagueInfo!$F$7="ESPN",IFERROR(INDEX(DefaultAuctionValues!$C$2:$C$331,MATCH(A311,DefaultAuctionValues!$A$2:$A$331,0)),0),IF(LeagueInfo!$F$7="Custom",IFERROR(INDEX(DefaultAuctionValues!$D$2:$D$331,MATCH(A311,DefaultAuctionValues!$A$2:$A$331,0)),0))))</f>
        <v>1</v>
      </c>
      <c r="L311" s="159">
        <f t="shared" ca="1" si="32"/>
        <v>-8.2244546616017686</v>
      </c>
      <c r="M311" s="171"/>
      <c r="N311" s="166">
        <f t="shared" ca="1" si="33"/>
        <v>-21.895000000000007</v>
      </c>
      <c r="O311" s="157" t="str">
        <f t="shared" ca="1" si="34"/>
        <v/>
      </c>
    </row>
    <row r="312" spans="1:15" x14ac:dyDescent="0.35">
      <c r="A312" s="157" t="s">
        <v>116</v>
      </c>
      <c r="B312" s="157" t="s">
        <v>25</v>
      </c>
      <c r="C312" s="157">
        <f ca="1">IFERROR(INDEX(BYEs!$B$2:$B$33,MATCH(D312,BYEs!$A$2:$A$33,0)),"N/A")</f>
        <v>6</v>
      </c>
      <c r="D312" s="214" t="str">
        <f t="shared" ca="1" si="28"/>
        <v>KC</v>
      </c>
      <c r="E312" s="213" t="str">
        <f t="shared" ca="1" si="29"/>
        <v>RB8</v>
      </c>
      <c r="F312" s="158">
        <f ca="1">IF(LeagueInfo!$H$7="Starter/Bench",INDEX(INDIRECT(""&amp;B312&amp;"!T2:T628"),MATCH(A312,INDIRECT(""&amp;B312&amp;"!B2:B628"),0)),INDEX(INDIRECT(""&amp;B312&amp;"!AB2:AB628"),MATCH(A312,INDIRECT(""&amp;B312&amp;"!B2:B628"),0)))</f>
        <v>-7.2722987322084016</v>
      </c>
      <c r="G312" s="159">
        <f t="shared" si="30"/>
        <v>0</v>
      </c>
      <c r="H312" s="160"/>
      <c r="I312" s="159">
        <f t="shared" ca="1" si="31"/>
        <v>-7.2722987322084016</v>
      </c>
      <c r="J312" s="159" t="s">
        <v>73</v>
      </c>
      <c r="K312" s="159">
        <f>IF(LeagueInfo!$F$7="Yahoo",IFERROR(INDEX(DefaultAuctionValues!$B$2:$B$331,MATCH(A312,DefaultAuctionValues!$A$2:$A$331,0)),0),IF(LeagueInfo!$F$7="ESPN",IFERROR(INDEX(DefaultAuctionValues!$C$2:$C$331,MATCH(A312,DefaultAuctionValues!$A$2:$A$331,0)),0),IF(LeagueInfo!$F$7="Custom",IFERROR(INDEX(DefaultAuctionValues!$D$2:$D$331,MATCH(A312,DefaultAuctionValues!$A$2:$A$331,0)),0))))</f>
        <v>1</v>
      </c>
      <c r="L312" s="159">
        <f t="shared" ca="1" si="32"/>
        <v>-8.2722987322084016</v>
      </c>
      <c r="M312" s="171"/>
      <c r="N312" s="166">
        <f t="shared" ca="1" si="33"/>
        <v>-22.040000000000003</v>
      </c>
      <c r="O312" s="157" t="str">
        <f t="shared" ca="1" si="34"/>
        <v/>
      </c>
    </row>
    <row r="313" spans="1:15" x14ac:dyDescent="0.35">
      <c r="A313" s="157" t="s">
        <v>865</v>
      </c>
      <c r="B313" s="157" t="s">
        <v>25</v>
      </c>
      <c r="C313" s="157">
        <f ca="1">IFERROR(INDEX(BYEs!$B$2:$B$33,MATCH(D313,BYEs!$A$2:$A$33,0)),"N/A")</f>
        <v>6</v>
      </c>
      <c r="D313" s="214" t="str">
        <f t="shared" ca="1" si="28"/>
        <v>MIA</v>
      </c>
      <c r="E313" s="213" t="str">
        <f t="shared" ca="1" si="29"/>
        <v>RB8</v>
      </c>
      <c r="F313" s="158">
        <f ca="1">IF(LeagueInfo!$H$7="Starter/Bench",INDEX(INDIRECT(""&amp;B313&amp;"!T2:T628"),MATCH(A313,INDIRECT(""&amp;B313&amp;"!B2:B628"),0)),INDEX(INDIRECT(""&amp;B313&amp;"!AB2:AB628"),MATCH(A313,INDIRECT(""&amp;B313&amp;"!B2:B628"),0)))</f>
        <v>-7.3481893269637517</v>
      </c>
      <c r="G313" s="159">
        <f t="shared" si="30"/>
        <v>0</v>
      </c>
      <c r="H313" s="160"/>
      <c r="I313" s="159">
        <f t="shared" ca="1" si="31"/>
        <v>-7.3481893269637517</v>
      </c>
      <c r="J313" s="159" t="s">
        <v>73</v>
      </c>
      <c r="K313" s="159">
        <f>IF(LeagueInfo!$F$7="Yahoo",IFERROR(INDEX(DefaultAuctionValues!$B$2:$B$331,MATCH(A313,DefaultAuctionValues!$A$2:$A$331,0)),0),IF(LeagueInfo!$F$7="ESPN",IFERROR(INDEX(DefaultAuctionValues!$C$2:$C$331,MATCH(A313,DefaultAuctionValues!$A$2:$A$331,0)),0),IF(LeagueInfo!$F$7="Custom",IFERROR(INDEX(DefaultAuctionValues!$D$2:$D$331,MATCH(A313,DefaultAuctionValues!$A$2:$A$331,0)),0))))</f>
        <v>1</v>
      </c>
      <c r="L313" s="159">
        <f t="shared" ca="1" si="32"/>
        <v>-8.3481893269637517</v>
      </c>
      <c r="M313" s="171"/>
      <c r="N313" s="166">
        <f t="shared" ca="1" si="33"/>
        <v>-22.27</v>
      </c>
      <c r="O313" s="157" t="str">
        <f t="shared" ca="1" si="34"/>
        <v/>
      </c>
    </row>
    <row r="314" spans="1:15" x14ac:dyDescent="0.35">
      <c r="A314" s="157" t="s">
        <v>373</v>
      </c>
      <c r="B314" s="157" t="s">
        <v>40</v>
      </c>
      <c r="C314" s="157">
        <f ca="1">IFERROR(INDEX(BYEs!$B$2:$B$33,MATCH(D314,BYEs!$A$2:$A$33,0)),"N/A")</f>
        <v>5</v>
      </c>
      <c r="D314" s="214" t="str">
        <f t="shared" ca="1" si="28"/>
        <v>LAC</v>
      </c>
      <c r="E314" s="213" t="str">
        <f t="shared" ca="1" si="29"/>
        <v>TE8</v>
      </c>
      <c r="F314" s="158">
        <f ca="1">IF(LeagueInfo!$H$7="Starter/Bench",INDEX(INDIRECT(""&amp;B314&amp;"!T2:T628"),MATCH(A314,INDIRECT(""&amp;B314&amp;"!B2:B628"),0)),INDEX(INDIRECT(""&amp;B314&amp;"!AB2:AB628"),MATCH(A314,INDIRECT(""&amp;B314&amp;"!B2:B628"),0)))</f>
        <v>-7.4653248101730991</v>
      </c>
      <c r="G314" s="159">
        <f t="shared" si="30"/>
        <v>0</v>
      </c>
      <c r="H314" s="160"/>
      <c r="I314" s="159">
        <f t="shared" ca="1" si="31"/>
        <v>-7.4653248101730991</v>
      </c>
      <c r="J314" s="159" t="s">
        <v>73</v>
      </c>
      <c r="K314" s="159">
        <f>IF(LeagueInfo!$F$7="Yahoo",IFERROR(INDEX(DefaultAuctionValues!$B$2:$B$331,MATCH(A314,DefaultAuctionValues!$A$2:$A$331,0)),0),IF(LeagueInfo!$F$7="ESPN",IFERROR(INDEX(DefaultAuctionValues!$C$2:$C$331,MATCH(A314,DefaultAuctionValues!$A$2:$A$331,0)),0),IF(LeagueInfo!$F$7="Custom",IFERROR(INDEX(DefaultAuctionValues!$D$2:$D$331,MATCH(A314,DefaultAuctionValues!$A$2:$A$331,0)),0))))</f>
        <v>1</v>
      </c>
      <c r="L314" s="159">
        <f t="shared" ca="1" si="32"/>
        <v>-8.4653248101730991</v>
      </c>
      <c r="M314" s="171"/>
      <c r="N314" s="166">
        <f t="shared" ca="1" si="33"/>
        <v>-22.625000000000004</v>
      </c>
      <c r="O314" s="157" t="str">
        <f t="shared" ca="1" si="34"/>
        <v/>
      </c>
    </row>
    <row r="315" spans="1:15" x14ac:dyDescent="0.35">
      <c r="A315" s="157" t="s">
        <v>543</v>
      </c>
      <c r="B315" s="157" t="s">
        <v>25</v>
      </c>
      <c r="C315" s="157">
        <f ca="1">IFERROR(INDEX(BYEs!$B$2:$B$33,MATCH(D315,BYEs!$A$2:$A$33,0)),"N/A")</f>
        <v>5</v>
      </c>
      <c r="D315" s="214" t="str">
        <f t="shared" ca="1" si="28"/>
        <v>PHI</v>
      </c>
      <c r="E315" s="213" t="str">
        <f t="shared" ca="1" si="29"/>
        <v>RB8</v>
      </c>
      <c r="F315" s="158">
        <f ca="1">IF(LeagueInfo!$H$7="Starter/Bench",INDEX(INDIRECT(""&amp;B315&amp;"!T2:T628"),MATCH(A315,INDIRECT(""&amp;B315&amp;"!B2:B628"),0)),INDEX(INDIRECT(""&amp;B315&amp;"!AB2:AB628"),MATCH(A315,INDIRECT(""&amp;B315&amp;"!B2:B628"),0)))</f>
        <v>-7.5214178584705316</v>
      </c>
      <c r="G315" s="159">
        <f t="shared" si="30"/>
        <v>0</v>
      </c>
      <c r="H315" s="160"/>
      <c r="I315" s="159">
        <f t="shared" ca="1" si="31"/>
        <v>-7.5214178584705316</v>
      </c>
      <c r="J315" s="159" t="s">
        <v>73</v>
      </c>
      <c r="K315" s="159">
        <f>IF(LeagueInfo!$F$7="Yahoo",IFERROR(INDEX(DefaultAuctionValues!$B$2:$B$331,MATCH(A315,DefaultAuctionValues!$A$2:$A$331,0)),0),IF(LeagueInfo!$F$7="ESPN",IFERROR(INDEX(DefaultAuctionValues!$C$2:$C$331,MATCH(A315,DefaultAuctionValues!$A$2:$A$331,0)),0),IF(LeagueInfo!$F$7="Custom",IFERROR(INDEX(DefaultAuctionValues!$D$2:$D$331,MATCH(A315,DefaultAuctionValues!$A$2:$A$331,0)),0))))</f>
        <v>1</v>
      </c>
      <c r="L315" s="159">
        <f t="shared" ca="1" si="32"/>
        <v>-8.5214178584705316</v>
      </c>
      <c r="M315" s="171"/>
      <c r="N315" s="166">
        <f t="shared" ca="1" si="33"/>
        <v>-22.795000000000002</v>
      </c>
      <c r="O315" s="157" t="str">
        <f t="shared" ca="1" si="34"/>
        <v/>
      </c>
    </row>
    <row r="316" spans="1:15" x14ac:dyDescent="0.35">
      <c r="A316" s="157" t="s">
        <v>571</v>
      </c>
      <c r="B316" s="157" t="s">
        <v>40</v>
      </c>
      <c r="C316" s="157">
        <f ca="1">IFERROR(INDEX(BYEs!$B$2:$B$33,MATCH(D316,BYEs!$A$2:$A$33,0)),"N/A")</f>
        <v>6</v>
      </c>
      <c r="D316" s="214" t="str">
        <f t="shared" ca="1" si="28"/>
        <v>KC</v>
      </c>
      <c r="E316" s="213" t="str">
        <f t="shared" ca="1" si="29"/>
        <v>TE8</v>
      </c>
      <c r="F316" s="158">
        <f ca="1">IF(LeagueInfo!$H$7="Starter/Bench",INDEX(INDIRECT(""&amp;B316&amp;"!T2:T628"),MATCH(A316,INDIRECT(""&amp;B316&amp;"!B2:B628"),0)),INDEX(INDIRECT(""&amp;B316&amp;"!AB2:AB628"),MATCH(A316,INDIRECT(""&amp;B316&amp;"!B2:B628"),0)))</f>
        <v>-7.5527639736955701</v>
      </c>
      <c r="G316" s="159">
        <f t="shared" si="30"/>
        <v>0</v>
      </c>
      <c r="H316" s="160"/>
      <c r="I316" s="159">
        <f t="shared" ca="1" si="31"/>
        <v>-7.5527639736955701</v>
      </c>
      <c r="J316" s="159" t="s">
        <v>73</v>
      </c>
      <c r="K316" s="159">
        <f>IF(LeagueInfo!$F$7="Yahoo",IFERROR(INDEX(DefaultAuctionValues!$B$2:$B$331,MATCH(A316,DefaultAuctionValues!$A$2:$A$331,0)),0),IF(LeagueInfo!$F$7="ESPN",IFERROR(INDEX(DefaultAuctionValues!$C$2:$C$331,MATCH(A316,DefaultAuctionValues!$A$2:$A$331,0)),0),IF(LeagueInfo!$F$7="Custom",IFERROR(INDEX(DefaultAuctionValues!$D$2:$D$331,MATCH(A316,DefaultAuctionValues!$A$2:$A$331,0)),0))))</f>
        <v>1</v>
      </c>
      <c r="L316" s="159">
        <f t="shared" ca="1" si="32"/>
        <v>-8.5527639736955692</v>
      </c>
      <c r="M316" s="171"/>
      <c r="N316" s="166">
        <f t="shared" ca="1" si="33"/>
        <v>-22.890000000000008</v>
      </c>
      <c r="O316" s="157" t="str">
        <f t="shared" ca="1" si="34"/>
        <v/>
      </c>
    </row>
    <row r="317" spans="1:15" x14ac:dyDescent="0.35">
      <c r="A317" s="157" t="s">
        <v>89</v>
      </c>
      <c r="B317" s="157" t="s">
        <v>32</v>
      </c>
      <c r="C317" s="157">
        <f ca="1">IFERROR(INDEX(BYEs!$B$2:$B$33,MATCH(D317,BYEs!$A$2:$A$33,0)),"N/A")</f>
        <v>6</v>
      </c>
      <c r="D317" s="214" t="str">
        <f t="shared" ca="1" si="28"/>
        <v>MIA</v>
      </c>
      <c r="E317" s="213" t="str">
        <f t="shared" ca="1" si="29"/>
        <v>WR8</v>
      </c>
      <c r="F317" s="158">
        <f ca="1">IF(LeagueInfo!$H$7="Starter/Bench",INDEX(INDIRECT(""&amp;B317&amp;"!T2:T628"),MATCH(A317,INDIRECT(""&amp;B317&amp;"!B2:B628"),0)),INDEX(INDIRECT(""&amp;B317&amp;"!AB2:AB628"),MATCH(A317,INDIRECT(""&amp;B317&amp;"!B2:B628"),0)))</f>
        <v>-7.5659623380008458</v>
      </c>
      <c r="G317" s="159">
        <f t="shared" si="30"/>
        <v>0</v>
      </c>
      <c r="H317" s="160"/>
      <c r="I317" s="159">
        <f t="shared" ca="1" si="31"/>
        <v>-7.5659623380008458</v>
      </c>
      <c r="J317" s="159" t="s">
        <v>73</v>
      </c>
      <c r="K317" s="159">
        <f>IF(LeagueInfo!$F$7="Yahoo",IFERROR(INDEX(DefaultAuctionValues!$B$2:$B$331,MATCH(A317,DefaultAuctionValues!$A$2:$A$331,0)),0),IF(LeagueInfo!$F$7="ESPN",IFERROR(INDEX(DefaultAuctionValues!$C$2:$C$331,MATCH(A317,DefaultAuctionValues!$A$2:$A$331,0)),0),IF(LeagueInfo!$F$7="Custom",IFERROR(INDEX(DefaultAuctionValues!$D$2:$D$331,MATCH(A317,DefaultAuctionValues!$A$2:$A$331,0)),0))))</f>
        <v>1</v>
      </c>
      <c r="L317" s="159">
        <f t="shared" ca="1" si="32"/>
        <v>-8.5659623380008458</v>
      </c>
      <c r="M317" s="171"/>
      <c r="N317" s="166">
        <f t="shared" ca="1" si="33"/>
        <v>-22.93</v>
      </c>
      <c r="O317" s="157" t="str">
        <f t="shared" ca="1" si="34"/>
        <v/>
      </c>
    </row>
    <row r="318" spans="1:15" x14ac:dyDescent="0.35">
      <c r="A318" s="157" t="s">
        <v>616</v>
      </c>
      <c r="B318" s="157" t="s">
        <v>25</v>
      </c>
      <c r="C318" s="157">
        <f ca="1">IFERROR(INDEX(BYEs!$B$2:$B$33,MATCH(D318,BYEs!$A$2:$A$33,0)),"N/A")</f>
        <v>14</v>
      </c>
      <c r="D318" s="214" t="str">
        <f t="shared" ca="1" si="28"/>
        <v>HOU</v>
      </c>
      <c r="E318" s="213" t="str">
        <f t="shared" ca="1" si="29"/>
        <v>RB8</v>
      </c>
      <c r="F318" s="158">
        <f ca="1">IF(LeagueInfo!$H$7="Starter/Bench",INDEX(INDIRECT(""&amp;B318&amp;"!T2:T628"),MATCH(A318,INDIRECT(""&amp;B318&amp;"!B2:B628"),0)),INDEX(INDIRECT(""&amp;B318&amp;"!AB2:AB628"),MATCH(A318,INDIRECT(""&amp;B318&amp;"!B2:B628"),0)))</f>
        <v>-7.7111443453589086</v>
      </c>
      <c r="G318" s="159">
        <f t="shared" si="30"/>
        <v>0</v>
      </c>
      <c r="H318" s="160"/>
      <c r="I318" s="159">
        <f t="shared" ca="1" si="31"/>
        <v>-7.7111443453589086</v>
      </c>
      <c r="J318" s="159" t="s">
        <v>73</v>
      </c>
      <c r="K318" s="159">
        <f>IF(LeagueInfo!$F$7="Yahoo",IFERROR(INDEX(DefaultAuctionValues!$B$2:$B$331,MATCH(A318,DefaultAuctionValues!$A$2:$A$331,0)),0),IF(LeagueInfo!$F$7="ESPN",IFERROR(INDEX(DefaultAuctionValues!$C$2:$C$331,MATCH(A318,DefaultAuctionValues!$A$2:$A$331,0)),0),IF(LeagueInfo!$F$7="Custom",IFERROR(INDEX(DefaultAuctionValues!$D$2:$D$331,MATCH(A318,DefaultAuctionValues!$A$2:$A$331,0)),0))))</f>
        <v>1</v>
      </c>
      <c r="L318" s="159">
        <f t="shared" ca="1" si="32"/>
        <v>-8.7111443453589086</v>
      </c>
      <c r="M318" s="171"/>
      <c r="N318" s="166">
        <f t="shared" ca="1" si="33"/>
        <v>-23.37</v>
      </c>
      <c r="O318" s="157" t="str">
        <f t="shared" ca="1" si="34"/>
        <v/>
      </c>
    </row>
    <row r="319" spans="1:15" x14ac:dyDescent="0.35">
      <c r="A319" s="157" t="s">
        <v>871</v>
      </c>
      <c r="B319" s="157" t="s">
        <v>25</v>
      </c>
      <c r="C319" s="157">
        <f ca="1">IFERROR(INDEX(BYEs!$B$2:$B$33,MATCH(D319,BYEs!$A$2:$A$33,0)),"N/A")</f>
        <v>14</v>
      </c>
      <c r="D319" s="214" t="str">
        <f t="shared" ca="1" si="28"/>
        <v>DEN</v>
      </c>
      <c r="E319" s="213" t="str">
        <f t="shared" ca="1" si="29"/>
        <v>RB8</v>
      </c>
      <c r="F319" s="158">
        <f ca="1">IF(LeagueInfo!$H$7="Starter/Bench",INDEX(INDIRECT(""&amp;B319&amp;"!T2:T628"),MATCH(A319,INDIRECT(""&amp;B319&amp;"!B2:B628"),0)),INDEX(INDIRECT(""&amp;B319&amp;"!AB2:AB628"),MATCH(A319,INDIRECT(""&amp;B319&amp;"!B2:B628"),0)))</f>
        <v>-7.9817108136171147</v>
      </c>
      <c r="G319" s="159">
        <f t="shared" si="30"/>
        <v>0</v>
      </c>
      <c r="H319" s="160"/>
      <c r="I319" s="159">
        <f t="shared" ca="1" si="31"/>
        <v>-7.9817108136171147</v>
      </c>
      <c r="J319" s="159" t="s">
        <v>73</v>
      </c>
      <c r="K319" s="159">
        <f>IF(LeagueInfo!$F$7="Yahoo",IFERROR(INDEX(DefaultAuctionValues!$B$2:$B$331,MATCH(A319,DefaultAuctionValues!$A$2:$A$331,0)),0),IF(LeagueInfo!$F$7="ESPN",IFERROR(INDEX(DefaultAuctionValues!$C$2:$C$331,MATCH(A319,DefaultAuctionValues!$A$2:$A$331,0)),0),IF(LeagueInfo!$F$7="Custom",IFERROR(INDEX(DefaultAuctionValues!$D$2:$D$331,MATCH(A319,DefaultAuctionValues!$A$2:$A$331,0)),0))))</f>
        <v>0</v>
      </c>
      <c r="L319" s="159">
        <f t="shared" ca="1" si="32"/>
        <v>-7.9817108136171147</v>
      </c>
      <c r="M319" s="171"/>
      <c r="N319" s="166">
        <f t="shared" ca="1" si="33"/>
        <v>-24.189999999999998</v>
      </c>
      <c r="O319" s="157" t="str">
        <f t="shared" ca="1" si="34"/>
        <v/>
      </c>
    </row>
    <row r="320" spans="1:15" x14ac:dyDescent="0.35">
      <c r="A320" s="157" t="s">
        <v>441</v>
      </c>
      <c r="B320" s="157" t="s">
        <v>32</v>
      </c>
      <c r="C320" s="157">
        <f ca="1">IFERROR(INDEX(BYEs!$B$2:$B$33,MATCH(D320,BYEs!$A$2:$A$33,0)),"N/A")</f>
        <v>5</v>
      </c>
      <c r="D320" s="214" t="str">
        <f t="shared" ca="1" si="28"/>
        <v>DET</v>
      </c>
      <c r="E320" s="213" t="str">
        <f t="shared" ca="1" si="29"/>
        <v>WR8</v>
      </c>
      <c r="F320" s="158">
        <f ca="1">IF(LeagueInfo!$H$7="Starter/Bench",INDEX(INDIRECT(""&amp;B320&amp;"!T2:T628"),MATCH(A320,INDIRECT(""&amp;B320&amp;"!B2:B628"),0)),INDEX(INDIRECT(""&amp;B320&amp;"!AB2:AB628"),MATCH(A320,INDIRECT(""&amp;B320&amp;"!B2:B628"),0)))</f>
        <v>-8.0097573377658335</v>
      </c>
      <c r="G320" s="159">
        <f t="shared" si="30"/>
        <v>0</v>
      </c>
      <c r="H320" s="160"/>
      <c r="I320" s="159">
        <f t="shared" ca="1" si="31"/>
        <v>-8.0097573377658335</v>
      </c>
      <c r="J320" s="159" t="s">
        <v>73</v>
      </c>
      <c r="K320" s="159">
        <f>IF(LeagueInfo!$F$7="Yahoo",IFERROR(INDEX(DefaultAuctionValues!$B$2:$B$331,MATCH(A320,DefaultAuctionValues!$A$2:$A$331,0)),0),IF(LeagueInfo!$F$7="ESPN",IFERROR(INDEX(DefaultAuctionValues!$C$2:$C$331,MATCH(A320,DefaultAuctionValues!$A$2:$A$331,0)),0),IF(LeagueInfo!$F$7="Custom",IFERROR(INDEX(DefaultAuctionValues!$D$2:$D$331,MATCH(A320,DefaultAuctionValues!$A$2:$A$331,0)),0))))</f>
        <v>0</v>
      </c>
      <c r="L320" s="159">
        <f t="shared" ca="1" si="32"/>
        <v>-8.0097573377658335</v>
      </c>
      <c r="M320" s="171"/>
      <c r="N320" s="166">
        <f t="shared" ca="1" si="33"/>
        <v>-24.275000000000006</v>
      </c>
      <c r="O320" s="157" t="str">
        <f t="shared" ca="1" si="34"/>
        <v/>
      </c>
    </row>
    <row r="321" spans="1:15" x14ac:dyDescent="0.35">
      <c r="A321" s="157" t="s">
        <v>228</v>
      </c>
      <c r="B321" s="157" t="s">
        <v>25</v>
      </c>
      <c r="C321" s="157">
        <f ca="1">IFERROR(INDEX(BYEs!$B$2:$B$33,MATCH(D321,BYEs!$A$2:$A$33,0)),"N/A")</f>
        <v>10</v>
      </c>
      <c r="D321" s="214" t="str">
        <f t="shared" ca="1" si="28"/>
        <v>CLE</v>
      </c>
      <c r="E321" s="213" t="str">
        <f t="shared" ca="1" si="29"/>
        <v>RB8</v>
      </c>
      <c r="F321" s="158">
        <f ca="1">IF(LeagueInfo!$H$7="Starter/Bench",INDEX(INDIRECT(""&amp;B321&amp;"!T2:T628"),MATCH(A321,INDIRECT(""&amp;B321&amp;"!B2:B628"),0)),INDEX(INDIRECT(""&amp;B321&amp;"!AB2:AB628"),MATCH(A321,INDIRECT(""&amp;B321&amp;"!B2:B628"),0)))</f>
        <v>-8.1070952745172615</v>
      </c>
      <c r="G321" s="159">
        <f t="shared" si="30"/>
        <v>0</v>
      </c>
      <c r="H321" s="160"/>
      <c r="I321" s="159">
        <f t="shared" ca="1" si="31"/>
        <v>-8.1070952745172615</v>
      </c>
      <c r="J321" s="159" t="s">
        <v>73</v>
      </c>
      <c r="K321" s="159">
        <f>IF(LeagueInfo!$F$7="Yahoo",IFERROR(INDEX(DefaultAuctionValues!$B$2:$B$331,MATCH(A321,DefaultAuctionValues!$A$2:$A$331,0)),0),IF(LeagueInfo!$F$7="ESPN",IFERROR(INDEX(DefaultAuctionValues!$C$2:$C$331,MATCH(A321,DefaultAuctionValues!$A$2:$A$331,0)),0),IF(LeagueInfo!$F$7="Custom",IFERROR(INDEX(DefaultAuctionValues!$D$2:$D$331,MATCH(A321,DefaultAuctionValues!$A$2:$A$331,0)),0))))</f>
        <v>1</v>
      </c>
      <c r="L321" s="159">
        <f t="shared" ca="1" si="32"/>
        <v>-9.1070952745172615</v>
      </c>
      <c r="M321" s="171"/>
      <c r="N321" s="166">
        <f t="shared" ca="1" si="33"/>
        <v>-24.570000000000004</v>
      </c>
      <c r="O321" s="157" t="str">
        <f t="shared" ca="1" si="34"/>
        <v/>
      </c>
    </row>
    <row r="322" spans="1:15" x14ac:dyDescent="0.35">
      <c r="A322" s="157" t="s">
        <v>451</v>
      </c>
      <c r="B322" s="157" t="s">
        <v>40</v>
      </c>
      <c r="C322" s="157">
        <f ca="1">IFERROR(INDEX(BYEs!$B$2:$B$33,MATCH(D322,BYEs!$A$2:$A$33,0)),"N/A")</f>
        <v>14</v>
      </c>
      <c r="D322" s="214" t="str">
        <f t="shared" ca="1" si="28"/>
        <v>IND</v>
      </c>
      <c r="E322" s="213" t="str">
        <f t="shared" ca="1" si="29"/>
        <v>TE8</v>
      </c>
      <c r="F322" s="158">
        <f ca="1">IF(LeagueInfo!$H$7="Starter/Bench",INDEX(INDIRECT(""&amp;B322&amp;"!T2:T628"),MATCH(A322,INDIRECT(""&amp;B322&amp;"!B2:B628"),0)),INDEX(INDIRECT(""&amp;B322&amp;"!AB2:AB628"),MATCH(A322,INDIRECT(""&amp;B322&amp;"!B2:B628"),0)))</f>
        <v>-8.3859107204662688</v>
      </c>
      <c r="G322" s="159">
        <f t="shared" si="30"/>
        <v>0</v>
      </c>
      <c r="H322" s="160"/>
      <c r="I322" s="159">
        <f t="shared" ca="1" si="31"/>
        <v>-8.3859107204662688</v>
      </c>
      <c r="J322" s="159" t="s">
        <v>73</v>
      </c>
      <c r="K322" s="159">
        <f>IF(LeagueInfo!$F$7="Yahoo",IFERROR(INDEX(DefaultAuctionValues!$B$2:$B$331,MATCH(A322,DefaultAuctionValues!$A$2:$A$331,0)),0),IF(LeagueInfo!$F$7="ESPN",IFERROR(INDEX(DefaultAuctionValues!$C$2:$C$331,MATCH(A322,DefaultAuctionValues!$A$2:$A$331,0)),0),IF(LeagueInfo!$F$7="Custom",IFERROR(INDEX(DefaultAuctionValues!$D$2:$D$331,MATCH(A322,DefaultAuctionValues!$A$2:$A$331,0)),0))))</f>
        <v>0</v>
      </c>
      <c r="L322" s="159">
        <f t="shared" ca="1" si="32"/>
        <v>-8.3859107204662688</v>
      </c>
      <c r="M322" s="171"/>
      <c r="N322" s="166">
        <f t="shared" ca="1" si="33"/>
        <v>-25.415000000000006</v>
      </c>
      <c r="O322" s="157" t="str">
        <f t="shared" ca="1" si="34"/>
        <v/>
      </c>
    </row>
    <row r="323" spans="1:15" x14ac:dyDescent="0.35">
      <c r="A323" s="157" t="s">
        <v>599</v>
      </c>
      <c r="B323" s="157" t="s">
        <v>32</v>
      </c>
      <c r="C323" s="157">
        <f ca="1">IFERROR(INDEX(BYEs!$B$2:$B$33,MATCH(D323,BYEs!$A$2:$A$33,0)),"N/A")</f>
        <v>12</v>
      </c>
      <c r="D323" s="214" t="str">
        <f t="shared" ca="1" si="28"/>
        <v>NO</v>
      </c>
      <c r="E323" s="213" t="str">
        <f t="shared" ca="1" si="29"/>
        <v>WR8</v>
      </c>
      <c r="F323" s="158">
        <f ca="1">IF(LeagueInfo!$H$7="Starter/Bench",INDEX(INDIRECT(""&amp;B323&amp;"!T2:T628"),MATCH(A323,INDIRECT(""&amp;B323&amp;"!B2:B628"),0)),INDEX(INDIRECT(""&amp;B323&amp;"!AB2:AB628"),MATCH(A323,INDIRECT(""&amp;B323&amp;"!B2:B628"),0)))</f>
        <v>-8.4106576535386637</v>
      </c>
      <c r="G323" s="159">
        <f t="shared" si="30"/>
        <v>0</v>
      </c>
      <c r="H323" s="160"/>
      <c r="I323" s="159">
        <f t="shared" ca="1" si="31"/>
        <v>-8.4106576535386637</v>
      </c>
      <c r="J323" s="159" t="s">
        <v>73</v>
      </c>
      <c r="K323" s="159">
        <f>IF(LeagueInfo!$F$7="Yahoo",IFERROR(INDEX(DefaultAuctionValues!$B$2:$B$331,MATCH(A323,DefaultAuctionValues!$A$2:$A$331,0)),0),IF(LeagueInfo!$F$7="ESPN",IFERROR(INDEX(DefaultAuctionValues!$C$2:$C$331,MATCH(A323,DefaultAuctionValues!$A$2:$A$331,0)),0),IF(LeagueInfo!$F$7="Custom",IFERROR(INDEX(DefaultAuctionValues!$D$2:$D$331,MATCH(A323,DefaultAuctionValues!$A$2:$A$331,0)),0))))</f>
        <v>1</v>
      </c>
      <c r="L323" s="159">
        <f t="shared" ca="1" si="32"/>
        <v>-9.4106576535386637</v>
      </c>
      <c r="M323" s="171"/>
      <c r="N323" s="166">
        <f t="shared" ca="1" si="33"/>
        <v>-25.490000000000002</v>
      </c>
      <c r="O323" s="157" t="str">
        <f t="shared" ca="1" si="34"/>
        <v/>
      </c>
    </row>
    <row r="324" spans="1:15" x14ac:dyDescent="0.35">
      <c r="A324" s="157" t="s">
        <v>587</v>
      </c>
      <c r="B324" s="157" t="s">
        <v>32</v>
      </c>
      <c r="C324" s="157">
        <f ca="1">IFERROR(INDEX(BYEs!$B$2:$B$33,MATCH(D324,BYEs!$A$2:$A$33,0)),"N/A")</f>
        <v>5</v>
      </c>
      <c r="D324" s="214" t="str">
        <f t="shared" ca="1" si="28"/>
        <v>TEN</v>
      </c>
      <c r="E324" s="213" t="str">
        <f t="shared" ca="1" si="29"/>
        <v>WR8</v>
      </c>
      <c r="F324" s="158">
        <f ca="1">IF(LeagueInfo!$H$7="Starter/Bench",INDEX(INDIRECT(""&amp;B324&amp;"!T2:T628"),MATCH(A324,INDIRECT(""&amp;B324&amp;"!B2:B628"),0)),INDEX(INDIRECT(""&amp;B324&amp;"!AB2:AB628"),MATCH(A324,INDIRECT(""&amp;B324&amp;"!B2:B628"),0)))</f>
        <v>-8.4832486572176951</v>
      </c>
      <c r="G324" s="159">
        <f t="shared" si="30"/>
        <v>0</v>
      </c>
      <c r="H324" s="160"/>
      <c r="I324" s="159">
        <f t="shared" ca="1" si="31"/>
        <v>-8.4832486572176951</v>
      </c>
      <c r="J324" s="159" t="s">
        <v>73</v>
      </c>
      <c r="K324" s="159">
        <f>IF(LeagueInfo!$F$7="Yahoo",IFERROR(INDEX(DefaultAuctionValues!$B$2:$B$331,MATCH(A324,DefaultAuctionValues!$A$2:$A$331,0)),0),IF(LeagueInfo!$F$7="ESPN",IFERROR(INDEX(DefaultAuctionValues!$C$2:$C$331,MATCH(A324,DefaultAuctionValues!$A$2:$A$331,0)),0),IF(LeagueInfo!$F$7="Custom",IFERROR(INDEX(DefaultAuctionValues!$D$2:$D$331,MATCH(A324,DefaultAuctionValues!$A$2:$A$331,0)),0))))</f>
        <v>0</v>
      </c>
      <c r="L324" s="159">
        <f t="shared" ca="1" si="32"/>
        <v>-8.4832486572176951</v>
      </c>
      <c r="M324" s="171"/>
      <c r="N324" s="166">
        <f t="shared" ca="1" si="33"/>
        <v>-25.71</v>
      </c>
      <c r="O324" s="157" t="str">
        <f t="shared" ca="1" si="34"/>
        <v/>
      </c>
    </row>
    <row r="325" spans="1:15" x14ac:dyDescent="0.35">
      <c r="A325" s="157" t="s">
        <v>758</v>
      </c>
      <c r="B325" s="157" t="s">
        <v>25</v>
      </c>
      <c r="C325" s="157">
        <f ca="1">IFERROR(INDEX(BYEs!$B$2:$B$33,MATCH(D325,BYEs!$A$2:$A$33,0)),"N/A")</f>
        <v>12</v>
      </c>
      <c r="D325" s="214" t="str">
        <f t="shared" ca="1" si="28"/>
        <v>NO</v>
      </c>
      <c r="E325" s="213" t="str">
        <f t="shared" ca="1" si="29"/>
        <v>RB8</v>
      </c>
      <c r="F325" s="158">
        <f ca="1">IF(LeagueInfo!$H$7="Starter/Bench",INDEX(INDIRECT(""&amp;B325&amp;"!T2:T628"),MATCH(A325,INDIRECT(""&amp;B325&amp;"!B2:B628"),0)),INDEX(INDIRECT(""&amp;B325&amp;"!AB2:AB628"),MATCH(A325,INDIRECT(""&amp;B325&amp;"!B2:B628"),0)))</f>
        <v>-8.4980968170611337</v>
      </c>
      <c r="G325" s="159">
        <f t="shared" si="30"/>
        <v>0</v>
      </c>
      <c r="H325" s="160"/>
      <c r="I325" s="159">
        <f t="shared" ca="1" si="31"/>
        <v>-8.4980968170611337</v>
      </c>
      <c r="J325" s="159" t="s">
        <v>73</v>
      </c>
      <c r="K325" s="159">
        <f>IF(LeagueInfo!$F$7="Yahoo",IFERROR(INDEX(DefaultAuctionValues!$B$2:$B$331,MATCH(A325,DefaultAuctionValues!$A$2:$A$331,0)),0),IF(LeagueInfo!$F$7="ESPN",IFERROR(INDEX(DefaultAuctionValues!$C$2:$C$331,MATCH(A325,DefaultAuctionValues!$A$2:$A$331,0)),0),IF(LeagueInfo!$F$7="Custom",IFERROR(INDEX(DefaultAuctionValues!$D$2:$D$331,MATCH(A325,DefaultAuctionValues!$A$2:$A$331,0)),0))))</f>
        <v>1</v>
      </c>
      <c r="L325" s="159">
        <f t="shared" ca="1" si="32"/>
        <v>-9.4980968170611337</v>
      </c>
      <c r="M325" s="171"/>
      <c r="N325" s="166">
        <f t="shared" ca="1" si="33"/>
        <v>-25.755000000000003</v>
      </c>
      <c r="O325" s="157" t="str">
        <f t="shared" ca="1" si="34"/>
        <v/>
      </c>
    </row>
    <row r="326" spans="1:15" x14ac:dyDescent="0.35">
      <c r="A326" s="157" t="s">
        <v>794</v>
      </c>
      <c r="B326" s="157" t="s">
        <v>32</v>
      </c>
      <c r="C326" s="157">
        <f ca="1">IFERROR(INDEX(BYEs!$B$2:$B$33,MATCH(D326,BYEs!$A$2:$A$33,0)),"N/A")</f>
        <v>11</v>
      </c>
      <c r="D326" s="214" t="str">
        <f t="shared" ca="1" si="28"/>
        <v>TB</v>
      </c>
      <c r="E326" s="213" t="str">
        <f t="shared" ca="1" si="29"/>
        <v>WR8</v>
      </c>
      <c r="F326" s="158">
        <f ca="1">IF(LeagueInfo!$H$7="Starter/Bench",INDEX(INDIRECT(""&amp;B326&amp;"!T2:T628"),MATCH(A326,INDIRECT(""&amp;B326&amp;"!B2:B628"),0)),INDEX(INDIRECT(""&amp;B326&amp;"!AB2:AB628"),MATCH(A326,INDIRECT(""&amp;B326&amp;"!B2:B628"),0)))</f>
        <v>-8.5706878207401651</v>
      </c>
      <c r="G326" s="159">
        <f t="shared" si="30"/>
        <v>0</v>
      </c>
      <c r="H326" s="160"/>
      <c r="I326" s="159">
        <f t="shared" ca="1" si="31"/>
        <v>-8.5706878207401651</v>
      </c>
      <c r="J326" s="159" t="s">
        <v>73</v>
      </c>
      <c r="K326" s="159">
        <f>IF(LeagueInfo!$F$7="Yahoo",IFERROR(INDEX(DefaultAuctionValues!$B$2:$B$331,MATCH(A326,DefaultAuctionValues!$A$2:$A$331,0)),0),IF(LeagueInfo!$F$7="ESPN",IFERROR(INDEX(DefaultAuctionValues!$C$2:$C$331,MATCH(A326,DefaultAuctionValues!$A$2:$A$331,0)),0),IF(LeagueInfo!$F$7="Custom",IFERROR(INDEX(DefaultAuctionValues!$D$2:$D$331,MATCH(A326,DefaultAuctionValues!$A$2:$A$331,0)),0))))</f>
        <v>1</v>
      </c>
      <c r="L326" s="159">
        <f t="shared" ca="1" si="32"/>
        <v>-9.5706878207401651</v>
      </c>
      <c r="M326" s="171"/>
      <c r="N326" s="166">
        <f t="shared" ca="1" si="33"/>
        <v>-25.975000000000005</v>
      </c>
      <c r="O326" s="157" t="str">
        <f t="shared" ca="1" si="34"/>
        <v/>
      </c>
    </row>
    <row r="327" spans="1:15" x14ac:dyDescent="0.35">
      <c r="A327" s="157" t="s">
        <v>425</v>
      </c>
      <c r="B327" s="157" t="s">
        <v>25</v>
      </c>
      <c r="C327" s="157">
        <f ca="1">IFERROR(INDEX(BYEs!$B$2:$B$33,MATCH(D327,BYEs!$A$2:$A$33,0)),"N/A")</f>
        <v>14</v>
      </c>
      <c r="D327" s="214" t="str">
        <f t="shared" ca="1" si="28"/>
        <v>BAL</v>
      </c>
      <c r="E327" s="213" t="str">
        <f t="shared" ca="1" si="29"/>
        <v>RB8</v>
      </c>
      <c r="F327" s="158">
        <f ca="1">IF(LeagueInfo!$H$7="Starter/Bench",INDEX(INDIRECT(""&amp;B327&amp;"!T2:T628"),MATCH(A327,INDIRECT(""&amp;B327&amp;"!B2:B628"),0)),INDEX(INDIRECT(""&amp;B327&amp;"!AB2:AB628"),MATCH(A327,INDIRECT(""&amp;B327&amp;"!B2:B628"),0)))</f>
        <v>-8.6498780065718357</v>
      </c>
      <c r="G327" s="159">
        <f t="shared" si="30"/>
        <v>0</v>
      </c>
      <c r="H327" s="160"/>
      <c r="I327" s="159">
        <f t="shared" ca="1" si="31"/>
        <v>-8.6498780065718357</v>
      </c>
      <c r="J327" s="159" t="s">
        <v>73</v>
      </c>
      <c r="K327" s="159">
        <f>IF(LeagueInfo!$F$7="Yahoo",IFERROR(INDEX(DefaultAuctionValues!$B$2:$B$331,MATCH(A327,DefaultAuctionValues!$A$2:$A$331,0)),0),IF(LeagueInfo!$F$7="ESPN",IFERROR(INDEX(DefaultAuctionValues!$C$2:$C$331,MATCH(A327,DefaultAuctionValues!$A$2:$A$331,0)),0),IF(LeagueInfo!$F$7="Custom",IFERROR(INDEX(DefaultAuctionValues!$D$2:$D$331,MATCH(A327,DefaultAuctionValues!$A$2:$A$331,0)),0))))</f>
        <v>1</v>
      </c>
      <c r="L327" s="159">
        <f t="shared" ca="1" si="32"/>
        <v>-9.6498780065718357</v>
      </c>
      <c r="M327" s="171"/>
      <c r="N327" s="166">
        <f t="shared" ca="1" si="33"/>
        <v>-26.215000000000003</v>
      </c>
      <c r="O327" s="157" t="str">
        <f t="shared" ca="1" si="34"/>
        <v/>
      </c>
    </row>
    <row r="328" spans="1:15" x14ac:dyDescent="0.35">
      <c r="A328" s="157" t="s">
        <v>598</v>
      </c>
      <c r="B328" s="157" t="s">
        <v>32</v>
      </c>
      <c r="C328" s="157">
        <f ca="1">IFERROR(INDEX(BYEs!$B$2:$B$33,MATCH(D328,BYEs!$A$2:$A$33,0)),"N/A")</f>
        <v>14</v>
      </c>
      <c r="D328" s="214" t="str">
        <f t="shared" ca="1" si="28"/>
        <v>IND</v>
      </c>
      <c r="E328" s="213" t="str">
        <f t="shared" ca="1" si="29"/>
        <v>WR8</v>
      </c>
      <c r="F328" s="158">
        <f ca="1">IF(LeagueInfo!$H$7="Starter/Bench",INDEX(INDIRECT(""&amp;B328&amp;"!T2:T628"),MATCH(A328,INDIRECT(""&amp;B328&amp;"!B2:B628"),0)),INDEX(INDIRECT(""&amp;B328&amp;"!AB2:AB628"),MATCH(A328,INDIRECT(""&amp;B328&amp;"!B2:B628"),0)))</f>
        <v>-8.6663759619534346</v>
      </c>
      <c r="G328" s="159">
        <f t="shared" si="30"/>
        <v>0</v>
      </c>
      <c r="H328" s="160"/>
      <c r="I328" s="159">
        <f t="shared" ca="1" si="31"/>
        <v>-8.6663759619534346</v>
      </c>
      <c r="J328" s="159" t="s">
        <v>73</v>
      </c>
      <c r="K328" s="159">
        <f>IF(LeagueInfo!$F$7="Yahoo",IFERROR(INDEX(DefaultAuctionValues!$B$2:$B$331,MATCH(A328,DefaultAuctionValues!$A$2:$A$331,0)),0),IF(LeagueInfo!$F$7="ESPN",IFERROR(INDEX(DefaultAuctionValues!$C$2:$C$331,MATCH(A328,DefaultAuctionValues!$A$2:$A$331,0)),0),IF(LeagueInfo!$F$7="Custom",IFERROR(INDEX(DefaultAuctionValues!$D$2:$D$331,MATCH(A328,DefaultAuctionValues!$A$2:$A$331,0)),0))))</f>
        <v>1</v>
      </c>
      <c r="L328" s="159">
        <f t="shared" ca="1" si="32"/>
        <v>-9.6663759619534346</v>
      </c>
      <c r="M328" s="171"/>
      <c r="N328" s="166">
        <f t="shared" ca="1" si="33"/>
        <v>-26.265000000000004</v>
      </c>
      <c r="O328" s="157" t="str">
        <f t="shared" ca="1" si="34"/>
        <v/>
      </c>
    </row>
    <row r="329" spans="1:15" x14ac:dyDescent="0.35">
      <c r="A329" s="157" t="s">
        <v>374</v>
      </c>
      <c r="B329" s="157" t="s">
        <v>40</v>
      </c>
      <c r="C329" s="157">
        <f ca="1">IFERROR(INDEX(BYEs!$B$2:$B$33,MATCH(D329,BYEs!$A$2:$A$33,0)),"N/A")</f>
        <v>6</v>
      </c>
      <c r="D329" s="214" t="str">
        <f t="shared" ca="1" si="28"/>
        <v>MIA</v>
      </c>
      <c r="E329" s="213" t="str">
        <f t="shared" ca="1" si="29"/>
        <v>TE8</v>
      </c>
      <c r="F329" s="158">
        <f ca="1">IF(LeagueInfo!$H$7="Starter/Bench",INDEX(INDIRECT(""&amp;B329&amp;"!T2:T628"),MATCH(A329,INDIRECT(""&amp;B329&amp;"!B2:B628"),0)),INDEX(INDIRECT(""&amp;B329&amp;"!AB2:AB628"),MATCH(A329,INDIRECT(""&amp;B329&amp;"!B2:B628"),0)))</f>
        <v>-8.923744065906364</v>
      </c>
      <c r="G329" s="159">
        <f t="shared" si="30"/>
        <v>0</v>
      </c>
      <c r="H329" s="160"/>
      <c r="I329" s="159">
        <f t="shared" ca="1" si="31"/>
        <v>-8.923744065906364</v>
      </c>
      <c r="J329" s="159" t="s">
        <v>73</v>
      </c>
      <c r="K329" s="159">
        <f>IF(LeagueInfo!$F$7="Yahoo",IFERROR(INDEX(DefaultAuctionValues!$B$2:$B$331,MATCH(A329,DefaultAuctionValues!$A$2:$A$331,0)),0),IF(LeagueInfo!$F$7="ESPN",IFERROR(INDEX(DefaultAuctionValues!$C$2:$C$331,MATCH(A329,DefaultAuctionValues!$A$2:$A$331,0)),0),IF(LeagueInfo!$F$7="Custom",IFERROR(INDEX(DefaultAuctionValues!$D$2:$D$331,MATCH(A329,DefaultAuctionValues!$A$2:$A$331,0)),0))))</f>
        <v>1</v>
      </c>
      <c r="L329" s="159">
        <f t="shared" ca="1" si="32"/>
        <v>-9.923744065906364</v>
      </c>
      <c r="M329" s="171"/>
      <c r="N329" s="166">
        <f t="shared" ca="1" si="33"/>
        <v>-27.045000000000005</v>
      </c>
      <c r="O329" s="157" t="str">
        <f t="shared" ca="1" si="34"/>
        <v/>
      </c>
    </row>
    <row r="330" spans="1:15" x14ac:dyDescent="0.35">
      <c r="A330" s="157" t="s">
        <v>449</v>
      </c>
      <c r="B330" s="157" t="s">
        <v>40</v>
      </c>
      <c r="C330" s="157">
        <f ca="1">IFERROR(INDEX(BYEs!$B$2:$B$33,MATCH(D330,BYEs!$A$2:$A$33,0)),"N/A")</f>
        <v>6</v>
      </c>
      <c r="D330" s="214" t="str">
        <f t="shared" ca="1" si="28"/>
        <v>MIN</v>
      </c>
      <c r="E330" s="213" t="str">
        <f t="shared" ca="1" si="29"/>
        <v>TE8</v>
      </c>
      <c r="F330" s="158">
        <f ca="1">IF(LeagueInfo!$H$7="Starter/Bench",INDEX(INDIRECT(""&amp;B330&amp;"!T2:T628"),MATCH(A330,INDIRECT(""&amp;B330&amp;"!B2:B628"),0)),INDEX(INDIRECT(""&amp;B330&amp;"!AB2:AB628"),MATCH(A330,INDIRECT(""&amp;B330&amp;"!B2:B628"),0)))</f>
        <v>-8.9633391588221993</v>
      </c>
      <c r="G330" s="159">
        <f t="shared" si="30"/>
        <v>0</v>
      </c>
      <c r="H330" s="160"/>
      <c r="I330" s="159">
        <f t="shared" ca="1" si="31"/>
        <v>-8.9633391588221993</v>
      </c>
      <c r="J330" s="159" t="s">
        <v>73</v>
      </c>
      <c r="K330" s="159">
        <f>IF(LeagueInfo!$F$7="Yahoo",IFERROR(INDEX(DefaultAuctionValues!$B$2:$B$331,MATCH(A330,DefaultAuctionValues!$A$2:$A$331,0)),0),IF(LeagueInfo!$F$7="ESPN",IFERROR(INDEX(DefaultAuctionValues!$C$2:$C$331,MATCH(A330,DefaultAuctionValues!$A$2:$A$331,0)),0),IF(LeagueInfo!$F$7="Custom",IFERROR(INDEX(DefaultAuctionValues!$D$2:$D$331,MATCH(A330,DefaultAuctionValues!$A$2:$A$331,0)),0))))</f>
        <v>1</v>
      </c>
      <c r="L330" s="159">
        <f t="shared" ca="1" si="32"/>
        <v>-9.9633391588221993</v>
      </c>
      <c r="M330" s="171"/>
      <c r="N330" s="166">
        <f t="shared" ca="1" si="33"/>
        <v>-27.165000000000006</v>
      </c>
      <c r="O330" s="157" t="str">
        <f t="shared" ca="1" si="34"/>
        <v/>
      </c>
    </row>
    <row r="331" spans="1:15" x14ac:dyDescent="0.35">
      <c r="A331" s="157" t="s">
        <v>611</v>
      </c>
      <c r="B331" s="157" t="s">
        <v>32</v>
      </c>
      <c r="C331" s="157">
        <f ca="1">IFERROR(INDEX(BYEs!$B$2:$B$33,MATCH(D331,BYEs!$A$2:$A$33,0)),"N/A")</f>
        <v>6</v>
      </c>
      <c r="D331" s="214" t="str">
        <f t="shared" ca="1" si="28"/>
        <v>MIN</v>
      </c>
      <c r="E331" s="213" t="str">
        <f t="shared" ca="1" si="29"/>
        <v>WR8</v>
      </c>
      <c r="F331" s="158">
        <f ca="1">IF(LeagueInfo!$H$7="Starter/Bench",INDEX(INDIRECT(""&amp;B331&amp;"!T2:T628"),MATCH(A331,INDIRECT(""&amp;B331&amp;"!B2:B628"),0)),INDEX(INDIRECT(""&amp;B331&amp;"!AB2:AB628"),MATCH(A331,INDIRECT(""&amp;B331&amp;"!B2:B628"),0)))</f>
        <v>-9.0458289357301886</v>
      </c>
      <c r="G331" s="159">
        <f t="shared" si="30"/>
        <v>0</v>
      </c>
      <c r="H331" s="160"/>
      <c r="I331" s="159">
        <f t="shared" ca="1" si="31"/>
        <v>-9.0458289357301886</v>
      </c>
      <c r="J331" s="159" t="s">
        <v>73</v>
      </c>
      <c r="K331" s="159">
        <f>IF(LeagueInfo!$F$7="Yahoo",IFERROR(INDEX(DefaultAuctionValues!$B$2:$B$331,MATCH(A331,DefaultAuctionValues!$A$2:$A$331,0)),0),IF(LeagueInfo!$F$7="ESPN",IFERROR(INDEX(DefaultAuctionValues!$C$2:$C$331,MATCH(A331,DefaultAuctionValues!$A$2:$A$331,0)),0),IF(LeagueInfo!$F$7="Custom",IFERROR(INDEX(DefaultAuctionValues!$D$2:$D$331,MATCH(A331,DefaultAuctionValues!$A$2:$A$331,0)),0))))</f>
        <v>0</v>
      </c>
      <c r="L331" s="159">
        <f t="shared" ca="1" si="32"/>
        <v>-9.0458289357301886</v>
      </c>
      <c r="M331" s="171"/>
      <c r="N331" s="166">
        <f t="shared" ca="1" si="33"/>
        <v>-27.415000000000006</v>
      </c>
      <c r="O331" s="157" t="str">
        <f t="shared" ca="1" si="34"/>
        <v/>
      </c>
    </row>
    <row r="332" spans="1:15" x14ac:dyDescent="0.35">
      <c r="A332" s="157" t="s">
        <v>572</v>
      </c>
      <c r="B332" s="157" t="s">
        <v>40</v>
      </c>
      <c r="C332" s="157">
        <f ca="1">IFERROR(INDEX(BYEs!$B$2:$B$33,MATCH(D332,BYEs!$A$2:$A$33,0)),"N/A")</f>
        <v>14</v>
      </c>
      <c r="D332" s="214" t="str">
        <f t="shared" ca="1" si="28"/>
        <v>HOU</v>
      </c>
      <c r="E332" s="213" t="str">
        <f t="shared" ca="1" si="29"/>
        <v>TE8</v>
      </c>
      <c r="F332" s="158">
        <f ca="1">IF(LeagueInfo!$H$7="Starter/Bench",INDEX(INDIRECT(""&amp;B332&amp;"!T2:T628"),MATCH(A332,INDIRECT(""&amp;B332&amp;"!B2:B628"),0)),INDEX(INDIRECT(""&amp;B332&amp;"!AB2:AB628"),MATCH(A332,INDIRECT(""&amp;B332&amp;"!B2:B628"),0)))</f>
        <v>-9.0656264821881063</v>
      </c>
      <c r="G332" s="159">
        <f t="shared" si="30"/>
        <v>0</v>
      </c>
      <c r="H332" s="160"/>
      <c r="I332" s="159">
        <f t="shared" ca="1" si="31"/>
        <v>-9.0656264821881063</v>
      </c>
      <c r="J332" s="159" t="s">
        <v>73</v>
      </c>
      <c r="K332" s="159">
        <f>IF(LeagueInfo!$F$7="Yahoo",IFERROR(INDEX(DefaultAuctionValues!$B$2:$B$331,MATCH(A332,DefaultAuctionValues!$A$2:$A$331,0)),0),IF(LeagueInfo!$F$7="ESPN",IFERROR(INDEX(DefaultAuctionValues!$C$2:$C$331,MATCH(A332,DefaultAuctionValues!$A$2:$A$331,0)),0),IF(LeagueInfo!$F$7="Custom",IFERROR(INDEX(DefaultAuctionValues!$D$2:$D$331,MATCH(A332,DefaultAuctionValues!$A$2:$A$331,0)),0))))</f>
        <v>1</v>
      </c>
      <c r="L332" s="159">
        <f t="shared" ca="1" si="32"/>
        <v>-10.065626482188106</v>
      </c>
      <c r="M332" s="171"/>
      <c r="N332" s="166">
        <f t="shared" ca="1" si="33"/>
        <v>-27.475000000000005</v>
      </c>
      <c r="O332" s="157" t="str">
        <f t="shared" ca="1" si="34"/>
        <v/>
      </c>
    </row>
    <row r="333" spans="1:15" x14ac:dyDescent="0.35">
      <c r="A333" s="157" t="s">
        <v>840</v>
      </c>
      <c r="B333" s="157" t="s">
        <v>25</v>
      </c>
      <c r="C333" s="157">
        <f ca="1">IFERROR(INDEX(BYEs!$B$2:$B$33,MATCH(D333,BYEs!$A$2:$A$33,0)),"N/A")</f>
        <v>10</v>
      </c>
      <c r="D333" s="214" t="str">
        <f t="shared" ref="D333:D396" ca="1" si="35">INDEX(INDIRECT(""&amp;B333&amp;"!F2:F628"),MATCH(A333,INDIRECT(""&amp;B333&amp;"!B2:B628"),0))</f>
        <v>GB</v>
      </c>
      <c r="E333" s="213" t="str">
        <f t="shared" ref="E333:E396" ca="1" si="36">INDEX(INDIRECT(""&amp;$B333&amp;"!AA2:AA628"),MATCH($A333,INDIRECT(""&amp;$B333&amp;"!B2:B628"),0))</f>
        <v>RB8</v>
      </c>
      <c r="F333" s="158">
        <f ca="1">IF(LeagueInfo!$H$7="Starter/Bench",INDEX(INDIRECT(""&amp;B333&amp;"!T2:T628"),MATCH(A333,INDIRECT(""&amp;B333&amp;"!B2:B628"),0)),INDEX(INDIRECT(""&amp;B333&amp;"!AB2:AB628"),MATCH(A333,INDIRECT(""&amp;B333&amp;"!B2:B628"),0)))</f>
        <v>-9.1481162590960956</v>
      </c>
      <c r="G333" s="159">
        <f t="shared" ref="G333:G396" si="37">IF(H333&gt;0,F333-H333,0)</f>
        <v>0</v>
      </c>
      <c r="H333" s="160"/>
      <c r="I333" s="159">
        <f t="shared" ref="I333:I396" ca="1" si="38">F333*$A$2</f>
        <v>-9.1481162590960956</v>
      </c>
      <c r="J333" s="159" t="s">
        <v>73</v>
      </c>
      <c r="K333" s="159">
        <f>IF(LeagueInfo!$F$7="Yahoo",IFERROR(INDEX(DefaultAuctionValues!$B$2:$B$331,MATCH(A333,DefaultAuctionValues!$A$2:$A$331,0)),0),IF(LeagueInfo!$F$7="ESPN",IFERROR(INDEX(DefaultAuctionValues!$C$2:$C$331,MATCH(A333,DefaultAuctionValues!$A$2:$A$331,0)),0),IF(LeagueInfo!$F$7="Custom",IFERROR(INDEX(DefaultAuctionValues!$D$2:$D$331,MATCH(A333,DefaultAuctionValues!$A$2:$A$331,0)),0))))</f>
        <v>0</v>
      </c>
      <c r="L333" s="159">
        <f t="shared" ref="L333:L396" ca="1" si="39">I333-K333</f>
        <v>-9.1481162590960956</v>
      </c>
      <c r="M333" s="171"/>
      <c r="N333" s="166">
        <f t="shared" ref="N333:N396" ca="1" si="40">INDEX(INDIRECT(""&amp;$B333&amp;"!Z2:Z628"),MATCH($A333,INDIRECT(""&amp;$B333&amp;"!B2:B628"),0))</f>
        <v>-27.725000000000005</v>
      </c>
      <c r="O333" s="157" t="str">
        <f t="shared" ref="O333:O396" ca="1" si="41">IF(INDEX(INDIRECT(""&amp;$B333&amp;"!W2:W628"),MATCH($A333,INDIRECT(""&amp;$B333&amp;"!B2:B628"),0))=0,"",INDEX(INDIRECT(""&amp;$B333&amp;"!W2:W628"),MATCH($A333,INDIRECT(""&amp;$B333&amp;"!B2:B628"),0)))</f>
        <v/>
      </c>
    </row>
    <row r="334" spans="1:15" x14ac:dyDescent="0.35">
      <c r="A334" s="157" t="s">
        <v>880</v>
      </c>
      <c r="B334" s="157" t="s">
        <v>25</v>
      </c>
      <c r="C334" s="157">
        <f ca="1">IFERROR(INDEX(BYEs!$B$2:$B$33,MATCH(D334,BYEs!$A$2:$A$33,0)),"N/A")</f>
        <v>5</v>
      </c>
      <c r="D334" s="214" t="str">
        <f t="shared" ca="1" si="35"/>
        <v>LAC</v>
      </c>
      <c r="E334" s="213" t="str">
        <f t="shared" ca="1" si="36"/>
        <v>RB8</v>
      </c>
      <c r="F334" s="158">
        <f ca="1">IF(LeagueInfo!$H$7="Starter/Bench",INDEX(INDIRECT(""&amp;B334&amp;"!T2:T628"),MATCH(A334,INDIRECT(""&amp;B334&amp;"!B2:B628"),0)),INDEX(INDIRECT(""&amp;B334&amp;"!AB2:AB628"),MATCH(A334,INDIRECT(""&amp;B334&amp;"!B2:B628"),0)))</f>
        <v>-9.2800999021488817</v>
      </c>
      <c r="G334" s="159">
        <f t="shared" si="37"/>
        <v>0</v>
      </c>
      <c r="H334" s="160"/>
      <c r="I334" s="159">
        <f t="shared" ca="1" si="38"/>
        <v>-9.2800999021488817</v>
      </c>
      <c r="J334" s="159" t="s">
        <v>73</v>
      </c>
      <c r="K334" s="159">
        <f>IF(LeagueInfo!$F$7="Yahoo",IFERROR(INDEX(DefaultAuctionValues!$B$2:$B$331,MATCH(A334,DefaultAuctionValues!$A$2:$A$331,0)),0),IF(LeagueInfo!$F$7="ESPN",IFERROR(INDEX(DefaultAuctionValues!$C$2:$C$331,MATCH(A334,DefaultAuctionValues!$A$2:$A$331,0)),0),IF(LeagueInfo!$F$7="Custom",IFERROR(INDEX(DefaultAuctionValues!$D$2:$D$331,MATCH(A334,DefaultAuctionValues!$A$2:$A$331,0)),0))))</f>
        <v>1</v>
      </c>
      <c r="L334" s="159">
        <f t="shared" ca="1" si="39"/>
        <v>-10.280099902148882</v>
      </c>
      <c r="M334" s="171"/>
      <c r="N334" s="166">
        <f t="shared" ca="1" si="40"/>
        <v>-28.125000000000007</v>
      </c>
      <c r="O334" s="157" t="str">
        <f t="shared" ca="1" si="41"/>
        <v/>
      </c>
    </row>
    <row r="335" spans="1:15" x14ac:dyDescent="0.35">
      <c r="A335" s="157" t="s">
        <v>485</v>
      </c>
      <c r="B335" s="157" t="s">
        <v>40</v>
      </c>
      <c r="C335" s="157">
        <f ca="1">IFERROR(INDEX(BYEs!$B$2:$B$33,MATCH(D335,BYEs!$A$2:$A$33,0)),"N/A")</f>
        <v>14</v>
      </c>
      <c r="D335" s="214" t="str">
        <f t="shared" ca="1" si="35"/>
        <v>DEN</v>
      </c>
      <c r="E335" s="213" t="str">
        <f t="shared" ca="1" si="36"/>
        <v>TE8</v>
      </c>
      <c r="F335" s="158">
        <f ca="1">IF(LeagueInfo!$H$7="Starter/Bench",INDEX(INDIRECT(""&amp;B335&amp;"!T2:T628"),MATCH(A335,INDIRECT(""&amp;B335&amp;"!B2:B628"),0)),INDEX(INDIRECT(""&amp;B335&amp;"!AB2:AB628"),MATCH(A335,INDIRECT(""&amp;B335&amp;"!B2:B628"),0)))</f>
        <v>-9.2949480619923186</v>
      </c>
      <c r="G335" s="159">
        <f t="shared" si="37"/>
        <v>0</v>
      </c>
      <c r="H335" s="160"/>
      <c r="I335" s="159">
        <f t="shared" ca="1" si="38"/>
        <v>-9.2949480619923186</v>
      </c>
      <c r="J335" s="159" t="s">
        <v>73</v>
      </c>
      <c r="K335" s="159">
        <f>IF(LeagueInfo!$F$7="Yahoo",IFERROR(INDEX(DefaultAuctionValues!$B$2:$B$331,MATCH(A335,DefaultAuctionValues!$A$2:$A$331,0)),0),IF(LeagueInfo!$F$7="ESPN",IFERROR(INDEX(DefaultAuctionValues!$C$2:$C$331,MATCH(A335,DefaultAuctionValues!$A$2:$A$331,0)),0),IF(LeagueInfo!$F$7="Custom",IFERROR(INDEX(DefaultAuctionValues!$D$2:$D$331,MATCH(A335,DefaultAuctionValues!$A$2:$A$331,0)),0))))</f>
        <v>1</v>
      </c>
      <c r="L335" s="159">
        <f t="shared" ca="1" si="39"/>
        <v>-10.294948061992319</v>
      </c>
      <c r="M335" s="171"/>
      <c r="N335" s="166">
        <f t="shared" ca="1" si="40"/>
        <v>-28.170000000000005</v>
      </c>
      <c r="O335" s="157" t="str">
        <f t="shared" ca="1" si="41"/>
        <v/>
      </c>
    </row>
    <row r="336" spans="1:15" x14ac:dyDescent="0.35">
      <c r="A336" s="157" t="s">
        <v>949</v>
      </c>
      <c r="B336" s="157" t="s">
        <v>40</v>
      </c>
      <c r="C336" s="157">
        <f ca="1">IFERROR(INDEX(BYEs!$B$2:$B$33,MATCH(D336,BYEs!$A$2:$A$33,0)),"N/A")</f>
        <v>14</v>
      </c>
      <c r="D336" s="214" t="str">
        <f t="shared" ca="1" si="35"/>
        <v>NE</v>
      </c>
      <c r="E336" s="213" t="str">
        <f t="shared" ca="1" si="36"/>
        <v>TE8</v>
      </c>
      <c r="F336" s="158">
        <f ca="1">IF(LeagueInfo!$H$7="Starter/Bench",INDEX(INDIRECT(""&amp;B336&amp;"!T2:T628"),MATCH(A336,INDIRECT(""&amp;B336&amp;"!B2:B628"),0)),INDEX(INDIRECT(""&amp;B336&amp;"!AB2:AB628"),MATCH(A336,INDIRECT(""&amp;B336&amp;"!B2:B628"),0)))</f>
        <v>-9.3015472441449578</v>
      </c>
      <c r="G336" s="159">
        <f t="shared" si="37"/>
        <v>0</v>
      </c>
      <c r="H336" s="160"/>
      <c r="I336" s="159">
        <f t="shared" ca="1" si="38"/>
        <v>-9.3015472441449578</v>
      </c>
      <c r="J336" s="159" t="s">
        <v>73</v>
      </c>
      <c r="K336" s="159">
        <f>IF(LeagueInfo!$F$7="Yahoo",IFERROR(INDEX(DefaultAuctionValues!$B$2:$B$331,MATCH(A336,DefaultAuctionValues!$A$2:$A$331,0)),0),IF(LeagueInfo!$F$7="ESPN",IFERROR(INDEX(DefaultAuctionValues!$C$2:$C$331,MATCH(A336,DefaultAuctionValues!$A$2:$A$331,0)),0),IF(LeagueInfo!$F$7="Custom",IFERROR(INDEX(DefaultAuctionValues!$D$2:$D$331,MATCH(A336,DefaultAuctionValues!$A$2:$A$331,0)),0))))</f>
        <v>1</v>
      </c>
      <c r="L336" s="159">
        <f t="shared" ca="1" si="39"/>
        <v>-10.301547244144958</v>
      </c>
      <c r="M336" s="171"/>
      <c r="N336" s="166">
        <f t="shared" ca="1" si="40"/>
        <v>-28.190000000000005</v>
      </c>
      <c r="O336" s="157" t="str">
        <f t="shared" ca="1" si="41"/>
        <v/>
      </c>
    </row>
    <row r="337" spans="1:15" x14ac:dyDescent="0.35">
      <c r="A337" s="157" t="s">
        <v>453</v>
      </c>
      <c r="B337" s="157" t="s">
        <v>40</v>
      </c>
      <c r="C337" s="157">
        <f ca="1">IFERROR(INDEX(BYEs!$B$2:$B$33,MATCH(D337,BYEs!$A$2:$A$33,0)),"N/A")</f>
        <v>12</v>
      </c>
      <c r="D337" s="214" t="str">
        <f t="shared" ca="1" si="35"/>
        <v>CIN</v>
      </c>
      <c r="E337" s="213" t="str">
        <f t="shared" ca="1" si="36"/>
        <v>TE8</v>
      </c>
      <c r="F337" s="158">
        <f ca="1">IF(LeagueInfo!$H$7="Starter/Bench",INDEX(INDIRECT(""&amp;B337&amp;"!T2:T628"),MATCH(A337,INDIRECT(""&amp;B337&amp;"!B2:B628"),0)),INDEX(INDIRECT(""&amp;B337&amp;"!AB2:AB628"),MATCH(A337,INDIRECT(""&amp;B337&amp;"!B2:B628"),0)))</f>
        <v>-9.3031970396831181</v>
      </c>
      <c r="G337" s="159">
        <f t="shared" si="37"/>
        <v>0</v>
      </c>
      <c r="H337" s="160"/>
      <c r="I337" s="159">
        <f t="shared" ca="1" si="38"/>
        <v>-9.3031970396831181</v>
      </c>
      <c r="J337" s="159" t="s">
        <v>73</v>
      </c>
      <c r="K337" s="159">
        <f>IF(LeagueInfo!$F$7="Yahoo",IFERROR(INDEX(DefaultAuctionValues!$B$2:$B$331,MATCH(A337,DefaultAuctionValues!$A$2:$A$331,0)),0),IF(LeagueInfo!$F$7="ESPN",IFERROR(INDEX(DefaultAuctionValues!$C$2:$C$331,MATCH(A337,DefaultAuctionValues!$A$2:$A$331,0)),0),IF(LeagueInfo!$F$7="Custom",IFERROR(INDEX(DefaultAuctionValues!$D$2:$D$331,MATCH(A337,DefaultAuctionValues!$A$2:$A$331,0)),0))))</f>
        <v>1</v>
      </c>
      <c r="L337" s="159">
        <f t="shared" ca="1" si="39"/>
        <v>-10.303197039683118</v>
      </c>
      <c r="M337" s="171"/>
      <c r="N337" s="166">
        <f t="shared" ca="1" si="40"/>
        <v>-28.195000000000007</v>
      </c>
      <c r="O337" s="157" t="str">
        <f t="shared" ca="1" si="41"/>
        <v/>
      </c>
    </row>
    <row r="338" spans="1:15" x14ac:dyDescent="0.35">
      <c r="A338" s="157" t="s">
        <v>498</v>
      </c>
      <c r="B338" s="157" t="s">
        <v>32</v>
      </c>
      <c r="C338" s="157">
        <f ca="1">IFERROR(INDEX(BYEs!$B$2:$B$33,MATCH(D338,BYEs!$A$2:$A$33,0)),"N/A")</f>
        <v>9</v>
      </c>
      <c r="D338" s="214" t="str">
        <f t="shared" ca="1" si="35"/>
        <v>PIT</v>
      </c>
      <c r="E338" s="213" t="str">
        <f t="shared" ca="1" si="36"/>
        <v>WR8</v>
      </c>
      <c r="F338" s="158">
        <f ca="1">IF(LeagueInfo!$H$7="Starter/Bench",INDEX(INDIRECT(""&amp;B338&amp;"!T2:T628"),MATCH(A338,INDIRECT(""&amp;B338&amp;"!B2:B628"),0)),INDEX(INDIRECT(""&amp;B338&amp;"!AB2:AB628"),MATCH(A338,INDIRECT(""&amp;B338&amp;"!B2:B628"),0)))</f>
        <v>-9.3048468352212765</v>
      </c>
      <c r="G338" s="159">
        <f t="shared" si="37"/>
        <v>0</v>
      </c>
      <c r="H338" s="160"/>
      <c r="I338" s="159">
        <f t="shared" ca="1" si="38"/>
        <v>-9.3048468352212765</v>
      </c>
      <c r="J338" s="159" t="s">
        <v>73</v>
      </c>
      <c r="K338" s="159">
        <f>IF(LeagueInfo!$F$7="Yahoo",IFERROR(INDEX(DefaultAuctionValues!$B$2:$B$331,MATCH(A338,DefaultAuctionValues!$A$2:$A$331,0)),0),IF(LeagueInfo!$F$7="ESPN",IFERROR(INDEX(DefaultAuctionValues!$C$2:$C$331,MATCH(A338,DefaultAuctionValues!$A$2:$A$331,0)),0),IF(LeagueInfo!$F$7="Custom",IFERROR(INDEX(DefaultAuctionValues!$D$2:$D$331,MATCH(A338,DefaultAuctionValues!$A$2:$A$331,0)),0))))</f>
        <v>0</v>
      </c>
      <c r="L338" s="159">
        <f t="shared" ca="1" si="39"/>
        <v>-9.3048468352212765</v>
      </c>
      <c r="M338" s="171"/>
      <c r="N338" s="166">
        <f t="shared" ca="1" si="40"/>
        <v>-28.200000000000003</v>
      </c>
      <c r="O338" s="157" t="str">
        <f t="shared" ca="1" si="41"/>
        <v/>
      </c>
    </row>
    <row r="339" spans="1:15" x14ac:dyDescent="0.35">
      <c r="A339" s="157" t="s">
        <v>639</v>
      </c>
      <c r="B339" s="157" t="s">
        <v>40</v>
      </c>
      <c r="C339" s="157">
        <f ca="1">IFERROR(INDEX(BYEs!$B$2:$B$33,MATCH(D339,BYEs!$A$2:$A$33,0)),"N/A")</f>
        <v>5</v>
      </c>
      <c r="D339" s="214" t="str">
        <f t="shared" ca="1" si="35"/>
        <v>DET</v>
      </c>
      <c r="E339" s="213" t="str">
        <f t="shared" ca="1" si="36"/>
        <v>TE8</v>
      </c>
      <c r="F339" s="158">
        <f ca="1">IF(LeagueInfo!$H$7="Starter/Bench",INDEX(INDIRECT(""&amp;B339&amp;"!T2:T628"),MATCH(A339,INDIRECT(""&amp;B339&amp;"!B2:B628"),0)),INDEX(INDIRECT(""&amp;B339&amp;"!AB2:AB628"),MATCH(A339,INDIRECT(""&amp;B339&amp;"!B2:B628"),0)))</f>
        <v>-9.3312435638318352</v>
      </c>
      <c r="G339" s="159">
        <f t="shared" si="37"/>
        <v>0</v>
      </c>
      <c r="H339" s="160"/>
      <c r="I339" s="159">
        <f t="shared" ca="1" si="38"/>
        <v>-9.3312435638318352</v>
      </c>
      <c r="J339" s="159" t="s">
        <v>73</v>
      </c>
      <c r="K339" s="159">
        <f>IF(LeagueInfo!$F$7="Yahoo",IFERROR(INDEX(DefaultAuctionValues!$B$2:$B$331,MATCH(A339,DefaultAuctionValues!$A$2:$A$331,0)),0),IF(LeagueInfo!$F$7="ESPN",IFERROR(INDEX(DefaultAuctionValues!$C$2:$C$331,MATCH(A339,DefaultAuctionValues!$A$2:$A$331,0)),0),IF(LeagueInfo!$F$7="Custom",IFERROR(INDEX(DefaultAuctionValues!$D$2:$D$331,MATCH(A339,DefaultAuctionValues!$A$2:$A$331,0)),0))))</f>
        <v>1</v>
      </c>
      <c r="L339" s="159">
        <f t="shared" ca="1" si="39"/>
        <v>-10.331243563831835</v>
      </c>
      <c r="M339" s="171"/>
      <c r="N339" s="166">
        <f t="shared" ca="1" si="40"/>
        <v>-28.280000000000008</v>
      </c>
      <c r="O339" s="157" t="str">
        <f t="shared" ca="1" si="41"/>
        <v/>
      </c>
    </row>
    <row r="340" spans="1:15" x14ac:dyDescent="0.35">
      <c r="A340" s="157" t="s">
        <v>703</v>
      </c>
      <c r="B340" s="157" t="s">
        <v>32</v>
      </c>
      <c r="C340" s="157">
        <f ca="1">IFERROR(INDEX(BYEs!$B$2:$B$33,MATCH(D340,BYEs!$A$2:$A$33,0)),"N/A")</f>
        <v>7</v>
      </c>
      <c r="D340" s="214" t="str">
        <f t="shared" ca="1" si="35"/>
        <v>DAL</v>
      </c>
      <c r="E340" s="213" t="str">
        <f t="shared" ca="1" si="36"/>
        <v>WR8</v>
      </c>
      <c r="F340" s="158">
        <f ca="1">IF(LeagueInfo!$H$7="Starter/Bench",INDEX(INDIRECT(""&amp;B340&amp;"!T2:T628"),MATCH(A340,INDIRECT(""&amp;B340&amp;"!B2:B628"),0)),INDEX(INDIRECT(""&amp;B340&amp;"!AB2:AB628"),MATCH(A340,INDIRECT(""&amp;B340&amp;"!B2:B628"),0)))</f>
        <v>-9.3856868165911056</v>
      </c>
      <c r="G340" s="159">
        <f t="shared" si="37"/>
        <v>0</v>
      </c>
      <c r="H340" s="160"/>
      <c r="I340" s="159">
        <f t="shared" ca="1" si="38"/>
        <v>-9.3856868165911056</v>
      </c>
      <c r="J340" s="159" t="s">
        <v>73</v>
      </c>
      <c r="K340" s="159">
        <f>IF(LeagueInfo!$F$7="Yahoo",IFERROR(INDEX(DefaultAuctionValues!$B$2:$B$331,MATCH(A340,DefaultAuctionValues!$A$2:$A$331,0)),0),IF(LeagueInfo!$F$7="ESPN",IFERROR(INDEX(DefaultAuctionValues!$C$2:$C$331,MATCH(A340,DefaultAuctionValues!$A$2:$A$331,0)),0),IF(LeagueInfo!$F$7="Custom",IFERROR(INDEX(DefaultAuctionValues!$D$2:$D$331,MATCH(A340,DefaultAuctionValues!$A$2:$A$331,0)),0))))</f>
        <v>0</v>
      </c>
      <c r="L340" s="159">
        <f t="shared" ca="1" si="39"/>
        <v>-9.3856868165911056</v>
      </c>
      <c r="M340" s="171"/>
      <c r="N340" s="166">
        <f t="shared" ca="1" si="40"/>
        <v>-28.445</v>
      </c>
      <c r="O340" s="157" t="str">
        <f t="shared" ca="1" si="41"/>
        <v/>
      </c>
    </row>
    <row r="341" spans="1:15" x14ac:dyDescent="0.35">
      <c r="A341" s="157" t="s">
        <v>605</v>
      </c>
      <c r="B341" s="157" t="s">
        <v>32</v>
      </c>
      <c r="C341" s="157">
        <f ca="1">IFERROR(INDEX(BYEs!$B$2:$B$33,MATCH(D341,BYEs!$A$2:$A$33,0)),"N/A")</f>
        <v>9</v>
      </c>
      <c r="D341" s="214" t="str">
        <f t="shared" ca="1" si="35"/>
        <v>PIT</v>
      </c>
      <c r="E341" s="213" t="str">
        <f t="shared" ca="1" si="36"/>
        <v>WR8</v>
      </c>
      <c r="F341" s="158">
        <f ca="1">IF(LeagueInfo!$H$7="Starter/Bench",INDEX(INDIRECT(""&amp;B341&amp;"!T2:T628"),MATCH(A341,INDIRECT(""&amp;B341&amp;"!B2:B628"),0)),INDEX(INDIRECT(""&amp;B341&amp;"!AB2:AB628"),MATCH(A341,INDIRECT(""&amp;B341&amp;"!B2:B628"),0)))</f>
        <v>-9.4302312961214216</v>
      </c>
      <c r="G341" s="159">
        <f t="shared" si="37"/>
        <v>0</v>
      </c>
      <c r="H341" s="160"/>
      <c r="I341" s="159">
        <f t="shared" ca="1" si="38"/>
        <v>-9.4302312961214216</v>
      </c>
      <c r="J341" s="159" t="s">
        <v>73</v>
      </c>
      <c r="K341" s="159">
        <f>IF(LeagueInfo!$F$7="Yahoo",IFERROR(INDEX(DefaultAuctionValues!$B$2:$B$331,MATCH(A341,DefaultAuctionValues!$A$2:$A$331,0)),0),IF(LeagueInfo!$F$7="ESPN",IFERROR(INDEX(DefaultAuctionValues!$C$2:$C$331,MATCH(A341,DefaultAuctionValues!$A$2:$A$331,0)),0),IF(LeagueInfo!$F$7="Custom",IFERROR(INDEX(DefaultAuctionValues!$D$2:$D$331,MATCH(A341,DefaultAuctionValues!$A$2:$A$331,0)),0))))</f>
        <v>0</v>
      </c>
      <c r="L341" s="159">
        <f t="shared" ca="1" si="39"/>
        <v>-9.4302312961214216</v>
      </c>
      <c r="M341" s="171"/>
      <c r="N341" s="166">
        <f t="shared" ca="1" si="40"/>
        <v>-28.580000000000002</v>
      </c>
      <c r="O341" s="157" t="str">
        <f t="shared" ca="1" si="41"/>
        <v/>
      </c>
    </row>
    <row r="342" spans="1:15" x14ac:dyDescent="0.35">
      <c r="A342" s="157" t="s">
        <v>782</v>
      </c>
      <c r="B342" s="157" t="s">
        <v>25</v>
      </c>
      <c r="C342" s="157">
        <f ca="1">IFERROR(INDEX(BYEs!$B$2:$B$33,MATCH(D342,BYEs!$A$2:$A$33,0)),"N/A")</f>
        <v>14</v>
      </c>
      <c r="D342" s="214" t="str">
        <f t="shared" ca="1" si="35"/>
        <v>BAL</v>
      </c>
      <c r="E342" s="213" t="str">
        <f t="shared" ca="1" si="36"/>
        <v>RB8</v>
      </c>
      <c r="F342" s="158">
        <f ca="1">IF(LeagueInfo!$H$7="Starter/Bench",INDEX(INDIRECT(""&amp;B342&amp;"!T2:T628"),MATCH(A342,INDIRECT(""&amp;B342&amp;"!B2:B628"),0)),INDEX(INDIRECT(""&amp;B342&amp;"!AB2:AB628"),MATCH(A342,INDIRECT(""&amp;B342&amp;"!B2:B628"),0)))</f>
        <v>-9.4929235265714933</v>
      </c>
      <c r="G342" s="159">
        <f t="shared" si="37"/>
        <v>0</v>
      </c>
      <c r="H342" s="160"/>
      <c r="I342" s="159">
        <f t="shared" ca="1" si="38"/>
        <v>-9.4929235265714933</v>
      </c>
      <c r="J342" s="159" t="s">
        <v>73</v>
      </c>
      <c r="K342" s="159">
        <f>IF(LeagueInfo!$F$7="Yahoo",IFERROR(INDEX(DefaultAuctionValues!$B$2:$B$331,MATCH(A342,DefaultAuctionValues!$A$2:$A$331,0)),0),IF(LeagueInfo!$F$7="ESPN",IFERROR(INDEX(DefaultAuctionValues!$C$2:$C$331,MATCH(A342,DefaultAuctionValues!$A$2:$A$331,0)),0),IF(LeagueInfo!$F$7="Custom",IFERROR(INDEX(DefaultAuctionValues!$D$2:$D$331,MATCH(A342,DefaultAuctionValues!$A$2:$A$331,0)),0))))</f>
        <v>1</v>
      </c>
      <c r="L342" s="159">
        <f t="shared" ca="1" si="39"/>
        <v>-10.492923526571493</v>
      </c>
      <c r="M342" s="171"/>
      <c r="N342" s="166">
        <f t="shared" ca="1" si="40"/>
        <v>-28.77</v>
      </c>
      <c r="O342" s="157" t="str">
        <f t="shared" ca="1" si="41"/>
        <v/>
      </c>
    </row>
    <row r="343" spans="1:15" x14ac:dyDescent="0.35">
      <c r="A343" s="157" t="s">
        <v>149</v>
      </c>
      <c r="B343" s="157" t="s">
        <v>40</v>
      </c>
      <c r="C343" s="157">
        <f ca="1">IFERROR(INDEX(BYEs!$B$2:$B$33,MATCH(D343,BYEs!$A$2:$A$33,0)),"N/A")</f>
        <v>14</v>
      </c>
      <c r="D343" s="214" t="str">
        <f t="shared" ca="1" si="35"/>
        <v>NE</v>
      </c>
      <c r="E343" s="213" t="str">
        <f t="shared" ca="1" si="36"/>
        <v>TE8</v>
      </c>
      <c r="F343" s="158">
        <f ca="1">IF(LeagueInfo!$H$7="Starter/Bench",INDEX(INDIRECT(""&amp;B343&amp;"!T2:T628"),MATCH(A343,INDIRECT(""&amp;B343&amp;"!B2:B628"),0)),INDEX(INDIRECT(""&amp;B343&amp;"!AB2:AB628"),MATCH(A343,INDIRECT(""&amp;B343&amp;"!B2:B628"),0)))</f>
        <v>-9.5044720953386133</v>
      </c>
      <c r="G343" s="159">
        <f t="shared" si="37"/>
        <v>0</v>
      </c>
      <c r="H343" s="160"/>
      <c r="I343" s="159">
        <f t="shared" ca="1" si="38"/>
        <v>-9.5044720953386133</v>
      </c>
      <c r="J343" s="159" t="s">
        <v>73</v>
      </c>
      <c r="K343" s="159">
        <f>IF(LeagueInfo!$F$7="Yahoo",IFERROR(INDEX(DefaultAuctionValues!$B$2:$B$331,MATCH(A343,DefaultAuctionValues!$A$2:$A$331,0)),0),IF(LeagueInfo!$F$7="ESPN",IFERROR(INDEX(DefaultAuctionValues!$C$2:$C$331,MATCH(A343,DefaultAuctionValues!$A$2:$A$331,0)),0),IF(LeagueInfo!$F$7="Custom",IFERROR(INDEX(DefaultAuctionValues!$D$2:$D$331,MATCH(A343,DefaultAuctionValues!$A$2:$A$331,0)),0))))</f>
        <v>1</v>
      </c>
      <c r="L343" s="159">
        <f t="shared" ca="1" si="39"/>
        <v>-10.504472095338613</v>
      </c>
      <c r="M343" s="171"/>
      <c r="N343" s="166">
        <f t="shared" ca="1" si="40"/>
        <v>-28.805000000000007</v>
      </c>
      <c r="O343" s="157" t="str">
        <f t="shared" ca="1" si="41"/>
        <v/>
      </c>
    </row>
    <row r="344" spans="1:15" x14ac:dyDescent="0.35">
      <c r="A344" s="157" t="s">
        <v>719</v>
      </c>
      <c r="B344" s="157" t="s">
        <v>32</v>
      </c>
      <c r="C344" s="157">
        <f ca="1">IFERROR(INDEX(BYEs!$B$2:$B$33,MATCH(D344,BYEs!$A$2:$A$33,0)),"N/A")</f>
        <v>10</v>
      </c>
      <c r="D344" s="214" t="str">
        <f t="shared" ca="1" si="35"/>
        <v>CLE</v>
      </c>
      <c r="E344" s="213" t="str">
        <f t="shared" ca="1" si="36"/>
        <v>WR8</v>
      </c>
      <c r="F344" s="158">
        <f ca="1">IF(LeagueInfo!$H$7="Starter/Bench",INDEX(INDIRECT(""&amp;B344&amp;"!T2:T628"),MATCH(A344,INDIRECT(""&amp;B344&amp;"!B2:B628"),0)),INDEX(INDIRECT(""&amp;B344&amp;"!AB2:AB628"),MATCH(A344,INDIRECT(""&amp;B344&amp;"!B2:B628"),0)))</f>
        <v>-9.5853120767084423</v>
      </c>
      <c r="G344" s="159">
        <f t="shared" si="37"/>
        <v>0</v>
      </c>
      <c r="H344" s="160"/>
      <c r="I344" s="159">
        <f t="shared" ca="1" si="38"/>
        <v>-9.5853120767084423</v>
      </c>
      <c r="J344" s="159" t="s">
        <v>73</v>
      </c>
      <c r="K344" s="159">
        <f>IF(LeagueInfo!$F$7="Yahoo",IFERROR(INDEX(DefaultAuctionValues!$B$2:$B$331,MATCH(A344,DefaultAuctionValues!$A$2:$A$331,0)),0),IF(LeagueInfo!$F$7="ESPN",IFERROR(INDEX(DefaultAuctionValues!$C$2:$C$331,MATCH(A344,DefaultAuctionValues!$A$2:$A$331,0)),0),IF(LeagueInfo!$F$7="Custom",IFERROR(INDEX(DefaultAuctionValues!$D$2:$D$331,MATCH(A344,DefaultAuctionValues!$A$2:$A$331,0)),0))))</f>
        <v>0</v>
      </c>
      <c r="L344" s="159">
        <f t="shared" ca="1" si="39"/>
        <v>-9.5853120767084423</v>
      </c>
      <c r="M344" s="171"/>
      <c r="N344" s="166">
        <f t="shared" ca="1" si="40"/>
        <v>-29.05</v>
      </c>
      <c r="O344" s="157" t="str">
        <f t="shared" ca="1" si="41"/>
        <v/>
      </c>
    </row>
    <row r="345" spans="1:15" x14ac:dyDescent="0.35">
      <c r="A345" s="157" t="s">
        <v>457</v>
      </c>
      <c r="B345" s="157" t="s">
        <v>40</v>
      </c>
      <c r="C345" s="157">
        <f ca="1">IFERROR(INDEX(BYEs!$B$2:$B$33,MATCH(D345,BYEs!$A$2:$A$33,0)),"N/A")</f>
        <v>6</v>
      </c>
      <c r="D345" s="214" t="str">
        <f t="shared" ca="1" si="35"/>
        <v>MIN</v>
      </c>
      <c r="E345" s="213" t="str">
        <f t="shared" ca="1" si="36"/>
        <v>TE8</v>
      </c>
      <c r="F345" s="158">
        <f ca="1">IF(LeagueInfo!$H$7="Starter/Bench",INDEX(INDIRECT(""&amp;B345&amp;"!T2:T628"),MATCH(A345,INDIRECT(""&amp;B345&amp;"!B2:B628"),0)),INDEX(INDIRECT(""&amp;B345&amp;"!AB2:AB628"),MATCH(A345,INDIRECT(""&amp;B345&amp;"!B2:B628"),0)))</f>
        <v>-9.6381055339295578</v>
      </c>
      <c r="G345" s="159">
        <f t="shared" si="37"/>
        <v>0</v>
      </c>
      <c r="H345" s="160"/>
      <c r="I345" s="159">
        <f t="shared" ca="1" si="38"/>
        <v>-9.6381055339295578</v>
      </c>
      <c r="J345" s="159" t="s">
        <v>73</v>
      </c>
      <c r="K345" s="159">
        <f>IF(LeagueInfo!$F$7="Yahoo",IFERROR(INDEX(DefaultAuctionValues!$B$2:$B$331,MATCH(A345,DefaultAuctionValues!$A$2:$A$331,0)),0),IF(LeagueInfo!$F$7="ESPN",IFERROR(INDEX(DefaultAuctionValues!$C$2:$C$331,MATCH(A345,DefaultAuctionValues!$A$2:$A$331,0)),0),IF(LeagueInfo!$F$7="Custom",IFERROR(INDEX(DefaultAuctionValues!$D$2:$D$331,MATCH(A345,DefaultAuctionValues!$A$2:$A$331,0)),0))))</f>
        <v>1</v>
      </c>
      <c r="L345" s="159">
        <f t="shared" ca="1" si="39"/>
        <v>-10.638105533929558</v>
      </c>
      <c r="M345" s="171"/>
      <c r="N345" s="166">
        <f t="shared" ca="1" si="40"/>
        <v>-29.210000000000008</v>
      </c>
      <c r="O345" s="157" t="str">
        <f t="shared" ca="1" si="41"/>
        <v/>
      </c>
    </row>
    <row r="346" spans="1:15" x14ac:dyDescent="0.35">
      <c r="A346" s="157" t="s">
        <v>792</v>
      </c>
      <c r="B346" s="157" t="s">
        <v>32</v>
      </c>
      <c r="C346" s="157">
        <f ca="1">IFERROR(INDEX(BYEs!$B$2:$B$33,MATCH(D346,BYEs!$A$2:$A$33,0)),"N/A")</f>
        <v>12</v>
      </c>
      <c r="D346" s="214" t="str">
        <f t="shared" ca="1" si="35"/>
        <v>NO</v>
      </c>
      <c r="E346" s="213" t="str">
        <f t="shared" ca="1" si="36"/>
        <v>WR8</v>
      </c>
      <c r="F346" s="158">
        <f ca="1">IF(LeagueInfo!$H$7="Starter/Bench",INDEX(INDIRECT(""&amp;B346&amp;"!T2:T628"),MATCH(A346,INDIRECT(""&amp;B346&amp;"!B2:B628"),0)),INDEX(INDIRECT(""&amp;B346&amp;"!AB2:AB628"),MATCH(A346,INDIRECT(""&amp;B346&amp;"!B2:B628"),0)))</f>
        <v>-9.6908989911506698</v>
      </c>
      <c r="G346" s="159">
        <f t="shared" si="37"/>
        <v>0</v>
      </c>
      <c r="H346" s="160"/>
      <c r="I346" s="159">
        <f t="shared" ca="1" si="38"/>
        <v>-9.6908989911506698</v>
      </c>
      <c r="J346" s="159" t="s">
        <v>73</v>
      </c>
      <c r="K346" s="159">
        <f>IF(LeagueInfo!$F$7="Yahoo",IFERROR(INDEX(DefaultAuctionValues!$B$2:$B$331,MATCH(A346,DefaultAuctionValues!$A$2:$A$331,0)),0),IF(LeagueInfo!$F$7="ESPN",IFERROR(INDEX(DefaultAuctionValues!$C$2:$C$331,MATCH(A346,DefaultAuctionValues!$A$2:$A$331,0)),0),IF(LeagueInfo!$F$7="Custom",IFERROR(INDEX(DefaultAuctionValues!$D$2:$D$331,MATCH(A346,DefaultAuctionValues!$A$2:$A$331,0)),0))))</f>
        <v>1</v>
      </c>
      <c r="L346" s="159">
        <f t="shared" ca="1" si="39"/>
        <v>-10.69089899115067</v>
      </c>
      <c r="M346" s="171"/>
      <c r="N346" s="166">
        <f t="shared" ca="1" si="40"/>
        <v>-29.370000000000005</v>
      </c>
      <c r="O346" s="157" t="str">
        <f t="shared" ca="1" si="41"/>
        <v/>
      </c>
    </row>
    <row r="347" spans="1:15" x14ac:dyDescent="0.35">
      <c r="A347" s="157" t="s">
        <v>649</v>
      </c>
      <c r="B347" s="157" t="s">
        <v>40</v>
      </c>
      <c r="C347" s="157">
        <f ca="1">IFERROR(INDEX(BYEs!$B$2:$B$33,MATCH(D347,BYEs!$A$2:$A$33,0)),"N/A")</f>
        <v>12</v>
      </c>
      <c r="D347" s="214" t="str">
        <f t="shared" ca="1" si="35"/>
        <v>NYJ</v>
      </c>
      <c r="E347" s="213" t="str">
        <f t="shared" ca="1" si="36"/>
        <v>TE8</v>
      </c>
      <c r="F347" s="158">
        <f ca="1">IF(LeagueInfo!$H$7="Starter/Bench",INDEX(INDIRECT(""&amp;B347&amp;"!T2:T628"),MATCH(A347,INDIRECT(""&amp;B347&amp;"!B2:B628"),0)),INDEX(INDIRECT(""&amp;B347&amp;"!AB2:AB628"),MATCH(A347,INDIRECT(""&amp;B347&amp;"!B2:B628"),0)))</f>
        <v>-9.7189455152993869</v>
      </c>
      <c r="G347" s="159">
        <f t="shared" si="37"/>
        <v>0</v>
      </c>
      <c r="H347" s="160"/>
      <c r="I347" s="159">
        <f t="shared" ca="1" si="38"/>
        <v>-9.7189455152993869</v>
      </c>
      <c r="J347" s="159" t="s">
        <v>73</v>
      </c>
      <c r="K347" s="159">
        <f>IF(LeagueInfo!$F$7="Yahoo",IFERROR(INDEX(DefaultAuctionValues!$B$2:$B$331,MATCH(A347,DefaultAuctionValues!$A$2:$A$331,0)),0),IF(LeagueInfo!$F$7="ESPN",IFERROR(INDEX(DefaultAuctionValues!$C$2:$C$331,MATCH(A347,DefaultAuctionValues!$A$2:$A$331,0)),0),IF(LeagueInfo!$F$7="Custom",IFERROR(INDEX(DefaultAuctionValues!$D$2:$D$331,MATCH(A347,DefaultAuctionValues!$A$2:$A$331,0)),0))))</f>
        <v>1</v>
      </c>
      <c r="L347" s="159">
        <f t="shared" ca="1" si="39"/>
        <v>-10.718945515299387</v>
      </c>
      <c r="M347" s="171"/>
      <c r="N347" s="166">
        <f t="shared" ca="1" si="40"/>
        <v>-29.455000000000005</v>
      </c>
      <c r="O347" s="157" t="str">
        <f t="shared" ca="1" si="41"/>
        <v/>
      </c>
    </row>
    <row r="348" spans="1:15" x14ac:dyDescent="0.35">
      <c r="A348" s="157" t="s">
        <v>799</v>
      </c>
      <c r="B348" s="157" t="s">
        <v>40</v>
      </c>
      <c r="C348" s="157">
        <f ca="1">IFERROR(INDEX(BYEs!$B$2:$B$33,MATCH(D348,BYEs!$A$2:$A$33,0)),"N/A")</f>
        <v>11</v>
      </c>
      <c r="D348" s="214" t="str">
        <f t="shared" ca="1" si="35"/>
        <v>ARI</v>
      </c>
      <c r="E348" s="213" t="str">
        <f t="shared" ca="1" si="36"/>
        <v>TE8</v>
      </c>
      <c r="F348" s="158">
        <f ca="1">IF(LeagueInfo!$H$7="Starter/Bench",INDEX(INDIRECT(""&amp;B348&amp;"!T2:T628"),MATCH(A348,INDIRECT(""&amp;B348&amp;"!B2:B628"),0)),INDEX(INDIRECT(""&amp;B348&amp;"!AB2:AB628"),MATCH(A348,INDIRECT(""&amp;B348&amp;"!B2:B628"),0)))</f>
        <v>-9.7205953108375471</v>
      </c>
      <c r="G348" s="159">
        <f t="shared" si="37"/>
        <v>0</v>
      </c>
      <c r="H348" s="160"/>
      <c r="I348" s="159">
        <f t="shared" ca="1" si="38"/>
        <v>-9.7205953108375471</v>
      </c>
      <c r="J348" s="159" t="s">
        <v>73</v>
      </c>
      <c r="K348" s="159">
        <f>IF(LeagueInfo!$F$7="Yahoo",IFERROR(INDEX(DefaultAuctionValues!$B$2:$B$331,MATCH(A348,DefaultAuctionValues!$A$2:$A$331,0)),0),IF(LeagueInfo!$F$7="ESPN",IFERROR(INDEX(DefaultAuctionValues!$C$2:$C$331,MATCH(A348,DefaultAuctionValues!$A$2:$A$331,0)),0),IF(LeagueInfo!$F$7="Custom",IFERROR(INDEX(DefaultAuctionValues!$D$2:$D$331,MATCH(A348,DefaultAuctionValues!$A$2:$A$331,0)),0))))</f>
        <v>1</v>
      </c>
      <c r="L348" s="159">
        <f t="shared" ca="1" si="39"/>
        <v>-10.720595310837547</v>
      </c>
      <c r="M348" s="171"/>
      <c r="N348" s="166">
        <f t="shared" ca="1" si="40"/>
        <v>-29.460000000000004</v>
      </c>
      <c r="O348" s="157" t="str">
        <f t="shared" ca="1" si="41"/>
        <v/>
      </c>
    </row>
    <row r="349" spans="1:15" x14ac:dyDescent="0.35">
      <c r="A349" s="157" t="s">
        <v>104</v>
      </c>
      <c r="B349" s="157" t="s">
        <v>25</v>
      </c>
      <c r="C349" s="157">
        <f ca="1">IFERROR(INDEX(BYEs!$B$2:$B$33,MATCH(D349,BYEs!$A$2:$A$33,0)),"N/A")</f>
        <v>7</v>
      </c>
      <c r="D349" s="214" t="str">
        <f t="shared" ca="1" si="35"/>
        <v>DAL</v>
      </c>
      <c r="E349" s="213" t="str">
        <f t="shared" ca="1" si="36"/>
        <v>RB8</v>
      </c>
      <c r="F349" s="158">
        <f ca="1">IF(LeagueInfo!$H$7="Starter/Bench",INDEX(INDIRECT(""&amp;B349&amp;"!T2:T628"),MATCH(A349,INDIRECT(""&amp;B349&amp;"!B2:B628"),0)),INDEX(INDIRECT(""&amp;B349&amp;"!AB2:AB628"),MATCH(A349,INDIRECT(""&amp;B349&amp;"!B2:B628"),0)))</f>
        <v>-9.7337936751428256</v>
      </c>
      <c r="G349" s="159">
        <f t="shared" si="37"/>
        <v>0</v>
      </c>
      <c r="H349" s="160"/>
      <c r="I349" s="159">
        <f t="shared" ca="1" si="38"/>
        <v>-9.7337936751428256</v>
      </c>
      <c r="J349" s="159" t="s">
        <v>73</v>
      </c>
      <c r="K349" s="159">
        <f>IF(LeagueInfo!$F$7="Yahoo",IFERROR(INDEX(DefaultAuctionValues!$B$2:$B$331,MATCH(A349,DefaultAuctionValues!$A$2:$A$331,0)),0),IF(LeagueInfo!$F$7="ESPN",IFERROR(INDEX(DefaultAuctionValues!$C$2:$C$331,MATCH(A349,DefaultAuctionValues!$A$2:$A$331,0)),0),IF(LeagueInfo!$F$7="Custom",IFERROR(INDEX(DefaultAuctionValues!$D$2:$D$331,MATCH(A349,DefaultAuctionValues!$A$2:$A$331,0)),0))))</f>
        <v>0</v>
      </c>
      <c r="L349" s="159">
        <f t="shared" ca="1" si="39"/>
        <v>-9.7337936751428256</v>
      </c>
      <c r="M349" s="171"/>
      <c r="N349" s="166">
        <f t="shared" ca="1" si="40"/>
        <v>-29.500000000000004</v>
      </c>
      <c r="O349" s="157" t="str">
        <f t="shared" ca="1" si="41"/>
        <v/>
      </c>
    </row>
    <row r="350" spans="1:15" x14ac:dyDescent="0.35">
      <c r="A350" s="157" t="s">
        <v>811</v>
      </c>
      <c r="B350" s="157" t="s">
        <v>25</v>
      </c>
      <c r="C350" s="157">
        <f ca="1">IFERROR(INDEX(BYEs!$B$2:$B$33,MATCH(D350,BYEs!$A$2:$A$33,0)),"N/A")</f>
        <v>12</v>
      </c>
      <c r="D350" s="214" t="str">
        <f t="shared" ca="1" si="35"/>
        <v>BUF</v>
      </c>
      <c r="E350" s="213" t="str">
        <f t="shared" ca="1" si="36"/>
        <v>RB8</v>
      </c>
      <c r="F350" s="158">
        <f ca="1">IF(LeagueInfo!$H$7="Starter/Bench",INDEX(INDIRECT(""&amp;B350&amp;"!T2:T628"),MATCH(A350,INDIRECT(""&amp;B350&amp;"!B2:B628"),0)),INDEX(INDIRECT(""&amp;B350&amp;"!AB2:AB628"),MATCH(A350,INDIRECT(""&amp;B350&amp;"!B2:B628"),0)))</f>
        <v>-9.745342243909942</v>
      </c>
      <c r="G350" s="159">
        <f t="shared" si="37"/>
        <v>0</v>
      </c>
      <c r="H350" s="160"/>
      <c r="I350" s="159">
        <f t="shared" ca="1" si="38"/>
        <v>-9.745342243909942</v>
      </c>
      <c r="J350" s="159" t="s">
        <v>73</v>
      </c>
      <c r="K350" s="159">
        <f>IF(LeagueInfo!$F$7="Yahoo",IFERROR(INDEX(DefaultAuctionValues!$B$2:$B$331,MATCH(A350,DefaultAuctionValues!$A$2:$A$331,0)),0),IF(LeagueInfo!$F$7="ESPN",IFERROR(INDEX(DefaultAuctionValues!$C$2:$C$331,MATCH(A350,DefaultAuctionValues!$A$2:$A$331,0)),0),IF(LeagueInfo!$F$7="Custom",IFERROR(INDEX(DefaultAuctionValues!$D$2:$D$331,MATCH(A350,DefaultAuctionValues!$A$2:$A$331,0)),0))))</f>
        <v>0</v>
      </c>
      <c r="L350" s="159">
        <f t="shared" ca="1" si="39"/>
        <v>-9.745342243909942</v>
      </c>
      <c r="M350" s="171"/>
      <c r="N350" s="166">
        <f t="shared" ca="1" si="40"/>
        <v>-29.535</v>
      </c>
      <c r="O350" s="157" t="str">
        <f t="shared" ca="1" si="41"/>
        <v/>
      </c>
    </row>
    <row r="351" spans="1:15" x14ac:dyDescent="0.35">
      <c r="A351" s="157" t="s">
        <v>242</v>
      </c>
      <c r="B351" s="157" t="s">
        <v>32</v>
      </c>
      <c r="C351" s="157">
        <f ca="1">IFERROR(INDEX(BYEs!$B$2:$B$33,MATCH(D351,BYEs!$A$2:$A$33,0)),"N/A")</f>
        <v>14</v>
      </c>
      <c r="D351" s="214" t="str">
        <f t="shared" ca="1" si="35"/>
        <v>BAL</v>
      </c>
      <c r="E351" s="213" t="str">
        <f t="shared" ca="1" si="36"/>
        <v>WR8</v>
      </c>
      <c r="F351" s="158">
        <f ca="1">IF(LeagueInfo!$H$7="Starter/Bench",INDEX(INDIRECT(""&amp;B351&amp;"!T2:T628"),MATCH(A351,INDIRECT(""&amp;B351&amp;"!B2:B628"),0)),INDEX(INDIRECT(""&amp;B351&amp;"!AB2:AB628"),MATCH(A351,INDIRECT(""&amp;B351&amp;"!B2:B628"),0)))</f>
        <v>-9.789886723440258</v>
      </c>
      <c r="G351" s="159">
        <f t="shared" si="37"/>
        <v>0</v>
      </c>
      <c r="H351" s="160"/>
      <c r="I351" s="159">
        <f t="shared" ca="1" si="38"/>
        <v>-9.789886723440258</v>
      </c>
      <c r="J351" s="159" t="s">
        <v>73</v>
      </c>
      <c r="K351" s="159">
        <f>IF(LeagueInfo!$F$7="Yahoo",IFERROR(INDEX(DefaultAuctionValues!$B$2:$B$331,MATCH(A351,DefaultAuctionValues!$A$2:$A$331,0)),0),IF(LeagueInfo!$F$7="ESPN",IFERROR(INDEX(DefaultAuctionValues!$C$2:$C$331,MATCH(A351,DefaultAuctionValues!$A$2:$A$331,0)),0),IF(LeagueInfo!$F$7="Custom",IFERROR(INDEX(DefaultAuctionValues!$D$2:$D$331,MATCH(A351,DefaultAuctionValues!$A$2:$A$331,0)),0))))</f>
        <v>1</v>
      </c>
      <c r="L351" s="159">
        <f t="shared" ca="1" si="39"/>
        <v>-10.789886723440258</v>
      </c>
      <c r="M351" s="171"/>
      <c r="N351" s="166">
        <f t="shared" ca="1" si="40"/>
        <v>-29.67</v>
      </c>
      <c r="O351" s="157" t="str">
        <f t="shared" ca="1" si="41"/>
        <v/>
      </c>
    </row>
    <row r="352" spans="1:15" x14ac:dyDescent="0.35">
      <c r="A352" s="157" t="s">
        <v>707</v>
      </c>
      <c r="B352" s="157" t="s">
        <v>25</v>
      </c>
      <c r="C352" s="157">
        <f ca="1">IFERROR(INDEX(BYEs!$B$2:$B$33,MATCH(D352,BYEs!$A$2:$A$33,0)),"N/A")</f>
        <v>14</v>
      </c>
      <c r="D352" s="214" t="str">
        <f t="shared" ca="1" si="35"/>
        <v>IND</v>
      </c>
      <c r="E352" s="213" t="str">
        <f t="shared" ca="1" si="36"/>
        <v>RB8</v>
      </c>
      <c r="F352" s="158">
        <f ca="1">IF(LeagueInfo!$H$7="Starter/Bench",INDEX(INDIRECT(""&amp;B352&amp;"!T2:T628"),MATCH(A352,INDIRECT(""&amp;B352&amp;"!B2:B628"),0)),INDEX(INDIRECT(""&amp;B352&amp;"!AB2:AB628"),MATCH(A352,INDIRECT(""&amp;B352&amp;"!B2:B628"),0)))</f>
        <v>-9.8014352922073762</v>
      </c>
      <c r="G352" s="159">
        <f t="shared" si="37"/>
        <v>0</v>
      </c>
      <c r="H352" s="160"/>
      <c r="I352" s="159">
        <f t="shared" ca="1" si="38"/>
        <v>-9.8014352922073762</v>
      </c>
      <c r="J352" s="159" t="s">
        <v>73</v>
      </c>
      <c r="K352" s="159">
        <f>IF(LeagueInfo!$F$7="Yahoo",IFERROR(INDEX(DefaultAuctionValues!$B$2:$B$331,MATCH(A352,DefaultAuctionValues!$A$2:$A$331,0)),0),IF(LeagueInfo!$F$7="ESPN",IFERROR(INDEX(DefaultAuctionValues!$C$2:$C$331,MATCH(A352,DefaultAuctionValues!$A$2:$A$331,0)),0),IF(LeagueInfo!$F$7="Custom",IFERROR(INDEX(DefaultAuctionValues!$D$2:$D$331,MATCH(A352,DefaultAuctionValues!$A$2:$A$331,0)),0))))</f>
        <v>0</v>
      </c>
      <c r="L352" s="159">
        <f t="shared" ca="1" si="39"/>
        <v>-9.8014352922073762</v>
      </c>
      <c r="M352" s="171"/>
      <c r="N352" s="166">
        <f t="shared" ca="1" si="40"/>
        <v>-29.705000000000002</v>
      </c>
      <c r="O352" s="157" t="str">
        <f t="shared" ca="1" si="41"/>
        <v/>
      </c>
    </row>
    <row r="353" spans="1:15" x14ac:dyDescent="0.35">
      <c r="A353" s="157" t="s">
        <v>781</v>
      </c>
      <c r="B353" s="157" t="s">
        <v>25</v>
      </c>
      <c r="C353" s="157">
        <f ca="1">IFERROR(INDEX(BYEs!$B$2:$B$33,MATCH(D353,BYEs!$A$2:$A$33,0)),"N/A")</f>
        <v>14</v>
      </c>
      <c r="D353" s="214" t="str">
        <f t="shared" ca="1" si="35"/>
        <v>WAS</v>
      </c>
      <c r="E353" s="213" t="str">
        <f t="shared" ca="1" si="36"/>
        <v>RB8</v>
      </c>
      <c r="F353" s="158">
        <f ca="1">IF(LeagueInfo!$H$7="Starter/Bench",INDEX(INDIRECT(""&amp;B353&amp;"!T2:T628"),MATCH(A353,INDIRECT(""&amp;B353&amp;"!B2:B628"),0)),INDEX(INDIRECT(""&amp;B353&amp;"!AB2:AB628"),MATCH(A353,INDIRECT(""&amp;B353&amp;"!B2:B628"),0)))</f>
        <v>-9.8294818163560933</v>
      </c>
      <c r="G353" s="159">
        <f t="shared" si="37"/>
        <v>0</v>
      </c>
      <c r="H353" s="160"/>
      <c r="I353" s="159">
        <f t="shared" ca="1" si="38"/>
        <v>-9.8294818163560933</v>
      </c>
      <c r="J353" s="159" t="s">
        <v>73</v>
      </c>
      <c r="K353" s="159">
        <f>IF(LeagueInfo!$F$7="Yahoo",IFERROR(INDEX(DefaultAuctionValues!$B$2:$B$331,MATCH(A353,DefaultAuctionValues!$A$2:$A$331,0)),0),IF(LeagueInfo!$F$7="ESPN",IFERROR(INDEX(DefaultAuctionValues!$C$2:$C$331,MATCH(A353,DefaultAuctionValues!$A$2:$A$331,0)),0),IF(LeagueInfo!$F$7="Custom",IFERROR(INDEX(DefaultAuctionValues!$D$2:$D$331,MATCH(A353,DefaultAuctionValues!$A$2:$A$331,0)),0))))</f>
        <v>0</v>
      </c>
      <c r="L353" s="159">
        <f t="shared" ca="1" si="39"/>
        <v>-9.8294818163560933</v>
      </c>
      <c r="M353" s="171"/>
      <c r="N353" s="166">
        <f t="shared" ca="1" si="40"/>
        <v>-29.790000000000003</v>
      </c>
      <c r="O353" s="157" t="str">
        <f t="shared" ca="1" si="41"/>
        <v/>
      </c>
    </row>
    <row r="354" spans="1:15" x14ac:dyDescent="0.35">
      <c r="A354" s="157" t="s">
        <v>760</v>
      </c>
      <c r="B354" s="157" t="s">
        <v>25</v>
      </c>
      <c r="C354" s="157">
        <f ca="1">IFERROR(INDEX(BYEs!$B$2:$B$33,MATCH(D354,BYEs!$A$2:$A$33,0)),"N/A")</f>
        <v>11</v>
      </c>
      <c r="D354" s="214" t="str">
        <f t="shared" ca="1" si="35"/>
        <v>NYG</v>
      </c>
      <c r="E354" s="213" t="str">
        <f t="shared" ca="1" si="36"/>
        <v>RB8</v>
      </c>
      <c r="F354" s="158">
        <f ca="1">IF(LeagueInfo!$H$7="Starter/Bench",INDEX(INDIRECT(""&amp;B354&amp;"!T2:T628"),MATCH(A354,INDIRECT(""&amp;B354&amp;"!B2:B628"),0)),INDEX(INDIRECT(""&amp;B354&amp;"!AB2:AB628"),MATCH(A354,INDIRECT(""&amp;B354&amp;"!B2:B628"),0)))</f>
        <v>-9.8575283405048086</v>
      </c>
      <c r="G354" s="159">
        <f t="shared" si="37"/>
        <v>0</v>
      </c>
      <c r="H354" s="160"/>
      <c r="I354" s="159">
        <f t="shared" ca="1" si="38"/>
        <v>-9.8575283405048086</v>
      </c>
      <c r="J354" s="159" t="s">
        <v>73</v>
      </c>
      <c r="K354" s="159">
        <f>IF(LeagueInfo!$F$7="Yahoo",IFERROR(INDEX(DefaultAuctionValues!$B$2:$B$331,MATCH(A354,DefaultAuctionValues!$A$2:$A$331,0)),0),IF(LeagueInfo!$F$7="ESPN",IFERROR(INDEX(DefaultAuctionValues!$C$2:$C$331,MATCH(A354,DefaultAuctionValues!$A$2:$A$331,0)),0),IF(LeagueInfo!$F$7="Custom",IFERROR(INDEX(DefaultAuctionValues!$D$2:$D$331,MATCH(A354,DefaultAuctionValues!$A$2:$A$331,0)),0))))</f>
        <v>0</v>
      </c>
      <c r="L354" s="159">
        <f t="shared" ca="1" si="39"/>
        <v>-9.8575283405048086</v>
      </c>
      <c r="M354" s="171"/>
      <c r="N354" s="166">
        <f t="shared" ca="1" si="40"/>
        <v>-29.875</v>
      </c>
      <c r="O354" s="157" t="str">
        <f t="shared" ca="1" si="41"/>
        <v/>
      </c>
    </row>
    <row r="355" spans="1:15" x14ac:dyDescent="0.35">
      <c r="A355" s="157" t="s">
        <v>568</v>
      </c>
      <c r="B355" s="157" t="s">
        <v>40</v>
      </c>
      <c r="C355" s="157">
        <f ca="1">IFERROR(INDEX(BYEs!$B$2:$B$33,MATCH(D355,BYEs!$A$2:$A$33,0)),"N/A")</f>
        <v>14</v>
      </c>
      <c r="D355" s="214" t="str">
        <f t="shared" ca="1" si="35"/>
        <v>DEN</v>
      </c>
      <c r="E355" s="213" t="str">
        <f t="shared" ca="1" si="36"/>
        <v>TE8</v>
      </c>
      <c r="F355" s="158">
        <f ca="1">IF(LeagueInfo!$H$7="Starter/Bench",INDEX(INDIRECT(""&amp;B355&amp;"!T2:T628"),MATCH(A355,INDIRECT(""&amp;B355&amp;"!B2:B628"),0)),INDEX(INDIRECT(""&amp;B355&amp;"!AB2:AB628"),MATCH(A355,INDIRECT(""&amp;B355&amp;"!B2:B628"),0)))</f>
        <v>-9.9268197531075231</v>
      </c>
      <c r="G355" s="159">
        <f t="shared" si="37"/>
        <v>0</v>
      </c>
      <c r="H355" s="160"/>
      <c r="I355" s="159">
        <f t="shared" ca="1" si="38"/>
        <v>-9.9268197531075231</v>
      </c>
      <c r="J355" s="159" t="s">
        <v>73</v>
      </c>
      <c r="K355" s="159">
        <f>IF(LeagueInfo!$F$7="Yahoo",IFERROR(INDEX(DefaultAuctionValues!$B$2:$B$331,MATCH(A355,DefaultAuctionValues!$A$2:$A$331,0)),0),IF(LeagueInfo!$F$7="ESPN",IFERROR(INDEX(DefaultAuctionValues!$C$2:$C$331,MATCH(A355,DefaultAuctionValues!$A$2:$A$331,0)),0),IF(LeagueInfo!$F$7="Custom",IFERROR(INDEX(DefaultAuctionValues!$D$2:$D$331,MATCH(A355,DefaultAuctionValues!$A$2:$A$331,0)),0))))</f>
        <v>1</v>
      </c>
      <c r="L355" s="159">
        <f t="shared" ca="1" si="39"/>
        <v>-10.926819753107523</v>
      </c>
      <c r="M355" s="171"/>
      <c r="N355" s="166">
        <f t="shared" ca="1" si="40"/>
        <v>-30.085000000000008</v>
      </c>
      <c r="O355" s="157" t="str">
        <f t="shared" ca="1" si="41"/>
        <v/>
      </c>
    </row>
    <row r="356" spans="1:15" x14ac:dyDescent="0.35">
      <c r="A356" s="157" t="s">
        <v>503</v>
      </c>
      <c r="B356" s="157" t="s">
        <v>32</v>
      </c>
      <c r="C356" s="157">
        <f ca="1">IFERROR(INDEX(BYEs!$B$2:$B$33,MATCH(D356,BYEs!$A$2:$A$33,0)),"N/A")</f>
        <v>14</v>
      </c>
      <c r="D356" s="214" t="str">
        <f t="shared" ca="1" si="35"/>
        <v>NE</v>
      </c>
      <c r="E356" s="213" t="str">
        <f t="shared" ca="1" si="36"/>
        <v>WR8</v>
      </c>
      <c r="F356" s="158">
        <f ca="1">IF(LeagueInfo!$H$7="Starter/Bench",INDEX(INDIRECT(""&amp;B356&amp;"!T2:T628"),MATCH(A356,INDIRECT(""&amp;B356&amp;"!B2:B628"),0)),INDEX(INDIRECT(""&amp;B356&amp;"!AB2:AB628"),MATCH(A356,INDIRECT(""&amp;B356&amp;"!B2:B628"),0)))</f>
        <v>-9.9400181174127979</v>
      </c>
      <c r="G356" s="159">
        <f t="shared" si="37"/>
        <v>0</v>
      </c>
      <c r="H356" s="160"/>
      <c r="I356" s="159">
        <f t="shared" ca="1" si="38"/>
        <v>-9.9400181174127979</v>
      </c>
      <c r="J356" s="159" t="s">
        <v>73</v>
      </c>
      <c r="K356" s="159">
        <f>IF(LeagueInfo!$F$7="Yahoo",IFERROR(INDEX(DefaultAuctionValues!$B$2:$B$331,MATCH(A356,DefaultAuctionValues!$A$2:$A$331,0)),0),IF(LeagueInfo!$F$7="ESPN",IFERROR(INDEX(DefaultAuctionValues!$C$2:$C$331,MATCH(A356,DefaultAuctionValues!$A$2:$A$331,0)),0),IF(LeagueInfo!$F$7="Custom",IFERROR(INDEX(DefaultAuctionValues!$D$2:$D$331,MATCH(A356,DefaultAuctionValues!$A$2:$A$331,0)),0))))</f>
        <v>0</v>
      </c>
      <c r="L356" s="159">
        <f t="shared" ca="1" si="39"/>
        <v>-9.9400181174127979</v>
      </c>
      <c r="M356" s="171"/>
      <c r="N356" s="166">
        <f t="shared" ca="1" si="40"/>
        <v>-30.125</v>
      </c>
      <c r="O356" s="157" t="str">
        <f t="shared" ca="1" si="41"/>
        <v/>
      </c>
    </row>
    <row r="357" spans="1:15" x14ac:dyDescent="0.35">
      <c r="A357" s="157" t="s">
        <v>143</v>
      </c>
      <c r="B357" s="157" t="s">
        <v>32</v>
      </c>
      <c r="C357" s="157">
        <f ca="1">IFERROR(INDEX(BYEs!$B$2:$B$33,MATCH(D357,BYEs!$A$2:$A$33,0)),"N/A")</f>
        <v>11</v>
      </c>
      <c r="D357" s="214" t="str">
        <f t="shared" ca="1" si="35"/>
        <v>ARI</v>
      </c>
      <c r="E357" s="213" t="str">
        <f t="shared" ca="1" si="36"/>
        <v>WR8</v>
      </c>
      <c r="F357" s="158">
        <f ca="1">IF(LeagueInfo!$H$7="Starter/Bench",INDEX(INDIRECT(""&amp;B357&amp;"!T2:T628"),MATCH(A357,INDIRECT(""&amp;B357&amp;"!B2:B628"),0)),INDEX(INDIRECT(""&amp;B357&amp;"!AB2:AB628"),MATCH(A357,INDIRECT(""&amp;B357&amp;"!B2:B628"),0)))</f>
        <v>-9.9631152549470379</v>
      </c>
      <c r="G357" s="159">
        <f t="shared" si="37"/>
        <v>0</v>
      </c>
      <c r="H357" s="160"/>
      <c r="I357" s="159">
        <f t="shared" ca="1" si="38"/>
        <v>-9.9631152549470379</v>
      </c>
      <c r="J357" s="159" t="s">
        <v>73</v>
      </c>
      <c r="K357" s="159">
        <f>IF(LeagueInfo!$F$7="Yahoo",IFERROR(INDEX(DefaultAuctionValues!$B$2:$B$331,MATCH(A357,DefaultAuctionValues!$A$2:$A$331,0)),0),IF(LeagueInfo!$F$7="ESPN",IFERROR(INDEX(DefaultAuctionValues!$C$2:$C$331,MATCH(A357,DefaultAuctionValues!$A$2:$A$331,0)),0),IF(LeagueInfo!$F$7="Custom",IFERROR(INDEX(DefaultAuctionValues!$D$2:$D$331,MATCH(A357,DefaultAuctionValues!$A$2:$A$331,0)),0))))</f>
        <v>1</v>
      </c>
      <c r="L357" s="159">
        <f t="shared" ca="1" si="39"/>
        <v>-10.963115254947038</v>
      </c>
      <c r="M357" s="171"/>
      <c r="N357" s="166">
        <f t="shared" ca="1" si="40"/>
        <v>-30.195000000000004</v>
      </c>
      <c r="O357" s="157" t="str">
        <f t="shared" ca="1" si="41"/>
        <v/>
      </c>
    </row>
    <row r="358" spans="1:15" x14ac:dyDescent="0.35">
      <c r="A358" s="157" t="s">
        <v>926</v>
      </c>
      <c r="B358" s="157" t="s">
        <v>32</v>
      </c>
      <c r="C358" s="157">
        <f ca="1">IFERROR(INDEX(BYEs!$B$2:$B$33,MATCH(D358,BYEs!$A$2:$A$33,0)),"N/A")</f>
        <v>14</v>
      </c>
      <c r="D358" s="214" t="str">
        <f t="shared" ca="1" si="35"/>
        <v>BAL</v>
      </c>
      <c r="E358" s="213" t="str">
        <f t="shared" ca="1" si="36"/>
        <v>WR8</v>
      </c>
      <c r="F358" s="158">
        <f ca="1">IF(LeagueInfo!$H$7="Starter/Bench",INDEX(INDIRECT(""&amp;B358&amp;"!T2:T628"),MATCH(A358,INDIRECT(""&amp;B358&amp;"!B2:B628"),0)),INDEX(INDIRECT(""&amp;B358&amp;"!AB2:AB628"),MATCH(A358,INDIRECT(""&amp;B358&amp;"!B2:B628"),0)))</f>
        <v>-10.220483358899966</v>
      </c>
      <c r="G358" s="159">
        <f t="shared" si="37"/>
        <v>0</v>
      </c>
      <c r="H358" s="160"/>
      <c r="I358" s="159">
        <f t="shared" ca="1" si="38"/>
        <v>-10.220483358899966</v>
      </c>
      <c r="J358" s="159" t="s">
        <v>73</v>
      </c>
      <c r="K358" s="159">
        <f>IF(LeagueInfo!$F$7="Yahoo",IFERROR(INDEX(DefaultAuctionValues!$B$2:$B$331,MATCH(A358,DefaultAuctionValues!$A$2:$A$331,0)),0),IF(LeagueInfo!$F$7="ESPN",IFERROR(INDEX(DefaultAuctionValues!$C$2:$C$331,MATCH(A358,DefaultAuctionValues!$A$2:$A$331,0)),0),IF(LeagueInfo!$F$7="Custom",IFERROR(INDEX(DefaultAuctionValues!$D$2:$D$331,MATCH(A358,DefaultAuctionValues!$A$2:$A$331,0)),0))))</f>
        <v>1</v>
      </c>
      <c r="L358" s="159">
        <f t="shared" ca="1" si="39"/>
        <v>-11.220483358899966</v>
      </c>
      <c r="M358" s="171"/>
      <c r="N358" s="166">
        <f t="shared" ca="1" si="40"/>
        <v>-30.975000000000001</v>
      </c>
      <c r="O358" s="157" t="str">
        <f t="shared" ca="1" si="41"/>
        <v/>
      </c>
    </row>
    <row r="359" spans="1:15" x14ac:dyDescent="0.35">
      <c r="A359" s="157" t="s">
        <v>456</v>
      </c>
      <c r="B359" s="157" t="s">
        <v>40</v>
      </c>
      <c r="C359" s="157">
        <f ca="1">IFERROR(INDEX(BYEs!$B$2:$B$33,MATCH(D359,BYEs!$A$2:$A$33,0)),"N/A")</f>
        <v>6</v>
      </c>
      <c r="D359" s="214" t="str">
        <f t="shared" ca="1" si="35"/>
        <v>MIN</v>
      </c>
      <c r="E359" s="213" t="str">
        <f t="shared" ca="1" si="36"/>
        <v>TE8</v>
      </c>
      <c r="F359" s="158">
        <f ca="1">IF(LeagueInfo!$H$7="Starter/Bench",INDEX(INDIRECT(""&amp;B359&amp;"!T2:T628"),MATCH(A359,INDIRECT(""&amp;B359&amp;"!B2:B628"),0)),INDEX(INDIRECT(""&amp;B359&amp;"!AB2:AB628"),MATCH(A359,INDIRECT(""&amp;B359&amp;"!B2:B628"),0)))</f>
        <v>-10.233681723205246</v>
      </c>
      <c r="G359" s="159">
        <f t="shared" si="37"/>
        <v>0</v>
      </c>
      <c r="H359" s="160"/>
      <c r="I359" s="159">
        <f t="shared" ca="1" si="38"/>
        <v>-10.233681723205246</v>
      </c>
      <c r="J359" s="159" t="s">
        <v>73</v>
      </c>
      <c r="K359" s="159">
        <f>IF(LeagueInfo!$F$7="Yahoo",IFERROR(INDEX(DefaultAuctionValues!$B$2:$B$331,MATCH(A359,DefaultAuctionValues!$A$2:$A$331,0)),0),IF(LeagueInfo!$F$7="ESPN",IFERROR(INDEX(DefaultAuctionValues!$C$2:$C$331,MATCH(A359,DefaultAuctionValues!$A$2:$A$331,0)),0),IF(LeagueInfo!$F$7="Custom",IFERROR(INDEX(DefaultAuctionValues!$D$2:$D$331,MATCH(A359,DefaultAuctionValues!$A$2:$A$331,0)),0))))</f>
        <v>1</v>
      </c>
      <c r="L359" s="159">
        <f t="shared" ca="1" si="39"/>
        <v>-11.233681723205246</v>
      </c>
      <c r="M359" s="171"/>
      <c r="N359" s="166">
        <f t="shared" ca="1" si="40"/>
        <v>-31.015000000000008</v>
      </c>
      <c r="O359" s="157" t="str">
        <f t="shared" ca="1" si="41"/>
        <v/>
      </c>
    </row>
    <row r="360" spans="1:15" x14ac:dyDescent="0.35">
      <c r="A360" s="157" t="s">
        <v>763</v>
      </c>
      <c r="B360" s="157" t="s">
        <v>40</v>
      </c>
      <c r="C360" s="157">
        <f ca="1">IFERROR(INDEX(BYEs!$B$2:$B$33,MATCH(D360,BYEs!$A$2:$A$33,0)),"N/A")</f>
        <v>9</v>
      </c>
      <c r="D360" s="214" t="str">
        <f t="shared" ca="1" si="35"/>
        <v>PIT</v>
      </c>
      <c r="E360" s="213" t="str">
        <f t="shared" ca="1" si="36"/>
        <v>TE8</v>
      </c>
      <c r="F360" s="158">
        <f ca="1">IF(LeagueInfo!$H$7="Starter/Bench",INDEX(INDIRECT(""&amp;B360&amp;"!T2:T628"),MATCH(A360,INDIRECT(""&amp;B360&amp;"!B2:B628"),0)),INDEX(INDIRECT(""&amp;B360&amp;"!AB2:AB628"),MATCH(A360,INDIRECT(""&amp;B360&amp;"!B2:B628"),0)))</f>
        <v>-10.314521704575075</v>
      </c>
      <c r="G360" s="159">
        <f t="shared" si="37"/>
        <v>0</v>
      </c>
      <c r="H360" s="160"/>
      <c r="I360" s="159">
        <f t="shared" ca="1" si="38"/>
        <v>-10.314521704575075</v>
      </c>
      <c r="J360" s="159" t="s">
        <v>73</v>
      </c>
      <c r="K360" s="159">
        <f>IF(LeagueInfo!$F$7="Yahoo",IFERROR(INDEX(DefaultAuctionValues!$B$2:$B$331,MATCH(A360,DefaultAuctionValues!$A$2:$A$331,0)),0),IF(LeagueInfo!$F$7="ESPN",IFERROR(INDEX(DefaultAuctionValues!$C$2:$C$331,MATCH(A360,DefaultAuctionValues!$A$2:$A$331,0)),0),IF(LeagueInfo!$F$7="Custom",IFERROR(INDEX(DefaultAuctionValues!$D$2:$D$331,MATCH(A360,DefaultAuctionValues!$A$2:$A$331,0)),0))))</f>
        <v>0</v>
      </c>
      <c r="L360" s="159">
        <f t="shared" ca="1" si="39"/>
        <v>-10.314521704575075</v>
      </c>
      <c r="M360" s="171"/>
      <c r="N360" s="166">
        <f t="shared" ca="1" si="40"/>
        <v>-31.260000000000005</v>
      </c>
      <c r="O360" s="157" t="str">
        <f t="shared" ca="1" si="41"/>
        <v/>
      </c>
    </row>
    <row r="361" spans="1:15" x14ac:dyDescent="0.35">
      <c r="A361" s="157" t="s">
        <v>877</v>
      </c>
      <c r="B361" s="157" t="s">
        <v>25</v>
      </c>
      <c r="C361" s="157">
        <f ca="1">IFERROR(INDEX(BYEs!$B$2:$B$33,MATCH(D361,BYEs!$A$2:$A$33,0)),"N/A")</f>
        <v>9</v>
      </c>
      <c r="D361" s="214" t="str">
        <f t="shared" ca="1" si="35"/>
        <v>SF</v>
      </c>
      <c r="E361" s="213" t="str">
        <f t="shared" ca="1" si="36"/>
        <v>RB8</v>
      </c>
      <c r="F361" s="158">
        <f ca="1">IF(LeagueInfo!$H$7="Starter/Bench",INDEX(INDIRECT(""&amp;B361&amp;"!T2:T628"),MATCH(A361,INDIRECT(""&amp;B361&amp;"!B2:B628"),0)),INDEX(INDIRECT(""&amp;B361&amp;"!AB2:AB628"),MATCH(A361,INDIRECT(""&amp;B361&amp;"!B2:B628"),0)))</f>
        <v>-10.59993633267672</v>
      </c>
      <c r="G361" s="159">
        <f t="shared" si="37"/>
        <v>0</v>
      </c>
      <c r="H361" s="160"/>
      <c r="I361" s="159">
        <f t="shared" ca="1" si="38"/>
        <v>-10.59993633267672</v>
      </c>
      <c r="J361" s="159" t="s">
        <v>73</v>
      </c>
      <c r="K361" s="159">
        <f>IF(LeagueInfo!$F$7="Yahoo",IFERROR(INDEX(DefaultAuctionValues!$B$2:$B$331,MATCH(A361,DefaultAuctionValues!$A$2:$A$331,0)),0),IF(LeagueInfo!$F$7="ESPN",IFERROR(INDEX(DefaultAuctionValues!$C$2:$C$331,MATCH(A361,DefaultAuctionValues!$A$2:$A$331,0)),0),IF(LeagueInfo!$F$7="Custom",IFERROR(INDEX(DefaultAuctionValues!$D$2:$D$331,MATCH(A361,DefaultAuctionValues!$A$2:$A$331,0)),0))))</f>
        <v>0</v>
      </c>
      <c r="L361" s="159">
        <f t="shared" ca="1" si="39"/>
        <v>-10.59993633267672</v>
      </c>
      <c r="M361" s="171"/>
      <c r="N361" s="166">
        <f t="shared" ca="1" si="40"/>
        <v>-32.125</v>
      </c>
      <c r="O361" s="157" t="str">
        <f t="shared" ca="1" si="41"/>
        <v/>
      </c>
    </row>
    <row r="362" spans="1:15" x14ac:dyDescent="0.35">
      <c r="A362" s="157" t="s">
        <v>721</v>
      </c>
      <c r="B362" s="157" t="s">
        <v>40</v>
      </c>
      <c r="C362" s="157">
        <f ca="1">IFERROR(INDEX(BYEs!$B$2:$B$33,MATCH(D362,BYEs!$A$2:$A$33,0)),"N/A")</f>
        <v>7</v>
      </c>
      <c r="D362" s="214" t="str">
        <f t="shared" ca="1" si="35"/>
        <v>DAL</v>
      </c>
      <c r="E362" s="213" t="str">
        <f t="shared" ca="1" si="36"/>
        <v>TE8</v>
      </c>
      <c r="F362" s="158">
        <f ca="1">IF(LeagueInfo!$H$7="Starter/Bench",INDEX(INDIRECT(""&amp;B362&amp;"!T2:T628"),MATCH(A362,INDIRECT(""&amp;B362&amp;"!B2:B628"),0)),INDEX(INDIRECT(""&amp;B362&amp;"!AB2:AB628"),MATCH(A362,INDIRECT(""&amp;B362&amp;"!B2:B628"),0)))</f>
        <v>-10.631282447901757</v>
      </c>
      <c r="G362" s="159">
        <f t="shared" si="37"/>
        <v>0</v>
      </c>
      <c r="H362" s="160"/>
      <c r="I362" s="159">
        <f t="shared" ca="1" si="38"/>
        <v>-10.631282447901757</v>
      </c>
      <c r="J362" s="159" t="s">
        <v>73</v>
      </c>
      <c r="K362" s="159">
        <f>IF(LeagueInfo!$F$7="Yahoo",IFERROR(INDEX(DefaultAuctionValues!$B$2:$B$331,MATCH(A362,DefaultAuctionValues!$A$2:$A$331,0)),0),IF(LeagueInfo!$F$7="ESPN",IFERROR(INDEX(DefaultAuctionValues!$C$2:$C$331,MATCH(A362,DefaultAuctionValues!$A$2:$A$331,0)),0),IF(LeagueInfo!$F$7="Custom",IFERROR(INDEX(DefaultAuctionValues!$D$2:$D$331,MATCH(A362,DefaultAuctionValues!$A$2:$A$331,0)),0))))</f>
        <v>0</v>
      </c>
      <c r="L362" s="159">
        <f t="shared" ca="1" si="39"/>
        <v>-10.631282447901757</v>
      </c>
      <c r="M362" s="171"/>
      <c r="N362" s="166">
        <f t="shared" ca="1" si="40"/>
        <v>-32.220000000000006</v>
      </c>
      <c r="O362" s="157" t="str">
        <f t="shared" ca="1" si="41"/>
        <v/>
      </c>
    </row>
    <row r="363" spans="1:15" x14ac:dyDescent="0.35">
      <c r="A363" s="157" t="s">
        <v>500</v>
      </c>
      <c r="B363" s="157" t="s">
        <v>32</v>
      </c>
      <c r="C363" s="157">
        <f ca="1">IFERROR(INDEX(BYEs!$B$2:$B$33,MATCH(D363,BYEs!$A$2:$A$33,0)),"N/A")</f>
        <v>14</v>
      </c>
      <c r="D363" s="214" t="str">
        <f t="shared" ca="1" si="35"/>
        <v>WAS</v>
      </c>
      <c r="E363" s="213" t="str">
        <f t="shared" ca="1" si="36"/>
        <v>WR8</v>
      </c>
      <c r="F363" s="158">
        <f ca="1">IF(LeagueInfo!$H$7="Starter/Bench",INDEX(INDIRECT(""&amp;B363&amp;"!T2:T628"),MATCH(A363,INDIRECT(""&amp;B363&amp;"!B2:B628"),0)),INDEX(INDIRECT(""&amp;B363&amp;"!AB2:AB628"),MATCH(A363,INDIRECT(""&amp;B363&amp;"!B2:B628"),0)))</f>
        <v>-10.687375496199188</v>
      </c>
      <c r="G363" s="159">
        <f t="shared" si="37"/>
        <v>0</v>
      </c>
      <c r="H363" s="160"/>
      <c r="I363" s="159">
        <f t="shared" ca="1" si="38"/>
        <v>-10.687375496199188</v>
      </c>
      <c r="J363" s="159" t="s">
        <v>73</v>
      </c>
      <c r="K363" s="159">
        <f>IF(LeagueInfo!$F$7="Yahoo",IFERROR(INDEX(DefaultAuctionValues!$B$2:$B$331,MATCH(A363,DefaultAuctionValues!$A$2:$A$331,0)),0),IF(LeagueInfo!$F$7="ESPN",IFERROR(INDEX(DefaultAuctionValues!$C$2:$C$331,MATCH(A363,DefaultAuctionValues!$A$2:$A$331,0)),0),IF(LeagueInfo!$F$7="Custom",IFERROR(INDEX(DefaultAuctionValues!$D$2:$D$331,MATCH(A363,DefaultAuctionValues!$A$2:$A$331,0)),0))))</f>
        <v>0</v>
      </c>
      <c r="L363" s="159">
        <f t="shared" ca="1" si="39"/>
        <v>-10.687375496199188</v>
      </c>
      <c r="M363" s="171"/>
      <c r="N363" s="166">
        <f t="shared" ca="1" si="40"/>
        <v>-32.39</v>
      </c>
      <c r="O363" s="157" t="str">
        <f t="shared" ca="1" si="41"/>
        <v/>
      </c>
    </row>
    <row r="364" spans="1:15" x14ac:dyDescent="0.35">
      <c r="A364" s="157" t="s">
        <v>837</v>
      </c>
      <c r="B364" s="157" t="s">
        <v>25</v>
      </c>
      <c r="C364" s="157">
        <f ca="1">IFERROR(INDEX(BYEs!$B$2:$B$33,MATCH(D364,BYEs!$A$2:$A$33,0)),"N/A")</f>
        <v>11</v>
      </c>
      <c r="D364" s="214" t="str">
        <f t="shared" ca="1" si="35"/>
        <v>ARI</v>
      </c>
      <c r="E364" s="213" t="str">
        <f t="shared" ca="1" si="36"/>
        <v>RB8</v>
      </c>
      <c r="F364" s="158">
        <f ca="1">IF(LeagueInfo!$H$7="Starter/Bench",INDEX(INDIRECT(""&amp;B364&amp;"!T2:T628"),MATCH(A364,INDIRECT(""&amp;B364&amp;"!B2:B628"),0)),INDEX(INDIRECT(""&amp;B364&amp;"!AB2:AB628"),MATCH(A364,INDIRECT(""&amp;B364&amp;"!B2:B628"),0)))</f>
        <v>-10.725320793576865</v>
      </c>
      <c r="G364" s="159">
        <f t="shared" si="37"/>
        <v>0</v>
      </c>
      <c r="H364" s="160"/>
      <c r="I364" s="159">
        <f t="shared" ca="1" si="38"/>
        <v>-10.725320793576865</v>
      </c>
      <c r="J364" s="159" t="s">
        <v>73</v>
      </c>
      <c r="K364" s="159">
        <f>IF(LeagueInfo!$F$7="Yahoo",IFERROR(INDEX(DefaultAuctionValues!$B$2:$B$331,MATCH(A364,DefaultAuctionValues!$A$2:$A$331,0)),0),IF(LeagueInfo!$F$7="ESPN",IFERROR(INDEX(DefaultAuctionValues!$C$2:$C$331,MATCH(A364,DefaultAuctionValues!$A$2:$A$331,0)),0),IF(LeagueInfo!$F$7="Custom",IFERROR(INDEX(DefaultAuctionValues!$D$2:$D$331,MATCH(A364,DefaultAuctionValues!$A$2:$A$331,0)),0))))</f>
        <v>0</v>
      </c>
      <c r="L364" s="159">
        <f t="shared" ca="1" si="39"/>
        <v>-10.725320793576865</v>
      </c>
      <c r="M364" s="171"/>
      <c r="N364" s="166">
        <f t="shared" ca="1" si="40"/>
        <v>-32.505000000000003</v>
      </c>
      <c r="O364" s="157" t="str">
        <f t="shared" ca="1" si="41"/>
        <v/>
      </c>
    </row>
    <row r="365" spans="1:15" x14ac:dyDescent="0.35">
      <c r="A365" s="157" t="s">
        <v>802</v>
      </c>
      <c r="B365" s="157" t="s">
        <v>40</v>
      </c>
      <c r="C365" s="157">
        <f ca="1">IFERROR(INDEX(BYEs!$B$2:$B$33,MATCH(D365,BYEs!$A$2:$A$33,0)),"N/A")</f>
        <v>5</v>
      </c>
      <c r="D365" s="214" t="str">
        <f t="shared" ca="1" si="35"/>
        <v>TEN</v>
      </c>
      <c r="E365" s="213" t="str">
        <f t="shared" ca="1" si="36"/>
        <v>TE8</v>
      </c>
      <c r="F365" s="158">
        <f ca="1">IF(LeagueInfo!$H$7="Starter/Bench",INDEX(INDIRECT(""&amp;B365&amp;"!T2:T628"),MATCH(A365,INDIRECT(""&amp;B365&amp;"!B2:B628"),0)),INDEX(INDIRECT(""&amp;B365&amp;"!AB2:AB628"),MATCH(A365,INDIRECT(""&amp;B365&amp;"!B2:B628"),0)))</f>
        <v>-10.758316704340061</v>
      </c>
      <c r="G365" s="159">
        <f t="shared" si="37"/>
        <v>0</v>
      </c>
      <c r="H365" s="160"/>
      <c r="I365" s="159">
        <f t="shared" ca="1" si="38"/>
        <v>-10.758316704340061</v>
      </c>
      <c r="J365" s="159" t="s">
        <v>73</v>
      </c>
      <c r="K365" s="159">
        <f>IF(LeagueInfo!$F$7="Yahoo",IFERROR(INDEX(DefaultAuctionValues!$B$2:$B$331,MATCH(A365,DefaultAuctionValues!$A$2:$A$331,0)),0),IF(LeagueInfo!$F$7="ESPN",IFERROR(INDEX(DefaultAuctionValues!$C$2:$C$331,MATCH(A365,DefaultAuctionValues!$A$2:$A$331,0)),0),IF(LeagueInfo!$F$7="Custom",IFERROR(INDEX(DefaultAuctionValues!$D$2:$D$331,MATCH(A365,DefaultAuctionValues!$A$2:$A$331,0)),0))))</f>
        <v>0</v>
      </c>
      <c r="L365" s="159">
        <f t="shared" ca="1" si="39"/>
        <v>-10.758316704340061</v>
      </c>
      <c r="M365" s="171"/>
      <c r="N365" s="166">
        <f t="shared" ca="1" si="40"/>
        <v>-32.605000000000004</v>
      </c>
      <c r="O365" s="157" t="str">
        <f t="shared" ca="1" si="41"/>
        <v/>
      </c>
    </row>
    <row r="366" spans="1:15" x14ac:dyDescent="0.35">
      <c r="A366" s="157" t="s">
        <v>470</v>
      </c>
      <c r="B366" s="157" t="s">
        <v>32</v>
      </c>
      <c r="C366" s="157">
        <f ca="1">IFERROR(INDEX(BYEs!$B$2:$B$33,MATCH(D366,BYEs!$A$2:$A$33,0)),"N/A")</f>
        <v>12</v>
      </c>
      <c r="D366" s="214" t="str">
        <f t="shared" ca="1" si="35"/>
        <v>ATL</v>
      </c>
      <c r="E366" s="213" t="str">
        <f t="shared" ca="1" si="36"/>
        <v>WR8</v>
      </c>
      <c r="F366" s="158">
        <f ca="1">IF(LeagueInfo!$H$7="Starter/Bench",INDEX(INDIRECT(""&amp;B366&amp;"!T2:T628"),MATCH(A366,INDIRECT(""&amp;B366&amp;"!B2:B628"),0)),INDEX(INDIRECT(""&amp;B366&amp;"!AB2:AB628"),MATCH(A366,INDIRECT(""&amp;B366&amp;"!B2:B628"),0)))</f>
        <v>-10.807810570484852</v>
      </c>
      <c r="G366" s="159">
        <f t="shared" si="37"/>
        <v>0</v>
      </c>
      <c r="H366" s="160"/>
      <c r="I366" s="159">
        <f t="shared" ca="1" si="38"/>
        <v>-10.807810570484852</v>
      </c>
      <c r="J366" s="159" t="s">
        <v>73</v>
      </c>
      <c r="K366" s="159">
        <f>IF(LeagueInfo!$F$7="Yahoo",IFERROR(INDEX(DefaultAuctionValues!$B$2:$B$331,MATCH(A366,DefaultAuctionValues!$A$2:$A$331,0)),0),IF(LeagueInfo!$F$7="ESPN",IFERROR(INDEX(DefaultAuctionValues!$C$2:$C$331,MATCH(A366,DefaultAuctionValues!$A$2:$A$331,0)),0),IF(LeagueInfo!$F$7="Custom",IFERROR(INDEX(DefaultAuctionValues!$D$2:$D$331,MATCH(A366,DefaultAuctionValues!$A$2:$A$331,0)),0))))</f>
        <v>0</v>
      </c>
      <c r="L366" s="159">
        <f t="shared" ca="1" si="39"/>
        <v>-10.807810570484852</v>
      </c>
      <c r="M366" s="171"/>
      <c r="N366" s="166">
        <f t="shared" ca="1" si="40"/>
        <v>-32.754999999999995</v>
      </c>
      <c r="O366" s="157" t="str">
        <f t="shared" ca="1" si="41"/>
        <v/>
      </c>
    </row>
    <row r="367" spans="1:15" x14ac:dyDescent="0.35">
      <c r="A367" s="157" t="s">
        <v>933</v>
      </c>
      <c r="B367" s="157" t="s">
        <v>32</v>
      </c>
      <c r="C367" s="157">
        <f ca="1">IFERROR(INDEX(BYEs!$B$2:$B$33,MATCH(D367,BYEs!$A$2:$A$33,0)),"N/A")</f>
        <v>14</v>
      </c>
      <c r="D367" s="214" t="str">
        <f t="shared" ca="1" si="35"/>
        <v>NE</v>
      </c>
      <c r="E367" s="213" t="str">
        <f t="shared" ca="1" si="36"/>
        <v>WR8</v>
      </c>
      <c r="F367" s="158">
        <f ca="1">IF(LeagueInfo!$H$7="Starter/Bench",INDEX(INDIRECT(""&amp;B367&amp;"!T2:T628"),MATCH(A367,INDIRECT(""&amp;B367&amp;"!B2:B628"),0)),INDEX(INDIRECT(""&amp;B367&amp;"!AB2:AB628"),MATCH(A367,INDIRECT(""&amp;B367&amp;"!B2:B628"),0)))</f>
        <v>-10.844106072324371</v>
      </c>
      <c r="G367" s="159">
        <f t="shared" si="37"/>
        <v>0</v>
      </c>
      <c r="H367" s="160"/>
      <c r="I367" s="159">
        <f t="shared" ca="1" si="38"/>
        <v>-10.844106072324371</v>
      </c>
      <c r="J367" s="159" t="s">
        <v>73</v>
      </c>
      <c r="K367" s="159">
        <f>IF(LeagueInfo!$F$7="Yahoo",IFERROR(INDEX(DefaultAuctionValues!$B$2:$B$331,MATCH(A367,DefaultAuctionValues!$A$2:$A$331,0)),0),IF(LeagueInfo!$F$7="ESPN",IFERROR(INDEX(DefaultAuctionValues!$C$2:$C$331,MATCH(A367,DefaultAuctionValues!$A$2:$A$331,0)),0),IF(LeagueInfo!$F$7="Custom",IFERROR(INDEX(DefaultAuctionValues!$D$2:$D$331,MATCH(A367,DefaultAuctionValues!$A$2:$A$331,0)),0))))</f>
        <v>0</v>
      </c>
      <c r="L367" s="159">
        <f t="shared" ca="1" si="39"/>
        <v>-10.844106072324371</v>
      </c>
      <c r="M367" s="171"/>
      <c r="N367" s="166">
        <f t="shared" ca="1" si="40"/>
        <v>-32.865000000000002</v>
      </c>
      <c r="O367" s="157" t="str">
        <f t="shared" ca="1" si="41"/>
        <v/>
      </c>
    </row>
    <row r="368" spans="1:15" x14ac:dyDescent="0.35">
      <c r="A368" s="157" t="s">
        <v>873</v>
      </c>
      <c r="B368" s="157" t="s">
        <v>25</v>
      </c>
      <c r="C368" s="157">
        <f ca="1">IFERROR(INDEX(BYEs!$B$2:$B$33,MATCH(D368,BYEs!$A$2:$A$33,0)),"N/A")</f>
        <v>5</v>
      </c>
      <c r="D368" s="214" t="str">
        <f t="shared" ca="1" si="35"/>
        <v>PHI</v>
      </c>
      <c r="E368" s="213" t="str">
        <f t="shared" ca="1" si="36"/>
        <v>RB8</v>
      </c>
      <c r="F368" s="158">
        <f ca="1">IF(LeagueInfo!$H$7="Starter/Bench",INDEX(INDIRECT(""&amp;B368&amp;"!T2:T628"),MATCH(A368,INDIRECT(""&amp;B368&amp;"!B2:B628"),0)),INDEX(INDIRECT(""&amp;B368&amp;"!AB2:AB628"),MATCH(A368,INDIRECT(""&amp;B368&amp;"!B2:B628"),0)))</f>
        <v>-10.887000756316526</v>
      </c>
      <c r="G368" s="159">
        <f t="shared" si="37"/>
        <v>0</v>
      </c>
      <c r="H368" s="160"/>
      <c r="I368" s="159">
        <f t="shared" ca="1" si="38"/>
        <v>-10.887000756316526</v>
      </c>
      <c r="J368" s="159" t="s">
        <v>73</v>
      </c>
      <c r="K368" s="159">
        <f>IF(LeagueInfo!$F$7="Yahoo",IFERROR(INDEX(DefaultAuctionValues!$B$2:$B$331,MATCH(A368,DefaultAuctionValues!$A$2:$A$331,0)),0),IF(LeagueInfo!$F$7="ESPN",IFERROR(INDEX(DefaultAuctionValues!$C$2:$C$331,MATCH(A368,DefaultAuctionValues!$A$2:$A$331,0)),0),IF(LeagueInfo!$F$7="Custom",IFERROR(INDEX(DefaultAuctionValues!$D$2:$D$331,MATCH(A368,DefaultAuctionValues!$A$2:$A$331,0)),0))))</f>
        <v>0</v>
      </c>
      <c r="L368" s="159">
        <f t="shared" ca="1" si="39"/>
        <v>-10.887000756316526</v>
      </c>
      <c r="M368" s="171"/>
      <c r="N368" s="166">
        <f t="shared" ca="1" si="40"/>
        <v>-32.995000000000005</v>
      </c>
      <c r="O368" s="157" t="str">
        <f t="shared" ca="1" si="41"/>
        <v/>
      </c>
    </row>
    <row r="369" spans="1:15" x14ac:dyDescent="0.35">
      <c r="A369" s="157" t="s">
        <v>506</v>
      </c>
      <c r="B369" s="157" t="s">
        <v>32</v>
      </c>
      <c r="C369" s="157">
        <f ca="1">IFERROR(INDEX(BYEs!$B$2:$B$33,MATCH(D369,BYEs!$A$2:$A$33,0)),"N/A")</f>
        <v>9</v>
      </c>
      <c r="D369" s="214" t="str">
        <f t="shared" ca="1" si="35"/>
        <v>SF</v>
      </c>
      <c r="E369" s="213" t="str">
        <f t="shared" ca="1" si="36"/>
        <v>WR8</v>
      </c>
      <c r="F369" s="158">
        <f ca="1">IF(LeagueInfo!$H$7="Starter/Bench",INDEX(INDIRECT(""&amp;B369&amp;"!T2:T628"),MATCH(A369,INDIRECT(""&amp;B369&amp;"!B2:B628"),0)),INDEX(INDIRECT(""&amp;B369&amp;"!AB2:AB628"),MATCH(A369,INDIRECT(""&amp;B369&amp;"!B2:B628"),0)))</f>
        <v>-10.908448098312602</v>
      </c>
      <c r="G369" s="159">
        <f t="shared" si="37"/>
        <v>0</v>
      </c>
      <c r="H369" s="160"/>
      <c r="I369" s="159">
        <f t="shared" ca="1" si="38"/>
        <v>-10.908448098312602</v>
      </c>
      <c r="J369" s="159" t="s">
        <v>73</v>
      </c>
      <c r="K369" s="159">
        <f>IF(LeagueInfo!$F$7="Yahoo",IFERROR(INDEX(DefaultAuctionValues!$B$2:$B$331,MATCH(A369,DefaultAuctionValues!$A$2:$A$331,0)),0),IF(LeagueInfo!$F$7="ESPN",IFERROR(INDEX(DefaultAuctionValues!$C$2:$C$331,MATCH(A369,DefaultAuctionValues!$A$2:$A$331,0)),0),IF(LeagueInfo!$F$7="Custom",IFERROR(INDEX(DefaultAuctionValues!$D$2:$D$331,MATCH(A369,DefaultAuctionValues!$A$2:$A$331,0)),0))))</f>
        <v>0</v>
      </c>
      <c r="L369" s="159">
        <f t="shared" ca="1" si="39"/>
        <v>-10.908448098312602</v>
      </c>
      <c r="M369" s="171"/>
      <c r="N369" s="166">
        <f t="shared" ca="1" si="40"/>
        <v>-33.06</v>
      </c>
      <c r="O369" s="157" t="str">
        <f t="shared" ca="1" si="41"/>
        <v/>
      </c>
    </row>
    <row r="370" spans="1:15" x14ac:dyDescent="0.35">
      <c r="A370" s="157" t="s">
        <v>455</v>
      </c>
      <c r="B370" s="157" t="s">
        <v>40</v>
      </c>
      <c r="C370" s="157">
        <f ca="1">IFERROR(INDEX(BYEs!$B$2:$B$33,MATCH(D370,BYEs!$A$2:$A$33,0)),"N/A")</f>
        <v>12</v>
      </c>
      <c r="D370" s="214" t="str">
        <f t="shared" ca="1" si="35"/>
        <v>NO</v>
      </c>
      <c r="E370" s="213" t="str">
        <f t="shared" ca="1" si="36"/>
        <v>TE8</v>
      </c>
      <c r="F370" s="158">
        <f ca="1">IF(LeagueInfo!$H$7="Starter/Bench",INDEX(INDIRECT(""&amp;B370&amp;"!T2:T628"),MATCH(A370,INDIRECT(""&amp;B370&amp;"!B2:B628"),0)),INDEX(INDIRECT(""&amp;B370&amp;"!AB2:AB628"),MATCH(A370,INDIRECT(""&amp;B370&amp;"!B2:B628"),0)))</f>
        <v>-10.910097893850763</v>
      </c>
      <c r="G370" s="159">
        <f t="shared" si="37"/>
        <v>0</v>
      </c>
      <c r="H370" s="160"/>
      <c r="I370" s="159">
        <f t="shared" ca="1" si="38"/>
        <v>-10.910097893850763</v>
      </c>
      <c r="J370" s="159" t="s">
        <v>73</v>
      </c>
      <c r="K370" s="159">
        <f>IF(LeagueInfo!$F$7="Yahoo",IFERROR(INDEX(DefaultAuctionValues!$B$2:$B$331,MATCH(A370,DefaultAuctionValues!$A$2:$A$331,0)),0),IF(LeagueInfo!$F$7="ESPN",IFERROR(INDEX(DefaultAuctionValues!$C$2:$C$331,MATCH(A370,DefaultAuctionValues!$A$2:$A$331,0)),0),IF(LeagueInfo!$F$7="Custom",IFERROR(INDEX(DefaultAuctionValues!$D$2:$D$331,MATCH(A370,DefaultAuctionValues!$A$2:$A$331,0)),0))))</f>
        <v>0</v>
      </c>
      <c r="L370" s="159">
        <f t="shared" ca="1" si="39"/>
        <v>-10.910097893850763</v>
      </c>
      <c r="M370" s="171"/>
      <c r="N370" s="166">
        <f t="shared" ca="1" si="40"/>
        <v>-33.065000000000005</v>
      </c>
      <c r="O370" s="157" t="str">
        <f t="shared" ca="1" si="41"/>
        <v/>
      </c>
    </row>
    <row r="371" spans="1:15" x14ac:dyDescent="0.35">
      <c r="A371" s="157" t="s">
        <v>640</v>
      </c>
      <c r="B371" s="157" t="s">
        <v>40</v>
      </c>
      <c r="C371" s="157">
        <f ca="1">IFERROR(INDEX(BYEs!$B$2:$B$33,MATCH(D371,BYEs!$A$2:$A$33,0)),"N/A")</f>
        <v>9</v>
      </c>
      <c r="D371" s="214" t="str">
        <f t="shared" ca="1" si="35"/>
        <v>PIT</v>
      </c>
      <c r="E371" s="213" t="str">
        <f t="shared" ca="1" si="36"/>
        <v>TE8</v>
      </c>
      <c r="F371" s="158">
        <f ca="1">IF(LeagueInfo!$H$7="Starter/Bench",INDEX(INDIRECT(""&amp;B371&amp;"!T2:T628"),MATCH(A371,INDIRECT(""&amp;B371&amp;"!B2:B628"),0)),INDEX(INDIRECT(""&amp;B371&amp;"!AB2:AB628"),MATCH(A371,INDIRECT(""&amp;B371&amp;"!B2:B628"),0)))</f>
        <v>-10.933195031385001</v>
      </c>
      <c r="G371" s="159">
        <f t="shared" si="37"/>
        <v>0</v>
      </c>
      <c r="H371" s="160"/>
      <c r="I371" s="159">
        <f t="shared" ca="1" si="38"/>
        <v>-10.933195031385001</v>
      </c>
      <c r="J371" s="159" t="s">
        <v>73</v>
      </c>
      <c r="K371" s="159">
        <f>IF(LeagueInfo!$F$7="Yahoo",IFERROR(INDEX(DefaultAuctionValues!$B$2:$B$331,MATCH(A371,DefaultAuctionValues!$A$2:$A$331,0)),0),IF(LeagueInfo!$F$7="ESPN",IFERROR(INDEX(DefaultAuctionValues!$C$2:$C$331,MATCH(A371,DefaultAuctionValues!$A$2:$A$331,0)),0),IF(LeagueInfo!$F$7="Custom",IFERROR(INDEX(DefaultAuctionValues!$D$2:$D$331,MATCH(A371,DefaultAuctionValues!$A$2:$A$331,0)),0))))</f>
        <v>0</v>
      </c>
      <c r="L371" s="159">
        <f t="shared" ca="1" si="39"/>
        <v>-10.933195031385001</v>
      </c>
      <c r="M371" s="171"/>
      <c r="N371" s="166">
        <f t="shared" ca="1" si="40"/>
        <v>-33.135000000000005</v>
      </c>
      <c r="O371" s="157" t="str">
        <f t="shared" ca="1" si="41"/>
        <v/>
      </c>
    </row>
    <row r="372" spans="1:15" x14ac:dyDescent="0.35">
      <c r="A372" s="157" t="s">
        <v>372</v>
      </c>
      <c r="B372" s="157" t="s">
        <v>40</v>
      </c>
      <c r="C372" s="157">
        <f ca="1">IFERROR(INDEX(BYEs!$B$2:$B$33,MATCH(D372,BYEs!$A$2:$A$33,0)),"N/A")</f>
        <v>10</v>
      </c>
      <c r="D372" s="214" t="str">
        <f t="shared" ca="1" si="35"/>
        <v>CLE</v>
      </c>
      <c r="E372" s="213" t="str">
        <f t="shared" ca="1" si="36"/>
        <v>TE8</v>
      </c>
      <c r="F372" s="158">
        <f ca="1">IF(LeagueInfo!$H$7="Starter/Bench",INDEX(INDIRECT(""&amp;B372&amp;"!T2:T628"),MATCH(A372,INDIRECT(""&amp;B372&amp;"!B2:B628"),0)),INDEX(INDIRECT(""&amp;B372&amp;"!AB2:AB628"),MATCH(A372,INDIRECT(""&amp;B372&amp;"!B2:B628"),0)))</f>
        <v>-10.93979421353764</v>
      </c>
      <c r="G372" s="159">
        <f t="shared" si="37"/>
        <v>0</v>
      </c>
      <c r="H372" s="160"/>
      <c r="I372" s="159">
        <f t="shared" ca="1" si="38"/>
        <v>-10.93979421353764</v>
      </c>
      <c r="J372" s="159" t="s">
        <v>73</v>
      </c>
      <c r="K372" s="159">
        <f>IF(LeagueInfo!$F$7="Yahoo",IFERROR(INDEX(DefaultAuctionValues!$B$2:$B$331,MATCH(A372,DefaultAuctionValues!$A$2:$A$331,0)),0),IF(LeagueInfo!$F$7="ESPN",IFERROR(INDEX(DefaultAuctionValues!$C$2:$C$331,MATCH(A372,DefaultAuctionValues!$A$2:$A$331,0)),0),IF(LeagueInfo!$F$7="Custom",IFERROR(INDEX(DefaultAuctionValues!$D$2:$D$331,MATCH(A372,DefaultAuctionValues!$A$2:$A$331,0)),0))))</f>
        <v>0</v>
      </c>
      <c r="L372" s="159">
        <f t="shared" ca="1" si="39"/>
        <v>-10.93979421353764</v>
      </c>
      <c r="M372" s="171"/>
      <c r="N372" s="166">
        <f t="shared" ca="1" si="40"/>
        <v>-33.155000000000008</v>
      </c>
      <c r="O372" s="157" t="str">
        <f t="shared" ca="1" si="41"/>
        <v/>
      </c>
    </row>
    <row r="373" spans="1:15" x14ac:dyDescent="0.35">
      <c r="A373" s="157" t="s">
        <v>1001</v>
      </c>
      <c r="B373" s="157" t="s">
        <v>40</v>
      </c>
      <c r="C373" s="157">
        <f ca="1">IFERROR(INDEX(BYEs!$B$2:$B$33,MATCH(D373,BYEs!$A$2:$A$33,0)),"N/A")</f>
        <v>11</v>
      </c>
      <c r="D373" s="214" t="str">
        <f t="shared" ca="1" si="35"/>
        <v>TB</v>
      </c>
      <c r="E373" s="213" t="str">
        <f t="shared" ca="1" si="36"/>
        <v>TE8</v>
      </c>
      <c r="F373" s="158">
        <f ca="1">IF(LeagueInfo!$H$7="Starter/Bench",INDEX(INDIRECT(""&amp;B373&amp;"!T2:T628"),MATCH(A373,INDIRECT(""&amp;B373&amp;"!B2:B628"),0)),INDEX(INDIRECT(""&amp;B373&amp;"!AB2:AB628"),MATCH(A373,INDIRECT(""&amp;B373&amp;"!B2:B628"),0)))</f>
        <v>-10.959591759995556</v>
      </c>
      <c r="G373" s="159">
        <f t="shared" si="37"/>
        <v>0</v>
      </c>
      <c r="H373" s="160"/>
      <c r="I373" s="159">
        <f t="shared" ca="1" si="38"/>
        <v>-10.959591759995556</v>
      </c>
      <c r="J373" s="159" t="s">
        <v>73</v>
      </c>
      <c r="K373" s="159">
        <f>IF(LeagueInfo!$F$7="Yahoo",IFERROR(INDEX(DefaultAuctionValues!$B$2:$B$331,MATCH(A373,DefaultAuctionValues!$A$2:$A$331,0)),0),IF(LeagueInfo!$F$7="ESPN",IFERROR(INDEX(DefaultAuctionValues!$C$2:$C$331,MATCH(A373,DefaultAuctionValues!$A$2:$A$331,0)),0),IF(LeagueInfo!$F$7="Custom",IFERROR(INDEX(DefaultAuctionValues!$D$2:$D$331,MATCH(A373,DefaultAuctionValues!$A$2:$A$331,0)),0))))</f>
        <v>0</v>
      </c>
      <c r="L373" s="159">
        <f t="shared" ca="1" si="39"/>
        <v>-10.959591759995556</v>
      </c>
      <c r="M373" s="171"/>
      <c r="N373" s="166">
        <f t="shared" ca="1" si="40"/>
        <v>-33.215000000000003</v>
      </c>
      <c r="O373" s="157" t="str">
        <f t="shared" ca="1" si="41"/>
        <v/>
      </c>
    </row>
    <row r="374" spans="1:15" x14ac:dyDescent="0.35">
      <c r="A374" s="157" t="s">
        <v>941</v>
      </c>
      <c r="B374" s="157" t="s">
        <v>40</v>
      </c>
      <c r="C374" s="157">
        <f ca="1">IFERROR(INDEX(BYEs!$B$2:$B$33,MATCH(D374,BYEs!$A$2:$A$33,0)),"N/A")</f>
        <v>12</v>
      </c>
      <c r="D374" s="214" t="str">
        <f t="shared" ca="1" si="35"/>
        <v>CIN</v>
      </c>
      <c r="E374" s="213" t="str">
        <f t="shared" ca="1" si="36"/>
        <v>TE8</v>
      </c>
      <c r="F374" s="158">
        <f ca="1">IF(LeagueInfo!$H$7="Starter/Bench",INDEX(INDIRECT(""&amp;B374&amp;"!T2:T628"),MATCH(A374,INDIRECT(""&amp;B374&amp;"!B2:B628"),0)),INDEX(INDIRECT(""&amp;B374&amp;"!AB2:AB628"),MATCH(A374,INDIRECT(""&amp;B374&amp;"!B2:B628"),0)))</f>
        <v>-10.984338693067954</v>
      </c>
      <c r="G374" s="159">
        <f t="shared" si="37"/>
        <v>0</v>
      </c>
      <c r="H374" s="160"/>
      <c r="I374" s="159">
        <f t="shared" ca="1" si="38"/>
        <v>-10.984338693067954</v>
      </c>
      <c r="J374" s="159" t="s">
        <v>73</v>
      </c>
      <c r="K374" s="159">
        <f>IF(LeagueInfo!$F$7="Yahoo",IFERROR(INDEX(DefaultAuctionValues!$B$2:$B$331,MATCH(A374,DefaultAuctionValues!$A$2:$A$331,0)),0),IF(LeagueInfo!$F$7="ESPN",IFERROR(INDEX(DefaultAuctionValues!$C$2:$C$331,MATCH(A374,DefaultAuctionValues!$A$2:$A$331,0)),0),IF(LeagueInfo!$F$7="Custom",IFERROR(INDEX(DefaultAuctionValues!$D$2:$D$331,MATCH(A374,DefaultAuctionValues!$A$2:$A$331,0)),0))))</f>
        <v>0</v>
      </c>
      <c r="L374" s="159">
        <f t="shared" ca="1" si="39"/>
        <v>-10.984338693067954</v>
      </c>
      <c r="M374" s="171"/>
      <c r="N374" s="166">
        <f t="shared" ca="1" si="40"/>
        <v>-33.290000000000006</v>
      </c>
      <c r="O374" s="157" t="str">
        <f t="shared" ca="1" si="41"/>
        <v/>
      </c>
    </row>
    <row r="375" spans="1:15" x14ac:dyDescent="0.35">
      <c r="A375" s="157" t="s">
        <v>737</v>
      </c>
      <c r="B375" s="157" t="s">
        <v>40</v>
      </c>
      <c r="C375" s="157">
        <f ca="1">IFERROR(INDEX(BYEs!$B$2:$B$33,MATCH(D375,BYEs!$A$2:$A$33,0)),"N/A")</f>
        <v>14</v>
      </c>
      <c r="D375" s="214" t="str">
        <f t="shared" ca="1" si="35"/>
        <v>IND</v>
      </c>
      <c r="E375" s="213" t="str">
        <f t="shared" ca="1" si="36"/>
        <v>TE8</v>
      </c>
      <c r="F375" s="158">
        <f ca="1">IF(LeagueInfo!$H$7="Starter/Bench",INDEX(INDIRECT(""&amp;B375&amp;"!T2:T628"),MATCH(A375,INDIRECT(""&amp;B375&amp;"!B2:B628"),0)),INDEX(INDIRECT(""&amp;B375&amp;"!AB2:AB628"),MATCH(A375,INDIRECT(""&amp;B375&amp;"!B2:B628"),0)))</f>
        <v>-11.00578603506403</v>
      </c>
      <c r="G375" s="159">
        <f t="shared" si="37"/>
        <v>0</v>
      </c>
      <c r="H375" s="160"/>
      <c r="I375" s="159">
        <f t="shared" ca="1" si="38"/>
        <v>-11.00578603506403</v>
      </c>
      <c r="J375" s="159" t="s">
        <v>73</v>
      </c>
      <c r="K375" s="159">
        <f>IF(LeagueInfo!$F$7="Yahoo",IFERROR(INDEX(DefaultAuctionValues!$B$2:$B$331,MATCH(A375,DefaultAuctionValues!$A$2:$A$331,0)),0),IF(LeagueInfo!$F$7="ESPN",IFERROR(INDEX(DefaultAuctionValues!$C$2:$C$331,MATCH(A375,DefaultAuctionValues!$A$2:$A$331,0)),0),IF(LeagueInfo!$F$7="Custom",IFERROR(INDEX(DefaultAuctionValues!$D$2:$D$331,MATCH(A375,DefaultAuctionValues!$A$2:$A$331,0)),0))))</f>
        <v>1</v>
      </c>
      <c r="L375" s="159">
        <f t="shared" ca="1" si="39"/>
        <v>-12.00578603506403</v>
      </c>
      <c r="M375" s="171"/>
      <c r="N375" s="166">
        <f t="shared" ca="1" si="40"/>
        <v>-33.355000000000004</v>
      </c>
      <c r="O375" s="157" t="str">
        <f t="shared" ca="1" si="41"/>
        <v/>
      </c>
    </row>
    <row r="376" spans="1:15" x14ac:dyDescent="0.35">
      <c r="A376" s="157" t="s">
        <v>844</v>
      </c>
      <c r="B376" s="157" t="s">
        <v>40</v>
      </c>
      <c r="C376" s="157">
        <f ca="1">IFERROR(INDEX(BYEs!$B$2:$B$33,MATCH(D376,BYEs!$A$2:$A$33,0)),"N/A")</f>
        <v>10</v>
      </c>
      <c r="D376" s="214" t="str">
        <f t="shared" ca="1" si="35"/>
        <v>SEA</v>
      </c>
      <c r="E376" s="213" t="str">
        <f t="shared" ca="1" si="36"/>
        <v>TE8</v>
      </c>
      <c r="F376" s="158">
        <f ca="1">IF(LeagueInfo!$H$7="Starter/Bench",INDEX(INDIRECT(""&amp;B376&amp;"!T2:T628"),MATCH(A376,INDIRECT(""&amp;B376&amp;"!B2:B628"),0)),INDEX(INDIRECT(""&amp;B376&amp;"!AB2:AB628"),MATCH(A376,INDIRECT(""&amp;B376&amp;"!B2:B628"),0)))</f>
        <v>-11.051980310132507</v>
      </c>
      <c r="G376" s="159">
        <f t="shared" si="37"/>
        <v>0</v>
      </c>
      <c r="H376" s="160"/>
      <c r="I376" s="159">
        <f t="shared" ca="1" si="38"/>
        <v>-11.051980310132507</v>
      </c>
      <c r="J376" s="159" t="s">
        <v>73</v>
      </c>
      <c r="K376" s="159">
        <f>IF(LeagueInfo!$F$7="Yahoo",IFERROR(INDEX(DefaultAuctionValues!$B$2:$B$331,MATCH(A376,DefaultAuctionValues!$A$2:$A$331,0)),0),IF(LeagueInfo!$F$7="ESPN",IFERROR(INDEX(DefaultAuctionValues!$C$2:$C$331,MATCH(A376,DefaultAuctionValues!$A$2:$A$331,0)),0),IF(LeagueInfo!$F$7="Custom",IFERROR(INDEX(DefaultAuctionValues!$D$2:$D$331,MATCH(A376,DefaultAuctionValues!$A$2:$A$331,0)),0))))</f>
        <v>0</v>
      </c>
      <c r="L376" s="159">
        <f t="shared" ca="1" si="39"/>
        <v>-11.051980310132507</v>
      </c>
      <c r="M376" s="171"/>
      <c r="N376" s="166">
        <f t="shared" ca="1" si="40"/>
        <v>-33.495000000000005</v>
      </c>
      <c r="O376" s="157" t="str">
        <f t="shared" ca="1" si="41"/>
        <v/>
      </c>
    </row>
    <row r="377" spans="1:15" x14ac:dyDescent="0.35">
      <c r="A377" s="157" t="s">
        <v>847</v>
      </c>
      <c r="B377" s="157" t="s">
        <v>32</v>
      </c>
      <c r="C377" s="157">
        <f ca="1">IFERROR(INDEX(BYEs!$B$2:$B$33,MATCH(D377,BYEs!$A$2:$A$33,0)),"N/A")</f>
        <v>12</v>
      </c>
      <c r="D377" s="214" t="str">
        <f t="shared" ca="1" si="35"/>
        <v>NYJ</v>
      </c>
      <c r="E377" s="213" t="str">
        <f t="shared" ca="1" si="36"/>
        <v>WR8</v>
      </c>
      <c r="F377" s="158">
        <f ca="1">IF(LeagueInfo!$H$7="Starter/Bench",INDEX(INDIRECT(""&amp;B377&amp;"!T2:T628"),MATCH(A377,INDIRECT(""&amp;B377&amp;"!B2:B628"),0)),INDEX(INDIRECT(""&amp;B377&amp;"!AB2:AB628"),MATCH(A377,INDIRECT(""&amp;B377&amp;"!B2:B628"),0)))</f>
        <v>-11.063528878899623</v>
      </c>
      <c r="G377" s="159">
        <f t="shared" si="37"/>
        <v>0</v>
      </c>
      <c r="H377" s="160"/>
      <c r="I377" s="159">
        <f t="shared" ca="1" si="38"/>
        <v>-11.063528878899623</v>
      </c>
      <c r="J377" s="159" t="s">
        <v>73</v>
      </c>
      <c r="K377" s="159">
        <f>IF(LeagueInfo!$F$7="Yahoo",IFERROR(INDEX(DefaultAuctionValues!$B$2:$B$331,MATCH(A377,DefaultAuctionValues!$A$2:$A$331,0)),0),IF(LeagueInfo!$F$7="ESPN",IFERROR(INDEX(DefaultAuctionValues!$C$2:$C$331,MATCH(A377,DefaultAuctionValues!$A$2:$A$331,0)),0),IF(LeagueInfo!$F$7="Custom",IFERROR(INDEX(DefaultAuctionValues!$D$2:$D$331,MATCH(A377,DefaultAuctionValues!$A$2:$A$331,0)),0))))</f>
        <v>0</v>
      </c>
      <c r="L377" s="159">
        <f t="shared" ca="1" si="39"/>
        <v>-11.063528878899623</v>
      </c>
      <c r="M377" s="171"/>
      <c r="N377" s="166">
        <f t="shared" ca="1" si="40"/>
        <v>-33.53</v>
      </c>
      <c r="O377" s="157" t="str">
        <f t="shared" ca="1" si="41"/>
        <v/>
      </c>
    </row>
    <row r="378" spans="1:15" x14ac:dyDescent="0.35">
      <c r="A378" s="157" t="s">
        <v>442</v>
      </c>
      <c r="B378" s="157" t="s">
        <v>32</v>
      </c>
      <c r="C378" s="157">
        <f ca="1">IFERROR(INDEX(BYEs!$B$2:$B$33,MATCH(D378,BYEs!$A$2:$A$33,0)),"N/A")</f>
        <v>12</v>
      </c>
      <c r="D378" s="214" t="str">
        <f t="shared" ca="1" si="35"/>
        <v>NYJ</v>
      </c>
      <c r="E378" s="213" t="str">
        <f t="shared" ca="1" si="36"/>
        <v>WR8</v>
      </c>
      <c r="F378" s="158">
        <f ca="1">IF(LeagueInfo!$H$7="Starter/Bench",INDEX(INDIRECT(""&amp;B378&amp;"!T2:T628"),MATCH(A378,INDIRECT(""&amp;B378&amp;"!B2:B628"),0)),INDEX(INDIRECT(""&amp;B378&amp;"!AB2:AB628"),MATCH(A378,INDIRECT(""&amp;B378&amp;"!B2:B628"),0)))</f>
        <v>-11.117972131658899</v>
      </c>
      <c r="G378" s="159">
        <f t="shared" si="37"/>
        <v>0</v>
      </c>
      <c r="H378" s="160"/>
      <c r="I378" s="159">
        <f t="shared" ca="1" si="38"/>
        <v>-11.117972131658899</v>
      </c>
      <c r="J378" s="159" t="s">
        <v>73</v>
      </c>
      <c r="K378" s="159">
        <f>IF(LeagueInfo!$F$7="Yahoo",IFERROR(INDEX(DefaultAuctionValues!$B$2:$B$331,MATCH(A378,DefaultAuctionValues!$A$2:$A$331,0)),0),IF(LeagueInfo!$F$7="ESPN",IFERROR(INDEX(DefaultAuctionValues!$C$2:$C$331,MATCH(A378,DefaultAuctionValues!$A$2:$A$331,0)),0),IF(LeagueInfo!$F$7="Custom",IFERROR(INDEX(DefaultAuctionValues!$D$2:$D$331,MATCH(A378,DefaultAuctionValues!$A$2:$A$331,0)),0))))</f>
        <v>0</v>
      </c>
      <c r="L378" s="159">
        <f t="shared" ca="1" si="39"/>
        <v>-11.117972131658899</v>
      </c>
      <c r="M378" s="171"/>
      <c r="N378" s="166">
        <f t="shared" ca="1" si="40"/>
        <v>-33.695000000000007</v>
      </c>
      <c r="O378" s="157" t="str">
        <f t="shared" ca="1" si="41"/>
        <v/>
      </c>
    </row>
    <row r="379" spans="1:15" x14ac:dyDescent="0.35">
      <c r="A379" s="157" t="s">
        <v>244</v>
      </c>
      <c r="B379" s="157" t="s">
        <v>25</v>
      </c>
      <c r="C379" s="157">
        <f ca="1">IFERROR(INDEX(BYEs!$B$2:$B$33,MATCH(D379,BYEs!$A$2:$A$33,0)),"N/A")</f>
        <v>9</v>
      </c>
      <c r="D379" s="214" t="str">
        <f t="shared" ca="1" si="35"/>
        <v>PIT</v>
      </c>
      <c r="E379" s="213" t="str">
        <f t="shared" ca="1" si="36"/>
        <v>RB8</v>
      </c>
      <c r="F379" s="158">
        <f ca="1">IF(LeagueInfo!$H$7="Starter/Bench",INDEX(INDIRECT(""&amp;B379&amp;"!T2:T628"),MATCH(A379,INDIRECT(""&amp;B379&amp;"!B2:B628"),0)),INDEX(INDIRECT(""&amp;B379&amp;"!AB2:AB628"),MATCH(A379,INDIRECT(""&amp;B379&amp;"!B2:B628"),0)))</f>
        <v>-11.127870904887859</v>
      </c>
      <c r="G379" s="159">
        <f t="shared" si="37"/>
        <v>0</v>
      </c>
      <c r="H379" s="160"/>
      <c r="I379" s="159">
        <f t="shared" ca="1" si="38"/>
        <v>-11.127870904887859</v>
      </c>
      <c r="J379" s="159" t="s">
        <v>73</v>
      </c>
      <c r="K379" s="159">
        <f>IF(LeagueInfo!$F$7="Yahoo",IFERROR(INDEX(DefaultAuctionValues!$B$2:$B$331,MATCH(A379,DefaultAuctionValues!$A$2:$A$331,0)),0),IF(LeagueInfo!$F$7="ESPN",IFERROR(INDEX(DefaultAuctionValues!$C$2:$C$331,MATCH(A379,DefaultAuctionValues!$A$2:$A$331,0)),0),IF(LeagueInfo!$F$7="Custom",IFERROR(INDEX(DefaultAuctionValues!$D$2:$D$331,MATCH(A379,DefaultAuctionValues!$A$2:$A$331,0)),0))))</f>
        <v>0</v>
      </c>
      <c r="L379" s="159">
        <f t="shared" ca="1" si="39"/>
        <v>-11.127870904887859</v>
      </c>
      <c r="M379" s="171"/>
      <c r="N379" s="166">
        <f t="shared" ca="1" si="40"/>
        <v>-33.725000000000009</v>
      </c>
      <c r="O379" s="157" t="str">
        <f t="shared" ca="1" si="41"/>
        <v/>
      </c>
    </row>
    <row r="380" spans="1:15" x14ac:dyDescent="0.35">
      <c r="A380" s="157" t="s">
        <v>800</v>
      </c>
      <c r="B380" s="157" t="s">
        <v>40</v>
      </c>
      <c r="C380" s="157">
        <f ca="1">IFERROR(INDEX(BYEs!$B$2:$B$33,MATCH(D380,BYEs!$A$2:$A$33,0)),"N/A")</f>
        <v>6</v>
      </c>
      <c r="D380" s="214" t="str">
        <f t="shared" ca="1" si="35"/>
        <v>LAR</v>
      </c>
      <c r="E380" s="213" t="str">
        <f t="shared" ca="1" si="36"/>
        <v>TE8</v>
      </c>
      <c r="F380" s="158">
        <f ca="1">IF(LeagueInfo!$H$7="Starter/Bench",INDEX(INDIRECT(""&amp;B380&amp;"!T2:T628"),MATCH(A380,INDIRECT(""&amp;B380&amp;"!B2:B628"),0)),INDEX(INDIRECT(""&amp;B380&amp;"!AB2:AB628"),MATCH(A380,INDIRECT(""&amp;B380&amp;"!B2:B628"),0)))</f>
        <v>-11.132820291502338</v>
      </c>
      <c r="G380" s="159">
        <f t="shared" si="37"/>
        <v>0</v>
      </c>
      <c r="H380" s="160"/>
      <c r="I380" s="159">
        <f t="shared" ca="1" si="38"/>
        <v>-11.132820291502338</v>
      </c>
      <c r="J380" s="159" t="s">
        <v>73</v>
      </c>
      <c r="K380" s="159">
        <f>IF(LeagueInfo!$F$7="Yahoo",IFERROR(INDEX(DefaultAuctionValues!$B$2:$B$331,MATCH(A380,DefaultAuctionValues!$A$2:$A$331,0)),0),IF(LeagueInfo!$F$7="ESPN",IFERROR(INDEX(DefaultAuctionValues!$C$2:$C$331,MATCH(A380,DefaultAuctionValues!$A$2:$A$331,0)),0),IF(LeagueInfo!$F$7="Custom",IFERROR(INDEX(DefaultAuctionValues!$D$2:$D$331,MATCH(A380,DefaultAuctionValues!$A$2:$A$331,0)),0))))</f>
        <v>0</v>
      </c>
      <c r="L380" s="159">
        <f t="shared" ca="1" si="39"/>
        <v>-11.132820291502338</v>
      </c>
      <c r="M380" s="171"/>
      <c r="N380" s="166">
        <f t="shared" ca="1" si="40"/>
        <v>-33.740000000000009</v>
      </c>
      <c r="O380" s="157" t="str">
        <f t="shared" ca="1" si="41"/>
        <v/>
      </c>
    </row>
    <row r="381" spans="1:15" x14ac:dyDescent="0.35">
      <c r="A381" s="157" t="s">
        <v>950</v>
      </c>
      <c r="B381" s="157" t="s">
        <v>40</v>
      </c>
      <c r="C381" s="157">
        <f ca="1">IFERROR(INDEX(BYEs!$B$2:$B$33,MATCH(D381,BYEs!$A$2:$A$33,0)),"N/A")</f>
        <v>10</v>
      </c>
      <c r="D381" s="214" t="str">
        <f t="shared" ca="1" si="35"/>
        <v>SEA</v>
      </c>
      <c r="E381" s="213" t="str">
        <f t="shared" ca="1" si="36"/>
        <v>TE8</v>
      </c>
      <c r="F381" s="158">
        <f ca="1">IF(LeagueInfo!$H$7="Starter/Bench",INDEX(INDIRECT(""&amp;B381&amp;"!T2:T628"),MATCH(A381,INDIRECT(""&amp;B381&amp;"!B2:B628"),0)),INDEX(INDIRECT(""&amp;B381&amp;"!AB2:AB628"),MATCH(A381,INDIRECT(""&amp;B381&amp;"!B2:B628"),0)))</f>
        <v>-11.182314157647129</v>
      </c>
      <c r="G381" s="159">
        <f t="shared" si="37"/>
        <v>0</v>
      </c>
      <c r="H381" s="160"/>
      <c r="I381" s="159">
        <f t="shared" ca="1" si="38"/>
        <v>-11.182314157647129</v>
      </c>
      <c r="J381" s="159" t="s">
        <v>73</v>
      </c>
      <c r="K381" s="159">
        <f>IF(LeagueInfo!$F$7="Yahoo",IFERROR(INDEX(DefaultAuctionValues!$B$2:$B$331,MATCH(A381,DefaultAuctionValues!$A$2:$A$331,0)),0),IF(LeagueInfo!$F$7="ESPN",IFERROR(INDEX(DefaultAuctionValues!$C$2:$C$331,MATCH(A381,DefaultAuctionValues!$A$2:$A$331,0)),0),IF(LeagueInfo!$F$7="Custom",IFERROR(INDEX(DefaultAuctionValues!$D$2:$D$331,MATCH(A381,DefaultAuctionValues!$A$2:$A$331,0)),0))))</f>
        <v>0</v>
      </c>
      <c r="L381" s="159">
        <f t="shared" ca="1" si="39"/>
        <v>-11.182314157647129</v>
      </c>
      <c r="M381" s="171"/>
      <c r="N381" s="166">
        <f t="shared" ca="1" si="40"/>
        <v>-33.89</v>
      </c>
      <c r="O381" s="157" t="str">
        <f t="shared" ca="1" si="41"/>
        <v/>
      </c>
    </row>
    <row r="382" spans="1:15" x14ac:dyDescent="0.35">
      <c r="A382" s="157" t="s">
        <v>375</v>
      </c>
      <c r="B382" s="157" t="s">
        <v>40</v>
      </c>
      <c r="C382" s="157">
        <f ca="1">IFERROR(INDEX(BYEs!$B$2:$B$33,MATCH(D382,BYEs!$A$2:$A$33,0)),"N/A")</f>
        <v>11</v>
      </c>
      <c r="D382" s="214" t="str">
        <f t="shared" ca="1" si="35"/>
        <v>CAR</v>
      </c>
      <c r="E382" s="213" t="str">
        <f t="shared" ca="1" si="36"/>
        <v>TE8</v>
      </c>
      <c r="F382" s="158">
        <f ca="1">IF(LeagueInfo!$H$7="Starter/Bench",INDEX(INDIRECT(""&amp;B382&amp;"!T2:T628"),MATCH(A382,INDIRECT(""&amp;B382&amp;"!B2:B628"),0)),INDEX(INDIRECT(""&amp;B382&amp;"!AB2:AB628"),MATCH(A382,INDIRECT(""&amp;B382&amp;"!B2:B628"),0)))</f>
        <v>-11.203761499643209</v>
      </c>
      <c r="G382" s="159">
        <f t="shared" si="37"/>
        <v>0</v>
      </c>
      <c r="H382" s="160"/>
      <c r="I382" s="159">
        <f t="shared" ca="1" si="38"/>
        <v>-11.203761499643209</v>
      </c>
      <c r="J382" s="159" t="s">
        <v>73</v>
      </c>
      <c r="K382" s="159">
        <f>IF(LeagueInfo!$F$7="Yahoo",IFERROR(INDEX(DefaultAuctionValues!$B$2:$B$331,MATCH(A382,DefaultAuctionValues!$A$2:$A$331,0)),0),IF(LeagueInfo!$F$7="ESPN",IFERROR(INDEX(DefaultAuctionValues!$C$2:$C$331,MATCH(A382,DefaultAuctionValues!$A$2:$A$331,0)),0),IF(LeagueInfo!$F$7="Custom",IFERROR(INDEX(DefaultAuctionValues!$D$2:$D$331,MATCH(A382,DefaultAuctionValues!$A$2:$A$331,0)),0))))</f>
        <v>0</v>
      </c>
      <c r="L382" s="159">
        <f t="shared" ca="1" si="39"/>
        <v>-11.203761499643209</v>
      </c>
      <c r="M382" s="171"/>
      <c r="N382" s="166">
        <f t="shared" ca="1" si="40"/>
        <v>-33.955000000000005</v>
      </c>
      <c r="O382" s="157" t="str">
        <f t="shared" ca="1" si="41"/>
        <v/>
      </c>
    </row>
    <row r="383" spans="1:15" x14ac:dyDescent="0.35">
      <c r="A383" s="157" t="s">
        <v>735</v>
      </c>
      <c r="B383" s="157" t="s">
        <v>25</v>
      </c>
      <c r="C383" s="157">
        <f ca="1">IFERROR(INDEX(BYEs!$B$2:$B$33,MATCH(D383,BYEs!$A$2:$A$33,0)),"N/A")</f>
        <v>14</v>
      </c>
      <c r="D383" s="214" t="str">
        <f t="shared" ca="1" si="35"/>
        <v>IND</v>
      </c>
      <c r="E383" s="213" t="str">
        <f t="shared" ca="1" si="36"/>
        <v>RB8</v>
      </c>
      <c r="F383" s="158">
        <f ca="1">IF(LeagueInfo!$H$7="Starter/Bench",INDEX(INDIRECT(""&amp;B383&amp;"!T2:T628"),MATCH(A383,INDIRECT(""&amp;B383&amp;"!B2:B628"),0)),INDEX(INDIRECT(""&amp;B383&amp;"!AB2:AB628"),MATCH(A383,INDIRECT(""&amp;B383&amp;"!B2:B628"),0)))</f>
        <v>-11.281301889936719</v>
      </c>
      <c r="G383" s="159">
        <f t="shared" si="37"/>
        <v>0</v>
      </c>
      <c r="H383" s="160"/>
      <c r="I383" s="159">
        <f t="shared" ca="1" si="38"/>
        <v>-11.281301889936719</v>
      </c>
      <c r="J383" s="159" t="s">
        <v>73</v>
      </c>
      <c r="K383" s="159">
        <f>IF(LeagueInfo!$F$7="Yahoo",IFERROR(INDEX(DefaultAuctionValues!$B$2:$B$331,MATCH(A383,DefaultAuctionValues!$A$2:$A$331,0)),0),IF(LeagueInfo!$F$7="ESPN",IFERROR(INDEX(DefaultAuctionValues!$C$2:$C$331,MATCH(A383,DefaultAuctionValues!$A$2:$A$331,0)),0),IF(LeagueInfo!$F$7="Custom",IFERROR(INDEX(DefaultAuctionValues!$D$2:$D$331,MATCH(A383,DefaultAuctionValues!$A$2:$A$331,0)),0))))</f>
        <v>0</v>
      </c>
      <c r="L383" s="159">
        <f t="shared" ca="1" si="39"/>
        <v>-11.281301889936719</v>
      </c>
      <c r="M383" s="171"/>
      <c r="N383" s="166">
        <f t="shared" ca="1" si="40"/>
        <v>-34.190000000000005</v>
      </c>
      <c r="O383" s="157" t="str">
        <f t="shared" ca="1" si="41"/>
        <v/>
      </c>
    </row>
    <row r="384" spans="1:15" x14ac:dyDescent="0.35">
      <c r="A384" s="157" t="s">
        <v>700</v>
      </c>
      <c r="B384" s="157" t="s">
        <v>40</v>
      </c>
      <c r="C384" s="157">
        <f ca="1">IFERROR(INDEX(BYEs!$B$2:$B$33,MATCH(D384,BYEs!$A$2:$A$33,0)),"N/A")</f>
        <v>5</v>
      </c>
      <c r="D384" s="214" t="str">
        <f t="shared" ca="1" si="35"/>
        <v>LAC</v>
      </c>
      <c r="E384" s="213" t="str">
        <f t="shared" ca="1" si="36"/>
        <v>TE8</v>
      </c>
      <c r="F384" s="158">
        <f ca="1">IF(LeagueInfo!$H$7="Starter/Bench",INDEX(INDIRECT(""&amp;B384&amp;"!T2:T628"),MATCH(A384,INDIRECT(""&amp;B384&amp;"!B2:B628"),0)),INDEX(INDIRECT(""&amp;B384&amp;"!AB2:AB628"),MATCH(A384,INDIRECT(""&amp;B384&amp;"!B2:B628"),0)))</f>
        <v>-11.291200663165677</v>
      </c>
      <c r="G384" s="159">
        <f t="shared" si="37"/>
        <v>0</v>
      </c>
      <c r="H384" s="160"/>
      <c r="I384" s="159">
        <f t="shared" ca="1" si="38"/>
        <v>-11.291200663165677</v>
      </c>
      <c r="J384" s="159" t="s">
        <v>73</v>
      </c>
      <c r="K384" s="159">
        <f>IF(LeagueInfo!$F$7="Yahoo",IFERROR(INDEX(DefaultAuctionValues!$B$2:$B$331,MATCH(A384,DefaultAuctionValues!$A$2:$A$331,0)),0),IF(LeagueInfo!$F$7="ESPN",IFERROR(INDEX(DefaultAuctionValues!$C$2:$C$331,MATCH(A384,DefaultAuctionValues!$A$2:$A$331,0)),0),IF(LeagueInfo!$F$7="Custom",IFERROR(INDEX(DefaultAuctionValues!$D$2:$D$331,MATCH(A384,DefaultAuctionValues!$A$2:$A$331,0)),0))))</f>
        <v>0</v>
      </c>
      <c r="L384" s="159">
        <f t="shared" ca="1" si="39"/>
        <v>-11.291200663165677</v>
      </c>
      <c r="M384" s="171"/>
      <c r="N384" s="166">
        <f t="shared" ca="1" si="40"/>
        <v>-34.220000000000006</v>
      </c>
      <c r="O384" s="157" t="str">
        <f t="shared" ca="1" si="41"/>
        <v/>
      </c>
    </row>
    <row r="385" spans="1:15" x14ac:dyDescent="0.35">
      <c r="A385" s="157" t="s">
        <v>952</v>
      </c>
      <c r="B385" s="157" t="s">
        <v>40</v>
      </c>
      <c r="C385" s="157">
        <f ca="1">IFERROR(INDEX(BYEs!$B$2:$B$33,MATCH(D385,BYEs!$A$2:$A$33,0)),"N/A")</f>
        <v>6</v>
      </c>
      <c r="D385" s="214" t="str">
        <f t="shared" ca="1" si="35"/>
        <v>KC</v>
      </c>
      <c r="E385" s="213" t="str">
        <f t="shared" ca="1" si="36"/>
        <v>TE8</v>
      </c>
      <c r="F385" s="158">
        <f ca="1">IF(LeagueInfo!$H$7="Starter/Bench",INDEX(INDIRECT(""&amp;B385&amp;"!T2:T628"),MATCH(A385,INDIRECT(""&amp;B385&amp;"!B2:B628"),0)),INDEX(INDIRECT(""&amp;B385&amp;"!AB2:AB628"),MATCH(A385,INDIRECT(""&amp;B385&amp;"!B2:B628"),0)))</f>
        <v>-11.330795756081512</v>
      </c>
      <c r="G385" s="159">
        <f t="shared" si="37"/>
        <v>0</v>
      </c>
      <c r="H385" s="160"/>
      <c r="I385" s="159">
        <f t="shared" ca="1" si="38"/>
        <v>-11.330795756081512</v>
      </c>
      <c r="J385" s="159" t="s">
        <v>73</v>
      </c>
      <c r="K385" s="159">
        <f>IF(LeagueInfo!$F$7="Yahoo",IFERROR(INDEX(DefaultAuctionValues!$B$2:$B$331,MATCH(A385,DefaultAuctionValues!$A$2:$A$331,0)),0),IF(LeagueInfo!$F$7="ESPN",IFERROR(INDEX(DefaultAuctionValues!$C$2:$C$331,MATCH(A385,DefaultAuctionValues!$A$2:$A$331,0)),0),IF(LeagueInfo!$F$7="Custom",IFERROR(INDEX(DefaultAuctionValues!$D$2:$D$331,MATCH(A385,DefaultAuctionValues!$A$2:$A$331,0)),0))))</f>
        <v>0</v>
      </c>
      <c r="L385" s="159">
        <f t="shared" ca="1" si="39"/>
        <v>-11.330795756081512</v>
      </c>
      <c r="M385" s="171"/>
      <c r="N385" s="166">
        <f t="shared" ca="1" si="40"/>
        <v>-34.340000000000003</v>
      </c>
      <c r="O385" s="157" t="str">
        <f t="shared" ca="1" si="41"/>
        <v/>
      </c>
    </row>
    <row r="386" spans="1:15" x14ac:dyDescent="0.35">
      <c r="A386" s="157" t="s">
        <v>1180</v>
      </c>
      <c r="B386" s="157" t="s">
        <v>40</v>
      </c>
      <c r="C386" s="157">
        <f ca="1">IFERROR(INDEX(BYEs!$B$2:$B$33,MATCH(D386,BYEs!$A$2:$A$33,0)),"N/A")</f>
        <v>12</v>
      </c>
      <c r="D386" s="214" t="str">
        <f t="shared" ca="1" si="35"/>
        <v>NYJ</v>
      </c>
      <c r="E386" s="213" t="str">
        <f t="shared" ca="1" si="36"/>
        <v>TE8</v>
      </c>
      <c r="F386" s="158">
        <f ca="1">IF(LeagueInfo!$H$7="Starter/Bench",INDEX(INDIRECT(""&amp;B386&amp;"!T2:T628"),MATCH(A386,INDIRECT(""&amp;B386&amp;"!B2:B628"),0)),INDEX(INDIRECT(""&amp;B386&amp;"!AB2:AB628"),MATCH(A386,INDIRECT(""&amp;B386&amp;"!B2:B628"),0)))</f>
        <v>-11.372040644535506</v>
      </c>
      <c r="G386" s="159">
        <f t="shared" si="37"/>
        <v>0</v>
      </c>
      <c r="H386" s="160"/>
      <c r="I386" s="159">
        <f t="shared" ca="1" si="38"/>
        <v>-11.372040644535506</v>
      </c>
      <c r="J386" s="159" t="s">
        <v>73</v>
      </c>
      <c r="K386" s="159">
        <f>IF(LeagueInfo!$F$7="Yahoo",IFERROR(INDEX(DefaultAuctionValues!$B$2:$B$331,MATCH(A386,DefaultAuctionValues!$A$2:$A$331,0)),0),IF(LeagueInfo!$F$7="ESPN",IFERROR(INDEX(DefaultAuctionValues!$C$2:$C$331,MATCH(A386,DefaultAuctionValues!$A$2:$A$331,0)),0),IF(LeagueInfo!$F$7="Custom",IFERROR(INDEX(DefaultAuctionValues!$D$2:$D$331,MATCH(A386,DefaultAuctionValues!$A$2:$A$331,0)),0))))</f>
        <v>0</v>
      </c>
      <c r="L386" s="159">
        <f t="shared" ca="1" si="39"/>
        <v>-11.372040644535506</v>
      </c>
      <c r="M386" s="171"/>
      <c r="N386" s="166">
        <f t="shared" ca="1" si="40"/>
        <v>-34.465000000000003</v>
      </c>
      <c r="O386" s="157" t="str">
        <f t="shared" ca="1" si="41"/>
        <v/>
      </c>
    </row>
    <row r="387" spans="1:15" x14ac:dyDescent="0.35">
      <c r="A387" s="157" t="s">
        <v>945</v>
      </c>
      <c r="B387" s="157" t="s">
        <v>40</v>
      </c>
      <c r="C387" s="157">
        <f ca="1">IFERROR(INDEX(BYEs!$B$2:$B$33,MATCH(D387,BYEs!$A$2:$A$33,0)),"N/A")</f>
        <v>11</v>
      </c>
      <c r="D387" s="214" t="str">
        <f t="shared" ca="1" si="35"/>
        <v>ARI</v>
      </c>
      <c r="E387" s="213" t="str">
        <f t="shared" ca="1" si="36"/>
        <v>TE8</v>
      </c>
      <c r="F387" s="158">
        <f ca="1">IF(LeagueInfo!$H$7="Starter/Bench",INDEX(INDIRECT(""&amp;B387&amp;"!T2:T628"),MATCH(A387,INDIRECT(""&amp;B387&amp;"!B2:B628"),0)),INDEX(INDIRECT(""&amp;B387&amp;"!AB2:AB628"),MATCH(A387,INDIRECT(""&amp;B387&amp;"!B2:B628"),0)))</f>
        <v>-11.405036555298704</v>
      </c>
      <c r="G387" s="159">
        <f t="shared" si="37"/>
        <v>0</v>
      </c>
      <c r="H387" s="160"/>
      <c r="I387" s="159">
        <f t="shared" ca="1" si="38"/>
        <v>-11.405036555298704</v>
      </c>
      <c r="J387" s="159" t="s">
        <v>73</v>
      </c>
      <c r="K387" s="159">
        <f>IF(LeagueInfo!$F$7="Yahoo",IFERROR(INDEX(DefaultAuctionValues!$B$2:$B$331,MATCH(A387,DefaultAuctionValues!$A$2:$A$331,0)),0),IF(LeagueInfo!$F$7="ESPN",IFERROR(INDEX(DefaultAuctionValues!$C$2:$C$331,MATCH(A387,DefaultAuctionValues!$A$2:$A$331,0)),0),IF(LeagueInfo!$F$7="Custom",IFERROR(INDEX(DefaultAuctionValues!$D$2:$D$331,MATCH(A387,DefaultAuctionValues!$A$2:$A$331,0)),0))))</f>
        <v>0</v>
      </c>
      <c r="L387" s="159">
        <f t="shared" ca="1" si="39"/>
        <v>-11.405036555298704</v>
      </c>
      <c r="M387" s="171"/>
      <c r="N387" s="166">
        <f t="shared" ca="1" si="40"/>
        <v>-34.565000000000005</v>
      </c>
      <c r="O387" s="157" t="str">
        <f t="shared" ca="1" si="41"/>
        <v/>
      </c>
    </row>
    <row r="388" spans="1:15" x14ac:dyDescent="0.35">
      <c r="A388" s="157" t="s">
        <v>765</v>
      </c>
      <c r="B388" s="157" t="s">
        <v>40</v>
      </c>
      <c r="C388" s="157">
        <f ca="1">IFERROR(INDEX(BYEs!$B$2:$B$33,MATCH(D388,BYEs!$A$2:$A$33,0)),"N/A")</f>
        <v>10</v>
      </c>
      <c r="D388" s="214" t="str">
        <f t="shared" ca="1" si="35"/>
        <v>CLE</v>
      </c>
      <c r="E388" s="213" t="str">
        <f t="shared" ca="1" si="36"/>
        <v>TE8</v>
      </c>
      <c r="F388" s="158">
        <f ca="1">IF(LeagueInfo!$H$7="Starter/Bench",INDEX(INDIRECT(""&amp;B388&amp;"!T2:T628"),MATCH(A388,INDIRECT(""&amp;B388&amp;"!B2:B628"),0)),INDEX(INDIRECT(""&amp;B388&amp;"!AB2:AB628"),MATCH(A388,INDIRECT(""&amp;B388&amp;"!B2:B628"),0)))</f>
        <v>-11.471028376825096</v>
      </c>
      <c r="G388" s="159">
        <f t="shared" si="37"/>
        <v>0</v>
      </c>
      <c r="H388" s="160"/>
      <c r="I388" s="159">
        <f t="shared" ca="1" si="38"/>
        <v>-11.471028376825096</v>
      </c>
      <c r="J388" s="159" t="s">
        <v>73</v>
      </c>
      <c r="K388" s="159">
        <f>IF(LeagueInfo!$F$7="Yahoo",IFERROR(INDEX(DefaultAuctionValues!$B$2:$B$331,MATCH(A388,DefaultAuctionValues!$A$2:$A$331,0)),0),IF(LeagueInfo!$F$7="ESPN",IFERROR(INDEX(DefaultAuctionValues!$C$2:$C$331,MATCH(A388,DefaultAuctionValues!$A$2:$A$331,0)),0),IF(LeagueInfo!$F$7="Custom",IFERROR(INDEX(DefaultAuctionValues!$D$2:$D$331,MATCH(A388,DefaultAuctionValues!$A$2:$A$331,0)),0))))</f>
        <v>0</v>
      </c>
      <c r="L388" s="159">
        <f t="shared" ca="1" si="39"/>
        <v>-11.471028376825096</v>
      </c>
      <c r="M388" s="171"/>
      <c r="N388" s="166">
        <f t="shared" ca="1" si="40"/>
        <v>-34.765000000000008</v>
      </c>
      <c r="O388" s="157" t="str">
        <f t="shared" ca="1" si="41"/>
        <v/>
      </c>
    </row>
    <row r="389" spans="1:15" x14ac:dyDescent="0.35">
      <c r="A389" s="157" t="s">
        <v>624</v>
      </c>
      <c r="B389" s="157" t="s">
        <v>25</v>
      </c>
      <c r="C389" s="157">
        <f ca="1">IFERROR(INDEX(BYEs!$B$2:$B$33,MATCH(D389,BYEs!$A$2:$A$33,0)),"N/A")</f>
        <v>10</v>
      </c>
      <c r="D389" s="214" t="str">
        <f t="shared" ca="1" si="35"/>
        <v>CLE</v>
      </c>
      <c r="E389" s="213" t="str">
        <f t="shared" ca="1" si="36"/>
        <v>RB8</v>
      </c>
      <c r="F389" s="158">
        <f ca="1">IF(LeagueInfo!$H$7="Starter/Bench",INDEX(INDIRECT(""&amp;B389&amp;"!T2:T628"),MATCH(A389,INDIRECT(""&amp;B389&amp;"!B2:B628"),0)),INDEX(INDIRECT(""&amp;B389&amp;"!AB2:AB628"),MATCH(A389,INDIRECT(""&amp;B389&amp;"!B2:B628"),0)))</f>
        <v>-11.489176127744852</v>
      </c>
      <c r="G389" s="159">
        <f t="shared" si="37"/>
        <v>0</v>
      </c>
      <c r="H389" s="160"/>
      <c r="I389" s="159">
        <f t="shared" ca="1" si="38"/>
        <v>-11.489176127744852</v>
      </c>
      <c r="J389" s="159" t="s">
        <v>73</v>
      </c>
      <c r="K389" s="159">
        <f>IF(LeagueInfo!$F$7="Yahoo",IFERROR(INDEX(DefaultAuctionValues!$B$2:$B$331,MATCH(A389,DefaultAuctionValues!$A$2:$A$331,0)),0),IF(LeagueInfo!$F$7="ESPN",IFERROR(INDEX(DefaultAuctionValues!$C$2:$C$331,MATCH(A389,DefaultAuctionValues!$A$2:$A$331,0)),0),IF(LeagueInfo!$F$7="Custom",IFERROR(INDEX(DefaultAuctionValues!$D$2:$D$331,MATCH(A389,DefaultAuctionValues!$A$2:$A$331,0)),0))))</f>
        <v>0</v>
      </c>
      <c r="L389" s="159">
        <f t="shared" ca="1" si="39"/>
        <v>-11.489176127744852</v>
      </c>
      <c r="M389" s="171"/>
      <c r="N389" s="166">
        <f t="shared" ca="1" si="40"/>
        <v>-34.82</v>
      </c>
      <c r="O389" s="157" t="str">
        <f t="shared" ca="1" si="41"/>
        <v/>
      </c>
    </row>
    <row r="390" spans="1:15" x14ac:dyDescent="0.35">
      <c r="A390" s="157" t="s">
        <v>241</v>
      </c>
      <c r="B390" s="157" t="s">
        <v>32</v>
      </c>
      <c r="C390" s="157">
        <f ca="1">IFERROR(INDEX(BYEs!$B$2:$B$33,MATCH(D390,BYEs!$A$2:$A$33,0)),"N/A")</f>
        <v>6</v>
      </c>
      <c r="D390" s="214" t="str">
        <f t="shared" ca="1" si="35"/>
        <v>KC</v>
      </c>
      <c r="E390" s="213" t="str">
        <f t="shared" ca="1" si="36"/>
        <v>WR8</v>
      </c>
      <c r="F390" s="158">
        <f ca="1">IF(LeagueInfo!$H$7="Starter/Bench",INDEX(INDIRECT(""&amp;B390&amp;"!T2:T628"),MATCH(A390,INDIRECT(""&amp;B390&amp;"!B2:B628"),0)),INDEX(INDIRECT(""&amp;B390&amp;"!AB2:AB628"),MATCH(A390,INDIRECT(""&amp;B390&amp;"!B2:B628"),0)))</f>
        <v>-11.507323878664609</v>
      </c>
      <c r="G390" s="159">
        <f t="shared" si="37"/>
        <v>0</v>
      </c>
      <c r="H390" s="160"/>
      <c r="I390" s="159">
        <f t="shared" ca="1" si="38"/>
        <v>-11.507323878664609</v>
      </c>
      <c r="J390" s="159" t="s">
        <v>73</v>
      </c>
      <c r="K390" s="159">
        <f>IF(LeagueInfo!$F$7="Yahoo",IFERROR(INDEX(DefaultAuctionValues!$B$2:$B$331,MATCH(A390,DefaultAuctionValues!$A$2:$A$331,0)),0),IF(LeagueInfo!$F$7="ESPN",IFERROR(INDEX(DefaultAuctionValues!$C$2:$C$331,MATCH(A390,DefaultAuctionValues!$A$2:$A$331,0)),0),IF(LeagueInfo!$F$7="Custom",IFERROR(INDEX(DefaultAuctionValues!$D$2:$D$331,MATCH(A390,DefaultAuctionValues!$A$2:$A$331,0)),0))))</f>
        <v>0</v>
      </c>
      <c r="L390" s="159">
        <f t="shared" ca="1" si="39"/>
        <v>-11.507323878664609</v>
      </c>
      <c r="M390" s="171"/>
      <c r="N390" s="166">
        <f t="shared" ca="1" si="40"/>
        <v>-34.875</v>
      </c>
      <c r="O390" s="157" t="str">
        <f t="shared" ca="1" si="41"/>
        <v/>
      </c>
    </row>
    <row r="391" spans="1:15" x14ac:dyDescent="0.35">
      <c r="A391" s="157" t="s">
        <v>946</v>
      </c>
      <c r="B391" s="157" t="s">
        <v>40</v>
      </c>
      <c r="C391" s="157">
        <f ca="1">IFERROR(INDEX(BYEs!$B$2:$B$33,MATCH(D391,BYEs!$A$2:$A$33,0)),"N/A")</f>
        <v>14</v>
      </c>
      <c r="D391" s="214" t="str">
        <f t="shared" ca="1" si="35"/>
        <v>IND</v>
      </c>
      <c r="E391" s="213" t="str">
        <f t="shared" ca="1" si="36"/>
        <v>TE8</v>
      </c>
      <c r="F391" s="158">
        <f ca="1">IF(LeagueInfo!$H$7="Starter/Bench",INDEX(INDIRECT(""&amp;B391&amp;"!T2:T628"),MATCH(A391,INDIRECT(""&amp;B391&amp;"!B2:B628"),0)),INDEX(INDIRECT(""&amp;B391&amp;"!AB2:AB628"),MATCH(A391,INDIRECT(""&amp;B391&amp;"!B2:B628"),0)))</f>
        <v>-11.522172038508048</v>
      </c>
      <c r="G391" s="159">
        <f t="shared" si="37"/>
        <v>0</v>
      </c>
      <c r="H391" s="160"/>
      <c r="I391" s="159">
        <f t="shared" ca="1" si="38"/>
        <v>-11.522172038508048</v>
      </c>
      <c r="J391" s="159" t="s">
        <v>73</v>
      </c>
      <c r="K391" s="159">
        <f>IF(LeagueInfo!$F$7="Yahoo",IFERROR(INDEX(DefaultAuctionValues!$B$2:$B$331,MATCH(A391,DefaultAuctionValues!$A$2:$A$331,0)),0),IF(LeagueInfo!$F$7="ESPN",IFERROR(INDEX(DefaultAuctionValues!$C$2:$C$331,MATCH(A391,DefaultAuctionValues!$A$2:$A$331,0)),0),IF(LeagueInfo!$F$7="Custom",IFERROR(INDEX(DefaultAuctionValues!$D$2:$D$331,MATCH(A391,DefaultAuctionValues!$A$2:$A$331,0)),0))))</f>
        <v>0</v>
      </c>
      <c r="L391" s="159">
        <f t="shared" ca="1" si="39"/>
        <v>-11.522172038508048</v>
      </c>
      <c r="M391" s="171"/>
      <c r="N391" s="166">
        <f t="shared" ca="1" si="40"/>
        <v>-34.92</v>
      </c>
      <c r="O391" s="157" t="str">
        <f t="shared" ca="1" si="41"/>
        <v/>
      </c>
    </row>
    <row r="392" spans="1:15" x14ac:dyDescent="0.35">
      <c r="A392" s="157" t="s">
        <v>720</v>
      </c>
      <c r="B392" s="157" t="s">
        <v>25</v>
      </c>
      <c r="C392" s="157">
        <f ca="1">IFERROR(INDEX(BYEs!$B$2:$B$33,MATCH(D392,BYEs!$A$2:$A$33,0)),"N/A")</f>
        <v>7</v>
      </c>
      <c r="D392" s="214" t="str">
        <f t="shared" ca="1" si="35"/>
        <v>DAL</v>
      </c>
      <c r="E392" s="213" t="str">
        <f t="shared" ca="1" si="36"/>
        <v>RB8</v>
      </c>
      <c r="F392" s="158">
        <f ca="1">IF(LeagueInfo!$H$7="Starter/Bench",INDEX(INDIRECT(""&amp;B392&amp;"!T2:T628"),MATCH(A392,INDIRECT(""&amp;B392&amp;"!B2:B628"),0)),INDEX(INDIRECT(""&amp;B392&amp;"!AB2:AB628"),MATCH(A392,INDIRECT(""&amp;B392&amp;"!B2:B628"),0)))</f>
        <v>-11.533720607275166</v>
      </c>
      <c r="G392" s="159">
        <f t="shared" si="37"/>
        <v>0</v>
      </c>
      <c r="H392" s="160"/>
      <c r="I392" s="159">
        <f t="shared" ca="1" si="38"/>
        <v>-11.533720607275166</v>
      </c>
      <c r="J392" s="159" t="s">
        <v>73</v>
      </c>
      <c r="K392" s="159">
        <f>IF(LeagueInfo!$F$7="Yahoo",IFERROR(INDEX(DefaultAuctionValues!$B$2:$B$331,MATCH(A392,DefaultAuctionValues!$A$2:$A$331,0)),0),IF(LeagueInfo!$F$7="ESPN",IFERROR(INDEX(DefaultAuctionValues!$C$2:$C$331,MATCH(A392,DefaultAuctionValues!$A$2:$A$331,0)),0),IF(LeagueInfo!$F$7="Custom",IFERROR(INDEX(DefaultAuctionValues!$D$2:$D$331,MATCH(A392,DefaultAuctionValues!$A$2:$A$331,0)),0))))</f>
        <v>0</v>
      </c>
      <c r="L392" s="159">
        <f t="shared" ca="1" si="39"/>
        <v>-11.533720607275166</v>
      </c>
      <c r="M392" s="171"/>
      <c r="N392" s="166">
        <f t="shared" ca="1" si="40"/>
        <v>-34.954999999999998</v>
      </c>
      <c r="O392" s="157" t="str">
        <f t="shared" ca="1" si="41"/>
        <v/>
      </c>
    </row>
    <row r="393" spans="1:15" x14ac:dyDescent="0.35">
      <c r="A393" s="157" t="s">
        <v>942</v>
      </c>
      <c r="B393" s="157" t="s">
        <v>40</v>
      </c>
      <c r="C393" s="157">
        <f ca="1">IFERROR(INDEX(BYEs!$B$2:$B$33,MATCH(D393,BYEs!$A$2:$A$33,0)),"N/A")</f>
        <v>14</v>
      </c>
      <c r="D393" s="214" t="str">
        <f t="shared" ca="1" si="35"/>
        <v>HOU</v>
      </c>
      <c r="E393" s="213" t="str">
        <f t="shared" ca="1" si="36"/>
        <v>TE8</v>
      </c>
      <c r="F393" s="158">
        <f ca="1">IF(LeagueInfo!$H$7="Starter/Bench",INDEX(INDIRECT(""&amp;B393&amp;"!T2:T628"),MATCH(A393,INDIRECT(""&amp;B393&amp;"!B2:B628"),0)),INDEX(INDIRECT(""&amp;B393&amp;"!AB2:AB628"),MATCH(A393,INDIRECT(""&amp;B393&amp;"!B2:B628"),0)))</f>
        <v>-11.622809566335798</v>
      </c>
      <c r="G393" s="159">
        <f t="shared" si="37"/>
        <v>0</v>
      </c>
      <c r="H393" s="160"/>
      <c r="I393" s="159">
        <f t="shared" ca="1" si="38"/>
        <v>-11.622809566335798</v>
      </c>
      <c r="J393" s="159" t="s">
        <v>73</v>
      </c>
      <c r="K393" s="159">
        <f>IF(LeagueInfo!$F$7="Yahoo",IFERROR(INDEX(DefaultAuctionValues!$B$2:$B$331,MATCH(A393,DefaultAuctionValues!$A$2:$A$331,0)),0),IF(LeagueInfo!$F$7="ESPN",IFERROR(INDEX(DefaultAuctionValues!$C$2:$C$331,MATCH(A393,DefaultAuctionValues!$A$2:$A$331,0)),0),IF(LeagueInfo!$F$7="Custom",IFERROR(INDEX(DefaultAuctionValues!$D$2:$D$331,MATCH(A393,DefaultAuctionValues!$A$2:$A$331,0)),0))))</f>
        <v>1</v>
      </c>
      <c r="L393" s="159">
        <f t="shared" ca="1" si="39"/>
        <v>-12.622809566335798</v>
      </c>
      <c r="M393" s="171"/>
      <c r="N393" s="166">
        <f t="shared" ca="1" si="40"/>
        <v>-35.225000000000009</v>
      </c>
      <c r="O393" s="157" t="str">
        <f t="shared" ca="1" si="41"/>
        <v/>
      </c>
    </row>
    <row r="394" spans="1:15" x14ac:dyDescent="0.35">
      <c r="A394" s="157" t="s">
        <v>733</v>
      </c>
      <c r="B394" s="157" t="s">
        <v>32</v>
      </c>
      <c r="C394" s="157">
        <f ca="1">IFERROR(INDEX(BYEs!$B$2:$B$33,MATCH(D394,BYEs!$A$2:$A$33,0)),"N/A")</f>
        <v>14</v>
      </c>
      <c r="D394" s="214" t="str">
        <f t="shared" ca="1" si="35"/>
        <v>HOU</v>
      </c>
      <c r="E394" s="213" t="str">
        <f t="shared" ca="1" si="36"/>
        <v>WR8</v>
      </c>
      <c r="F394" s="158">
        <f ca="1">IF(LeagueInfo!$H$7="Starter/Bench",INDEX(INDIRECT(""&amp;B394&amp;"!T2:T628"),MATCH(A394,INDIRECT(""&amp;B394&amp;"!B2:B628"),0)),INDEX(INDIRECT(""&amp;B394&amp;"!AB2:AB628"),MATCH(A394,INDIRECT(""&amp;B394&amp;"!B2:B628"),0)))</f>
        <v>-11.642607112793714</v>
      </c>
      <c r="G394" s="159">
        <f t="shared" si="37"/>
        <v>0</v>
      </c>
      <c r="H394" s="160"/>
      <c r="I394" s="159">
        <f t="shared" ca="1" si="38"/>
        <v>-11.642607112793714</v>
      </c>
      <c r="J394" s="159" t="s">
        <v>73</v>
      </c>
      <c r="K394" s="159">
        <f>IF(LeagueInfo!$F$7="Yahoo",IFERROR(INDEX(DefaultAuctionValues!$B$2:$B$331,MATCH(A394,DefaultAuctionValues!$A$2:$A$331,0)),0),IF(LeagueInfo!$F$7="ESPN",IFERROR(INDEX(DefaultAuctionValues!$C$2:$C$331,MATCH(A394,DefaultAuctionValues!$A$2:$A$331,0)),0),IF(LeagueInfo!$F$7="Custom",IFERROR(INDEX(DefaultAuctionValues!$D$2:$D$331,MATCH(A394,DefaultAuctionValues!$A$2:$A$331,0)),0))))</f>
        <v>0</v>
      </c>
      <c r="L394" s="159">
        <f t="shared" ca="1" si="39"/>
        <v>-11.642607112793714</v>
      </c>
      <c r="M394" s="171"/>
      <c r="N394" s="166">
        <f t="shared" ca="1" si="40"/>
        <v>-35.285000000000004</v>
      </c>
      <c r="O394" s="157" t="str">
        <f t="shared" ca="1" si="41"/>
        <v/>
      </c>
    </row>
    <row r="395" spans="1:15" x14ac:dyDescent="0.35">
      <c r="A395" s="157" t="s">
        <v>947</v>
      </c>
      <c r="B395" s="157" t="s">
        <v>40</v>
      </c>
      <c r="C395" s="157">
        <f ca="1">IFERROR(INDEX(BYEs!$B$2:$B$33,MATCH(D395,BYEs!$A$2:$A$33,0)),"N/A")</f>
        <v>12</v>
      </c>
      <c r="D395" s="214" t="str">
        <f t="shared" ca="1" si="35"/>
        <v>CIN</v>
      </c>
      <c r="E395" s="213" t="str">
        <f t="shared" ca="1" si="36"/>
        <v>TE8</v>
      </c>
      <c r="F395" s="158">
        <f ca="1">IF(LeagueInfo!$H$7="Starter/Bench",INDEX(INDIRECT(""&amp;B395&amp;"!T2:T628"),MATCH(A395,INDIRECT(""&amp;B395&amp;"!B2:B628"),0)),INDEX(INDIRECT(""&amp;B395&amp;"!AB2:AB628"),MATCH(A395,INDIRECT(""&amp;B395&amp;"!B2:B628"),0)))</f>
        <v>-11.644256908331874</v>
      </c>
      <c r="G395" s="159">
        <f t="shared" si="37"/>
        <v>0</v>
      </c>
      <c r="H395" s="160"/>
      <c r="I395" s="159">
        <f t="shared" ca="1" si="38"/>
        <v>-11.644256908331874</v>
      </c>
      <c r="J395" s="159" t="s">
        <v>73</v>
      </c>
      <c r="K395" s="159">
        <f>IF(LeagueInfo!$F$7="Yahoo",IFERROR(INDEX(DefaultAuctionValues!$B$2:$B$331,MATCH(A395,DefaultAuctionValues!$A$2:$A$331,0)),0),IF(LeagueInfo!$F$7="ESPN",IFERROR(INDEX(DefaultAuctionValues!$C$2:$C$331,MATCH(A395,DefaultAuctionValues!$A$2:$A$331,0)),0),IF(LeagueInfo!$F$7="Custom",IFERROR(INDEX(DefaultAuctionValues!$D$2:$D$331,MATCH(A395,DefaultAuctionValues!$A$2:$A$331,0)),0))))</f>
        <v>0</v>
      </c>
      <c r="L395" s="159">
        <f t="shared" ca="1" si="39"/>
        <v>-11.644256908331874</v>
      </c>
      <c r="M395" s="171"/>
      <c r="N395" s="166">
        <f t="shared" ca="1" si="40"/>
        <v>-35.290000000000006</v>
      </c>
      <c r="O395" s="157" t="str">
        <f t="shared" ca="1" si="41"/>
        <v/>
      </c>
    </row>
    <row r="396" spans="1:15" x14ac:dyDescent="0.35">
      <c r="A396" s="157" t="s">
        <v>741</v>
      </c>
      <c r="B396" s="157" t="s">
        <v>40</v>
      </c>
      <c r="C396" s="157">
        <f ca="1">IFERROR(INDEX(BYEs!$B$2:$B$33,MATCH(D396,BYEs!$A$2:$A$33,0)),"N/A")</f>
        <v>12</v>
      </c>
      <c r="D396" s="214" t="str">
        <f t="shared" ca="1" si="35"/>
        <v>JAC</v>
      </c>
      <c r="E396" s="213" t="str">
        <f t="shared" ca="1" si="36"/>
        <v>TE8</v>
      </c>
      <c r="F396" s="158">
        <f ca="1">IF(LeagueInfo!$H$7="Starter/Bench",INDEX(INDIRECT(""&amp;B396&amp;"!T2:T628"),MATCH(A396,INDIRECT(""&amp;B396&amp;"!B2:B628"),0)),INDEX(INDIRECT(""&amp;B396&amp;"!AB2:AB628"),MATCH(A396,INDIRECT(""&amp;B396&amp;"!B2:B628"),0)))</f>
        <v>-11.67560302355691</v>
      </c>
      <c r="G396" s="159">
        <f t="shared" si="37"/>
        <v>0</v>
      </c>
      <c r="H396" s="160"/>
      <c r="I396" s="159">
        <f t="shared" ca="1" si="38"/>
        <v>-11.67560302355691</v>
      </c>
      <c r="J396" s="159" t="s">
        <v>73</v>
      </c>
      <c r="K396" s="159">
        <f>IF(LeagueInfo!$F$7="Yahoo",IFERROR(INDEX(DefaultAuctionValues!$B$2:$B$331,MATCH(A396,DefaultAuctionValues!$A$2:$A$331,0)),0),IF(LeagueInfo!$F$7="ESPN",IFERROR(INDEX(DefaultAuctionValues!$C$2:$C$331,MATCH(A396,DefaultAuctionValues!$A$2:$A$331,0)),0),IF(LeagueInfo!$F$7="Custom",IFERROR(INDEX(DefaultAuctionValues!$D$2:$D$331,MATCH(A396,DefaultAuctionValues!$A$2:$A$331,0)),0))))</f>
        <v>0</v>
      </c>
      <c r="L396" s="159">
        <f t="shared" ca="1" si="39"/>
        <v>-11.67560302355691</v>
      </c>
      <c r="M396" s="171"/>
      <c r="N396" s="166">
        <f t="shared" ca="1" si="40"/>
        <v>-35.385000000000005</v>
      </c>
      <c r="O396" s="157" t="str">
        <f t="shared" ca="1" si="41"/>
        <v/>
      </c>
    </row>
    <row r="397" spans="1:15" x14ac:dyDescent="0.35">
      <c r="A397" s="157" t="s">
        <v>648</v>
      </c>
      <c r="B397" s="157" t="s">
        <v>40</v>
      </c>
      <c r="C397" s="157">
        <f ca="1">IFERROR(INDEX(BYEs!$B$2:$B$33,MATCH(D397,BYEs!$A$2:$A$33,0)),"N/A")</f>
        <v>5</v>
      </c>
      <c r="D397" s="214" t="str">
        <f t="shared" ref="D397:D460" ca="1" si="42">INDEX(INDIRECT(""&amp;B397&amp;"!F2:F628"),MATCH(A397,INDIRECT(""&amp;B397&amp;"!B2:B628"),0))</f>
        <v>PHI</v>
      </c>
      <c r="E397" s="213" t="str">
        <f t="shared" ref="E397:E460" ca="1" si="43">INDEX(INDIRECT(""&amp;$B397&amp;"!AA2:AA628"),MATCH($A397,INDIRECT(""&amp;$B397&amp;"!B2:B628"),0))</f>
        <v>TE8</v>
      </c>
      <c r="F397" s="158">
        <f ca="1">IF(LeagueInfo!$H$7="Starter/Bench",INDEX(INDIRECT(""&amp;B397&amp;"!T2:T628"),MATCH(A397,INDIRECT(""&amp;B397&amp;"!B2:B628"),0)),INDEX(INDIRECT(""&amp;B397&amp;"!AB2:AB628"),MATCH(A397,INDIRECT(""&amp;B397&amp;"!B2:B628"),0)))</f>
        <v>-11.68550179678587</v>
      </c>
      <c r="G397" s="159">
        <f t="shared" ref="G397:G460" si="44">IF(H397&gt;0,F397-H397,0)</f>
        <v>0</v>
      </c>
      <c r="H397" s="160"/>
      <c r="I397" s="159">
        <f t="shared" ref="I397:I460" ca="1" si="45">F397*$A$2</f>
        <v>-11.68550179678587</v>
      </c>
      <c r="J397" s="159" t="s">
        <v>73</v>
      </c>
      <c r="K397" s="159">
        <f>IF(LeagueInfo!$F$7="Yahoo",IFERROR(INDEX(DefaultAuctionValues!$B$2:$B$331,MATCH(A397,DefaultAuctionValues!$A$2:$A$331,0)),0),IF(LeagueInfo!$F$7="ESPN",IFERROR(INDEX(DefaultAuctionValues!$C$2:$C$331,MATCH(A397,DefaultAuctionValues!$A$2:$A$331,0)),0),IF(LeagueInfo!$F$7="Custom",IFERROR(INDEX(DefaultAuctionValues!$D$2:$D$331,MATCH(A397,DefaultAuctionValues!$A$2:$A$331,0)),0))))</f>
        <v>0</v>
      </c>
      <c r="L397" s="159">
        <f t="shared" ref="L397:L460" ca="1" si="46">I397-K397</f>
        <v>-11.68550179678587</v>
      </c>
      <c r="M397" s="171"/>
      <c r="N397" s="166">
        <f t="shared" ref="N397:N460" ca="1" si="47">INDEX(INDIRECT(""&amp;$B397&amp;"!Z2:Z628"),MATCH($A397,INDIRECT(""&amp;$B397&amp;"!B2:B628"),0))</f>
        <v>-35.415000000000006</v>
      </c>
      <c r="O397" s="157" t="str">
        <f t="shared" ref="O397:O460" ca="1" si="48">IF(INDEX(INDIRECT(""&amp;$B397&amp;"!W2:W628"),MATCH($A397,INDIRECT(""&amp;$B397&amp;"!B2:B628"),0))=0,"",INDEX(INDIRECT(""&amp;$B397&amp;"!W2:W628"),MATCH($A397,INDIRECT(""&amp;$B397&amp;"!B2:B628"),0)))</f>
        <v/>
      </c>
    </row>
    <row r="398" spans="1:15" x14ac:dyDescent="0.35">
      <c r="A398" s="157" t="s">
        <v>740</v>
      </c>
      <c r="B398" s="157" t="s">
        <v>32</v>
      </c>
      <c r="C398" s="157">
        <f ca="1">IFERROR(INDEX(BYEs!$B$2:$B$33,MATCH(D398,BYEs!$A$2:$A$33,0)),"N/A")</f>
        <v>12</v>
      </c>
      <c r="D398" s="214" t="str">
        <f t="shared" ca="1" si="42"/>
        <v>JAC</v>
      </c>
      <c r="E398" s="213" t="str">
        <f t="shared" ca="1" si="43"/>
        <v>WR8</v>
      </c>
      <c r="F398" s="158">
        <f ca="1">IF(LeagueInfo!$H$7="Starter/Bench",INDEX(INDIRECT(""&amp;B398&amp;"!T2:T628"),MATCH(A398,INDIRECT(""&amp;B398&amp;"!B2:B628"),0)),INDEX(INDIRECT(""&amp;B398&amp;"!AB2:AB628"),MATCH(A398,INDIRECT(""&amp;B398&amp;"!B2:B628"),0)))</f>
        <v>-11.688801387862187</v>
      </c>
      <c r="G398" s="159">
        <f t="shared" si="44"/>
        <v>0</v>
      </c>
      <c r="H398" s="160"/>
      <c r="I398" s="159">
        <f t="shared" ca="1" si="45"/>
        <v>-11.688801387862187</v>
      </c>
      <c r="J398" s="159" t="s">
        <v>73</v>
      </c>
      <c r="K398" s="159">
        <f>IF(LeagueInfo!$F$7="Yahoo",IFERROR(INDEX(DefaultAuctionValues!$B$2:$B$331,MATCH(A398,DefaultAuctionValues!$A$2:$A$331,0)),0),IF(LeagueInfo!$F$7="ESPN",IFERROR(INDEX(DefaultAuctionValues!$C$2:$C$331,MATCH(A398,DefaultAuctionValues!$A$2:$A$331,0)),0),IF(LeagueInfo!$F$7="Custom",IFERROR(INDEX(DefaultAuctionValues!$D$2:$D$331,MATCH(A398,DefaultAuctionValues!$A$2:$A$331,0)),0))))</f>
        <v>0</v>
      </c>
      <c r="L398" s="159">
        <f t="shared" ca="1" si="46"/>
        <v>-11.688801387862187</v>
      </c>
      <c r="M398" s="171"/>
      <c r="N398" s="166">
        <f t="shared" ca="1" si="47"/>
        <v>-35.424999999999997</v>
      </c>
      <c r="O398" s="157" t="str">
        <f t="shared" ca="1" si="48"/>
        <v/>
      </c>
    </row>
    <row r="399" spans="1:15" x14ac:dyDescent="0.35">
      <c r="A399" s="157" t="s">
        <v>951</v>
      </c>
      <c r="B399" s="157" t="s">
        <v>40</v>
      </c>
      <c r="C399" s="157">
        <f ca="1">IFERROR(INDEX(BYEs!$B$2:$B$33,MATCH(D399,BYEs!$A$2:$A$33,0)),"N/A")</f>
        <v>11</v>
      </c>
      <c r="D399" s="214" t="str">
        <f t="shared" ca="1" si="42"/>
        <v>ARI</v>
      </c>
      <c r="E399" s="213" t="str">
        <f t="shared" ca="1" si="43"/>
        <v>TE8</v>
      </c>
      <c r="F399" s="158">
        <f ca="1">IF(LeagueInfo!$H$7="Starter/Bench",INDEX(INDIRECT(""&amp;B399&amp;"!T2:T628"),MATCH(A399,INDIRECT(""&amp;B399&amp;"!B2:B628"),0)),INDEX(INDIRECT(""&amp;B399&amp;"!AB2:AB628"),MATCH(A399,INDIRECT(""&amp;B399&amp;"!B2:B628"),0)))</f>
        <v>-11.716847912010905</v>
      </c>
      <c r="G399" s="159">
        <f t="shared" si="44"/>
        <v>0</v>
      </c>
      <c r="H399" s="160"/>
      <c r="I399" s="159">
        <f t="shared" ca="1" si="45"/>
        <v>-11.716847912010905</v>
      </c>
      <c r="J399" s="159" t="s">
        <v>73</v>
      </c>
      <c r="K399" s="159">
        <f>IF(LeagueInfo!$F$7="Yahoo",IFERROR(INDEX(DefaultAuctionValues!$B$2:$B$331,MATCH(A399,DefaultAuctionValues!$A$2:$A$331,0)),0),IF(LeagueInfo!$F$7="ESPN",IFERROR(INDEX(DefaultAuctionValues!$C$2:$C$331,MATCH(A399,DefaultAuctionValues!$A$2:$A$331,0)),0),IF(LeagueInfo!$F$7="Custom",IFERROR(INDEX(DefaultAuctionValues!$D$2:$D$331,MATCH(A399,DefaultAuctionValues!$A$2:$A$331,0)),0))))</f>
        <v>0</v>
      </c>
      <c r="L399" s="159">
        <f t="shared" ca="1" si="46"/>
        <v>-11.716847912010905</v>
      </c>
      <c r="M399" s="171"/>
      <c r="N399" s="166">
        <f t="shared" ca="1" si="47"/>
        <v>-35.510000000000005</v>
      </c>
      <c r="O399" s="157" t="str">
        <f t="shared" ca="1" si="48"/>
        <v/>
      </c>
    </row>
    <row r="400" spans="1:15" x14ac:dyDescent="0.35">
      <c r="A400" s="157" t="s">
        <v>561</v>
      </c>
      <c r="B400" s="157" t="s">
        <v>32</v>
      </c>
      <c r="C400" s="157">
        <f ca="1">IFERROR(INDEX(BYEs!$B$2:$B$33,MATCH(D400,BYEs!$A$2:$A$33,0)),"N/A")</f>
        <v>6</v>
      </c>
      <c r="D400" s="214" t="str">
        <f t="shared" ca="1" si="42"/>
        <v>LAR</v>
      </c>
      <c r="E400" s="213" t="str">
        <f t="shared" ca="1" si="43"/>
        <v>WR8</v>
      </c>
      <c r="F400" s="158">
        <f ca="1">IF(LeagueInfo!$H$7="Starter/Bench",INDEX(INDIRECT(""&amp;B400&amp;"!T2:T628"),MATCH(A400,INDIRECT(""&amp;B400&amp;"!B2:B628"),0)),INDEX(INDIRECT(""&amp;B400&amp;"!AB2:AB628"),MATCH(A400,INDIRECT(""&amp;B400&amp;"!B2:B628"),0)))</f>
        <v>-11.754793209388582</v>
      </c>
      <c r="G400" s="159">
        <f t="shared" si="44"/>
        <v>0</v>
      </c>
      <c r="H400" s="160"/>
      <c r="I400" s="159">
        <f t="shared" ca="1" si="45"/>
        <v>-11.754793209388582</v>
      </c>
      <c r="J400" s="159" t="s">
        <v>73</v>
      </c>
      <c r="K400" s="159">
        <f>IF(LeagueInfo!$F$7="Yahoo",IFERROR(INDEX(DefaultAuctionValues!$B$2:$B$331,MATCH(A400,DefaultAuctionValues!$A$2:$A$331,0)),0),IF(LeagueInfo!$F$7="ESPN",IFERROR(INDEX(DefaultAuctionValues!$C$2:$C$331,MATCH(A400,DefaultAuctionValues!$A$2:$A$331,0)),0),IF(LeagueInfo!$F$7="Custom",IFERROR(INDEX(DefaultAuctionValues!$D$2:$D$331,MATCH(A400,DefaultAuctionValues!$A$2:$A$331,0)),0))))</f>
        <v>0</v>
      </c>
      <c r="L400" s="159">
        <f t="shared" ca="1" si="46"/>
        <v>-11.754793209388582</v>
      </c>
      <c r="M400" s="171"/>
      <c r="N400" s="166">
        <f t="shared" ca="1" si="47"/>
        <v>-35.625000000000007</v>
      </c>
      <c r="O400" s="157" t="str">
        <f t="shared" ca="1" si="48"/>
        <v/>
      </c>
    </row>
    <row r="401" spans="1:15" x14ac:dyDescent="0.35">
      <c r="A401" s="157" t="s">
        <v>454</v>
      </c>
      <c r="B401" s="157" t="s">
        <v>40</v>
      </c>
      <c r="C401" s="157">
        <f ca="1">IFERROR(INDEX(BYEs!$B$2:$B$33,MATCH(D401,BYEs!$A$2:$A$33,0)),"N/A")</f>
        <v>12</v>
      </c>
      <c r="D401" s="214" t="str">
        <f t="shared" ca="1" si="42"/>
        <v>CIN</v>
      </c>
      <c r="E401" s="213" t="str">
        <f t="shared" ca="1" si="43"/>
        <v>TE8</v>
      </c>
      <c r="F401" s="158">
        <f ca="1">IF(LeagueInfo!$H$7="Starter/Bench",INDEX(INDIRECT(""&amp;B401&amp;"!T2:T628"),MATCH(A401,INDIRECT(""&amp;B401&amp;"!B2:B628"),0)),INDEX(INDIRECT(""&amp;B401&amp;"!AB2:AB628"),MATCH(A401,INDIRECT(""&amp;B401&amp;"!B2:B628"),0)))</f>
        <v>-11.771291164770179</v>
      </c>
      <c r="G401" s="159">
        <f t="shared" si="44"/>
        <v>0</v>
      </c>
      <c r="H401" s="160"/>
      <c r="I401" s="159">
        <f t="shared" ca="1" si="45"/>
        <v>-11.771291164770179</v>
      </c>
      <c r="J401" s="159" t="s">
        <v>73</v>
      </c>
      <c r="K401" s="159">
        <f>IF(LeagueInfo!$F$7="Yahoo",IFERROR(INDEX(DefaultAuctionValues!$B$2:$B$331,MATCH(A401,DefaultAuctionValues!$A$2:$A$331,0)),0),IF(LeagueInfo!$F$7="ESPN",IFERROR(INDEX(DefaultAuctionValues!$C$2:$C$331,MATCH(A401,DefaultAuctionValues!$A$2:$A$331,0)),0),IF(LeagueInfo!$F$7="Custom",IFERROR(INDEX(DefaultAuctionValues!$D$2:$D$331,MATCH(A401,DefaultAuctionValues!$A$2:$A$331,0)),0))))</f>
        <v>0</v>
      </c>
      <c r="L401" s="159">
        <f t="shared" ca="1" si="46"/>
        <v>-11.771291164770179</v>
      </c>
      <c r="M401" s="171"/>
      <c r="N401" s="166">
        <f t="shared" ca="1" si="47"/>
        <v>-35.675000000000004</v>
      </c>
      <c r="O401" s="157" t="str">
        <f t="shared" ca="1" si="48"/>
        <v/>
      </c>
    </row>
    <row r="402" spans="1:15" x14ac:dyDescent="0.35">
      <c r="A402" s="157" t="s">
        <v>953</v>
      </c>
      <c r="B402" s="157" t="s">
        <v>40</v>
      </c>
      <c r="C402" s="157">
        <f ca="1">IFERROR(INDEX(BYEs!$B$2:$B$33,MATCH(D402,BYEs!$A$2:$A$33,0)),"N/A")</f>
        <v>14</v>
      </c>
      <c r="D402" s="214" t="str">
        <f t="shared" ca="1" si="42"/>
        <v>DEN</v>
      </c>
      <c r="E402" s="213" t="str">
        <f t="shared" ca="1" si="43"/>
        <v>TE8</v>
      </c>
      <c r="F402" s="158">
        <f ca="1">IF(LeagueInfo!$H$7="Starter/Bench",INDEX(INDIRECT(""&amp;B402&amp;"!T2:T628"),MATCH(A402,INDIRECT(""&amp;B402&amp;"!B2:B628"),0)),INDEX(INDIRECT(""&amp;B402&amp;"!AB2:AB628"),MATCH(A402,INDIRECT(""&amp;B402&amp;"!B2:B628"),0)))</f>
        <v>-11.792738506766257</v>
      </c>
      <c r="G402" s="159">
        <f t="shared" si="44"/>
        <v>0</v>
      </c>
      <c r="H402" s="160"/>
      <c r="I402" s="159">
        <f t="shared" ca="1" si="45"/>
        <v>-11.792738506766257</v>
      </c>
      <c r="J402" s="159" t="s">
        <v>73</v>
      </c>
      <c r="K402" s="159">
        <f>IF(LeagueInfo!$F$7="Yahoo",IFERROR(INDEX(DefaultAuctionValues!$B$2:$B$331,MATCH(A402,DefaultAuctionValues!$A$2:$A$331,0)),0),IF(LeagueInfo!$F$7="ESPN",IFERROR(INDEX(DefaultAuctionValues!$C$2:$C$331,MATCH(A402,DefaultAuctionValues!$A$2:$A$331,0)),0),IF(LeagueInfo!$F$7="Custom",IFERROR(INDEX(DefaultAuctionValues!$D$2:$D$331,MATCH(A402,DefaultAuctionValues!$A$2:$A$331,0)),0))))</f>
        <v>0</v>
      </c>
      <c r="L402" s="159">
        <f t="shared" ca="1" si="46"/>
        <v>-11.792738506766257</v>
      </c>
      <c r="M402" s="171"/>
      <c r="N402" s="166">
        <f t="shared" ca="1" si="47"/>
        <v>-35.740000000000009</v>
      </c>
      <c r="O402" s="157" t="str">
        <f t="shared" ca="1" si="48"/>
        <v/>
      </c>
    </row>
    <row r="403" spans="1:15" x14ac:dyDescent="0.35">
      <c r="A403" s="157" t="s">
        <v>508</v>
      </c>
      <c r="B403" s="157" t="s">
        <v>32</v>
      </c>
      <c r="C403" s="157">
        <f ca="1">IFERROR(INDEX(BYEs!$B$2:$B$33,MATCH(D403,BYEs!$A$2:$A$33,0)),"N/A")</f>
        <v>12</v>
      </c>
      <c r="D403" s="214" t="str">
        <f t="shared" ca="1" si="42"/>
        <v>CIN</v>
      </c>
      <c r="E403" s="213" t="str">
        <f t="shared" ca="1" si="43"/>
        <v>WR8</v>
      </c>
      <c r="F403" s="158">
        <f ca="1">IF(LeagueInfo!$H$7="Starter/Bench",INDEX(INDIRECT(""&amp;B403&amp;"!T2:T628"),MATCH(A403,INDIRECT(""&amp;B403&amp;"!B2:B628"),0)),INDEX(INDIRECT(""&amp;B403&amp;"!AB2:AB628"),MATCH(A403,INDIRECT(""&amp;B403&amp;"!B2:B628"),0)))</f>
        <v>-11.824084621991291</v>
      </c>
      <c r="G403" s="159">
        <f t="shared" si="44"/>
        <v>0</v>
      </c>
      <c r="H403" s="160"/>
      <c r="I403" s="159">
        <f t="shared" ca="1" si="45"/>
        <v>-11.824084621991291</v>
      </c>
      <c r="J403" s="159" t="s">
        <v>73</v>
      </c>
      <c r="K403" s="159">
        <f>IF(LeagueInfo!$F$7="Yahoo",IFERROR(INDEX(DefaultAuctionValues!$B$2:$B$331,MATCH(A403,DefaultAuctionValues!$A$2:$A$331,0)),0),IF(LeagueInfo!$F$7="ESPN",IFERROR(INDEX(DefaultAuctionValues!$C$2:$C$331,MATCH(A403,DefaultAuctionValues!$A$2:$A$331,0)),0),IF(LeagueInfo!$F$7="Custom",IFERROR(INDEX(DefaultAuctionValues!$D$2:$D$331,MATCH(A403,DefaultAuctionValues!$A$2:$A$331,0)),0))))</f>
        <v>0</v>
      </c>
      <c r="L403" s="159">
        <f t="shared" ca="1" si="46"/>
        <v>-11.824084621991291</v>
      </c>
      <c r="M403" s="171"/>
      <c r="N403" s="166">
        <f t="shared" ca="1" si="47"/>
        <v>-35.835000000000001</v>
      </c>
      <c r="O403" s="157" t="str">
        <f t="shared" ca="1" si="48"/>
        <v/>
      </c>
    </row>
    <row r="404" spans="1:15" x14ac:dyDescent="0.35">
      <c r="A404" s="157" t="s">
        <v>943</v>
      </c>
      <c r="B404" s="157" t="s">
        <v>40</v>
      </c>
      <c r="C404" s="157">
        <f ca="1">IFERROR(INDEX(BYEs!$B$2:$B$33,MATCH(D404,BYEs!$A$2:$A$33,0)),"N/A")</f>
        <v>12</v>
      </c>
      <c r="D404" s="214" t="str">
        <f t="shared" ca="1" si="42"/>
        <v>NO</v>
      </c>
      <c r="E404" s="213" t="str">
        <f t="shared" ca="1" si="43"/>
        <v>TE8</v>
      </c>
      <c r="F404" s="158">
        <f ca="1">IF(LeagueInfo!$H$7="Starter/Bench",INDEX(INDIRECT(""&amp;B404&amp;"!T2:T628"),MATCH(A404,INDIRECT(""&amp;B404&amp;"!B2:B628"),0)),INDEX(INDIRECT(""&amp;B404&amp;"!AB2:AB628"),MATCH(A404,INDIRECT(""&amp;B404&amp;"!B2:B628"),0)))</f>
        <v>-11.852131146140009</v>
      </c>
      <c r="G404" s="159">
        <f t="shared" si="44"/>
        <v>0</v>
      </c>
      <c r="H404" s="160"/>
      <c r="I404" s="159">
        <f t="shared" ca="1" si="45"/>
        <v>-11.852131146140009</v>
      </c>
      <c r="J404" s="159" t="s">
        <v>73</v>
      </c>
      <c r="K404" s="159">
        <f>IF(LeagueInfo!$F$7="Yahoo",IFERROR(INDEX(DefaultAuctionValues!$B$2:$B$331,MATCH(A404,DefaultAuctionValues!$A$2:$A$331,0)),0),IF(LeagueInfo!$F$7="ESPN",IFERROR(INDEX(DefaultAuctionValues!$C$2:$C$331,MATCH(A404,DefaultAuctionValues!$A$2:$A$331,0)),0),IF(LeagueInfo!$F$7="Custom",IFERROR(INDEX(DefaultAuctionValues!$D$2:$D$331,MATCH(A404,DefaultAuctionValues!$A$2:$A$331,0)),0))))</f>
        <v>0</v>
      </c>
      <c r="L404" s="159">
        <f t="shared" ca="1" si="46"/>
        <v>-11.852131146140009</v>
      </c>
      <c r="M404" s="171"/>
      <c r="N404" s="166">
        <f t="shared" ca="1" si="47"/>
        <v>-35.92</v>
      </c>
      <c r="O404" s="157" t="str">
        <f t="shared" ca="1" si="48"/>
        <v/>
      </c>
    </row>
    <row r="405" spans="1:15" x14ac:dyDescent="0.35">
      <c r="A405" s="157" t="s">
        <v>879</v>
      </c>
      <c r="B405" s="157" t="s">
        <v>25</v>
      </c>
      <c r="C405" s="157">
        <f ca="1">IFERROR(INDEX(BYEs!$B$2:$B$33,MATCH(D405,BYEs!$A$2:$A$33,0)),"N/A")</f>
        <v>10</v>
      </c>
      <c r="D405" s="214" t="str">
        <f t="shared" ca="1" si="42"/>
        <v>LV</v>
      </c>
      <c r="E405" s="213" t="str">
        <f t="shared" ca="1" si="43"/>
        <v>RB8</v>
      </c>
      <c r="F405" s="158">
        <f ca="1">IF(LeagueInfo!$H$7="Starter/Bench",INDEX(INDIRECT(""&amp;B405&amp;"!T2:T628"),MATCH(A405,INDIRECT(""&amp;B405&amp;"!B2:B628"),0)),INDEX(INDIRECT(""&amp;B405&amp;"!AB2:AB628"),MATCH(A405,INDIRECT(""&amp;B405&amp;"!B2:B628"),0)))</f>
        <v>-11.932971127509839</v>
      </c>
      <c r="G405" s="159">
        <f t="shared" si="44"/>
        <v>0</v>
      </c>
      <c r="H405" s="160"/>
      <c r="I405" s="159">
        <f t="shared" ca="1" si="45"/>
        <v>-11.932971127509839</v>
      </c>
      <c r="J405" s="159" t="s">
        <v>73</v>
      </c>
      <c r="K405" s="159">
        <f>IF(LeagueInfo!$F$7="Yahoo",IFERROR(INDEX(DefaultAuctionValues!$B$2:$B$331,MATCH(A405,DefaultAuctionValues!$A$2:$A$331,0)),0),IF(LeagueInfo!$F$7="ESPN",IFERROR(INDEX(DefaultAuctionValues!$C$2:$C$331,MATCH(A405,DefaultAuctionValues!$A$2:$A$331,0)),0),IF(LeagueInfo!$F$7="Custom",IFERROR(INDEX(DefaultAuctionValues!$D$2:$D$331,MATCH(A405,DefaultAuctionValues!$A$2:$A$331,0)),0))))</f>
        <v>0</v>
      </c>
      <c r="L405" s="159">
        <f t="shared" ca="1" si="46"/>
        <v>-11.932971127509839</v>
      </c>
      <c r="M405" s="171"/>
      <c r="N405" s="166">
        <f t="shared" ca="1" si="47"/>
        <v>-36.165000000000006</v>
      </c>
      <c r="O405" s="157" t="str">
        <f t="shared" ca="1" si="48"/>
        <v/>
      </c>
    </row>
    <row r="406" spans="1:15" x14ac:dyDescent="0.35">
      <c r="A406" s="157" t="s">
        <v>772</v>
      </c>
      <c r="B406" s="157" t="s">
        <v>40</v>
      </c>
      <c r="C406" s="157">
        <f ca="1">IFERROR(INDEX(BYEs!$B$2:$B$33,MATCH(D406,BYEs!$A$2:$A$33,0)),"N/A")</f>
        <v>11</v>
      </c>
      <c r="D406" s="214" t="str">
        <f t="shared" ca="1" si="42"/>
        <v>TB</v>
      </c>
      <c r="E406" s="213" t="str">
        <f t="shared" ca="1" si="43"/>
        <v>TE8</v>
      </c>
      <c r="F406" s="158">
        <f ca="1">IF(LeagueInfo!$H$7="Starter/Bench",INDEX(INDIRECT(""&amp;B406&amp;"!T2:T628"),MATCH(A406,INDIRECT(""&amp;B406&amp;"!B2:B628"),0)),INDEX(INDIRECT(""&amp;B406&amp;"!AB2:AB628"),MATCH(A406,INDIRECT(""&amp;B406&amp;"!B2:B628"),0)))</f>
        <v>-11.93792051412432</v>
      </c>
      <c r="G406" s="159">
        <f t="shared" si="44"/>
        <v>0</v>
      </c>
      <c r="H406" s="160"/>
      <c r="I406" s="159">
        <f t="shared" ca="1" si="45"/>
        <v>-11.93792051412432</v>
      </c>
      <c r="J406" s="159" t="s">
        <v>73</v>
      </c>
      <c r="K406" s="159">
        <f>IF(LeagueInfo!$F$7="Yahoo",IFERROR(INDEX(DefaultAuctionValues!$B$2:$B$331,MATCH(A406,DefaultAuctionValues!$A$2:$A$331,0)),0),IF(LeagueInfo!$F$7="ESPN",IFERROR(INDEX(DefaultAuctionValues!$C$2:$C$331,MATCH(A406,DefaultAuctionValues!$A$2:$A$331,0)),0),IF(LeagueInfo!$F$7="Custom",IFERROR(INDEX(DefaultAuctionValues!$D$2:$D$331,MATCH(A406,DefaultAuctionValues!$A$2:$A$331,0)),0))))</f>
        <v>0</v>
      </c>
      <c r="L406" s="159">
        <f t="shared" ca="1" si="46"/>
        <v>-11.93792051412432</v>
      </c>
      <c r="M406" s="171"/>
      <c r="N406" s="166">
        <f t="shared" ca="1" si="47"/>
        <v>-36.180000000000007</v>
      </c>
      <c r="O406" s="157" t="str">
        <f t="shared" ca="1" si="48"/>
        <v/>
      </c>
    </row>
    <row r="407" spans="1:15" x14ac:dyDescent="0.35">
      <c r="A407" s="157" t="s">
        <v>870</v>
      </c>
      <c r="B407" s="157" t="s">
        <v>25</v>
      </c>
      <c r="C407" s="157">
        <f ca="1">IFERROR(INDEX(BYEs!$B$2:$B$33,MATCH(D407,BYEs!$A$2:$A$33,0)),"N/A")</f>
        <v>12</v>
      </c>
      <c r="D407" s="214" t="str">
        <f t="shared" ca="1" si="42"/>
        <v>NYJ</v>
      </c>
      <c r="E407" s="213" t="str">
        <f t="shared" ca="1" si="43"/>
        <v>RB8</v>
      </c>
      <c r="F407" s="158">
        <f ca="1">IF(LeagueInfo!$H$7="Starter/Bench",INDEX(INDIRECT(""&amp;B407&amp;"!T2:T628"),MATCH(A407,INDIRECT(""&amp;B407&amp;"!B2:B628"),0)),INDEX(INDIRECT(""&amp;B407&amp;"!AB2:AB628"),MATCH(A407,INDIRECT(""&amp;B407&amp;"!B2:B628"),0)))</f>
        <v>-11.967616833811194</v>
      </c>
      <c r="G407" s="159">
        <f t="shared" si="44"/>
        <v>0</v>
      </c>
      <c r="H407" s="160"/>
      <c r="I407" s="159">
        <f t="shared" ca="1" si="45"/>
        <v>-11.967616833811194</v>
      </c>
      <c r="J407" s="159" t="s">
        <v>73</v>
      </c>
      <c r="K407" s="159">
        <f>IF(LeagueInfo!$F$7="Yahoo",IFERROR(INDEX(DefaultAuctionValues!$B$2:$B$331,MATCH(A407,DefaultAuctionValues!$A$2:$A$331,0)),0),IF(LeagueInfo!$F$7="ESPN",IFERROR(INDEX(DefaultAuctionValues!$C$2:$C$331,MATCH(A407,DefaultAuctionValues!$A$2:$A$331,0)),0),IF(LeagueInfo!$F$7="Custom",IFERROR(INDEX(DefaultAuctionValues!$D$2:$D$331,MATCH(A407,DefaultAuctionValues!$A$2:$A$331,0)),0))))</f>
        <v>0</v>
      </c>
      <c r="L407" s="159">
        <f t="shared" ca="1" si="46"/>
        <v>-11.967616833811194</v>
      </c>
      <c r="M407" s="171"/>
      <c r="N407" s="166">
        <f t="shared" ca="1" si="47"/>
        <v>-36.270000000000003</v>
      </c>
      <c r="O407" s="157" t="str">
        <f t="shared" ca="1" si="48"/>
        <v/>
      </c>
    </row>
    <row r="408" spans="1:15" x14ac:dyDescent="0.35">
      <c r="A408" s="157" t="s">
        <v>944</v>
      </c>
      <c r="B408" s="157" t="s">
        <v>40</v>
      </c>
      <c r="C408" s="157">
        <f ca="1">IFERROR(INDEX(BYEs!$B$2:$B$33,MATCH(D408,BYEs!$A$2:$A$33,0)),"N/A")</f>
        <v>5</v>
      </c>
      <c r="D408" s="214" t="str">
        <f t="shared" ca="1" si="42"/>
        <v>PHI</v>
      </c>
      <c r="E408" s="213" t="str">
        <f t="shared" ca="1" si="43"/>
        <v>TE8</v>
      </c>
      <c r="F408" s="158">
        <f ca="1">IF(LeagueInfo!$H$7="Starter/Bench",INDEX(INDIRECT(""&amp;B408&amp;"!T2:T628"),MATCH(A408,INDIRECT(""&amp;B408&amp;"!B2:B628"),0)),INDEX(INDIRECT(""&amp;B408&amp;"!AB2:AB628"),MATCH(A408,INDIRECT(""&amp;B408&amp;"!B2:B628"),0)))</f>
        <v>-11.982464993654634</v>
      </c>
      <c r="G408" s="159">
        <f t="shared" si="44"/>
        <v>0</v>
      </c>
      <c r="H408" s="160"/>
      <c r="I408" s="159">
        <f t="shared" ca="1" si="45"/>
        <v>-11.982464993654634</v>
      </c>
      <c r="J408" s="159" t="s">
        <v>73</v>
      </c>
      <c r="K408" s="159">
        <f>IF(LeagueInfo!$F$7="Yahoo",IFERROR(INDEX(DefaultAuctionValues!$B$2:$B$331,MATCH(A408,DefaultAuctionValues!$A$2:$A$331,0)),0),IF(LeagueInfo!$F$7="ESPN",IFERROR(INDEX(DefaultAuctionValues!$C$2:$C$331,MATCH(A408,DefaultAuctionValues!$A$2:$A$331,0)),0),IF(LeagueInfo!$F$7="Custom",IFERROR(INDEX(DefaultAuctionValues!$D$2:$D$331,MATCH(A408,DefaultAuctionValues!$A$2:$A$331,0)),0))))</f>
        <v>0</v>
      </c>
      <c r="L408" s="159">
        <f t="shared" ca="1" si="46"/>
        <v>-11.982464993654634</v>
      </c>
      <c r="M408" s="171"/>
      <c r="N408" s="166">
        <f t="shared" ca="1" si="47"/>
        <v>-36.315000000000005</v>
      </c>
      <c r="O408" s="157" t="str">
        <f t="shared" ca="1" si="48"/>
        <v/>
      </c>
    </row>
    <row r="409" spans="1:15" x14ac:dyDescent="0.35">
      <c r="A409" s="157" t="s">
        <v>231</v>
      </c>
      <c r="B409" s="157" t="s">
        <v>25</v>
      </c>
      <c r="C409" s="157">
        <f ca="1">IFERROR(INDEX(BYEs!$B$2:$B$33,MATCH(D409,BYEs!$A$2:$A$33,0)),"N/A")</f>
        <v>9</v>
      </c>
      <c r="D409" s="214" t="str">
        <f t="shared" ca="1" si="42"/>
        <v>SF</v>
      </c>
      <c r="E409" s="213" t="str">
        <f t="shared" ca="1" si="43"/>
        <v>RB8</v>
      </c>
      <c r="F409" s="158">
        <f ca="1">IF(LeagueInfo!$H$7="Starter/Bench",INDEX(INDIRECT(""&amp;B409&amp;"!T2:T628"),MATCH(A409,INDIRECT(""&amp;B409&amp;"!B2:B628"),0)),INDEX(INDIRECT(""&amp;B409&amp;"!AB2:AB628"),MATCH(A409,INDIRECT(""&amp;B409&amp;"!B2:B628"),0)))</f>
        <v>-12.00226254011255</v>
      </c>
      <c r="G409" s="159">
        <f t="shared" si="44"/>
        <v>0</v>
      </c>
      <c r="H409" s="160"/>
      <c r="I409" s="159">
        <f t="shared" ca="1" si="45"/>
        <v>-12.00226254011255</v>
      </c>
      <c r="J409" s="159" t="s">
        <v>73</v>
      </c>
      <c r="K409" s="159">
        <f>IF(LeagueInfo!$F$7="Yahoo",IFERROR(INDEX(DefaultAuctionValues!$B$2:$B$331,MATCH(A409,DefaultAuctionValues!$A$2:$A$331,0)),0),IF(LeagueInfo!$F$7="ESPN",IFERROR(INDEX(DefaultAuctionValues!$C$2:$C$331,MATCH(A409,DefaultAuctionValues!$A$2:$A$331,0)),0),IF(LeagueInfo!$F$7="Custom",IFERROR(INDEX(DefaultAuctionValues!$D$2:$D$331,MATCH(A409,DefaultAuctionValues!$A$2:$A$331,0)),0))))</f>
        <v>0</v>
      </c>
      <c r="L409" s="159">
        <f t="shared" ca="1" si="46"/>
        <v>-12.00226254011255</v>
      </c>
      <c r="M409" s="171"/>
      <c r="N409" s="166">
        <f t="shared" ca="1" si="47"/>
        <v>-36.375</v>
      </c>
      <c r="O409" s="157" t="str">
        <f t="shared" ca="1" si="48"/>
        <v/>
      </c>
    </row>
    <row r="410" spans="1:15" x14ac:dyDescent="0.35">
      <c r="A410" s="157" t="s">
        <v>960</v>
      </c>
      <c r="B410" s="157" t="s">
        <v>25</v>
      </c>
      <c r="C410" s="157">
        <f ca="1">IFERROR(INDEX(BYEs!$B$2:$B$33,MATCH(D410,BYEs!$A$2:$A$33,0)),"N/A")</f>
        <v>14</v>
      </c>
      <c r="D410" s="214" t="str">
        <f t="shared" ca="1" si="42"/>
        <v>IND</v>
      </c>
      <c r="E410" s="213" t="str">
        <f t="shared" ca="1" si="43"/>
        <v>RB8</v>
      </c>
      <c r="F410" s="158">
        <f ca="1">IF(LeagueInfo!$H$7="Starter/Bench",INDEX(INDIRECT(""&amp;B410&amp;"!T2:T628"),MATCH(A410,INDIRECT(""&amp;B410&amp;"!B2:B628"),0)),INDEX(INDIRECT(""&amp;B410&amp;"!AB2:AB628"),MATCH(A410,INDIRECT(""&amp;B410&amp;"!B2:B628"),0)))</f>
        <v>-12.17384127608117</v>
      </c>
      <c r="G410" s="159">
        <f t="shared" si="44"/>
        <v>0</v>
      </c>
      <c r="H410" s="160"/>
      <c r="I410" s="159">
        <f t="shared" ca="1" si="45"/>
        <v>-12.17384127608117</v>
      </c>
      <c r="J410" s="159" t="s">
        <v>73</v>
      </c>
      <c r="K410" s="159">
        <f>IF(LeagueInfo!$F$7="Yahoo",IFERROR(INDEX(DefaultAuctionValues!$B$2:$B$331,MATCH(A410,DefaultAuctionValues!$A$2:$A$331,0)),0),IF(LeagueInfo!$F$7="ESPN",IFERROR(INDEX(DefaultAuctionValues!$C$2:$C$331,MATCH(A410,DefaultAuctionValues!$A$2:$A$331,0)),0),IF(LeagueInfo!$F$7="Custom",IFERROR(INDEX(DefaultAuctionValues!$D$2:$D$331,MATCH(A410,DefaultAuctionValues!$A$2:$A$331,0)),0))))</f>
        <v>0</v>
      </c>
      <c r="L410" s="159">
        <f t="shared" ca="1" si="46"/>
        <v>-12.17384127608117</v>
      </c>
      <c r="M410" s="171"/>
      <c r="N410" s="166">
        <f t="shared" ca="1" si="47"/>
        <v>-36.895000000000003</v>
      </c>
      <c r="O410" s="157" t="str">
        <f t="shared" ca="1" si="48"/>
        <v/>
      </c>
    </row>
    <row r="411" spans="1:15" x14ac:dyDescent="0.35">
      <c r="A411" s="157" t="s">
        <v>645</v>
      </c>
      <c r="B411" s="157" t="s">
        <v>40</v>
      </c>
      <c r="C411" s="157">
        <f ca="1">IFERROR(INDEX(BYEs!$B$2:$B$33,MATCH(D411,BYEs!$A$2:$A$33,0)),"N/A")</f>
        <v>5</v>
      </c>
      <c r="D411" s="214" t="str">
        <f t="shared" ca="1" si="42"/>
        <v>PHI</v>
      </c>
      <c r="E411" s="213" t="str">
        <f t="shared" ca="1" si="43"/>
        <v>TE8</v>
      </c>
      <c r="F411" s="158">
        <f ca="1">IF(LeagueInfo!$H$7="Starter/Bench",INDEX(INDIRECT(""&amp;B411&amp;"!T2:T628"),MATCH(A411,INDIRECT(""&amp;B411&amp;"!B2:B628"),0)),INDEX(INDIRECT(""&amp;B411&amp;"!AB2:AB628"),MATCH(A411,INDIRECT(""&amp;B411&amp;"!B2:B628"),0)))</f>
        <v>-12.17549107161933</v>
      </c>
      <c r="G411" s="159">
        <f t="shared" si="44"/>
        <v>0</v>
      </c>
      <c r="H411" s="160"/>
      <c r="I411" s="159">
        <f t="shared" ca="1" si="45"/>
        <v>-12.17549107161933</v>
      </c>
      <c r="J411" s="159" t="s">
        <v>73</v>
      </c>
      <c r="K411" s="159">
        <f>IF(LeagueInfo!$F$7="Yahoo",IFERROR(INDEX(DefaultAuctionValues!$B$2:$B$331,MATCH(A411,DefaultAuctionValues!$A$2:$A$331,0)),0),IF(LeagueInfo!$F$7="ESPN",IFERROR(INDEX(DefaultAuctionValues!$C$2:$C$331,MATCH(A411,DefaultAuctionValues!$A$2:$A$331,0)),0),IF(LeagueInfo!$F$7="Custom",IFERROR(INDEX(DefaultAuctionValues!$D$2:$D$331,MATCH(A411,DefaultAuctionValues!$A$2:$A$331,0)),0))))</f>
        <v>0</v>
      </c>
      <c r="L411" s="159">
        <f t="shared" ca="1" si="46"/>
        <v>-12.17549107161933</v>
      </c>
      <c r="M411" s="171"/>
      <c r="N411" s="166">
        <f t="shared" ca="1" si="47"/>
        <v>-36.900000000000006</v>
      </c>
      <c r="O411" s="157" t="str">
        <f t="shared" ca="1" si="48"/>
        <v/>
      </c>
    </row>
    <row r="412" spans="1:15" x14ac:dyDescent="0.35">
      <c r="A412" s="157" t="s">
        <v>573</v>
      </c>
      <c r="B412" s="157" t="s">
        <v>40</v>
      </c>
      <c r="C412" s="157">
        <f ca="1">IFERROR(INDEX(BYEs!$B$2:$B$33,MATCH(D412,BYEs!$A$2:$A$33,0)),"N/A")</f>
        <v>12</v>
      </c>
      <c r="D412" s="214" t="str">
        <f t="shared" ca="1" si="42"/>
        <v>JAC</v>
      </c>
      <c r="E412" s="213" t="str">
        <f t="shared" ca="1" si="43"/>
        <v>TE8</v>
      </c>
      <c r="F412" s="158">
        <f ca="1">IF(LeagueInfo!$H$7="Starter/Bench",INDEX(INDIRECT(""&amp;B412&amp;"!T2:T628"),MATCH(A412,INDIRECT(""&amp;B412&amp;"!B2:B628"),0)),INDEX(INDIRECT(""&amp;B412&amp;"!AB2:AB628"),MATCH(A412,INDIRECT(""&amp;B412&amp;"!B2:B628"),0)))</f>
        <v>-12.229934324378604</v>
      </c>
      <c r="G412" s="159">
        <f t="shared" si="44"/>
        <v>0</v>
      </c>
      <c r="H412" s="160"/>
      <c r="I412" s="159">
        <f t="shared" ca="1" si="45"/>
        <v>-12.229934324378604</v>
      </c>
      <c r="J412" s="159" t="s">
        <v>73</v>
      </c>
      <c r="K412" s="159">
        <f>IF(LeagueInfo!$F$7="Yahoo",IFERROR(INDEX(DefaultAuctionValues!$B$2:$B$331,MATCH(A412,DefaultAuctionValues!$A$2:$A$331,0)),0),IF(LeagueInfo!$F$7="ESPN",IFERROR(INDEX(DefaultAuctionValues!$C$2:$C$331,MATCH(A412,DefaultAuctionValues!$A$2:$A$331,0)),0),IF(LeagueInfo!$F$7="Custom",IFERROR(INDEX(DefaultAuctionValues!$D$2:$D$331,MATCH(A412,DefaultAuctionValues!$A$2:$A$331,0)),0))))</f>
        <v>0</v>
      </c>
      <c r="L412" s="159">
        <f t="shared" ca="1" si="46"/>
        <v>-12.229934324378604</v>
      </c>
      <c r="M412" s="171"/>
      <c r="N412" s="166">
        <f t="shared" ca="1" si="47"/>
        <v>-37.065000000000005</v>
      </c>
      <c r="O412" s="157" t="str">
        <f t="shared" ca="1" si="48"/>
        <v/>
      </c>
    </row>
    <row r="413" spans="1:15" x14ac:dyDescent="0.35">
      <c r="A413" s="157" t="s">
        <v>1082</v>
      </c>
      <c r="B413" s="157" t="s">
        <v>40</v>
      </c>
      <c r="C413" s="157">
        <f ca="1">IFERROR(INDEX(BYEs!$B$2:$B$33,MATCH(D413,BYEs!$A$2:$A$33,0)),"N/A")</f>
        <v>7</v>
      </c>
      <c r="D413" s="214" t="str">
        <f t="shared" ca="1" si="42"/>
        <v>DAL</v>
      </c>
      <c r="E413" s="213" t="str">
        <f t="shared" ca="1" si="43"/>
        <v>TE8</v>
      </c>
      <c r="F413" s="158">
        <f ca="1">IF(LeagueInfo!$H$7="Starter/Bench",INDEX(INDIRECT(""&amp;B413&amp;"!T2:T628"),MATCH(A413,INDIRECT(""&amp;B413&amp;"!B2:B628"),0)),INDEX(INDIRECT(""&amp;B413&amp;"!AB2:AB628"),MATCH(A413,INDIRECT(""&amp;B413&amp;"!B2:B628"),0)))</f>
        <v>-12.25303146191284</v>
      </c>
      <c r="G413" s="159">
        <f t="shared" si="44"/>
        <v>0</v>
      </c>
      <c r="H413" s="160"/>
      <c r="I413" s="159">
        <f t="shared" ca="1" si="45"/>
        <v>-12.25303146191284</v>
      </c>
      <c r="J413" s="159" t="s">
        <v>73</v>
      </c>
      <c r="K413" s="159">
        <f>IF(LeagueInfo!$F$7="Yahoo",IFERROR(INDEX(DefaultAuctionValues!$B$2:$B$331,MATCH(A413,DefaultAuctionValues!$A$2:$A$331,0)),0),IF(LeagueInfo!$F$7="ESPN",IFERROR(INDEX(DefaultAuctionValues!$C$2:$C$331,MATCH(A413,DefaultAuctionValues!$A$2:$A$331,0)),0),IF(LeagueInfo!$F$7="Custom",IFERROR(INDEX(DefaultAuctionValues!$D$2:$D$331,MATCH(A413,DefaultAuctionValues!$A$2:$A$331,0)),0))))</f>
        <v>0</v>
      </c>
      <c r="L413" s="159">
        <f t="shared" ca="1" si="46"/>
        <v>-12.25303146191284</v>
      </c>
      <c r="M413" s="171"/>
      <c r="N413" s="166">
        <f t="shared" ca="1" si="47"/>
        <v>-37.135000000000005</v>
      </c>
      <c r="O413" s="157" t="str">
        <f t="shared" ca="1" si="48"/>
        <v/>
      </c>
    </row>
    <row r="414" spans="1:15" x14ac:dyDescent="0.35">
      <c r="A414" s="157" t="s">
        <v>518</v>
      </c>
      <c r="B414" s="157" t="s">
        <v>25</v>
      </c>
      <c r="C414" s="157">
        <f ca="1">IFERROR(INDEX(BYEs!$B$2:$B$33,MATCH(D414,BYEs!$A$2:$A$33,0)),"N/A")</f>
        <v>14</v>
      </c>
      <c r="D414" s="214" t="str">
        <f t="shared" ca="1" si="42"/>
        <v>HOU</v>
      </c>
      <c r="E414" s="213" t="str">
        <f t="shared" ca="1" si="43"/>
        <v>RB8</v>
      </c>
      <c r="F414" s="158">
        <f ca="1">IF(LeagueInfo!$H$7="Starter/Bench",INDEX(INDIRECT(""&amp;B414&amp;"!T2:T628"),MATCH(A414,INDIRECT(""&amp;B414&amp;"!B2:B628"),0)),INDEX(INDIRECT(""&amp;B414&amp;"!AB2:AB628"),MATCH(A414,INDIRECT(""&amp;B414&amp;"!B2:B628"),0)))</f>
        <v>-12.261280439603636</v>
      </c>
      <c r="G414" s="159">
        <f t="shared" si="44"/>
        <v>0</v>
      </c>
      <c r="H414" s="160"/>
      <c r="I414" s="159">
        <f t="shared" ca="1" si="45"/>
        <v>-12.261280439603636</v>
      </c>
      <c r="J414" s="159" t="s">
        <v>73</v>
      </c>
      <c r="K414" s="159">
        <f>IF(LeagueInfo!$F$7="Yahoo",IFERROR(INDEX(DefaultAuctionValues!$B$2:$B$331,MATCH(A414,DefaultAuctionValues!$A$2:$A$331,0)),0),IF(LeagueInfo!$F$7="ESPN",IFERROR(INDEX(DefaultAuctionValues!$C$2:$C$331,MATCH(A414,DefaultAuctionValues!$A$2:$A$331,0)),0),IF(LeagueInfo!$F$7="Custom",IFERROR(INDEX(DefaultAuctionValues!$D$2:$D$331,MATCH(A414,DefaultAuctionValues!$A$2:$A$331,0)),0))))</f>
        <v>0</v>
      </c>
      <c r="L414" s="159">
        <f t="shared" ca="1" si="46"/>
        <v>-12.261280439603636</v>
      </c>
      <c r="M414" s="171"/>
      <c r="N414" s="166">
        <f t="shared" ca="1" si="47"/>
        <v>-37.159999999999997</v>
      </c>
      <c r="O414" s="157" t="str">
        <f t="shared" ca="1" si="48"/>
        <v/>
      </c>
    </row>
    <row r="415" spans="1:15" x14ac:dyDescent="0.35">
      <c r="A415" s="157" t="s">
        <v>542</v>
      </c>
      <c r="B415" s="157" t="s">
        <v>25</v>
      </c>
      <c r="C415" s="157">
        <f ca="1">IFERROR(INDEX(BYEs!$B$2:$B$33,MATCH(D415,BYEs!$A$2:$A$33,0)),"N/A")</f>
        <v>11</v>
      </c>
      <c r="D415" s="214" t="str">
        <f t="shared" ca="1" si="42"/>
        <v>ARI</v>
      </c>
      <c r="E415" s="213" t="str">
        <f t="shared" ca="1" si="43"/>
        <v>RB8</v>
      </c>
      <c r="F415" s="158">
        <f ca="1">IF(LeagueInfo!$H$7="Starter/Bench",INDEX(INDIRECT(""&amp;B415&amp;"!T2:T628"),MATCH(A415,INDIRECT(""&amp;B415&amp;"!B2:B628"),0)),INDEX(INDIRECT(""&amp;B415&amp;"!AB2:AB628"),MATCH(A415,INDIRECT(""&amp;B415&amp;"!B2:B628"),0)))</f>
        <v>-12.320673078977393</v>
      </c>
      <c r="G415" s="159">
        <f t="shared" si="44"/>
        <v>0</v>
      </c>
      <c r="H415" s="160"/>
      <c r="I415" s="159">
        <f t="shared" ca="1" si="45"/>
        <v>-12.320673078977393</v>
      </c>
      <c r="J415" s="159" t="s">
        <v>73</v>
      </c>
      <c r="K415" s="159">
        <f>IF(LeagueInfo!$F$7="Yahoo",IFERROR(INDEX(DefaultAuctionValues!$B$2:$B$331,MATCH(A415,DefaultAuctionValues!$A$2:$A$331,0)),0),IF(LeagueInfo!$F$7="ESPN",IFERROR(INDEX(DefaultAuctionValues!$C$2:$C$331,MATCH(A415,DefaultAuctionValues!$A$2:$A$331,0)),0),IF(LeagueInfo!$F$7="Custom",IFERROR(INDEX(DefaultAuctionValues!$D$2:$D$331,MATCH(A415,DefaultAuctionValues!$A$2:$A$331,0)),0))))</f>
        <v>0</v>
      </c>
      <c r="L415" s="159">
        <f t="shared" ca="1" si="46"/>
        <v>-12.320673078977393</v>
      </c>
      <c r="M415" s="171"/>
      <c r="N415" s="166">
        <f t="shared" ca="1" si="47"/>
        <v>-37.340000000000003</v>
      </c>
      <c r="O415" s="157" t="str">
        <f t="shared" ca="1" si="48"/>
        <v/>
      </c>
    </row>
    <row r="416" spans="1:15" x14ac:dyDescent="0.35">
      <c r="A416" s="157" t="s">
        <v>689</v>
      </c>
      <c r="B416" s="157" t="s">
        <v>40</v>
      </c>
      <c r="C416" s="157">
        <f ca="1">IFERROR(INDEX(BYEs!$B$2:$B$33,MATCH(D416,BYEs!$A$2:$A$33,0)),"N/A")</f>
        <v>9</v>
      </c>
      <c r="D416" s="214" t="str">
        <f t="shared" ca="1" si="42"/>
        <v>PIT</v>
      </c>
      <c r="E416" s="213" t="str">
        <f t="shared" ca="1" si="43"/>
        <v>TE8</v>
      </c>
      <c r="F416" s="158">
        <f ca="1">IF(LeagueInfo!$H$7="Starter/Bench",INDEX(INDIRECT(""&amp;B416&amp;"!T2:T628"),MATCH(A416,INDIRECT(""&amp;B416&amp;"!B2:B628"),0)),INDEX(INDIRECT(""&amp;B416&amp;"!AB2:AB628"),MATCH(A416,INDIRECT(""&amp;B416&amp;"!B2:B628"),0)))</f>
        <v>-12.347069807587948</v>
      </c>
      <c r="G416" s="159">
        <f t="shared" si="44"/>
        <v>0</v>
      </c>
      <c r="H416" s="160"/>
      <c r="I416" s="159">
        <f t="shared" ca="1" si="45"/>
        <v>-12.347069807587948</v>
      </c>
      <c r="J416" s="159" t="s">
        <v>73</v>
      </c>
      <c r="K416" s="159">
        <f>IF(LeagueInfo!$F$7="Yahoo",IFERROR(INDEX(DefaultAuctionValues!$B$2:$B$331,MATCH(A416,DefaultAuctionValues!$A$2:$A$331,0)),0),IF(LeagueInfo!$F$7="ESPN",IFERROR(INDEX(DefaultAuctionValues!$C$2:$C$331,MATCH(A416,DefaultAuctionValues!$A$2:$A$331,0)),0),IF(LeagueInfo!$F$7="Custom",IFERROR(INDEX(DefaultAuctionValues!$D$2:$D$331,MATCH(A416,DefaultAuctionValues!$A$2:$A$331,0)),0))))</f>
        <v>0</v>
      </c>
      <c r="L416" s="159">
        <f t="shared" ca="1" si="46"/>
        <v>-12.347069807587948</v>
      </c>
      <c r="M416" s="171"/>
      <c r="N416" s="166">
        <f t="shared" ca="1" si="47"/>
        <v>-37.42</v>
      </c>
      <c r="O416" s="157" t="str">
        <f t="shared" ca="1" si="48"/>
        <v/>
      </c>
    </row>
    <row r="417" spans="1:15" x14ac:dyDescent="0.35">
      <c r="A417" s="157" t="s">
        <v>704</v>
      </c>
      <c r="B417" s="157" t="s">
        <v>40</v>
      </c>
      <c r="C417" s="157">
        <f ca="1">IFERROR(INDEX(BYEs!$B$2:$B$33,MATCH(D417,BYEs!$A$2:$A$33,0)),"N/A")</f>
        <v>6</v>
      </c>
      <c r="D417" s="214" t="str">
        <f t="shared" ca="1" si="42"/>
        <v>KC</v>
      </c>
      <c r="E417" s="213" t="str">
        <f t="shared" ca="1" si="43"/>
        <v>TE8</v>
      </c>
      <c r="F417" s="158">
        <f ca="1">IF(LeagueInfo!$H$7="Starter/Bench",INDEX(INDIRECT(""&amp;B417&amp;"!T2:T628"),MATCH(A417,INDIRECT(""&amp;B417&amp;"!B2:B628"),0)),INDEX(INDIRECT(""&amp;B417&amp;"!AB2:AB628"),MATCH(A417,INDIRECT(""&amp;B417&amp;"!B2:B628"),0)))</f>
        <v>-12.368517149584028</v>
      </c>
      <c r="G417" s="159">
        <f t="shared" si="44"/>
        <v>0</v>
      </c>
      <c r="H417" s="160"/>
      <c r="I417" s="159">
        <f t="shared" ca="1" si="45"/>
        <v>-12.368517149584028</v>
      </c>
      <c r="J417" s="159" t="s">
        <v>73</v>
      </c>
      <c r="K417" s="159">
        <f>IF(LeagueInfo!$F$7="Yahoo",IFERROR(INDEX(DefaultAuctionValues!$B$2:$B$331,MATCH(A417,DefaultAuctionValues!$A$2:$A$331,0)),0),IF(LeagueInfo!$F$7="ESPN",IFERROR(INDEX(DefaultAuctionValues!$C$2:$C$331,MATCH(A417,DefaultAuctionValues!$A$2:$A$331,0)),0),IF(LeagueInfo!$F$7="Custom",IFERROR(INDEX(DefaultAuctionValues!$D$2:$D$331,MATCH(A417,DefaultAuctionValues!$A$2:$A$331,0)),0))))</f>
        <v>0</v>
      </c>
      <c r="L417" s="159">
        <f t="shared" ca="1" si="46"/>
        <v>-12.368517149584028</v>
      </c>
      <c r="M417" s="171"/>
      <c r="N417" s="166">
        <f t="shared" ca="1" si="47"/>
        <v>-37.485000000000007</v>
      </c>
      <c r="O417" s="157" t="str">
        <f t="shared" ca="1" si="48"/>
        <v/>
      </c>
    </row>
    <row r="418" spans="1:15" x14ac:dyDescent="0.35">
      <c r="A418" s="157" t="s">
        <v>357</v>
      </c>
      <c r="B418" s="157" t="s">
        <v>25</v>
      </c>
      <c r="C418" s="157">
        <f ca="1">IFERROR(INDEX(BYEs!$B$2:$B$33,MATCH(D418,BYEs!$A$2:$A$33,0)),"N/A")</f>
        <v>11</v>
      </c>
      <c r="D418" s="214" t="str">
        <f t="shared" ca="1" si="42"/>
        <v>TB</v>
      </c>
      <c r="E418" s="213" t="str">
        <f t="shared" ca="1" si="43"/>
        <v>RB8</v>
      </c>
      <c r="F418" s="158">
        <f ca="1">IF(LeagueInfo!$H$7="Starter/Bench",INDEX(INDIRECT(""&amp;B418&amp;"!T2:T628"),MATCH(A418,INDIRECT(""&amp;B418&amp;"!B2:B628"),0)),INDEX(INDIRECT(""&amp;B418&amp;"!AB2:AB628"),MATCH(A418,INDIRECT(""&amp;B418&amp;"!B2:B628"),0)))</f>
        <v>-12.386664900503785</v>
      </c>
      <c r="G418" s="159">
        <f t="shared" si="44"/>
        <v>0</v>
      </c>
      <c r="H418" s="160"/>
      <c r="I418" s="159">
        <f t="shared" ca="1" si="45"/>
        <v>-12.386664900503785</v>
      </c>
      <c r="J418" s="159" t="s">
        <v>73</v>
      </c>
      <c r="K418" s="159">
        <f>IF(LeagueInfo!$F$7="Yahoo",IFERROR(INDEX(DefaultAuctionValues!$B$2:$B$331,MATCH(A418,DefaultAuctionValues!$A$2:$A$331,0)),0),IF(LeagueInfo!$F$7="ESPN",IFERROR(INDEX(DefaultAuctionValues!$C$2:$C$331,MATCH(A418,DefaultAuctionValues!$A$2:$A$331,0)),0),IF(LeagueInfo!$F$7="Custom",IFERROR(INDEX(DefaultAuctionValues!$D$2:$D$331,MATCH(A418,DefaultAuctionValues!$A$2:$A$331,0)),0))))</f>
        <v>0</v>
      </c>
      <c r="L418" s="159">
        <f t="shared" ca="1" si="46"/>
        <v>-12.386664900503785</v>
      </c>
      <c r="M418" s="171"/>
      <c r="N418" s="166">
        <f t="shared" ca="1" si="47"/>
        <v>-37.540000000000006</v>
      </c>
      <c r="O418" s="157" t="str">
        <f t="shared" ca="1" si="48"/>
        <v/>
      </c>
    </row>
    <row r="419" spans="1:15" x14ac:dyDescent="0.35">
      <c r="A419" s="157" t="s">
        <v>458</v>
      </c>
      <c r="B419" s="157" t="s">
        <v>40</v>
      </c>
      <c r="C419" s="157">
        <f ca="1">IFERROR(INDEX(BYEs!$B$2:$B$33,MATCH(D419,BYEs!$A$2:$A$33,0)),"N/A")</f>
        <v>12</v>
      </c>
      <c r="D419" s="214" t="str">
        <f t="shared" ca="1" si="42"/>
        <v>ATL</v>
      </c>
      <c r="E419" s="213" t="str">
        <f t="shared" ca="1" si="43"/>
        <v>TE8</v>
      </c>
      <c r="F419" s="158">
        <f ca="1">IF(LeagueInfo!$H$7="Starter/Bench",INDEX(INDIRECT(""&amp;B419&amp;"!T2:T628"),MATCH(A419,INDIRECT(""&amp;B419&amp;"!B2:B628"),0)),INDEX(INDIRECT(""&amp;B419&amp;"!AB2:AB628"),MATCH(A419,INDIRECT(""&amp;B419&amp;"!B2:B628"),0)))</f>
        <v>-12.418011015728821</v>
      </c>
      <c r="G419" s="159">
        <f t="shared" si="44"/>
        <v>0</v>
      </c>
      <c r="H419" s="160"/>
      <c r="I419" s="159">
        <f t="shared" ca="1" si="45"/>
        <v>-12.418011015728821</v>
      </c>
      <c r="J419" s="159" t="s">
        <v>73</v>
      </c>
      <c r="K419" s="159">
        <f>IF(LeagueInfo!$F$7="Yahoo",IFERROR(INDEX(DefaultAuctionValues!$B$2:$B$331,MATCH(A419,DefaultAuctionValues!$A$2:$A$331,0)),0),IF(LeagueInfo!$F$7="ESPN",IFERROR(INDEX(DefaultAuctionValues!$C$2:$C$331,MATCH(A419,DefaultAuctionValues!$A$2:$A$331,0)),0),IF(LeagueInfo!$F$7="Custom",IFERROR(INDEX(DefaultAuctionValues!$D$2:$D$331,MATCH(A419,DefaultAuctionValues!$A$2:$A$331,0)),0))))</f>
        <v>0</v>
      </c>
      <c r="L419" s="159">
        <f t="shared" ca="1" si="46"/>
        <v>-12.418011015728821</v>
      </c>
      <c r="M419" s="171"/>
      <c r="N419" s="166">
        <f t="shared" ca="1" si="47"/>
        <v>-37.635000000000005</v>
      </c>
      <c r="O419" s="157" t="str">
        <f t="shared" ca="1" si="48"/>
        <v/>
      </c>
    </row>
    <row r="420" spans="1:15" x14ac:dyDescent="0.35">
      <c r="A420" s="157" t="s">
        <v>875</v>
      </c>
      <c r="B420" s="157" t="s">
        <v>25</v>
      </c>
      <c r="C420" s="157">
        <f ca="1">IFERROR(INDEX(BYEs!$B$2:$B$33,MATCH(D420,BYEs!$A$2:$A$33,0)),"N/A")</f>
        <v>12</v>
      </c>
      <c r="D420" s="214" t="str">
        <f t="shared" ca="1" si="42"/>
        <v>ATL</v>
      </c>
      <c r="E420" s="213" t="str">
        <f t="shared" ca="1" si="43"/>
        <v>RB8</v>
      </c>
      <c r="F420" s="158">
        <f ca="1">IF(LeagueInfo!$H$7="Starter/Bench",INDEX(INDIRECT(""&amp;B420&amp;"!T2:T628"),MATCH(A420,INDIRECT(""&amp;B420&amp;"!B2:B628"),0)),INDEX(INDIRECT(""&amp;B420&amp;"!AB2:AB628"),MATCH(A420,INDIRECT(""&amp;B420&amp;"!B2:B628"),0)))</f>
        <v>-12.42131060680514</v>
      </c>
      <c r="G420" s="159">
        <f t="shared" si="44"/>
        <v>0</v>
      </c>
      <c r="H420" s="160"/>
      <c r="I420" s="159">
        <f t="shared" ca="1" si="45"/>
        <v>-12.42131060680514</v>
      </c>
      <c r="J420" s="159" t="s">
        <v>73</v>
      </c>
      <c r="K420" s="159">
        <f>IF(LeagueInfo!$F$7="Yahoo",IFERROR(INDEX(DefaultAuctionValues!$B$2:$B$331,MATCH(A420,DefaultAuctionValues!$A$2:$A$331,0)),0),IF(LeagueInfo!$F$7="ESPN",IFERROR(INDEX(DefaultAuctionValues!$C$2:$C$331,MATCH(A420,DefaultAuctionValues!$A$2:$A$331,0)),0),IF(LeagueInfo!$F$7="Custom",IFERROR(INDEX(DefaultAuctionValues!$D$2:$D$331,MATCH(A420,DefaultAuctionValues!$A$2:$A$331,0)),0))))</f>
        <v>0</v>
      </c>
      <c r="L420" s="159">
        <f t="shared" ca="1" si="46"/>
        <v>-12.42131060680514</v>
      </c>
      <c r="M420" s="171"/>
      <c r="N420" s="166">
        <f t="shared" ca="1" si="47"/>
        <v>-37.645000000000003</v>
      </c>
      <c r="O420" s="157" t="str">
        <f t="shared" ca="1" si="48"/>
        <v/>
      </c>
    </row>
    <row r="421" spans="1:15" x14ac:dyDescent="0.35">
      <c r="A421" s="157" t="s">
        <v>483</v>
      </c>
      <c r="B421" s="157" t="s">
        <v>40</v>
      </c>
      <c r="C421" s="157">
        <f ca="1">IFERROR(INDEX(BYEs!$B$2:$B$33,MATCH(D421,BYEs!$A$2:$A$33,0)),"N/A")</f>
        <v>10</v>
      </c>
      <c r="D421" s="214" t="str">
        <f t="shared" ca="1" si="42"/>
        <v>LV</v>
      </c>
      <c r="E421" s="213" t="str">
        <f t="shared" ca="1" si="43"/>
        <v>TE8</v>
      </c>
      <c r="F421" s="158">
        <f ca="1">IF(LeagueInfo!$H$7="Starter/Bench",INDEX(INDIRECT(""&amp;B421&amp;"!T2:T628"),MATCH(A421,INDIRECT(""&amp;B421&amp;"!B2:B628"),0)),INDEX(INDIRECT(""&amp;B421&amp;"!AB2:AB628"),MATCH(A421,INDIRECT(""&amp;B421&amp;"!B2:B628"),0)))</f>
        <v>-12.427909788957781</v>
      </c>
      <c r="G421" s="159">
        <f t="shared" si="44"/>
        <v>0</v>
      </c>
      <c r="H421" s="160"/>
      <c r="I421" s="159">
        <f t="shared" ca="1" si="45"/>
        <v>-12.427909788957781</v>
      </c>
      <c r="J421" s="159" t="s">
        <v>73</v>
      </c>
      <c r="K421" s="159">
        <f>IF(LeagueInfo!$F$7="Yahoo",IFERROR(INDEX(DefaultAuctionValues!$B$2:$B$331,MATCH(A421,DefaultAuctionValues!$A$2:$A$331,0)),0),IF(LeagueInfo!$F$7="ESPN",IFERROR(INDEX(DefaultAuctionValues!$C$2:$C$331,MATCH(A421,DefaultAuctionValues!$A$2:$A$331,0)),0),IF(LeagueInfo!$F$7="Custom",IFERROR(INDEX(DefaultAuctionValues!$D$2:$D$331,MATCH(A421,DefaultAuctionValues!$A$2:$A$331,0)),0))))</f>
        <v>0</v>
      </c>
      <c r="L421" s="159">
        <f t="shared" ca="1" si="46"/>
        <v>-12.427909788957781</v>
      </c>
      <c r="M421" s="171"/>
      <c r="N421" s="166">
        <f t="shared" ca="1" si="47"/>
        <v>-37.665000000000006</v>
      </c>
      <c r="O421" s="157" t="str">
        <f t="shared" ca="1" si="48"/>
        <v/>
      </c>
    </row>
    <row r="422" spans="1:15" x14ac:dyDescent="0.35">
      <c r="A422" s="157" t="s">
        <v>705</v>
      </c>
      <c r="B422" s="157" t="s">
        <v>40</v>
      </c>
      <c r="C422" s="157">
        <f ca="1">IFERROR(INDEX(BYEs!$B$2:$B$33,MATCH(D422,BYEs!$A$2:$A$33,0)),"N/A")</f>
        <v>12</v>
      </c>
      <c r="D422" s="214" t="str">
        <f t="shared" ca="1" si="42"/>
        <v>BUF</v>
      </c>
      <c r="E422" s="213" t="str">
        <f t="shared" ca="1" si="43"/>
        <v>TE8</v>
      </c>
      <c r="F422" s="158">
        <f ca="1">IF(LeagueInfo!$H$7="Starter/Bench",INDEX(INDIRECT(""&amp;B422&amp;"!T2:T628"),MATCH(A422,INDIRECT(""&amp;B422&amp;"!B2:B628"),0)),INDEX(INDIRECT(""&amp;B422&amp;"!AB2:AB628"),MATCH(A422,INDIRECT(""&amp;B422&amp;"!B2:B628"),0)))</f>
        <v>-12.505450179251291</v>
      </c>
      <c r="G422" s="159">
        <f t="shared" si="44"/>
        <v>0</v>
      </c>
      <c r="H422" s="160"/>
      <c r="I422" s="159">
        <f t="shared" ca="1" si="45"/>
        <v>-12.505450179251291</v>
      </c>
      <c r="J422" s="159" t="s">
        <v>73</v>
      </c>
      <c r="K422" s="159">
        <f>IF(LeagueInfo!$F$7="Yahoo",IFERROR(INDEX(DefaultAuctionValues!$B$2:$B$331,MATCH(A422,DefaultAuctionValues!$A$2:$A$331,0)),0),IF(LeagueInfo!$F$7="ESPN",IFERROR(INDEX(DefaultAuctionValues!$C$2:$C$331,MATCH(A422,DefaultAuctionValues!$A$2:$A$331,0)),0),IF(LeagueInfo!$F$7="Custom",IFERROR(INDEX(DefaultAuctionValues!$D$2:$D$331,MATCH(A422,DefaultAuctionValues!$A$2:$A$331,0)),0))))</f>
        <v>0</v>
      </c>
      <c r="L422" s="159">
        <f t="shared" ca="1" si="46"/>
        <v>-12.505450179251291</v>
      </c>
      <c r="M422" s="171"/>
      <c r="N422" s="166">
        <f t="shared" ca="1" si="47"/>
        <v>-37.900000000000006</v>
      </c>
      <c r="O422" s="157" t="str">
        <f t="shared" ca="1" si="48"/>
        <v/>
      </c>
    </row>
    <row r="423" spans="1:15" x14ac:dyDescent="0.35">
      <c r="A423" s="157" t="s">
        <v>878</v>
      </c>
      <c r="B423" s="157" t="s">
        <v>25</v>
      </c>
      <c r="C423" s="157">
        <f ca="1">IFERROR(INDEX(BYEs!$B$2:$B$33,MATCH(D423,BYEs!$A$2:$A$33,0)),"N/A")</f>
        <v>14</v>
      </c>
      <c r="D423" s="214" t="str">
        <f t="shared" ca="1" si="42"/>
        <v>BAL</v>
      </c>
      <c r="E423" s="213" t="str">
        <f t="shared" ca="1" si="43"/>
        <v>RB8</v>
      </c>
      <c r="F423" s="158">
        <f ca="1">IF(LeagueInfo!$H$7="Starter/Bench",INDEX(INDIRECT(""&amp;B423&amp;"!T2:T628"),MATCH(A423,INDIRECT(""&amp;B423&amp;"!B2:B628"),0)),INDEX(INDIRECT(""&amp;B423&amp;"!AB2:AB628"),MATCH(A423,INDIRECT(""&amp;B423&amp;"!B2:B628"),0)))</f>
        <v>-12.525247725709207</v>
      </c>
      <c r="G423" s="159">
        <f t="shared" si="44"/>
        <v>0</v>
      </c>
      <c r="H423" s="160"/>
      <c r="I423" s="159">
        <f t="shared" ca="1" si="45"/>
        <v>-12.525247725709207</v>
      </c>
      <c r="J423" s="159" t="s">
        <v>73</v>
      </c>
      <c r="K423" s="159">
        <f>IF(LeagueInfo!$F$7="Yahoo",IFERROR(INDEX(DefaultAuctionValues!$B$2:$B$331,MATCH(A423,DefaultAuctionValues!$A$2:$A$331,0)),0),IF(LeagueInfo!$F$7="ESPN",IFERROR(INDEX(DefaultAuctionValues!$C$2:$C$331,MATCH(A423,DefaultAuctionValues!$A$2:$A$331,0)),0),IF(LeagueInfo!$F$7="Custom",IFERROR(INDEX(DefaultAuctionValues!$D$2:$D$331,MATCH(A423,DefaultAuctionValues!$A$2:$A$331,0)),0))))</f>
        <v>0</v>
      </c>
      <c r="L423" s="159">
        <f t="shared" ca="1" si="46"/>
        <v>-12.525247725709207</v>
      </c>
      <c r="M423" s="171"/>
      <c r="N423" s="166">
        <f t="shared" ca="1" si="47"/>
        <v>-37.96</v>
      </c>
      <c r="O423" s="157" t="str">
        <f t="shared" ca="1" si="48"/>
        <v/>
      </c>
    </row>
    <row r="424" spans="1:15" x14ac:dyDescent="0.35">
      <c r="A424" s="157" t="s">
        <v>574</v>
      </c>
      <c r="B424" s="157" t="s">
        <v>40</v>
      </c>
      <c r="C424" s="157">
        <f ca="1">IFERROR(INDEX(BYEs!$B$2:$B$33,MATCH(D424,BYEs!$A$2:$A$33,0)),"N/A")</f>
        <v>14</v>
      </c>
      <c r="D424" s="214" t="str">
        <f t="shared" ca="1" si="42"/>
        <v>WAS</v>
      </c>
      <c r="E424" s="213" t="str">
        <f t="shared" ca="1" si="43"/>
        <v>TE8</v>
      </c>
      <c r="F424" s="158">
        <f ca="1">IF(LeagueInfo!$H$7="Starter/Bench",INDEX(INDIRECT(""&amp;B424&amp;"!T2:T628"),MATCH(A424,INDIRECT(""&amp;B424&amp;"!B2:B628"),0)),INDEX(INDIRECT(""&amp;B424&amp;"!AB2:AB628"),MATCH(A424,INDIRECT(""&amp;B424&amp;"!B2:B628"),0)))</f>
        <v>-12.66383055091463</v>
      </c>
      <c r="G424" s="159">
        <f t="shared" si="44"/>
        <v>0</v>
      </c>
      <c r="H424" s="160"/>
      <c r="I424" s="159">
        <f t="shared" ca="1" si="45"/>
        <v>-12.66383055091463</v>
      </c>
      <c r="J424" s="159" t="s">
        <v>73</v>
      </c>
      <c r="K424" s="159">
        <f>IF(LeagueInfo!$F$7="Yahoo",IFERROR(INDEX(DefaultAuctionValues!$B$2:$B$331,MATCH(A424,DefaultAuctionValues!$A$2:$A$331,0)),0),IF(LeagueInfo!$F$7="ESPN",IFERROR(INDEX(DefaultAuctionValues!$C$2:$C$331,MATCH(A424,DefaultAuctionValues!$A$2:$A$331,0)),0),IF(LeagueInfo!$F$7="Custom",IFERROR(INDEX(DefaultAuctionValues!$D$2:$D$331,MATCH(A424,DefaultAuctionValues!$A$2:$A$331,0)),0))))</f>
        <v>0</v>
      </c>
      <c r="L424" s="159">
        <f t="shared" ca="1" si="46"/>
        <v>-12.66383055091463</v>
      </c>
      <c r="M424" s="171"/>
      <c r="N424" s="166">
        <f t="shared" ca="1" si="47"/>
        <v>-38.380000000000003</v>
      </c>
      <c r="O424" s="157" t="str">
        <f t="shared" ca="1" si="48"/>
        <v/>
      </c>
    </row>
    <row r="425" spans="1:15" x14ac:dyDescent="0.35">
      <c r="A425" s="157" t="s">
        <v>570</v>
      </c>
      <c r="B425" s="157" t="s">
        <v>40</v>
      </c>
      <c r="C425" s="157">
        <f ca="1">IFERROR(INDEX(BYEs!$B$2:$B$33,MATCH(D425,BYEs!$A$2:$A$33,0)),"N/A")</f>
        <v>6</v>
      </c>
      <c r="D425" s="214" t="str">
        <f t="shared" ca="1" si="42"/>
        <v>LAR</v>
      </c>
      <c r="E425" s="213" t="str">
        <f t="shared" ca="1" si="43"/>
        <v>TE8</v>
      </c>
      <c r="F425" s="158">
        <f ca="1">IF(LeagueInfo!$H$7="Starter/Bench",INDEX(INDIRECT(""&amp;B425&amp;"!T2:T628"),MATCH(A425,INDIRECT(""&amp;B425&amp;"!B2:B628"),0)),INDEX(INDIRECT(""&amp;B425&amp;"!AB2:AB628"),MATCH(A425,INDIRECT(""&amp;B425&amp;"!B2:B628"),0)))</f>
        <v>-12.696826461677826</v>
      </c>
      <c r="G425" s="159">
        <f t="shared" si="44"/>
        <v>0</v>
      </c>
      <c r="H425" s="160"/>
      <c r="I425" s="159">
        <f t="shared" ca="1" si="45"/>
        <v>-12.696826461677826</v>
      </c>
      <c r="J425" s="159" t="s">
        <v>73</v>
      </c>
      <c r="K425" s="159">
        <f>IF(LeagueInfo!$F$7="Yahoo",IFERROR(INDEX(DefaultAuctionValues!$B$2:$B$331,MATCH(A425,DefaultAuctionValues!$A$2:$A$331,0)),0),IF(LeagueInfo!$F$7="ESPN",IFERROR(INDEX(DefaultAuctionValues!$C$2:$C$331,MATCH(A425,DefaultAuctionValues!$A$2:$A$331,0)),0),IF(LeagueInfo!$F$7="Custom",IFERROR(INDEX(DefaultAuctionValues!$D$2:$D$331,MATCH(A425,DefaultAuctionValues!$A$2:$A$331,0)),0))))</f>
        <v>0</v>
      </c>
      <c r="L425" s="159">
        <f t="shared" ca="1" si="46"/>
        <v>-12.696826461677826</v>
      </c>
      <c r="M425" s="171"/>
      <c r="N425" s="166">
        <f t="shared" ca="1" si="47"/>
        <v>-38.480000000000004</v>
      </c>
      <c r="O425" s="157" t="str">
        <f t="shared" ca="1" si="48"/>
        <v/>
      </c>
    </row>
    <row r="426" spans="1:15" x14ac:dyDescent="0.35">
      <c r="A426" s="157" t="s">
        <v>806</v>
      </c>
      <c r="B426" s="157" t="s">
        <v>40</v>
      </c>
      <c r="C426" s="157">
        <f ca="1">IFERROR(INDEX(BYEs!$B$2:$B$33,MATCH(D426,BYEs!$A$2:$A$33,0)),"N/A")</f>
        <v>7</v>
      </c>
      <c r="D426" s="214" t="str">
        <f t="shared" ca="1" si="42"/>
        <v>CHI</v>
      </c>
      <c r="E426" s="213" t="str">
        <f t="shared" ca="1" si="43"/>
        <v>TE8</v>
      </c>
      <c r="F426" s="158">
        <f ca="1">IF(LeagueInfo!$H$7="Starter/Bench",INDEX(INDIRECT(""&amp;B426&amp;"!T2:T628"),MATCH(A426,INDIRECT(""&amp;B426&amp;"!B2:B628"),0)),INDEX(INDIRECT(""&amp;B426&amp;"!AB2:AB628"),MATCH(A426,INDIRECT(""&amp;B426&amp;"!B2:B628"),0)))</f>
        <v>-12.746320327822623</v>
      </c>
      <c r="G426" s="159">
        <f t="shared" si="44"/>
        <v>0</v>
      </c>
      <c r="H426" s="160"/>
      <c r="I426" s="159">
        <f t="shared" ca="1" si="45"/>
        <v>-12.746320327822623</v>
      </c>
      <c r="J426" s="159" t="s">
        <v>73</v>
      </c>
      <c r="K426" s="159">
        <f>IF(LeagueInfo!$F$7="Yahoo",IFERROR(INDEX(DefaultAuctionValues!$B$2:$B$331,MATCH(A426,DefaultAuctionValues!$A$2:$A$331,0)),0),IF(LeagueInfo!$F$7="ESPN",IFERROR(INDEX(DefaultAuctionValues!$C$2:$C$331,MATCH(A426,DefaultAuctionValues!$A$2:$A$331,0)),0),IF(LeagueInfo!$F$7="Custom",IFERROR(INDEX(DefaultAuctionValues!$D$2:$D$331,MATCH(A426,DefaultAuctionValues!$A$2:$A$331,0)),0))))</f>
        <v>0</v>
      </c>
      <c r="L426" s="159">
        <f t="shared" ca="1" si="46"/>
        <v>-12.746320327822623</v>
      </c>
      <c r="M426" s="171"/>
      <c r="N426" s="166">
        <f t="shared" ca="1" si="47"/>
        <v>-38.63000000000001</v>
      </c>
      <c r="O426" s="157" t="str">
        <f t="shared" ca="1" si="48"/>
        <v/>
      </c>
    </row>
    <row r="427" spans="1:15" x14ac:dyDescent="0.35">
      <c r="A427" s="157" t="s">
        <v>755</v>
      </c>
      <c r="B427" s="157" t="s">
        <v>25</v>
      </c>
      <c r="C427" s="157">
        <f ca="1">IFERROR(INDEX(BYEs!$B$2:$B$33,MATCH(D427,BYEs!$A$2:$A$33,0)),"N/A")</f>
        <v>14</v>
      </c>
      <c r="D427" s="214" t="str">
        <f t="shared" ca="1" si="42"/>
        <v>NE</v>
      </c>
      <c r="E427" s="213" t="str">
        <f t="shared" ca="1" si="43"/>
        <v>RB8</v>
      </c>
      <c r="F427" s="158">
        <f ca="1">IF(LeagueInfo!$H$7="Starter/Bench",INDEX(INDIRECT(""&amp;B427&amp;"!T2:T628"),MATCH(A427,INDIRECT(""&amp;B427&amp;"!B2:B628"),0)),INDEX(INDIRECT(""&amp;B427&amp;"!AB2:AB628"),MATCH(A427,INDIRECT(""&amp;B427&amp;"!B2:B628"),0)))</f>
        <v>-12.787565216276615</v>
      </c>
      <c r="G427" s="159">
        <f t="shared" si="44"/>
        <v>0</v>
      </c>
      <c r="H427" s="160"/>
      <c r="I427" s="159">
        <f t="shared" ca="1" si="45"/>
        <v>-12.787565216276615</v>
      </c>
      <c r="J427" s="159" t="s">
        <v>73</v>
      </c>
      <c r="K427" s="159">
        <f>IF(LeagueInfo!$F$7="Yahoo",IFERROR(INDEX(DefaultAuctionValues!$B$2:$B$331,MATCH(A427,DefaultAuctionValues!$A$2:$A$331,0)),0),IF(LeagueInfo!$F$7="ESPN",IFERROR(INDEX(DefaultAuctionValues!$C$2:$C$331,MATCH(A427,DefaultAuctionValues!$A$2:$A$331,0)),0),IF(LeagueInfo!$F$7="Custom",IFERROR(INDEX(DefaultAuctionValues!$D$2:$D$331,MATCH(A427,DefaultAuctionValues!$A$2:$A$331,0)),0))))</f>
        <v>0</v>
      </c>
      <c r="L427" s="159">
        <f t="shared" ca="1" si="46"/>
        <v>-12.787565216276615</v>
      </c>
      <c r="M427" s="171"/>
      <c r="N427" s="166">
        <f t="shared" ca="1" si="47"/>
        <v>-38.755000000000003</v>
      </c>
      <c r="O427" s="157" t="str">
        <f t="shared" ca="1" si="48"/>
        <v/>
      </c>
    </row>
    <row r="428" spans="1:15" x14ac:dyDescent="0.35">
      <c r="A428" s="157" t="s">
        <v>843</v>
      </c>
      <c r="B428" s="157" t="s">
        <v>40</v>
      </c>
      <c r="C428" s="157">
        <f ca="1">IFERROR(INDEX(BYEs!$B$2:$B$33,MATCH(D428,BYEs!$A$2:$A$33,0)),"N/A")</f>
        <v>10</v>
      </c>
      <c r="D428" s="214" t="str">
        <f t="shared" ca="1" si="42"/>
        <v>GB</v>
      </c>
      <c r="E428" s="213" t="str">
        <f t="shared" ca="1" si="43"/>
        <v>TE8</v>
      </c>
      <c r="F428" s="158">
        <f ca="1">IF(LeagueInfo!$H$7="Starter/Bench",INDEX(INDIRECT(""&amp;B428&amp;"!T2:T628"),MATCH(A428,INDIRECT(""&amp;B428&amp;"!B2:B628"),0)),INDEX(INDIRECT(""&amp;B428&amp;"!AB2:AB628"),MATCH(A428,INDIRECT(""&amp;B428&amp;"!B2:B628"),0)))</f>
        <v>-12.914599472714922</v>
      </c>
      <c r="G428" s="159">
        <f t="shared" si="44"/>
        <v>0</v>
      </c>
      <c r="H428" s="160"/>
      <c r="I428" s="159">
        <f t="shared" ca="1" si="45"/>
        <v>-12.914599472714922</v>
      </c>
      <c r="J428" s="159" t="s">
        <v>73</v>
      </c>
      <c r="K428" s="159">
        <f>IF(LeagueInfo!$F$7="Yahoo",IFERROR(INDEX(DefaultAuctionValues!$B$2:$B$331,MATCH(A428,DefaultAuctionValues!$A$2:$A$331,0)),0),IF(LeagueInfo!$F$7="ESPN",IFERROR(INDEX(DefaultAuctionValues!$C$2:$C$331,MATCH(A428,DefaultAuctionValues!$A$2:$A$331,0)),0),IF(LeagueInfo!$F$7="Custom",IFERROR(INDEX(DefaultAuctionValues!$D$2:$D$331,MATCH(A428,DefaultAuctionValues!$A$2:$A$331,0)),0))))</f>
        <v>0</v>
      </c>
      <c r="L428" s="159">
        <f t="shared" ca="1" si="46"/>
        <v>-12.914599472714922</v>
      </c>
      <c r="M428" s="171"/>
      <c r="N428" s="166">
        <f t="shared" ca="1" si="47"/>
        <v>-39.140000000000008</v>
      </c>
      <c r="O428" s="157" t="str">
        <f t="shared" ca="1" si="48"/>
        <v/>
      </c>
    </row>
    <row r="429" spans="1:15" x14ac:dyDescent="0.35">
      <c r="A429" s="157" t="s">
        <v>606</v>
      </c>
      <c r="B429" s="157" t="s">
        <v>32</v>
      </c>
      <c r="C429" s="157">
        <f ca="1">IFERROR(INDEX(BYEs!$B$2:$B$33,MATCH(D429,BYEs!$A$2:$A$33,0)),"N/A")</f>
        <v>14</v>
      </c>
      <c r="D429" s="214" t="str">
        <f t="shared" ca="1" si="42"/>
        <v>NE</v>
      </c>
      <c r="E429" s="213" t="str">
        <f t="shared" ca="1" si="43"/>
        <v>WR8</v>
      </c>
      <c r="F429" s="158">
        <f ca="1">IF(LeagueInfo!$H$7="Starter/Bench",INDEX(INDIRECT(""&amp;B429&amp;"!T2:T628"),MATCH(A429,INDIRECT(""&amp;B429&amp;"!B2:B628"),0)),INDEX(INDIRECT(""&amp;B429&amp;"!AB2:AB628"),MATCH(A429,INDIRECT(""&amp;B429&amp;"!B2:B628"),0)))</f>
        <v>-12.916249268253081</v>
      </c>
      <c r="G429" s="159">
        <f t="shared" si="44"/>
        <v>0</v>
      </c>
      <c r="H429" s="160"/>
      <c r="I429" s="159">
        <f t="shared" ca="1" si="45"/>
        <v>-12.916249268253081</v>
      </c>
      <c r="J429" s="159" t="s">
        <v>73</v>
      </c>
      <c r="K429" s="159">
        <f>IF(LeagueInfo!$F$7="Yahoo",IFERROR(INDEX(DefaultAuctionValues!$B$2:$B$331,MATCH(A429,DefaultAuctionValues!$A$2:$A$331,0)),0),IF(LeagueInfo!$F$7="ESPN",IFERROR(INDEX(DefaultAuctionValues!$C$2:$C$331,MATCH(A429,DefaultAuctionValues!$A$2:$A$331,0)),0),IF(LeagueInfo!$F$7="Custom",IFERROR(INDEX(DefaultAuctionValues!$D$2:$D$331,MATCH(A429,DefaultAuctionValues!$A$2:$A$331,0)),0))))</f>
        <v>0</v>
      </c>
      <c r="L429" s="159">
        <f t="shared" ca="1" si="46"/>
        <v>-12.916249268253081</v>
      </c>
      <c r="M429" s="171"/>
      <c r="N429" s="166">
        <f t="shared" ca="1" si="47"/>
        <v>-39.145000000000003</v>
      </c>
      <c r="O429" s="157" t="str">
        <f t="shared" ca="1" si="48"/>
        <v/>
      </c>
    </row>
    <row r="430" spans="1:15" x14ac:dyDescent="0.35">
      <c r="A430" s="157" t="s">
        <v>111</v>
      </c>
      <c r="B430" s="157" t="s">
        <v>25</v>
      </c>
      <c r="C430" s="157">
        <f ca="1">IFERROR(INDEX(BYEs!$B$2:$B$33,MATCH(D430,BYEs!$A$2:$A$33,0)),"N/A")</f>
        <v>10</v>
      </c>
      <c r="D430" s="214" t="str">
        <f t="shared" ca="1" si="42"/>
        <v>LV</v>
      </c>
      <c r="E430" s="213" t="str">
        <f t="shared" ca="1" si="43"/>
        <v>RB8</v>
      </c>
      <c r="F430" s="158">
        <f ca="1">IF(LeagueInfo!$H$7="Starter/Bench",INDEX(INDIRECT(""&amp;B430&amp;"!T2:T628"),MATCH(A430,INDIRECT(""&amp;B430&amp;"!B2:B628"),0)),INDEX(INDIRECT(""&amp;B430&amp;"!AB2:AB628"),MATCH(A430,INDIRECT(""&amp;B430&amp;"!B2:B628"),0)))</f>
        <v>-12.944295792401798</v>
      </c>
      <c r="G430" s="159">
        <f t="shared" si="44"/>
        <v>0</v>
      </c>
      <c r="H430" s="160"/>
      <c r="I430" s="159">
        <f t="shared" ca="1" si="45"/>
        <v>-12.944295792401798</v>
      </c>
      <c r="J430" s="159" t="s">
        <v>73</v>
      </c>
      <c r="K430" s="159">
        <f>IF(LeagueInfo!$F$7="Yahoo",IFERROR(INDEX(DefaultAuctionValues!$B$2:$B$331,MATCH(A430,DefaultAuctionValues!$A$2:$A$331,0)),0),IF(LeagueInfo!$F$7="ESPN",IFERROR(INDEX(DefaultAuctionValues!$C$2:$C$331,MATCH(A430,DefaultAuctionValues!$A$2:$A$331,0)),0),IF(LeagueInfo!$F$7="Custom",IFERROR(INDEX(DefaultAuctionValues!$D$2:$D$331,MATCH(A430,DefaultAuctionValues!$A$2:$A$331,0)),0))))</f>
        <v>0</v>
      </c>
      <c r="L430" s="159">
        <f t="shared" ca="1" si="46"/>
        <v>-12.944295792401798</v>
      </c>
      <c r="M430" s="171"/>
      <c r="N430" s="166">
        <f t="shared" ca="1" si="47"/>
        <v>-39.230000000000004</v>
      </c>
      <c r="O430" s="157" t="str">
        <f t="shared" ca="1" si="48"/>
        <v/>
      </c>
    </row>
    <row r="431" spans="1:15" x14ac:dyDescent="0.35">
      <c r="A431" s="157" t="s">
        <v>849</v>
      </c>
      <c r="B431" s="157" t="s">
        <v>32</v>
      </c>
      <c r="C431" s="157">
        <f ca="1">IFERROR(INDEX(BYEs!$B$2:$B$33,MATCH(D431,BYEs!$A$2:$A$33,0)),"N/A")</f>
        <v>14</v>
      </c>
      <c r="D431" s="214" t="str">
        <f t="shared" ca="1" si="42"/>
        <v>IND</v>
      </c>
      <c r="E431" s="213" t="str">
        <f t="shared" ca="1" si="43"/>
        <v>WR8</v>
      </c>
      <c r="F431" s="158">
        <f ca="1">IF(LeagueInfo!$H$7="Starter/Bench",INDEX(INDIRECT(""&amp;B431&amp;"!T2:T628"),MATCH(A431,INDIRECT(""&amp;B431&amp;"!B2:B628"),0)),INDEX(INDIRECT(""&amp;B431&amp;"!AB2:AB628"),MATCH(A431,INDIRECT(""&amp;B431&amp;"!B2:B628"),0)))</f>
        <v>-13.026785569309787</v>
      </c>
      <c r="G431" s="159">
        <f t="shared" si="44"/>
        <v>0</v>
      </c>
      <c r="H431" s="160"/>
      <c r="I431" s="159">
        <f t="shared" ca="1" si="45"/>
        <v>-13.026785569309787</v>
      </c>
      <c r="J431" s="159" t="s">
        <v>73</v>
      </c>
      <c r="K431" s="159">
        <f>IF(LeagueInfo!$F$7="Yahoo",IFERROR(INDEX(DefaultAuctionValues!$B$2:$B$331,MATCH(A431,DefaultAuctionValues!$A$2:$A$331,0)),0),IF(LeagueInfo!$F$7="ESPN",IFERROR(INDEX(DefaultAuctionValues!$C$2:$C$331,MATCH(A431,DefaultAuctionValues!$A$2:$A$331,0)),0),IF(LeagueInfo!$F$7="Custom",IFERROR(INDEX(DefaultAuctionValues!$D$2:$D$331,MATCH(A431,DefaultAuctionValues!$A$2:$A$331,0)),0))))</f>
        <v>0</v>
      </c>
      <c r="L431" s="159">
        <f t="shared" ca="1" si="46"/>
        <v>-13.026785569309787</v>
      </c>
      <c r="M431" s="171"/>
      <c r="N431" s="166">
        <f t="shared" ca="1" si="47"/>
        <v>-39.480000000000004</v>
      </c>
      <c r="O431" s="157" t="str">
        <f t="shared" ca="1" si="48"/>
        <v/>
      </c>
    </row>
    <row r="432" spans="1:15" x14ac:dyDescent="0.35">
      <c r="A432" s="157" t="s">
        <v>636</v>
      </c>
      <c r="B432" s="157" t="s">
        <v>40</v>
      </c>
      <c r="C432" s="157">
        <f ca="1">IFERROR(INDEX(BYEs!$B$2:$B$33,MATCH(D432,BYEs!$A$2:$A$33,0)),"N/A")</f>
        <v>14</v>
      </c>
      <c r="D432" s="214" t="str">
        <f t="shared" ca="1" si="42"/>
        <v>BAL</v>
      </c>
      <c r="E432" s="213" t="str">
        <f t="shared" ca="1" si="43"/>
        <v>TE8</v>
      </c>
      <c r="F432" s="158">
        <f ca="1">IF(LeagueInfo!$H$7="Starter/Bench",INDEX(INDIRECT(""&amp;B432&amp;"!T2:T628"),MATCH(A432,INDIRECT(""&amp;B432&amp;"!B2:B628"),0)),INDEX(INDIRECT(""&amp;B432&amp;"!AB2:AB628"),MATCH(A432,INDIRECT(""&amp;B432&amp;"!B2:B628"),0)))</f>
        <v>-13.063081071149302</v>
      </c>
      <c r="G432" s="159">
        <f t="shared" si="44"/>
        <v>0</v>
      </c>
      <c r="H432" s="160"/>
      <c r="I432" s="159">
        <f t="shared" ca="1" si="45"/>
        <v>-13.063081071149302</v>
      </c>
      <c r="J432" s="159" t="s">
        <v>73</v>
      </c>
      <c r="K432" s="159">
        <f>IF(LeagueInfo!$F$7="Yahoo",IFERROR(INDEX(DefaultAuctionValues!$B$2:$B$331,MATCH(A432,DefaultAuctionValues!$A$2:$A$331,0)),0),IF(LeagueInfo!$F$7="ESPN",IFERROR(INDEX(DefaultAuctionValues!$C$2:$C$331,MATCH(A432,DefaultAuctionValues!$A$2:$A$331,0)),0),IF(LeagueInfo!$F$7="Custom",IFERROR(INDEX(DefaultAuctionValues!$D$2:$D$331,MATCH(A432,DefaultAuctionValues!$A$2:$A$331,0)),0))))</f>
        <v>0</v>
      </c>
      <c r="L432" s="159">
        <f t="shared" ca="1" si="46"/>
        <v>-13.063081071149302</v>
      </c>
      <c r="M432" s="171"/>
      <c r="N432" s="166">
        <f t="shared" ca="1" si="47"/>
        <v>-39.590000000000003</v>
      </c>
      <c r="O432" s="157" t="str">
        <f t="shared" ca="1" si="48"/>
        <v/>
      </c>
    </row>
    <row r="433" spans="1:15" x14ac:dyDescent="0.35">
      <c r="A433" s="157" t="s">
        <v>249</v>
      </c>
      <c r="B433" s="157" t="s">
        <v>32</v>
      </c>
      <c r="C433" s="157">
        <f ca="1">IFERROR(INDEX(BYEs!$B$2:$B$33,MATCH(D433,BYEs!$A$2:$A$33,0)),"N/A")</f>
        <v>12</v>
      </c>
      <c r="D433" s="214" t="str">
        <f t="shared" ca="1" si="42"/>
        <v>BUF</v>
      </c>
      <c r="E433" s="213" t="str">
        <f t="shared" ca="1" si="43"/>
        <v>WR8</v>
      </c>
      <c r="F433" s="158">
        <f ca="1">IF(LeagueInfo!$H$7="Starter/Bench",INDEX(INDIRECT(""&amp;B433&amp;"!T2:T628"),MATCH(A433,INDIRECT(""&amp;B433&amp;"!B2:B628"),0)),INDEX(INDIRECT(""&amp;B433&amp;"!AB2:AB628"),MATCH(A433,INDIRECT(""&amp;B433&amp;"!B2:B628"),0)))</f>
        <v>-13.069680253301941</v>
      </c>
      <c r="G433" s="159">
        <f t="shared" si="44"/>
        <v>0</v>
      </c>
      <c r="H433" s="160"/>
      <c r="I433" s="159">
        <f t="shared" ca="1" si="45"/>
        <v>-13.069680253301941</v>
      </c>
      <c r="J433" s="159" t="s">
        <v>73</v>
      </c>
      <c r="K433" s="159">
        <f>IF(LeagueInfo!$F$7="Yahoo",IFERROR(INDEX(DefaultAuctionValues!$B$2:$B$331,MATCH(A433,DefaultAuctionValues!$A$2:$A$331,0)),0),IF(LeagueInfo!$F$7="ESPN",IFERROR(INDEX(DefaultAuctionValues!$C$2:$C$331,MATCH(A433,DefaultAuctionValues!$A$2:$A$331,0)),0),IF(LeagueInfo!$F$7="Custom",IFERROR(INDEX(DefaultAuctionValues!$D$2:$D$331,MATCH(A433,DefaultAuctionValues!$A$2:$A$331,0)),0))))</f>
        <v>0</v>
      </c>
      <c r="L433" s="159">
        <f t="shared" ca="1" si="46"/>
        <v>-13.069680253301941</v>
      </c>
      <c r="M433" s="171"/>
      <c r="N433" s="166">
        <f t="shared" ca="1" si="47"/>
        <v>-39.61</v>
      </c>
      <c r="O433" s="157" t="str">
        <f t="shared" ca="1" si="48"/>
        <v/>
      </c>
    </row>
    <row r="434" spans="1:15" x14ac:dyDescent="0.35">
      <c r="A434" s="157" t="s">
        <v>882</v>
      </c>
      <c r="B434" s="157" t="s">
        <v>25</v>
      </c>
      <c r="C434" s="157">
        <f ca="1">IFERROR(INDEX(BYEs!$B$2:$B$33,MATCH(D434,BYEs!$A$2:$A$33,0)),"N/A")</f>
        <v>14</v>
      </c>
      <c r="D434" s="214" t="str">
        <f t="shared" ca="1" si="42"/>
        <v>HOU</v>
      </c>
      <c r="E434" s="213" t="str">
        <f t="shared" ca="1" si="43"/>
        <v>RB8</v>
      </c>
      <c r="F434" s="158">
        <f ca="1">IF(LeagueInfo!$H$7="Starter/Bench",INDEX(INDIRECT(""&amp;B434&amp;"!T2:T628"),MATCH(A434,INDIRECT(""&amp;B434&amp;"!B2:B628"),0)),INDEX(INDIRECT(""&amp;B434&amp;"!AB2:AB628"),MATCH(A434,INDIRECT(""&amp;B434&amp;"!B2:B628"),0)))</f>
        <v>-13.079579026530899</v>
      </c>
      <c r="G434" s="159">
        <f t="shared" si="44"/>
        <v>0</v>
      </c>
      <c r="H434" s="160"/>
      <c r="I434" s="159">
        <f t="shared" ca="1" si="45"/>
        <v>-13.079579026530899</v>
      </c>
      <c r="J434" s="159" t="s">
        <v>73</v>
      </c>
      <c r="K434" s="159">
        <f>IF(LeagueInfo!$F$7="Yahoo",IFERROR(INDEX(DefaultAuctionValues!$B$2:$B$331,MATCH(A434,DefaultAuctionValues!$A$2:$A$331,0)),0),IF(LeagueInfo!$F$7="ESPN",IFERROR(INDEX(DefaultAuctionValues!$C$2:$C$331,MATCH(A434,DefaultAuctionValues!$A$2:$A$331,0)),0),IF(LeagueInfo!$F$7="Custom",IFERROR(INDEX(DefaultAuctionValues!$D$2:$D$331,MATCH(A434,DefaultAuctionValues!$A$2:$A$331,0)),0))))</f>
        <v>0</v>
      </c>
      <c r="L434" s="159">
        <f t="shared" ca="1" si="46"/>
        <v>-13.079579026530899</v>
      </c>
      <c r="M434" s="171"/>
      <c r="N434" s="166">
        <f t="shared" ca="1" si="47"/>
        <v>-39.64</v>
      </c>
      <c r="O434" s="157" t="str">
        <f t="shared" ca="1" si="48"/>
        <v/>
      </c>
    </row>
    <row r="435" spans="1:15" x14ac:dyDescent="0.35">
      <c r="A435" s="157" t="s">
        <v>838</v>
      </c>
      <c r="B435" s="157" t="s">
        <v>40</v>
      </c>
      <c r="C435" s="157">
        <f ca="1">IFERROR(INDEX(BYEs!$B$2:$B$33,MATCH(D435,BYEs!$A$2:$A$33,0)),"N/A")</f>
        <v>6</v>
      </c>
      <c r="D435" s="214" t="str">
        <f t="shared" ca="1" si="42"/>
        <v>MIA</v>
      </c>
      <c r="E435" s="213" t="str">
        <f t="shared" ca="1" si="43"/>
        <v>TE8</v>
      </c>
      <c r="F435" s="158">
        <f ca="1">IF(LeagueInfo!$H$7="Starter/Bench",INDEX(INDIRECT(""&amp;B435&amp;"!T2:T628"),MATCH(A435,INDIRECT(""&amp;B435&amp;"!B2:B628"),0)),INDEX(INDIRECT(""&amp;B435&amp;"!AB2:AB628"),MATCH(A435,INDIRECT(""&amp;B435&amp;"!B2:B628"),0)))</f>
        <v>-13.105975755141458</v>
      </c>
      <c r="G435" s="159">
        <f t="shared" si="44"/>
        <v>0</v>
      </c>
      <c r="H435" s="160"/>
      <c r="I435" s="159">
        <f t="shared" ca="1" si="45"/>
        <v>-13.105975755141458</v>
      </c>
      <c r="J435" s="159" t="s">
        <v>73</v>
      </c>
      <c r="K435" s="159">
        <f>IF(LeagueInfo!$F$7="Yahoo",IFERROR(INDEX(DefaultAuctionValues!$B$2:$B$331,MATCH(A435,DefaultAuctionValues!$A$2:$A$331,0)),0),IF(LeagueInfo!$F$7="ESPN",IFERROR(INDEX(DefaultAuctionValues!$C$2:$C$331,MATCH(A435,DefaultAuctionValues!$A$2:$A$331,0)),0),IF(LeagueInfo!$F$7="Custom",IFERROR(INDEX(DefaultAuctionValues!$D$2:$D$331,MATCH(A435,DefaultAuctionValues!$A$2:$A$331,0)),0))))</f>
        <v>0</v>
      </c>
      <c r="L435" s="159">
        <f t="shared" ca="1" si="46"/>
        <v>-13.105975755141458</v>
      </c>
      <c r="M435" s="171"/>
      <c r="N435" s="166">
        <f t="shared" ca="1" si="47"/>
        <v>-39.720000000000006</v>
      </c>
      <c r="O435" s="157" t="str">
        <f t="shared" ca="1" si="48"/>
        <v/>
      </c>
    </row>
    <row r="436" spans="1:15" x14ac:dyDescent="0.35">
      <c r="A436" s="157" t="s">
        <v>486</v>
      </c>
      <c r="B436" s="157" t="s">
        <v>40</v>
      </c>
      <c r="C436" s="157">
        <f ca="1">IFERROR(INDEX(BYEs!$B$2:$B$33,MATCH(D436,BYEs!$A$2:$A$33,0)),"N/A")</f>
        <v>12</v>
      </c>
      <c r="D436" s="214" t="str">
        <f t="shared" ca="1" si="42"/>
        <v>ATL</v>
      </c>
      <c r="E436" s="213" t="str">
        <f t="shared" ca="1" si="43"/>
        <v>TE8</v>
      </c>
      <c r="F436" s="158">
        <f ca="1">IF(LeagueInfo!$H$7="Starter/Bench",INDEX(INDIRECT(""&amp;B436&amp;"!T2:T628"),MATCH(A436,INDIRECT(""&amp;B436&amp;"!B2:B628"),0)),INDEX(INDIRECT(""&amp;B436&amp;"!AB2:AB628"),MATCH(A436,INDIRECT(""&amp;B436&amp;"!B2:B628"),0)))</f>
        <v>-13.120823914984896</v>
      </c>
      <c r="G436" s="159">
        <f t="shared" si="44"/>
        <v>0</v>
      </c>
      <c r="H436" s="160"/>
      <c r="I436" s="159">
        <f t="shared" ca="1" si="45"/>
        <v>-13.120823914984896</v>
      </c>
      <c r="J436" s="159" t="s">
        <v>73</v>
      </c>
      <c r="K436" s="159">
        <f>IF(LeagueInfo!$F$7="Yahoo",IFERROR(INDEX(DefaultAuctionValues!$B$2:$B$331,MATCH(A436,DefaultAuctionValues!$A$2:$A$331,0)),0),IF(LeagueInfo!$F$7="ESPN",IFERROR(INDEX(DefaultAuctionValues!$C$2:$C$331,MATCH(A436,DefaultAuctionValues!$A$2:$A$331,0)),0),IF(LeagueInfo!$F$7="Custom",IFERROR(INDEX(DefaultAuctionValues!$D$2:$D$331,MATCH(A436,DefaultAuctionValues!$A$2:$A$331,0)),0))))</f>
        <v>0</v>
      </c>
      <c r="L436" s="159">
        <f t="shared" ca="1" si="46"/>
        <v>-13.120823914984896</v>
      </c>
      <c r="M436" s="171"/>
      <c r="N436" s="166">
        <f t="shared" ca="1" si="47"/>
        <v>-39.765000000000008</v>
      </c>
      <c r="O436" s="157" t="str">
        <f t="shared" ca="1" si="48"/>
        <v/>
      </c>
    </row>
    <row r="437" spans="1:15" x14ac:dyDescent="0.35">
      <c r="A437" s="157" t="s">
        <v>1007</v>
      </c>
      <c r="B437" s="157" t="s">
        <v>40</v>
      </c>
      <c r="C437" s="157">
        <f ca="1">IFERROR(INDEX(BYEs!$B$2:$B$33,MATCH(D437,BYEs!$A$2:$A$33,0)),"N/A")</f>
        <v>14</v>
      </c>
      <c r="D437" s="214" t="str">
        <f t="shared" ca="1" si="42"/>
        <v>DEN</v>
      </c>
      <c r="E437" s="213" t="str">
        <f t="shared" ca="1" si="43"/>
        <v>TE8</v>
      </c>
      <c r="F437" s="158">
        <f ca="1">IF(LeagueInfo!$H$7="Starter/Bench",INDEX(INDIRECT(""&amp;B437&amp;"!T2:T628"),MATCH(A437,INDIRECT(""&amp;B437&amp;"!B2:B628"),0)),INDEX(INDIRECT(""&amp;B437&amp;"!AB2:AB628"),MATCH(A437,INDIRECT(""&amp;B437&amp;"!B2:B628"),0)))</f>
        <v>-13.160419007900732</v>
      </c>
      <c r="G437" s="159">
        <f t="shared" si="44"/>
        <v>0</v>
      </c>
      <c r="H437" s="160"/>
      <c r="I437" s="159">
        <f t="shared" ca="1" si="45"/>
        <v>-13.160419007900732</v>
      </c>
      <c r="J437" s="159" t="s">
        <v>73</v>
      </c>
      <c r="K437" s="159">
        <f>IF(LeagueInfo!$F$7="Yahoo",IFERROR(INDEX(DefaultAuctionValues!$B$2:$B$331,MATCH(A437,DefaultAuctionValues!$A$2:$A$331,0)),0),IF(LeagueInfo!$F$7="ESPN",IFERROR(INDEX(DefaultAuctionValues!$C$2:$C$331,MATCH(A437,DefaultAuctionValues!$A$2:$A$331,0)),0),IF(LeagueInfo!$F$7="Custom",IFERROR(INDEX(DefaultAuctionValues!$D$2:$D$331,MATCH(A437,DefaultAuctionValues!$A$2:$A$331,0)),0))))</f>
        <v>0</v>
      </c>
      <c r="L437" s="159">
        <f t="shared" ca="1" si="46"/>
        <v>-13.160419007900732</v>
      </c>
      <c r="M437" s="171"/>
      <c r="N437" s="166">
        <f t="shared" ca="1" si="47"/>
        <v>-39.885000000000005</v>
      </c>
      <c r="O437" s="157" t="str">
        <f t="shared" ca="1" si="48"/>
        <v/>
      </c>
    </row>
    <row r="438" spans="1:15" x14ac:dyDescent="0.35">
      <c r="A438" s="157" t="s">
        <v>1006</v>
      </c>
      <c r="B438" s="157" t="s">
        <v>40</v>
      </c>
      <c r="C438" s="157">
        <f ca="1">IFERROR(INDEX(BYEs!$B$2:$B$33,MATCH(D438,BYEs!$A$2:$A$33,0)),"N/A")</f>
        <v>10</v>
      </c>
      <c r="D438" s="214" t="str">
        <f t="shared" ca="1" si="42"/>
        <v>SEA</v>
      </c>
      <c r="E438" s="213" t="str">
        <f t="shared" ca="1" si="43"/>
        <v>TE8</v>
      </c>
      <c r="F438" s="158">
        <f ca="1">IF(LeagueInfo!$H$7="Starter/Bench",INDEX(INDIRECT(""&amp;B438&amp;"!T2:T628"),MATCH(A438,INDIRECT(""&amp;B438&amp;"!B2:B628"),0)),INDEX(INDIRECT(""&amp;B438&amp;"!AB2:AB628"),MATCH(A438,INDIRECT(""&amp;B438&amp;"!B2:B628"),0)))</f>
        <v>-13.17031778112969</v>
      </c>
      <c r="G438" s="159">
        <f t="shared" si="44"/>
        <v>0</v>
      </c>
      <c r="H438" s="160"/>
      <c r="I438" s="159">
        <f t="shared" ca="1" si="45"/>
        <v>-13.17031778112969</v>
      </c>
      <c r="J438" s="159" t="s">
        <v>73</v>
      </c>
      <c r="K438" s="159">
        <f>IF(LeagueInfo!$F$7="Yahoo",IFERROR(INDEX(DefaultAuctionValues!$B$2:$B$331,MATCH(A438,DefaultAuctionValues!$A$2:$A$331,0)),0),IF(LeagueInfo!$F$7="ESPN",IFERROR(INDEX(DefaultAuctionValues!$C$2:$C$331,MATCH(A438,DefaultAuctionValues!$A$2:$A$331,0)),0),IF(LeagueInfo!$F$7="Custom",IFERROR(INDEX(DefaultAuctionValues!$D$2:$D$331,MATCH(A438,DefaultAuctionValues!$A$2:$A$331,0)),0))))</f>
        <v>0</v>
      </c>
      <c r="L438" s="159">
        <f t="shared" ca="1" si="46"/>
        <v>-13.17031778112969</v>
      </c>
      <c r="M438" s="171"/>
      <c r="N438" s="166">
        <f t="shared" ca="1" si="47"/>
        <v>-39.915000000000006</v>
      </c>
      <c r="O438" s="157" t="str">
        <f t="shared" ca="1" si="48"/>
        <v/>
      </c>
    </row>
    <row r="439" spans="1:15" x14ac:dyDescent="0.35">
      <c r="A439" s="157" t="s">
        <v>845</v>
      </c>
      <c r="B439" s="157" t="s">
        <v>32</v>
      </c>
      <c r="C439" s="157">
        <f ca="1">IFERROR(INDEX(BYEs!$B$2:$B$33,MATCH(D439,BYEs!$A$2:$A$33,0)),"N/A")</f>
        <v>10</v>
      </c>
      <c r="D439" s="214" t="str">
        <f t="shared" ca="1" si="42"/>
        <v>SEA</v>
      </c>
      <c r="E439" s="213" t="str">
        <f t="shared" ca="1" si="43"/>
        <v>WR8</v>
      </c>
      <c r="F439" s="158">
        <f ca="1">IF(LeagueInfo!$H$7="Starter/Bench",INDEX(INDIRECT(""&amp;B439&amp;"!T2:T628"),MATCH(A439,INDIRECT(""&amp;B439&amp;"!B2:B628"),0)),INDEX(INDIRECT(""&amp;B439&amp;"!AB2:AB628"),MATCH(A439,INDIRECT(""&amp;B439&amp;"!B2:B628"),0)))</f>
        <v>-13.219811647274485</v>
      </c>
      <c r="G439" s="159">
        <f t="shared" si="44"/>
        <v>0</v>
      </c>
      <c r="H439" s="160"/>
      <c r="I439" s="159">
        <f t="shared" ca="1" si="45"/>
        <v>-13.219811647274485</v>
      </c>
      <c r="J439" s="159" t="s">
        <v>73</v>
      </c>
      <c r="K439" s="159">
        <f>IF(LeagueInfo!$F$7="Yahoo",IFERROR(INDEX(DefaultAuctionValues!$B$2:$B$331,MATCH(A439,DefaultAuctionValues!$A$2:$A$331,0)),0),IF(LeagueInfo!$F$7="ESPN",IFERROR(INDEX(DefaultAuctionValues!$C$2:$C$331,MATCH(A439,DefaultAuctionValues!$A$2:$A$331,0)),0),IF(LeagueInfo!$F$7="Custom",IFERROR(INDEX(DefaultAuctionValues!$D$2:$D$331,MATCH(A439,DefaultAuctionValues!$A$2:$A$331,0)),0))))</f>
        <v>0</v>
      </c>
      <c r="L439" s="159">
        <f t="shared" ca="1" si="46"/>
        <v>-13.219811647274485</v>
      </c>
      <c r="M439" s="171"/>
      <c r="N439" s="166">
        <f t="shared" ca="1" si="47"/>
        <v>-40.065000000000005</v>
      </c>
      <c r="O439" s="157" t="str">
        <f t="shared" ca="1" si="48"/>
        <v/>
      </c>
    </row>
    <row r="440" spans="1:15" x14ac:dyDescent="0.35">
      <c r="A440" s="157" t="s">
        <v>641</v>
      </c>
      <c r="B440" s="157" t="s">
        <v>40</v>
      </c>
      <c r="C440" s="157">
        <f ca="1">IFERROR(INDEX(BYEs!$B$2:$B$33,MATCH(D440,BYEs!$A$2:$A$33,0)),"N/A")</f>
        <v>11</v>
      </c>
      <c r="D440" s="214" t="str">
        <f t="shared" ca="1" si="42"/>
        <v>TB</v>
      </c>
      <c r="E440" s="213" t="str">
        <f t="shared" ca="1" si="43"/>
        <v>TE8</v>
      </c>
      <c r="F440" s="158">
        <f ca="1">IF(LeagueInfo!$H$7="Starter/Bench",INDEX(INDIRECT(""&amp;B440&amp;"!T2:T628"),MATCH(A440,INDIRECT(""&amp;B440&amp;"!B2:B628"),0)),INDEX(INDIRECT(""&amp;B440&amp;"!AB2:AB628"),MATCH(A440,INDIRECT(""&amp;B440&amp;"!B2:B628"),0)))</f>
        <v>-13.236309602656084</v>
      </c>
      <c r="G440" s="159">
        <f t="shared" si="44"/>
        <v>0</v>
      </c>
      <c r="H440" s="160"/>
      <c r="I440" s="159">
        <f t="shared" ca="1" si="45"/>
        <v>-13.236309602656084</v>
      </c>
      <c r="J440" s="159" t="s">
        <v>73</v>
      </c>
      <c r="K440" s="159">
        <f>IF(LeagueInfo!$F$7="Yahoo",IFERROR(INDEX(DefaultAuctionValues!$B$2:$B$331,MATCH(A440,DefaultAuctionValues!$A$2:$A$331,0)),0),IF(LeagueInfo!$F$7="ESPN",IFERROR(INDEX(DefaultAuctionValues!$C$2:$C$331,MATCH(A440,DefaultAuctionValues!$A$2:$A$331,0)),0),IF(LeagueInfo!$F$7="Custom",IFERROR(INDEX(DefaultAuctionValues!$D$2:$D$331,MATCH(A440,DefaultAuctionValues!$A$2:$A$331,0)),0))))</f>
        <v>0</v>
      </c>
      <c r="L440" s="159">
        <f t="shared" ca="1" si="46"/>
        <v>-13.236309602656084</v>
      </c>
      <c r="M440" s="171"/>
      <c r="N440" s="166">
        <f t="shared" ca="1" si="47"/>
        <v>-40.115000000000009</v>
      </c>
      <c r="O440" s="157" t="str">
        <f t="shared" ca="1" si="48"/>
        <v/>
      </c>
    </row>
    <row r="441" spans="1:15" x14ac:dyDescent="0.35">
      <c r="A441" s="157" t="s">
        <v>600</v>
      </c>
      <c r="B441" s="157" t="s">
        <v>32</v>
      </c>
      <c r="C441" s="157">
        <f ca="1">IFERROR(INDEX(BYEs!$B$2:$B$33,MATCH(D441,BYEs!$A$2:$A$33,0)),"N/A")</f>
        <v>10</v>
      </c>
      <c r="D441" s="214" t="str">
        <f t="shared" ca="1" si="42"/>
        <v>CLE</v>
      </c>
      <c r="E441" s="213" t="str">
        <f t="shared" ca="1" si="43"/>
        <v>WR8</v>
      </c>
      <c r="F441" s="158">
        <f ca="1">IF(LeagueInfo!$H$7="Starter/Bench",INDEX(INDIRECT(""&amp;B441&amp;"!T2:T628"),MATCH(A441,INDIRECT(""&amp;B441&amp;"!B2:B628"),0)),INDEX(INDIRECT(""&amp;B441&amp;"!AB2:AB628"),MATCH(A441,INDIRECT(""&amp;B441&amp;"!B2:B628"),0)))</f>
        <v>-13.249507966961358</v>
      </c>
      <c r="G441" s="159">
        <f t="shared" si="44"/>
        <v>0</v>
      </c>
      <c r="H441" s="160"/>
      <c r="I441" s="159">
        <f t="shared" ca="1" si="45"/>
        <v>-13.249507966961358</v>
      </c>
      <c r="J441" s="159" t="s">
        <v>73</v>
      </c>
      <c r="K441" s="159">
        <f>IF(LeagueInfo!$F$7="Yahoo",IFERROR(INDEX(DefaultAuctionValues!$B$2:$B$331,MATCH(A441,DefaultAuctionValues!$A$2:$A$331,0)),0),IF(LeagueInfo!$F$7="ESPN",IFERROR(INDEX(DefaultAuctionValues!$C$2:$C$331,MATCH(A441,DefaultAuctionValues!$A$2:$A$331,0)),0),IF(LeagueInfo!$F$7="Custom",IFERROR(INDEX(DefaultAuctionValues!$D$2:$D$331,MATCH(A441,DefaultAuctionValues!$A$2:$A$331,0)),0))))</f>
        <v>0</v>
      </c>
      <c r="L441" s="159">
        <f t="shared" ca="1" si="46"/>
        <v>-13.249507966961358</v>
      </c>
      <c r="M441" s="171"/>
      <c r="N441" s="166">
        <f t="shared" ca="1" si="47"/>
        <v>-40.155000000000001</v>
      </c>
      <c r="O441" s="157" t="str">
        <f t="shared" ca="1" si="48"/>
        <v/>
      </c>
    </row>
    <row r="442" spans="1:15" x14ac:dyDescent="0.35">
      <c r="A442" s="157" t="s">
        <v>1181</v>
      </c>
      <c r="B442" s="157" t="s">
        <v>40</v>
      </c>
      <c r="C442" s="157">
        <f ca="1">IFERROR(INDEX(BYEs!$B$2:$B$33,MATCH(D442,BYEs!$A$2:$A$33,0)),"N/A")</f>
        <v>9</v>
      </c>
      <c r="D442" s="214" t="str">
        <f t="shared" ca="1" si="42"/>
        <v>SF</v>
      </c>
      <c r="E442" s="213" t="str">
        <f t="shared" ca="1" si="43"/>
        <v>TE8</v>
      </c>
      <c r="F442" s="158">
        <f ca="1">IF(LeagueInfo!$H$7="Starter/Bench",INDEX(INDIRECT(""&amp;B442&amp;"!T2:T628"),MATCH(A442,INDIRECT(""&amp;B442&amp;"!B2:B628"),0)),INDEX(INDIRECT(""&amp;B442&amp;"!AB2:AB628"),MATCH(A442,INDIRECT(""&amp;B442&amp;"!B2:B628"),0)))</f>
        <v>-13.315499788487752</v>
      </c>
      <c r="G442" s="159">
        <f t="shared" si="44"/>
        <v>0</v>
      </c>
      <c r="H442" s="160"/>
      <c r="I442" s="159">
        <f t="shared" ca="1" si="45"/>
        <v>-13.315499788487752</v>
      </c>
      <c r="J442" s="159" t="s">
        <v>73</v>
      </c>
      <c r="K442" s="159">
        <f>IF(LeagueInfo!$F$7="Yahoo",IFERROR(INDEX(DefaultAuctionValues!$B$2:$B$331,MATCH(A442,DefaultAuctionValues!$A$2:$A$331,0)),0),IF(LeagueInfo!$F$7="ESPN",IFERROR(INDEX(DefaultAuctionValues!$C$2:$C$331,MATCH(A442,DefaultAuctionValues!$A$2:$A$331,0)),0),IF(LeagueInfo!$F$7="Custom",IFERROR(INDEX(DefaultAuctionValues!$D$2:$D$331,MATCH(A442,DefaultAuctionValues!$A$2:$A$331,0)),0))))</f>
        <v>0</v>
      </c>
      <c r="L442" s="159">
        <f t="shared" ca="1" si="46"/>
        <v>-13.315499788487752</v>
      </c>
      <c r="M442" s="171"/>
      <c r="N442" s="166">
        <f t="shared" ca="1" si="47"/>
        <v>-40.355000000000004</v>
      </c>
      <c r="O442" s="157" t="str">
        <f t="shared" ca="1" si="48"/>
        <v/>
      </c>
    </row>
    <row r="443" spans="1:15" x14ac:dyDescent="0.35">
      <c r="A443" s="157" t="s">
        <v>367</v>
      </c>
      <c r="B443" s="157" t="s">
        <v>32</v>
      </c>
      <c r="C443" s="157">
        <f ca="1">IFERROR(INDEX(BYEs!$B$2:$B$33,MATCH(D443,BYEs!$A$2:$A$33,0)),"N/A")</f>
        <v>6</v>
      </c>
      <c r="D443" s="214" t="str">
        <f t="shared" ca="1" si="42"/>
        <v>KC</v>
      </c>
      <c r="E443" s="213" t="str">
        <f t="shared" ca="1" si="43"/>
        <v>WR8</v>
      </c>
      <c r="F443" s="158">
        <f ca="1">IF(LeagueInfo!$H$7="Starter/Bench",INDEX(INDIRECT(""&amp;B443&amp;"!T2:T628"),MATCH(A443,INDIRECT(""&amp;B443&amp;"!B2:B628"),0)),INDEX(INDIRECT(""&amp;B443&amp;"!AB2:AB628"),MATCH(A443,INDIRECT(""&amp;B443&amp;"!B2:B628"),0)))</f>
        <v>-13.346845903712788</v>
      </c>
      <c r="G443" s="159">
        <f t="shared" si="44"/>
        <v>0</v>
      </c>
      <c r="H443" s="160"/>
      <c r="I443" s="159">
        <f t="shared" ca="1" si="45"/>
        <v>-13.346845903712788</v>
      </c>
      <c r="J443" s="159" t="s">
        <v>73</v>
      </c>
      <c r="K443" s="159">
        <f>IF(LeagueInfo!$F$7="Yahoo",IFERROR(INDEX(DefaultAuctionValues!$B$2:$B$331,MATCH(A443,DefaultAuctionValues!$A$2:$A$331,0)),0),IF(LeagueInfo!$F$7="ESPN",IFERROR(INDEX(DefaultAuctionValues!$C$2:$C$331,MATCH(A443,DefaultAuctionValues!$A$2:$A$331,0)),0),IF(LeagueInfo!$F$7="Custom",IFERROR(INDEX(DefaultAuctionValues!$D$2:$D$331,MATCH(A443,DefaultAuctionValues!$A$2:$A$331,0)),0))))</f>
        <v>0</v>
      </c>
      <c r="L443" s="159">
        <f t="shared" ca="1" si="46"/>
        <v>-13.346845903712788</v>
      </c>
      <c r="M443" s="171"/>
      <c r="N443" s="166">
        <f t="shared" ca="1" si="47"/>
        <v>-40.450000000000003</v>
      </c>
      <c r="O443" s="157" t="str">
        <f t="shared" ca="1" si="48"/>
        <v/>
      </c>
    </row>
    <row r="444" spans="1:15" x14ac:dyDescent="0.35">
      <c r="A444" s="157" t="s">
        <v>783</v>
      </c>
      <c r="B444" s="157" t="s">
        <v>25</v>
      </c>
      <c r="C444" s="157">
        <f ca="1">IFERROR(INDEX(BYEs!$B$2:$B$33,MATCH(D444,BYEs!$A$2:$A$33,0)),"N/A")</f>
        <v>6</v>
      </c>
      <c r="D444" s="214" t="str">
        <f t="shared" ca="1" si="42"/>
        <v>LAR</v>
      </c>
      <c r="E444" s="213" t="str">
        <f t="shared" ca="1" si="43"/>
        <v>RB8</v>
      </c>
      <c r="F444" s="158">
        <f ca="1">IF(LeagueInfo!$H$7="Starter/Bench",INDEX(INDIRECT(""&amp;B444&amp;"!T2:T628"),MATCH(A444,INDIRECT(""&amp;B444&amp;"!B2:B628"),0)),INDEX(INDIRECT(""&amp;B444&amp;"!AB2:AB628"),MATCH(A444,INDIRECT(""&amp;B444&amp;"!B2:B628"),0)))</f>
        <v>-13.358394472479905</v>
      </c>
      <c r="G444" s="159">
        <f t="shared" si="44"/>
        <v>0</v>
      </c>
      <c r="H444" s="160"/>
      <c r="I444" s="159">
        <f t="shared" ca="1" si="45"/>
        <v>-13.358394472479905</v>
      </c>
      <c r="J444" s="159" t="s">
        <v>73</v>
      </c>
      <c r="K444" s="159">
        <f>IF(LeagueInfo!$F$7="Yahoo",IFERROR(INDEX(DefaultAuctionValues!$B$2:$B$331,MATCH(A444,DefaultAuctionValues!$A$2:$A$331,0)),0),IF(LeagueInfo!$F$7="ESPN",IFERROR(INDEX(DefaultAuctionValues!$C$2:$C$331,MATCH(A444,DefaultAuctionValues!$A$2:$A$331,0)),0),IF(LeagueInfo!$F$7="Custom",IFERROR(INDEX(DefaultAuctionValues!$D$2:$D$331,MATCH(A444,DefaultAuctionValues!$A$2:$A$331,0)),0))))</f>
        <v>0</v>
      </c>
      <c r="L444" s="159">
        <f t="shared" ca="1" si="46"/>
        <v>-13.358394472479905</v>
      </c>
      <c r="M444" s="171"/>
      <c r="N444" s="166">
        <f t="shared" ca="1" si="47"/>
        <v>-40.484999999999999</v>
      </c>
      <c r="O444" s="157" t="str">
        <f t="shared" ca="1" si="48"/>
        <v/>
      </c>
    </row>
    <row r="445" spans="1:15" x14ac:dyDescent="0.35">
      <c r="A445" s="157" t="s">
        <v>761</v>
      </c>
      <c r="B445" s="157" t="s">
        <v>32</v>
      </c>
      <c r="C445" s="157">
        <f ca="1">IFERROR(INDEX(BYEs!$B$2:$B$33,MATCH(D445,BYEs!$A$2:$A$33,0)),"N/A")</f>
        <v>11</v>
      </c>
      <c r="D445" s="214" t="str">
        <f t="shared" ca="1" si="42"/>
        <v>NYG</v>
      </c>
      <c r="E445" s="213" t="str">
        <f t="shared" ca="1" si="43"/>
        <v>WR8</v>
      </c>
      <c r="F445" s="158">
        <f ca="1">IF(LeagueInfo!$H$7="Starter/Bench",INDEX(INDIRECT(""&amp;B445&amp;"!T2:T628"),MATCH(A445,INDIRECT(""&amp;B445&amp;"!B2:B628"),0)),INDEX(INDIRECT(""&amp;B445&amp;"!AB2:AB628"),MATCH(A445,INDIRECT(""&amp;B445&amp;"!B2:B628"),0)))</f>
        <v>-13.373242632323345</v>
      </c>
      <c r="G445" s="159">
        <f t="shared" si="44"/>
        <v>0</v>
      </c>
      <c r="H445" s="160"/>
      <c r="I445" s="159">
        <f t="shared" ca="1" si="45"/>
        <v>-13.373242632323345</v>
      </c>
      <c r="J445" s="159" t="s">
        <v>73</v>
      </c>
      <c r="K445" s="159">
        <f>IF(LeagueInfo!$F$7="Yahoo",IFERROR(INDEX(DefaultAuctionValues!$B$2:$B$331,MATCH(A445,DefaultAuctionValues!$A$2:$A$331,0)),0),IF(LeagueInfo!$F$7="ESPN",IFERROR(INDEX(DefaultAuctionValues!$C$2:$C$331,MATCH(A445,DefaultAuctionValues!$A$2:$A$331,0)),0),IF(LeagueInfo!$F$7="Custom",IFERROR(INDEX(DefaultAuctionValues!$D$2:$D$331,MATCH(A445,DefaultAuctionValues!$A$2:$A$331,0)),0))))</f>
        <v>0</v>
      </c>
      <c r="L445" s="159">
        <f t="shared" ca="1" si="46"/>
        <v>-13.373242632323345</v>
      </c>
      <c r="M445" s="171"/>
      <c r="N445" s="166">
        <f t="shared" ca="1" si="47"/>
        <v>-40.53</v>
      </c>
      <c r="O445" s="157" t="str">
        <f t="shared" ca="1" si="48"/>
        <v/>
      </c>
    </row>
    <row r="446" spans="1:15" x14ac:dyDescent="0.35">
      <c r="A446" s="157" t="s">
        <v>1092</v>
      </c>
      <c r="B446" s="157" t="s">
        <v>25</v>
      </c>
      <c r="C446" s="157">
        <f ca="1">IFERROR(INDEX(BYEs!$B$2:$B$33,MATCH(D446,BYEs!$A$2:$A$33,0)),"N/A")</f>
        <v>6</v>
      </c>
      <c r="D446" s="214" t="str">
        <f t="shared" ca="1" si="42"/>
        <v>KC</v>
      </c>
      <c r="E446" s="213" t="str">
        <f t="shared" ca="1" si="43"/>
        <v>RB8</v>
      </c>
      <c r="F446" s="158">
        <f ca="1">IF(LeagueInfo!$H$7="Starter/Bench",INDEX(INDIRECT(""&amp;B446&amp;"!T2:T628"),MATCH(A446,INDIRECT(""&amp;B446&amp;"!B2:B628"),0)),INDEX(INDIRECT(""&amp;B446&amp;"!AB2:AB628"),MATCH(A446,INDIRECT(""&amp;B446&amp;"!B2:B628"),0)))</f>
        <v>-13.378192018937824</v>
      </c>
      <c r="G446" s="159">
        <f t="shared" si="44"/>
        <v>0</v>
      </c>
      <c r="H446" s="160"/>
      <c r="I446" s="159">
        <f t="shared" ca="1" si="45"/>
        <v>-13.378192018937824</v>
      </c>
      <c r="J446" s="159" t="s">
        <v>73</v>
      </c>
      <c r="K446" s="159">
        <f>IF(LeagueInfo!$F$7="Yahoo",IFERROR(INDEX(DefaultAuctionValues!$B$2:$B$331,MATCH(A446,DefaultAuctionValues!$A$2:$A$331,0)),0),IF(LeagueInfo!$F$7="ESPN",IFERROR(INDEX(DefaultAuctionValues!$C$2:$C$331,MATCH(A446,DefaultAuctionValues!$A$2:$A$331,0)),0),IF(LeagueInfo!$F$7="Custom",IFERROR(INDEX(DefaultAuctionValues!$D$2:$D$331,MATCH(A446,DefaultAuctionValues!$A$2:$A$331,0)),0))))</f>
        <v>0</v>
      </c>
      <c r="L446" s="159">
        <f t="shared" ca="1" si="46"/>
        <v>-13.378192018937824</v>
      </c>
      <c r="M446" s="171"/>
      <c r="N446" s="166">
        <f t="shared" ca="1" si="47"/>
        <v>-40.545000000000002</v>
      </c>
      <c r="O446" s="157" t="str">
        <f t="shared" ca="1" si="48"/>
        <v/>
      </c>
    </row>
    <row r="447" spans="1:15" x14ac:dyDescent="0.35">
      <c r="A447" s="157" t="s">
        <v>809</v>
      </c>
      <c r="B447" s="157" t="s">
        <v>32</v>
      </c>
      <c r="C447" s="157">
        <f ca="1">IFERROR(INDEX(BYEs!$B$2:$B$33,MATCH(D447,BYEs!$A$2:$A$33,0)),"N/A")</f>
        <v>11</v>
      </c>
      <c r="D447" s="214" t="str">
        <f t="shared" ca="1" si="42"/>
        <v>TB</v>
      </c>
      <c r="E447" s="213" t="str">
        <f t="shared" ca="1" si="43"/>
        <v>WR8</v>
      </c>
      <c r="F447" s="158">
        <f ca="1">IF(LeagueInfo!$H$7="Starter/Bench",INDEX(INDIRECT(""&amp;B447&amp;"!T2:T628"),MATCH(A447,INDIRECT(""&amp;B447&amp;"!B2:B628"),0)),INDEX(INDIRECT(""&amp;B447&amp;"!AB2:AB628"),MATCH(A447,INDIRECT(""&amp;B447&amp;"!B2:B628"),0)))</f>
        <v>-13.406238543086541</v>
      </c>
      <c r="G447" s="159">
        <f t="shared" si="44"/>
        <v>0</v>
      </c>
      <c r="H447" s="160"/>
      <c r="I447" s="159">
        <f t="shared" ca="1" si="45"/>
        <v>-13.406238543086541</v>
      </c>
      <c r="J447" s="159" t="s">
        <v>73</v>
      </c>
      <c r="K447" s="159">
        <f>IF(LeagueInfo!$F$7="Yahoo",IFERROR(INDEX(DefaultAuctionValues!$B$2:$B$331,MATCH(A447,DefaultAuctionValues!$A$2:$A$331,0)),0),IF(LeagueInfo!$F$7="ESPN",IFERROR(INDEX(DefaultAuctionValues!$C$2:$C$331,MATCH(A447,DefaultAuctionValues!$A$2:$A$331,0)),0),IF(LeagueInfo!$F$7="Custom",IFERROR(INDEX(DefaultAuctionValues!$D$2:$D$331,MATCH(A447,DefaultAuctionValues!$A$2:$A$331,0)),0))))</f>
        <v>0</v>
      </c>
      <c r="L447" s="159">
        <f t="shared" ca="1" si="46"/>
        <v>-13.406238543086541</v>
      </c>
      <c r="M447" s="171"/>
      <c r="N447" s="166">
        <f t="shared" ca="1" si="47"/>
        <v>-40.630000000000003</v>
      </c>
      <c r="O447" s="157" t="str">
        <f t="shared" ca="1" si="48"/>
        <v/>
      </c>
    </row>
    <row r="448" spans="1:15" x14ac:dyDescent="0.35">
      <c r="A448" s="157" t="s">
        <v>874</v>
      </c>
      <c r="B448" s="157" t="s">
        <v>25</v>
      </c>
      <c r="C448" s="157">
        <f ca="1">IFERROR(INDEX(BYEs!$B$2:$B$33,MATCH(D448,BYEs!$A$2:$A$33,0)),"N/A")</f>
        <v>14</v>
      </c>
      <c r="D448" s="214" t="str">
        <f t="shared" ca="1" si="42"/>
        <v>WAS</v>
      </c>
      <c r="E448" s="213" t="str">
        <f t="shared" ca="1" si="43"/>
        <v>RB8</v>
      </c>
      <c r="F448" s="158">
        <f ca="1">IF(LeagueInfo!$H$7="Starter/Bench",INDEX(INDIRECT(""&amp;B448&amp;"!T2:T628"),MATCH(A448,INDIRECT(""&amp;B448&amp;"!B2:B628"),0)),INDEX(INDIRECT(""&amp;B448&amp;"!AB2:AB628"),MATCH(A448,INDIRECT(""&amp;B448&amp;"!B2:B628"),0)))</f>
        <v>-13.459032000307655</v>
      </c>
      <c r="G448" s="159">
        <f t="shared" si="44"/>
        <v>0</v>
      </c>
      <c r="H448" s="160"/>
      <c r="I448" s="159">
        <f t="shared" ca="1" si="45"/>
        <v>-13.459032000307655</v>
      </c>
      <c r="J448" s="159" t="s">
        <v>73</v>
      </c>
      <c r="K448" s="159">
        <f>IF(LeagueInfo!$F$7="Yahoo",IFERROR(INDEX(DefaultAuctionValues!$B$2:$B$331,MATCH(A448,DefaultAuctionValues!$A$2:$A$331,0)),0),IF(LeagueInfo!$F$7="ESPN",IFERROR(INDEX(DefaultAuctionValues!$C$2:$C$331,MATCH(A448,DefaultAuctionValues!$A$2:$A$331,0)),0),IF(LeagueInfo!$F$7="Custom",IFERROR(INDEX(DefaultAuctionValues!$D$2:$D$331,MATCH(A448,DefaultAuctionValues!$A$2:$A$331,0)),0))))</f>
        <v>0</v>
      </c>
      <c r="L448" s="159">
        <f t="shared" ca="1" si="46"/>
        <v>-13.459032000307655</v>
      </c>
      <c r="M448" s="171"/>
      <c r="N448" s="166">
        <f t="shared" ca="1" si="47"/>
        <v>-40.790000000000006</v>
      </c>
      <c r="O448" s="157" t="str">
        <f t="shared" ca="1" si="48"/>
        <v/>
      </c>
    </row>
    <row r="449" spans="1:15" x14ac:dyDescent="0.35">
      <c r="A449" s="157" t="s">
        <v>501</v>
      </c>
      <c r="B449" s="157" t="s">
        <v>32</v>
      </c>
      <c r="C449" s="157">
        <f ca="1">IFERROR(INDEX(BYEs!$B$2:$B$33,MATCH(D449,BYEs!$A$2:$A$33,0)),"N/A")</f>
        <v>5</v>
      </c>
      <c r="D449" s="214" t="str">
        <f t="shared" ca="1" si="42"/>
        <v>DET</v>
      </c>
      <c r="E449" s="213" t="str">
        <f t="shared" ca="1" si="43"/>
        <v>WR8</v>
      </c>
      <c r="F449" s="158">
        <f ca="1">IF(LeagueInfo!$H$7="Starter/Bench",INDEX(INDIRECT(""&amp;B449&amp;"!T2:T628"),MATCH(A449,INDIRECT(""&amp;B449&amp;"!B2:B628"),0)),INDEX(INDIRECT(""&amp;B449&amp;"!AB2:AB628"),MATCH(A449,INDIRECT(""&amp;B449&amp;"!B2:B628"),0)))</f>
        <v>-13.48872831999453</v>
      </c>
      <c r="G449" s="159">
        <f t="shared" si="44"/>
        <v>0</v>
      </c>
      <c r="H449" s="160"/>
      <c r="I449" s="159">
        <f t="shared" ca="1" si="45"/>
        <v>-13.48872831999453</v>
      </c>
      <c r="J449" s="159" t="s">
        <v>73</v>
      </c>
      <c r="K449" s="159">
        <f>IF(LeagueInfo!$F$7="Yahoo",IFERROR(INDEX(DefaultAuctionValues!$B$2:$B$331,MATCH(A449,DefaultAuctionValues!$A$2:$A$331,0)),0),IF(LeagueInfo!$F$7="ESPN",IFERROR(INDEX(DefaultAuctionValues!$C$2:$C$331,MATCH(A449,DefaultAuctionValues!$A$2:$A$331,0)),0),IF(LeagueInfo!$F$7="Custom",IFERROR(INDEX(DefaultAuctionValues!$D$2:$D$331,MATCH(A449,DefaultAuctionValues!$A$2:$A$331,0)),0))))</f>
        <v>0</v>
      </c>
      <c r="L449" s="159">
        <f t="shared" ca="1" si="46"/>
        <v>-13.48872831999453</v>
      </c>
      <c r="M449" s="171"/>
      <c r="N449" s="166">
        <f t="shared" ca="1" si="47"/>
        <v>-40.880000000000003</v>
      </c>
      <c r="O449" s="157" t="str">
        <f t="shared" ca="1" si="48"/>
        <v/>
      </c>
    </row>
    <row r="450" spans="1:15" x14ac:dyDescent="0.35">
      <c r="A450" s="157" t="s">
        <v>476</v>
      </c>
      <c r="B450" s="157" t="s">
        <v>25</v>
      </c>
      <c r="C450" s="157">
        <f ca="1">IFERROR(INDEX(BYEs!$B$2:$B$33,MATCH(D450,BYEs!$A$2:$A$33,0)),"N/A")</f>
        <v>12</v>
      </c>
      <c r="D450" s="214" t="str">
        <f t="shared" ca="1" si="42"/>
        <v>JAC</v>
      </c>
      <c r="E450" s="213" t="str">
        <f t="shared" ca="1" si="43"/>
        <v>RB8</v>
      </c>
      <c r="F450" s="158">
        <f ca="1">IF(LeagueInfo!$H$7="Starter/Bench",INDEX(INDIRECT(""&amp;B450&amp;"!T2:T628"),MATCH(A450,INDIRECT(""&amp;B450&amp;"!B2:B628"),0)),INDEX(INDIRECT(""&amp;B450&amp;"!AB2:AB628"),MATCH(A450,INDIRECT(""&amp;B450&amp;"!B2:B628"),0)))</f>
        <v>-13.564618914749881</v>
      </c>
      <c r="G450" s="159">
        <f t="shared" si="44"/>
        <v>0</v>
      </c>
      <c r="H450" s="160"/>
      <c r="I450" s="159">
        <f t="shared" ca="1" si="45"/>
        <v>-13.564618914749881</v>
      </c>
      <c r="J450" s="159" t="s">
        <v>73</v>
      </c>
      <c r="K450" s="159">
        <f>IF(LeagueInfo!$F$7="Yahoo",IFERROR(INDEX(DefaultAuctionValues!$B$2:$B$331,MATCH(A450,DefaultAuctionValues!$A$2:$A$331,0)),0),IF(LeagueInfo!$F$7="ESPN",IFERROR(INDEX(DefaultAuctionValues!$C$2:$C$331,MATCH(A450,DefaultAuctionValues!$A$2:$A$331,0)),0),IF(LeagueInfo!$F$7="Custom",IFERROR(INDEX(DefaultAuctionValues!$D$2:$D$331,MATCH(A450,DefaultAuctionValues!$A$2:$A$331,0)),0))))</f>
        <v>0</v>
      </c>
      <c r="L450" s="159">
        <f t="shared" ca="1" si="46"/>
        <v>-13.564618914749881</v>
      </c>
      <c r="M450" s="171"/>
      <c r="N450" s="166">
        <f t="shared" ca="1" si="47"/>
        <v>-41.11</v>
      </c>
      <c r="O450" s="157" t="str">
        <f t="shared" ca="1" si="48"/>
        <v/>
      </c>
    </row>
    <row r="451" spans="1:15" x14ac:dyDescent="0.35">
      <c r="A451" s="157" t="s">
        <v>618</v>
      </c>
      <c r="B451" s="157" t="s">
        <v>25</v>
      </c>
      <c r="C451" s="157">
        <f ca="1">IFERROR(INDEX(BYEs!$B$2:$B$33,MATCH(D451,BYEs!$A$2:$A$33,0)),"N/A")</f>
        <v>5</v>
      </c>
      <c r="D451" s="214" t="str">
        <f t="shared" ca="1" si="42"/>
        <v>LAC</v>
      </c>
      <c r="E451" s="213" t="str">
        <f t="shared" ca="1" si="43"/>
        <v>RB8</v>
      </c>
      <c r="F451" s="158">
        <f ca="1">IF(LeagueInfo!$H$7="Starter/Bench",INDEX(INDIRECT(""&amp;B451&amp;"!T2:T628"),MATCH(A451,INDIRECT(""&amp;B451&amp;"!B2:B628"),0)),INDEX(INDIRECT(""&amp;B451&amp;"!AB2:AB628"),MATCH(A451,INDIRECT(""&amp;B451&amp;"!B2:B628"),0)))</f>
        <v>-13.591015643360439</v>
      </c>
      <c r="G451" s="159">
        <f t="shared" si="44"/>
        <v>0</v>
      </c>
      <c r="H451" s="160"/>
      <c r="I451" s="159">
        <f t="shared" ca="1" si="45"/>
        <v>-13.591015643360439</v>
      </c>
      <c r="J451" s="159" t="s">
        <v>73</v>
      </c>
      <c r="K451" s="159">
        <f>IF(LeagueInfo!$F$7="Yahoo",IFERROR(INDEX(DefaultAuctionValues!$B$2:$B$331,MATCH(A451,DefaultAuctionValues!$A$2:$A$331,0)),0),IF(LeagueInfo!$F$7="ESPN",IFERROR(INDEX(DefaultAuctionValues!$C$2:$C$331,MATCH(A451,DefaultAuctionValues!$A$2:$A$331,0)),0),IF(LeagueInfo!$F$7="Custom",IFERROR(INDEX(DefaultAuctionValues!$D$2:$D$331,MATCH(A451,DefaultAuctionValues!$A$2:$A$331,0)),0))))</f>
        <v>0</v>
      </c>
      <c r="L451" s="159">
        <f t="shared" ca="1" si="46"/>
        <v>-13.591015643360439</v>
      </c>
      <c r="M451" s="171"/>
      <c r="N451" s="166">
        <f t="shared" ca="1" si="47"/>
        <v>-41.190000000000005</v>
      </c>
      <c r="O451" s="157" t="str">
        <f t="shared" ca="1" si="48"/>
        <v/>
      </c>
    </row>
    <row r="452" spans="1:15" x14ac:dyDescent="0.35">
      <c r="A452" s="157" t="s">
        <v>1204</v>
      </c>
      <c r="B452" s="157" t="s">
        <v>40</v>
      </c>
      <c r="C452" s="157">
        <f ca="1">IFERROR(INDEX(BYEs!$B$2:$B$33,MATCH(D452,BYEs!$A$2:$A$33,0)),"N/A")</f>
        <v>9</v>
      </c>
      <c r="D452" s="214" t="str">
        <f t="shared" ca="1" si="42"/>
        <v>SF</v>
      </c>
      <c r="E452" s="213" t="str">
        <f t="shared" ca="1" si="43"/>
        <v>TE8</v>
      </c>
      <c r="F452" s="158">
        <f ca="1">IF(LeagueInfo!$H$7="Starter/Bench",INDEX(INDIRECT(""&amp;B452&amp;"!T2:T628"),MATCH(A452,INDIRECT(""&amp;B452&amp;"!B2:B628"),0)),INDEX(INDIRECT(""&amp;B452&amp;"!AB2:AB628"),MATCH(A452,INDIRECT(""&amp;B452&amp;"!B2:B628"),0)))</f>
        <v>-13.632260531814435</v>
      </c>
      <c r="G452" s="159">
        <f t="shared" si="44"/>
        <v>0</v>
      </c>
      <c r="H452" s="160"/>
      <c r="I452" s="159">
        <f t="shared" ca="1" si="45"/>
        <v>-13.632260531814435</v>
      </c>
      <c r="J452" s="159" t="s">
        <v>73</v>
      </c>
      <c r="K452" s="159">
        <f>IF(LeagueInfo!$F$7="Yahoo",IFERROR(INDEX(DefaultAuctionValues!$B$2:$B$331,MATCH(A452,DefaultAuctionValues!$A$2:$A$331,0)),0),IF(LeagueInfo!$F$7="ESPN",IFERROR(INDEX(DefaultAuctionValues!$C$2:$C$331,MATCH(A452,DefaultAuctionValues!$A$2:$A$331,0)),0),IF(LeagueInfo!$F$7="Custom",IFERROR(INDEX(DefaultAuctionValues!$D$2:$D$331,MATCH(A452,DefaultAuctionValues!$A$2:$A$331,0)),0))))</f>
        <v>0</v>
      </c>
      <c r="L452" s="159">
        <f t="shared" ca="1" si="46"/>
        <v>-13.632260531814435</v>
      </c>
      <c r="M452" s="171"/>
      <c r="N452" s="166">
        <f t="shared" ca="1" si="47"/>
        <v>-41.315000000000005</v>
      </c>
      <c r="O452" s="157" t="str">
        <f t="shared" ca="1" si="48"/>
        <v/>
      </c>
    </row>
    <row r="453" spans="1:15" x14ac:dyDescent="0.35">
      <c r="A453" s="157" t="s">
        <v>1093</v>
      </c>
      <c r="B453" s="157" t="s">
        <v>40</v>
      </c>
      <c r="C453" s="157">
        <f ca="1">IFERROR(INDEX(BYEs!$B$2:$B$33,MATCH(D453,BYEs!$A$2:$A$33,0)),"N/A")</f>
        <v>12</v>
      </c>
      <c r="D453" s="214" t="str">
        <f t="shared" ca="1" si="42"/>
        <v>NYJ</v>
      </c>
      <c r="E453" s="213" t="str">
        <f t="shared" ca="1" si="43"/>
        <v>TE8</v>
      </c>
      <c r="F453" s="158">
        <f ca="1">IF(LeagueInfo!$H$7="Starter/Bench",INDEX(INDIRECT(""&amp;B453&amp;"!T2:T628"),MATCH(A453,INDIRECT(""&amp;B453&amp;"!B2:B628"),0)),INDEX(INDIRECT(""&amp;B453&amp;"!AB2:AB628"),MATCH(A453,INDIRECT(""&amp;B453&amp;"!B2:B628"),0)))</f>
        <v>-13.642159305043393</v>
      </c>
      <c r="G453" s="159">
        <f t="shared" si="44"/>
        <v>0</v>
      </c>
      <c r="H453" s="160"/>
      <c r="I453" s="159">
        <f t="shared" ca="1" si="45"/>
        <v>-13.642159305043393</v>
      </c>
      <c r="J453" s="159" t="s">
        <v>73</v>
      </c>
      <c r="K453" s="159">
        <f>IF(LeagueInfo!$F$7="Yahoo",IFERROR(INDEX(DefaultAuctionValues!$B$2:$B$331,MATCH(A453,DefaultAuctionValues!$A$2:$A$331,0)),0),IF(LeagueInfo!$F$7="ESPN",IFERROR(INDEX(DefaultAuctionValues!$C$2:$C$331,MATCH(A453,DefaultAuctionValues!$A$2:$A$331,0)),0),IF(LeagueInfo!$F$7="Custom",IFERROR(INDEX(DefaultAuctionValues!$D$2:$D$331,MATCH(A453,DefaultAuctionValues!$A$2:$A$331,0)),0))))</f>
        <v>0</v>
      </c>
      <c r="L453" s="159">
        <f t="shared" ca="1" si="46"/>
        <v>-13.642159305043393</v>
      </c>
      <c r="M453" s="171"/>
      <c r="N453" s="166">
        <f t="shared" ca="1" si="47"/>
        <v>-41.345000000000006</v>
      </c>
      <c r="O453" s="157" t="str">
        <f t="shared" ca="1" si="48"/>
        <v/>
      </c>
    </row>
    <row r="454" spans="1:15" x14ac:dyDescent="0.35">
      <c r="A454" s="157" t="s">
        <v>929</v>
      </c>
      <c r="B454" s="157" t="s">
        <v>32</v>
      </c>
      <c r="C454" s="157">
        <f ca="1">IFERROR(INDEX(BYEs!$B$2:$B$33,MATCH(D454,BYEs!$A$2:$A$33,0)),"N/A")</f>
        <v>6</v>
      </c>
      <c r="D454" s="214" t="str">
        <f t="shared" ca="1" si="42"/>
        <v>MIA</v>
      </c>
      <c r="E454" s="213" t="str">
        <f t="shared" ca="1" si="43"/>
        <v>WR8</v>
      </c>
      <c r="F454" s="158">
        <f ca="1">IF(LeagueInfo!$H$7="Starter/Bench",INDEX(INDIRECT(""&amp;B454&amp;"!T2:T628"),MATCH(A454,INDIRECT(""&amp;B454&amp;"!B2:B628"),0)),INDEX(INDIRECT(""&amp;B454&amp;"!AB2:AB628"),MATCH(A454,INDIRECT(""&amp;B454&amp;"!B2:B628"),0)))</f>
        <v>-13.665256442577631</v>
      </c>
      <c r="G454" s="159">
        <f t="shared" si="44"/>
        <v>0</v>
      </c>
      <c r="H454" s="160"/>
      <c r="I454" s="159">
        <f t="shared" ca="1" si="45"/>
        <v>-13.665256442577631</v>
      </c>
      <c r="J454" s="159" t="s">
        <v>73</v>
      </c>
      <c r="K454" s="159">
        <f>IF(LeagueInfo!$F$7="Yahoo",IFERROR(INDEX(DefaultAuctionValues!$B$2:$B$331,MATCH(A454,DefaultAuctionValues!$A$2:$A$331,0)),0),IF(LeagueInfo!$F$7="ESPN",IFERROR(INDEX(DefaultAuctionValues!$C$2:$C$331,MATCH(A454,DefaultAuctionValues!$A$2:$A$331,0)),0),IF(LeagueInfo!$F$7="Custom",IFERROR(INDEX(DefaultAuctionValues!$D$2:$D$331,MATCH(A454,DefaultAuctionValues!$A$2:$A$331,0)),0))))</f>
        <v>0</v>
      </c>
      <c r="L454" s="159">
        <f t="shared" ca="1" si="46"/>
        <v>-13.665256442577631</v>
      </c>
      <c r="M454" s="171"/>
      <c r="N454" s="166">
        <f t="shared" ca="1" si="47"/>
        <v>-41.415000000000006</v>
      </c>
      <c r="O454" s="157" t="str">
        <f t="shared" ca="1" si="48"/>
        <v/>
      </c>
    </row>
    <row r="455" spans="1:15" x14ac:dyDescent="0.35">
      <c r="A455" s="157" t="s">
        <v>1008</v>
      </c>
      <c r="B455" s="157" t="s">
        <v>40</v>
      </c>
      <c r="C455" s="157">
        <f ca="1">IFERROR(INDEX(BYEs!$B$2:$B$33,MATCH(D455,BYEs!$A$2:$A$33,0)),"N/A")</f>
        <v>11</v>
      </c>
      <c r="D455" s="214" t="str">
        <f t="shared" ca="1" si="42"/>
        <v>NYG</v>
      </c>
      <c r="E455" s="213" t="str">
        <f t="shared" ca="1" si="43"/>
        <v>TE8</v>
      </c>
      <c r="F455" s="158">
        <f ca="1">IF(LeagueInfo!$H$7="Starter/Bench",INDEX(INDIRECT(""&amp;B455&amp;"!T2:T628"),MATCH(A455,INDIRECT(""&amp;B455&amp;"!B2:B628"),0)),INDEX(INDIRECT(""&amp;B455&amp;"!AB2:AB628"),MATCH(A455,INDIRECT(""&amp;B455&amp;"!B2:B628"),0)))</f>
        <v>-13.66855603365395</v>
      </c>
      <c r="G455" s="159">
        <f t="shared" si="44"/>
        <v>0</v>
      </c>
      <c r="H455" s="160"/>
      <c r="I455" s="159">
        <f t="shared" ca="1" si="45"/>
        <v>-13.66855603365395</v>
      </c>
      <c r="J455" s="159" t="s">
        <v>73</v>
      </c>
      <c r="K455" s="159">
        <f>IF(LeagueInfo!$F$7="Yahoo",IFERROR(INDEX(DefaultAuctionValues!$B$2:$B$331,MATCH(A455,DefaultAuctionValues!$A$2:$A$331,0)),0),IF(LeagueInfo!$F$7="ESPN",IFERROR(INDEX(DefaultAuctionValues!$C$2:$C$331,MATCH(A455,DefaultAuctionValues!$A$2:$A$331,0)),0),IF(LeagueInfo!$F$7="Custom",IFERROR(INDEX(DefaultAuctionValues!$D$2:$D$331,MATCH(A455,DefaultAuctionValues!$A$2:$A$331,0)),0))))</f>
        <v>0</v>
      </c>
      <c r="L455" s="159">
        <f t="shared" ca="1" si="46"/>
        <v>-13.66855603365395</v>
      </c>
      <c r="M455" s="171"/>
      <c r="N455" s="166">
        <f t="shared" ca="1" si="47"/>
        <v>-41.425000000000004</v>
      </c>
      <c r="O455" s="157" t="str">
        <f t="shared" ca="1" si="48"/>
        <v/>
      </c>
    </row>
    <row r="456" spans="1:15" x14ac:dyDescent="0.35">
      <c r="A456" s="157" t="s">
        <v>526</v>
      </c>
      <c r="B456" s="157" t="s">
        <v>25</v>
      </c>
      <c r="C456" s="157">
        <f ca="1">IFERROR(INDEX(BYEs!$B$2:$B$33,MATCH(D456,BYEs!$A$2:$A$33,0)),"N/A")</f>
        <v>5</v>
      </c>
      <c r="D456" s="214" t="str">
        <f t="shared" ca="1" si="42"/>
        <v>DET</v>
      </c>
      <c r="E456" s="213" t="str">
        <f t="shared" ca="1" si="43"/>
        <v>RB8</v>
      </c>
      <c r="F456" s="158">
        <f ca="1">IF(LeagueInfo!$H$7="Starter/Bench",INDEX(INDIRECT(""&amp;B456&amp;"!T2:T628"),MATCH(A456,INDIRECT(""&amp;B456&amp;"!B2:B628"),0)),INDEX(INDIRECT(""&amp;B456&amp;"!AB2:AB628"),MATCH(A456,INDIRECT(""&amp;B456&amp;"!B2:B628"),0)))</f>
        <v>-13.671855624730268</v>
      </c>
      <c r="G456" s="159">
        <f t="shared" si="44"/>
        <v>0</v>
      </c>
      <c r="H456" s="160"/>
      <c r="I456" s="159">
        <f t="shared" ca="1" si="45"/>
        <v>-13.671855624730268</v>
      </c>
      <c r="J456" s="159" t="s">
        <v>73</v>
      </c>
      <c r="K456" s="159">
        <f>IF(LeagueInfo!$F$7="Yahoo",IFERROR(INDEX(DefaultAuctionValues!$B$2:$B$331,MATCH(A456,DefaultAuctionValues!$A$2:$A$331,0)),0),IF(LeagueInfo!$F$7="ESPN",IFERROR(INDEX(DefaultAuctionValues!$C$2:$C$331,MATCH(A456,DefaultAuctionValues!$A$2:$A$331,0)),0),IF(LeagueInfo!$F$7="Custom",IFERROR(INDEX(DefaultAuctionValues!$D$2:$D$331,MATCH(A456,DefaultAuctionValues!$A$2:$A$331,0)),0))))</f>
        <v>0</v>
      </c>
      <c r="L456" s="159">
        <f t="shared" ca="1" si="46"/>
        <v>-13.671855624730268</v>
      </c>
      <c r="M456" s="171"/>
      <c r="N456" s="166">
        <f t="shared" ca="1" si="47"/>
        <v>-41.435000000000002</v>
      </c>
      <c r="O456" s="157" t="str">
        <f t="shared" ca="1" si="48"/>
        <v/>
      </c>
    </row>
    <row r="457" spans="1:15" x14ac:dyDescent="0.35">
      <c r="A457" s="157" t="s">
        <v>931</v>
      </c>
      <c r="B457" s="157" t="s">
        <v>32</v>
      </c>
      <c r="C457" s="157">
        <f ca="1">IFERROR(INDEX(BYEs!$B$2:$B$33,MATCH(D457,BYEs!$A$2:$A$33,0)),"N/A")</f>
        <v>6</v>
      </c>
      <c r="D457" s="214" t="str">
        <f t="shared" ca="1" si="42"/>
        <v>MIN</v>
      </c>
      <c r="E457" s="213" t="str">
        <f t="shared" ca="1" si="43"/>
        <v>WR8</v>
      </c>
      <c r="F457" s="158">
        <f ca="1">IF(LeagueInfo!$H$7="Starter/Bench",INDEX(INDIRECT(""&amp;B457&amp;"!T2:T628"),MATCH(A457,INDIRECT(""&amp;B457&amp;"!B2:B628"),0)),INDEX(INDIRECT(""&amp;B457&amp;"!AB2:AB628"),MATCH(A457,INDIRECT(""&amp;B457&amp;"!B2:B628"),0)))</f>
        <v>-13.701551944417146</v>
      </c>
      <c r="G457" s="159">
        <f t="shared" si="44"/>
        <v>0</v>
      </c>
      <c r="H457" s="160"/>
      <c r="I457" s="159">
        <f t="shared" ca="1" si="45"/>
        <v>-13.701551944417146</v>
      </c>
      <c r="J457" s="159" t="s">
        <v>73</v>
      </c>
      <c r="K457" s="159">
        <f>IF(LeagueInfo!$F$7="Yahoo",IFERROR(INDEX(DefaultAuctionValues!$B$2:$B$331,MATCH(A457,DefaultAuctionValues!$A$2:$A$331,0)),0),IF(LeagueInfo!$F$7="ESPN",IFERROR(INDEX(DefaultAuctionValues!$C$2:$C$331,MATCH(A457,DefaultAuctionValues!$A$2:$A$331,0)),0),IF(LeagueInfo!$F$7="Custom",IFERROR(INDEX(DefaultAuctionValues!$D$2:$D$331,MATCH(A457,DefaultAuctionValues!$A$2:$A$331,0)),0))))</f>
        <v>0</v>
      </c>
      <c r="L457" s="159">
        <f t="shared" ca="1" si="46"/>
        <v>-13.701551944417146</v>
      </c>
      <c r="M457" s="171"/>
      <c r="N457" s="166">
        <f t="shared" ca="1" si="47"/>
        <v>-41.525000000000006</v>
      </c>
      <c r="O457" s="157" t="str">
        <f t="shared" ca="1" si="48"/>
        <v/>
      </c>
    </row>
    <row r="458" spans="1:15" x14ac:dyDescent="0.35">
      <c r="A458" s="157" t="s">
        <v>484</v>
      </c>
      <c r="B458" s="157" t="s">
        <v>40</v>
      </c>
      <c r="C458" s="157">
        <f ca="1">IFERROR(INDEX(BYEs!$B$2:$B$33,MATCH(D458,BYEs!$A$2:$A$33,0)),"N/A")</f>
        <v>12</v>
      </c>
      <c r="D458" s="214" t="str">
        <f t="shared" ca="1" si="42"/>
        <v>JAC</v>
      </c>
      <c r="E458" s="213" t="str">
        <f t="shared" ca="1" si="43"/>
        <v>TE8</v>
      </c>
      <c r="F458" s="158">
        <f ca="1">IF(LeagueInfo!$H$7="Starter/Bench",INDEX(INDIRECT(""&amp;B458&amp;"!T2:T628"),MATCH(A458,INDIRECT(""&amp;B458&amp;"!B2:B628"),0)),INDEX(INDIRECT(""&amp;B458&amp;"!AB2:AB628"),MATCH(A458,INDIRECT(""&amp;B458&amp;"!B2:B628"),0)))</f>
        <v>-13.731248264104023</v>
      </c>
      <c r="G458" s="159">
        <f t="shared" si="44"/>
        <v>0</v>
      </c>
      <c r="H458" s="160"/>
      <c r="I458" s="159">
        <f t="shared" ca="1" si="45"/>
        <v>-13.731248264104023</v>
      </c>
      <c r="J458" s="159" t="s">
        <v>73</v>
      </c>
      <c r="K458" s="159">
        <f>IF(LeagueInfo!$F$7="Yahoo",IFERROR(INDEX(DefaultAuctionValues!$B$2:$B$331,MATCH(A458,DefaultAuctionValues!$A$2:$A$331,0)),0),IF(LeagueInfo!$F$7="ESPN",IFERROR(INDEX(DefaultAuctionValues!$C$2:$C$331,MATCH(A458,DefaultAuctionValues!$A$2:$A$331,0)),0),IF(LeagueInfo!$F$7="Custom",IFERROR(INDEX(DefaultAuctionValues!$D$2:$D$331,MATCH(A458,DefaultAuctionValues!$A$2:$A$331,0)),0))))</f>
        <v>0</v>
      </c>
      <c r="L458" s="159">
        <f t="shared" ca="1" si="46"/>
        <v>-13.731248264104023</v>
      </c>
      <c r="M458" s="171"/>
      <c r="N458" s="166">
        <f t="shared" ca="1" si="47"/>
        <v>-41.615000000000009</v>
      </c>
      <c r="O458" s="157" t="str">
        <f t="shared" ca="1" si="48"/>
        <v/>
      </c>
    </row>
    <row r="459" spans="1:15" x14ac:dyDescent="0.35">
      <c r="A459" s="157" t="s">
        <v>1127</v>
      </c>
      <c r="B459" s="157" t="s">
        <v>32</v>
      </c>
      <c r="C459" s="157">
        <f ca="1">IFERROR(INDEX(BYEs!$B$2:$B$33,MATCH(D459,BYEs!$A$2:$A$33,0)),"N/A")</f>
        <v>5</v>
      </c>
      <c r="D459" s="214" t="str">
        <f t="shared" ca="1" si="42"/>
        <v>DET</v>
      </c>
      <c r="E459" s="213" t="str">
        <f t="shared" ca="1" si="43"/>
        <v>WR8</v>
      </c>
      <c r="F459" s="158">
        <f ca="1">IF(LeagueInfo!$H$7="Starter/Bench",INDEX(INDIRECT(""&amp;B459&amp;"!T2:T628"),MATCH(A459,INDIRECT(""&amp;B459&amp;"!B2:B628"),0)),INDEX(INDIRECT(""&amp;B459&amp;"!AB2:AB628"),MATCH(A459,INDIRECT(""&amp;B459&amp;"!B2:B628"),0)))</f>
        <v>-13.755995197176416</v>
      </c>
      <c r="G459" s="159">
        <f t="shared" si="44"/>
        <v>0</v>
      </c>
      <c r="H459" s="160"/>
      <c r="I459" s="159">
        <f t="shared" ca="1" si="45"/>
        <v>-13.755995197176416</v>
      </c>
      <c r="J459" s="159" t="s">
        <v>73</v>
      </c>
      <c r="K459" s="159">
        <f>IF(LeagueInfo!$F$7="Yahoo",IFERROR(INDEX(DefaultAuctionValues!$B$2:$B$331,MATCH(A459,DefaultAuctionValues!$A$2:$A$331,0)),0),IF(LeagueInfo!$F$7="ESPN",IFERROR(INDEX(DefaultAuctionValues!$C$2:$C$331,MATCH(A459,DefaultAuctionValues!$A$2:$A$331,0)),0),IF(LeagueInfo!$F$7="Custom",IFERROR(INDEX(DefaultAuctionValues!$D$2:$D$331,MATCH(A459,DefaultAuctionValues!$A$2:$A$331,0)),0))))</f>
        <v>0</v>
      </c>
      <c r="L459" s="159">
        <f t="shared" ca="1" si="46"/>
        <v>-13.755995197176416</v>
      </c>
      <c r="M459" s="171"/>
      <c r="N459" s="166">
        <f t="shared" ca="1" si="47"/>
        <v>-41.69</v>
      </c>
      <c r="O459" s="157" t="str">
        <f t="shared" ca="1" si="48"/>
        <v/>
      </c>
    </row>
    <row r="460" spans="1:15" x14ac:dyDescent="0.35">
      <c r="A460" s="157" t="s">
        <v>1182</v>
      </c>
      <c r="B460" s="157" t="s">
        <v>40</v>
      </c>
      <c r="C460" s="157">
        <f ca="1">IFERROR(INDEX(BYEs!$B$2:$B$33,MATCH(D460,BYEs!$A$2:$A$33,0)),"N/A")</f>
        <v>5</v>
      </c>
      <c r="D460" s="214" t="str">
        <f t="shared" ca="1" si="42"/>
        <v>DET</v>
      </c>
      <c r="E460" s="213" t="str">
        <f t="shared" ca="1" si="43"/>
        <v>TE8</v>
      </c>
      <c r="F460" s="158">
        <f ca="1">IF(LeagueInfo!$H$7="Starter/Bench",INDEX(INDIRECT(""&amp;B460&amp;"!T2:T628"),MATCH(A460,INDIRECT(""&amp;B460&amp;"!B2:B628"),0)),INDEX(INDIRECT(""&amp;B460&amp;"!AB2:AB628"),MATCH(A460,INDIRECT(""&amp;B460&amp;"!B2:B628"),0)))</f>
        <v>-13.775792743634337</v>
      </c>
      <c r="G460" s="159">
        <f t="shared" si="44"/>
        <v>0</v>
      </c>
      <c r="H460" s="160"/>
      <c r="I460" s="159">
        <f t="shared" ca="1" si="45"/>
        <v>-13.775792743634337</v>
      </c>
      <c r="J460" s="159" t="s">
        <v>73</v>
      </c>
      <c r="K460" s="159">
        <f>IF(LeagueInfo!$F$7="Yahoo",IFERROR(INDEX(DefaultAuctionValues!$B$2:$B$331,MATCH(A460,DefaultAuctionValues!$A$2:$A$331,0)),0),IF(LeagueInfo!$F$7="ESPN",IFERROR(INDEX(DefaultAuctionValues!$C$2:$C$331,MATCH(A460,DefaultAuctionValues!$A$2:$A$331,0)),0),IF(LeagueInfo!$F$7="Custom",IFERROR(INDEX(DefaultAuctionValues!$D$2:$D$331,MATCH(A460,DefaultAuctionValues!$A$2:$A$331,0)),0))))</f>
        <v>0</v>
      </c>
      <c r="L460" s="159">
        <f t="shared" ca="1" si="46"/>
        <v>-13.775792743634337</v>
      </c>
      <c r="M460" s="171"/>
      <c r="N460" s="166">
        <f t="shared" ca="1" si="47"/>
        <v>-41.750000000000007</v>
      </c>
      <c r="O460" s="157" t="str">
        <f t="shared" ca="1" si="48"/>
        <v/>
      </c>
    </row>
    <row r="461" spans="1:15" x14ac:dyDescent="0.35">
      <c r="A461" s="157" t="s">
        <v>927</v>
      </c>
      <c r="B461" s="157" t="s">
        <v>32</v>
      </c>
      <c r="C461" s="157">
        <f ca="1">IFERROR(INDEX(BYEs!$B$2:$B$33,MATCH(D461,BYEs!$A$2:$A$33,0)),"N/A")</f>
        <v>12</v>
      </c>
      <c r="D461" s="214" t="str">
        <f t="shared" ref="D461:D524" ca="1" si="49">INDEX(INDIRECT(""&amp;B461&amp;"!F2:F628"),MATCH(A461,INDIRECT(""&amp;B461&amp;"!B2:B628"),0))</f>
        <v>NO</v>
      </c>
      <c r="E461" s="213" t="str">
        <f t="shared" ref="E461:E524" ca="1" si="50">INDEX(INDIRECT(""&amp;$B461&amp;"!AA2:AA628"),MATCH($A461,INDIRECT(""&amp;$B461&amp;"!B2:B628"),0))</f>
        <v>WR8</v>
      </c>
      <c r="F461" s="158">
        <f ca="1">IF(LeagueInfo!$H$7="Starter/Bench",INDEX(INDIRECT(""&amp;B461&amp;"!T2:T628"),MATCH(A461,INDIRECT(""&amp;B461&amp;"!B2:B628"),0)),INDEX(INDIRECT(""&amp;B461&amp;"!AB2:AB628"),MATCH(A461,INDIRECT(""&amp;B461&amp;"!B2:B628"),0)))</f>
        <v>-13.782391925786975</v>
      </c>
      <c r="G461" s="159">
        <f t="shared" ref="G461:G524" si="51">IF(H461&gt;0,F461-H461,0)</f>
        <v>0</v>
      </c>
      <c r="H461" s="160"/>
      <c r="I461" s="159">
        <f t="shared" ref="I461:I524" ca="1" si="52">F461*$A$2</f>
        <v>-13.782391925786975</v>
      </c>
      <c r="J461" s="159" t="s">
        <v>73</v>
      </c>
      <c r="K461" s="159">
        <f>IF(LeagueInfo!$F$7="Yahoo",IFERROR(INDEX(DefaultAuctionValues!$B$2:$B$331,MATCH(A461,DefaultAuctionValues!$A$2:$A$331,0)),0),IF(LeagueInfo!$F$7="ESPN",IFERROR(INDEX(DefaultAuctionValues!$C$2:$C$331,MATCH(A461,DefaultAuctionValues!$A$2:$A$331,0)),0),IF(LeagueInfo!$F$7="Custom",IFERROR(INDEX(DefaultAuctionValues!$D$2:$D$331,MATCH(A461,DefaultAuctionValues!$A$2:$A$331,0)),0))))</f>
        <v>0</v>
      </c>
      <c r="L461" s="159">
        <f t="shared" ref="L461:L524" ca="1" si="53">I461-K461</f>
        <v>-13.782391925786975</v>
      </c>
      <c r="M461" s="171"/>
      <c r="N461" s="166">
        <f t="shared" ref="N461:N524" ca="1" si="54">INDEX(INDIRECT(""&amp;$B461&amp;"!Z2:Z628"),MATCH($A461,INDIRECT(""&amp;$B461&amp;"!B2:B628"),0))</f>
        <v>-41.77</v>
      </c>
      <c r="O461" s="157" t="str">
        <f t="shared" ref="O461:O524" ca="1" si="55">IF(INDEX(INDIRECT(""&amp;$B461&amp;"!W2:W628"),MATCH($A461,INDIRECT(""&amp;$B461&amp;"!B2:B628"),0))=0,"",INDEX(INDIRECT(""&amp;$B461&amp;"!W2:W628"),MATCH($A461,INDIRECT(""&amp;$B461&amp;"!B2:B628"),0)))</f>
        <v/>
      </c>
    </row>
    <row r="462" spans="1:15" x14ac:dyDescent="0.35">
      <c r="A462" s="157" t="s">
        <v>1183</v>
      </c>
      <c r="B462" s="157" t="s">
        <v>40</v>
      </c>
      <c r="C462" s="157">
        <f ca="1">IFERROR(INDEX(BYEs!$B$2:$B$33,MATCH(D462,BYEs!$A$2:$A$33,0)),"N/A")</f>
        <v>6</v>
      </c>
      <c r="D462" s="214" t="str">
        <f t="shared" ca="1" si="49"/>
        <v>MIN</v>
      </c>
      <c r="E462" s="213" t="str">
        <f t="shared" ca="1" si="50"/>
        <v>TE8</v>
      </c>
      <c r="F462" s="158">
        <f ca="1">IF(LeagueInfo!$H$7="Starter/Bench",INDEX(INDIRECT(""&amp;B462&amp;"!T2:T628"),MATCH(A462,INDIRECT(""&amp;B462&amp;"!B2:B628"),0)),INDEX(INDIRECT(""&amp;B462&amp;"!AB2:AB628"),MATCH(A462,INDIRECT(""&amp;B462&amp;"!B2:B628"),0)))</f>
        <v>-13.792290699015934</v>
      </c>
      <c r="G462" s="159">
        <f t="shared" si="51"/>
        <v>0</v>
      </c>
      <c r="H462" s="160"/>
      <c r="I462" s="159">
        <f t="shared" ca="1" si="52"/>
        <v>-13.792290699015934</v>
      </c>
      <c r="J462" s="159" t="s">
        <v>73</v>
      </c>
      <c r="K462" s="159">
        <f>IF(LeagueInfo!$F$7="Yahoo",IFERROR(INDEX(DefaultAuctionValues!$B$2:$B$331,MATCH(A462,DefaultAuctionValues!$A$2:$A$331,0)),0),IF(LeagueInfo!$F$7="ESPN",IFERROR(INDEX(DefaultAuctionValues!$C$2:$C$331,MATCH(A462,DefaultAuctionValues!$A$2:$A$331,0)),0),IF(LeagueInfo!$F$7="Custom",IFERROR(INDEX(DefaultAuctionValues!$D$2:$D$331,MATCH(A462,DefaultAuctionValues!$A$2:$A$331,0)),0))))</f>
        <v>0</v>
      </c>
      <c r="L462" s="159">
        <f t="shared" ca="1" si="53"/>
        <v>-13.792290699015934</v>
      </c>
      <c r="M462" s="171"/>
      <c r="N462" s="166">
        <f t="shared" ca="1" si="54"/>
        <v>-41.800000000000004</v>
      </c>
      <c r="O462" s="157" t="str">
        <f t="shared" ca="1" si="55"/>
        <v/>
      </c>
    </row>
    <row r="463" spans="1:15" x14ac:dyDescent="0.35">
      <c r="A463" s="157" t="s">
        <v>432</v>
      </c>
      <c r="B463" s="157" t="s">
        <v>32</v>
      </c>
      <c r="C463" s="157">
        <f ca="1">IFERROR(INDEX(BYEs!$B$2:$B$33,MATCH(D463,BYEs!$A$2:$A$33,0)),"N/A")</f>
        <v>5</v>
      </c>
      <c r="D463" s="214" t="str">
        <f t="shared" ca="1" si="49"/>
        <v>PHI</v>
      </c>
      <c r="E463" s="213" t="str">
        <f t="shared" ca="1" si="50"/>
        <v>WR8</v>
      </c>
      <c r="F463" s="158">
        <f ca="1">IF(LeagueInfo!$H$7="Starter/Bench",INDEX(INDIRECT(""&amp;B463&amp;"!T2:T628"),MATCH(A463,INDIRECT(""&amp;B463&amp;"!B2:B628"),0)),INDEX(INDIRECT(""&amp;B463&amp;"!AB2:AB628"),MATCH(A463,INDIRECT(""&amp;B463&amp;"!B2:B628"),0)))</f>
        <v>-13.868181293771285</v>
      </c>
      <c r="G463" s="159">
        <f t="shared" si="51"/>
        <v>0</v>
      </c>
      <c r="H463" s="160"/>
      <c r="I463" s="159">
        <f t="shared" ca="1" si="52"/>
        <v>-13.868181293771285</v>
      </c>
      <c r="J463" s="159" t="s">
        <v>73</v>
      </c>
      <c r="K463" s="159">
        <f>IF(LeagueInfo!$F$7="Yahoo",IFERROR(INDEX(DefaultAuctionValues!$B$2:$B$331,MATCH(A463,DefaultAuctionValues!$A$2:$A$331,0)),0),IF(LeagueInfo!$F$7="ESPN",IFERROR(INDEX(DefaultAuctionValues!$C$2:$C$331,MATCH(A463,DefaultAuctionValues!$A$2:$A$331,0)),0),IF(LeagueInfo!$F$7="Custom",IFERROR(INDEX(DefaultAuctionValues!$D$2:$D$331,MATCH(A463,DefaultAuctionValues!$A$2:$A$331,0)),0))))</f>
        <v>0</v>
      </c>
      <c r="L463" s="159">
        <f t="shared" ca="1" si="53"/>
        <v>-13.868181293771285</v>
      </c>
      <c r="M463" s="171"/>
      <c r="N463" s="166">
        <f t="shared" ca="1" si="54"/>
        <v>-42.03</v>
      </c>
      <c r="O463" s="157" t="str">
        <f t="shared" ca="1" si="55"/>
        <v/>
      </c>
    </row>
    <row r="464" spans="1:15" x14ac:dyDescent="0.35">
      <c r="A464" s="157" t="s">
        <v>439</v>
      </c>
      <c r="B464" s="157" t="s">
        <v>32</v>
      </c>
      <c r="C464" s="157">
        <f ca="1">IFERROR(INDEX(BYEs!$B$2:$B$33,MATCH(D464,BYEs!$A$2:$A$33,0)),"N/A")</f>
        <v>6</v>
      </c>
      <c r="D464" s="214" t="str">
        <f t="shared" ca="1" si="49"/>
        <v>MIN</v>
      </c>
      <c r="E464" s="213" t="str">
        <f t="shared" ca="1" si="50"/>
        <v>WR8</v>
      </c>
      <c r="F464" s="158">
        <f ca="1">IF(LeagueInfo!$H$7="Starter/Bench",INDEX(INDIRECT(""&amp;B464&amp;"!T2:T628"),MATCH(A464,INDIRECT(""&amp;B464&amp;"!B2:B628"),0)),INDEX(INDIRECT(""&amp;B464&amp;"!AB2:AB628"),MATCH(A464,INDIRECT(""&amp;B464&amp;"!B2:B628"),0)))</f>
        <v>-13.925924137606879</v>
      </c>
      <c r="G464" s="159">
        <f t="shared" si="51"/>
        <v>0</v>
      </c>
      <c r="H464" s="160"/>
      <c r="I464" s="159">
        <f t="shared" ca="1" si="52"/>
        <v>-13.925924137606879</v>
      </c>
      <c r="J464" s="159" t="s">
        <v>73</v>
      </c>
      <c r="K464" s="159">
        <f>IF(LeagueInfo!$F$7="Yahoo",IFERROR(INDEX(DefaultAuctionValues!$B$2:$B$331,MATCH(A464,DefaultAuctionValues!$A$2:$A$331,0)),0),IF(LeagueInfo!$F$7="ESPN",IFERROR(INDEX(DefaultAuctionValues!$C$2:$C$331,MATCH(A464,DefaultAuctionValues!$A$2:$A$331,0)),0),IF(LeagueInfo!$F$7="Custom",IFERROR(INDEX(DefaultAuctionValues!$D$2:$D$331,MATCH(A464,DefaultAuctionValues!$A$2:$A$331,0)),0))))</f>
        <v>0</v>
      </c>
      <c r="L464" s="159">
        <f t="shared" ca="1" si="53"/>
        <v>-13.925924137606879</v>
      </c>
      <c r="M464" s="171"/>
      <c r="N464" s="166">
        <f t="shared" ca="1" si="54"/>
        <v>-42.205000000000005</v>
      </c>
      <c r="O464" s="157" t="str">
        <f t="shared" ca="1" si="55"/>
        <v/>
      </c>
    </row>
    <row r="465" spans="1:15" x14ac:dyDescent="0.35">
      <c r="A465" s="157" t="s">
        <v>1095</v>
      </c>
      <c r="B465" s="157" t="s">
        <v>32</v>
      </c>
      <c r="C465" s="157">
        <f ca="1">IFERROR(INDEX(BYEs!$B$2:$B$33,MATCH(D465,BYEs!$A$2:$A$33,0)),"N/A")</f>
        <v>5</v>
      </c>
      <c r="D465" s="214" t="str">
        <f t="shared" ca="1" si="49"/>
        <v>LAC</v>
      </c>
      <c r="E465" s="213" t="str">
        <f t="shared" ca="1" si="50"/>
        <v>WR8</v>
      </c>
      <c r="F465" s="158">
        <f ca="1">IF(LeagueInfo!$H$7="Starter/Bench",INDEX(INDIRECT(""&amp;B465&amp;"!T2:T628"),MATCH(A465,INDIRECT(""&amp;B465&amp;"!B2:B628"),0)),INDEX(INDIRECT(""&amp;B465&amp;"!AB2:AB628"),MATCH(A465,INDIRECT(""&amp;B465&amp;"!B2:B628"),0)))</f>
        <v>-13.967169026060871</v>
      </c>
      <c r="G465" s="159">
        <f t="shared" si="51"/>
        <v>0</v>
      </c>
      <c r="H465" s="160"/>
      <c r="I465" s="159">
        <f t="shared" ca="1" si="52"/>
        <v>-13.967169026060871</v>
      </c>
      <c r="J465" s="159" t="s">
        <v>73</v>
      </c>
      <c r="K465" s="159">
        <f>IF(LeagueInfo!$F$7="Yahoo",IFERROR(INDEX(DefaultAuctionValues!$B$2:$B$331,MATCH(A465,DefaultAuctionValues!$A$2:$A$331,0)),0),IF(LeagueInfo!$F$7="ESPN",IFERROR(INDEX(DefaultAuctionValues!$C$2:$C$331,MATCH(A465,DefaultAuctionValues!$A$2:$A$331,0)),0),IF(LeagueInfo!$F$7="Custom",IFERROR(INDEX(DefaultAuctionValues!$D$2:$D$331,MATCH(A465,DefaultAuctionValues!$A$2:$A$331,0)),0))))</f>
        <v>0</v>
      </c>
      <c r="L465" s="159">
        <f t="shared" ca="1" si="53"/>
        <v>-13.967169026060871</v>
      </c>
      <c r="M465" s="171"/>
      <c r="N465" s="166">
        <f t="shared" ca="1" si="54"/>
        <v>-42.33</v>
      </c>
      <c r="O465" s="157" t="str">
        <f t="shared" ca="1" si="55"/>
        <v/>
      </c>
    </row>
    <row r="466" spans="1:15" x14ac:dyDescent="0.35">
      <c r="A466" s="157" t="s">
        <v>524</v>
      </c>
      <c r="B466" s="157" t="s">
        <v>25</v>
      </c>
      <c r="C466" s="157">
        <f ca="1">IFERROR(INDEX(BYEs!$B$2:$B$33,MATCH(D466,BYEs!$A$2:$A$33,0)),"N/A")</f>
        <v>14</v>
      </c>
      <c r="D466" s="214" t="str">
        <f t="shared" ca="1" si="49"/>
        <v>NE</v>
      </c>
      <c r="E466" s="213" t="str">
        <f t="shared" ca="1" si="50"/>
        <v>RB8</v>
      </c>
      <c r="F466" s="158">
        <f ca="1">IF(LeagueInfo!$H$7="Starter/Bench",INDEX(INDIRECT(""&amp;B466&amp;"!T2:T628"),MATCH(A466,INDIRECT(""&amp;B466&amp;"!B2:B628"),0)),INDEX(INDIRECT(""&amp;B466&amp;"!AB2:AB628"),MATCH(A466,INDIRECT(""&amp;B466&amp;"!B2:B628"),0)))</f>
        <v>-14.024911869896465</v>
      </c>
      <c r="G466" s="159">
        <f t="shared" si="51"/>
        <v>0</v>
      </c>
      <c r="H466" s="160"/>
      <c r="I466" s="159">
        <f t="shared" ca="1" si="52"/>
        <v>-14.024911869896465</v>
      </c>
      <c r="J466" s="159" t="s">
        <v>73</v>
      </c>
      <c r="K466" s="159">
        <f>IF(LeagueInfo!$F$7="Yahoo",IFERROR(INDEX(DefaultAuctionValues!$B$2:$B$331,MATCH(A466,DefaultAuctionValues!$A$2:$A$331,0)),0),IF(LeagueInfo!$F$7="ESPN",IFERROR(INDEX(DefaultAuctionValues!$C$2:$C$331,MATCH(A466,DefaultAuctionValues!$A$2:$A$331,0)),0),IF(LeagueInfo!$F$7="Custom",IFERROR(INDEX(DefaultAuctionValues!$D$2:$D$331,MATCH(A466,DefaultAuctionValues!$A$2:$A$331,0)),0))))</f>
        <v>0</v>
      </c>
      <c r="L466" s="159">
        <f t="shared" ca="1" si="53"/>
        <v>-14.024911869896465</v>
      </c>
      <c r="M466" s="171"/>
      <c r="N466" s="166">
        <f t="shared" ca="1" si="54"/>
        <v>-42.505000000000003</v>
      </c>
      <c r="O466" s="157" t="str">
        <f t="shared" ca="1" si="55"/>
        <v/>
      </c>
    </row>
    <row r="467" spans="1:15" x14ac:dyDescent="0.35">
      <c r="A467" s="157" t="s">
        <v>365</v>
      </c>
      <c r="B467" s="157" t="s">
        <v>32</v>
      </c>
      <c r="C467" s="157">
        <f ca="1">IFERROR(INDEX(BYEs!$B$2:$B$33,MATCH(D467,BYEs!$A$2:$A$33,0)),"N/A")</f>
        <v>12</v>
      </c>
      <c r="D467" s="214" t="str">
        <f t="shared" ca="1" si="49"/>
        <v>BUF</v>
      </c>
      <c r="E467" s="213" t="str">
        <f t="shared" ca="1" si="50"/>
        <v>WR8</v>
      </c>
      <c r="F467" s="158">
        <f ca="1">IF(LeagueInfo!$H$7="Starter/Bench",INDEX(INDIRECT(""&amp;B467&amp;"!T2:T628"),MATCH(A467,INDIRECT(""&amp;B467&amp;"!B2:B628"),0)),INDEX(INDIRECT(""&amp;B467&amp;"!AB2:AB628"),MATCH(A467,INDIRECT(""&amp;B467&amp;"!B2:B628"),0)))</f>
        <v>-14.024911869896465</v>
      </c>
      <c r="G467" s="159">
        <f t="shared" si="51"/>
        <v>0</v>
      </c>
      <c r="H467" s="160"/>
      <c r="I467" s="159">
        <f t="shared" ca="1" si="52"/>
        <v>-14.024911869896465</v>
      </c>
      <c r="J467" s="159" t="s">
        <v>73</v>
      </c>
      <c r="K467" s="159">
        <f>IF(LeagueInfo!$F$7="Yahoo",IFERROR(INDEX(DefaultAuctionValues!$B$2:$B$331,MATCH(A467,DefaultAuctionValues!$A$2:$A$331,0)),0),IF(LeagueInfo!$F$7="ESPN",IFERROR(INDEX(DefaultAuctionValues!$C$2:$C$331,MATCH(A467,DefaultAuctionValues!$A$2:$A$331,0)),0),IF(LeagueInfo!$F$7="Custom",IFERROR(INDEX(DefaultAuctionValues!$D$2:$D$331,MATCH(A467,DefaultAuctionValues!$A$2:$A$331,0)),0))))</f>
        <v>0</v>
      </c>
      <c r="L467" s="159">
        <f t="shared" ca="1" si="53"/>
        <v>-14.024911869896465</v>
      </c>
      <c r="M467" s="171"/>
      <c r="N467" s="166">
        <f t="shared" ca="1" si="54"/>
        <v>-42.505000000000003</v>
      </c>
      <c r="O467" s="157" t="str">
        <f t="shared" ca="1" si="55"/>
        <v/>
      </c>
    </row>
    <row r="468" spans="1:15" x14ac:dyDescent="0.35">
      <c r="A468" s="157" t="s">
        <v>768</v>
      </c>
      <c r="B468" s="157" t="s">
        <v>25</v>
      </c>
      <c r="C468" s="157">
        <f ca="1">IFERROR(INDEX(BYEs!$B$2:$B$33,MATCH(D468,BYEs!$A$2:$A$33,0)),"N/A")</f>
        <v>10</v>
      </c>
      <c r="D468" s="214" t="str">
        <f t="shared" ca="1" si="49"/>
        <v>SEA</v>
      </c>
      <c r="E468" s="213" t="str">
        <f t="shared" ca="1" si="50"/>
        <v>RB8</v>
      </c>
      <c r="F468" s="158">
        <f ca="1">IF(LeagueInfo!$H$7="Starter/Bench",INDEX(INDIRECT(""&amp;B468&amp;"!T2:T628"),MATCH(A468,INDIRECT(""&amp;B468&amp;"!B2:B628"),0)),INDEX(INDIRECT(""&amp;B468&amp;"!AB2:AB628"),MATCH(A468,INDIRECT(""&amp;B468&amp;"!B2:B628"),0)))</f>
        <v>-14.082654713732058</v>
      </c>
      <c r="G468" s="159">
        <f t="shared" si="51"/>
        <v>0</v>
      </c>
      <c r="H468" s="160"/>
      <c r="I468" s="159">
        <f t="shared" ca="1" si="52"/>
        <v>-14.082654713732058</v>
      </c>
      <c r="J468" s="159" t="s">
        <v>73</v>
      </c>
      <c r="K468" s="159">
        <f>IF(LeagueInfo!$F$7="Yahoo",IFERROR(INDEX(DefaultAuctionValues!$B$2:$B$331,MATCH(A468,DefaultAuctionValues!$A$2:$A$331,0)),0),IF(LeagueInfo!$F$7="ESPN",IFERROR(INDEX(DefaultAuctionValues!$C$2:$C$331,MATCH(A468,DefaultAuctionValues!$A$2:$A$331,0)),0),IF(LeagueInfo!$F$7="Custom",IFERROR(INDEX(DefaultAuctionValues!$D$2:$D$331,MATCH(A468,DefaultAuctionValues!$A$2:$A$331,0)),0))))</f>
        <v>0</v>
      </c>
      <c r="L468" s="159">
        <f t="shared" ca="1" si="53"/>
        <v>-14.082654713732058</v>
      </c>
      <c r="M468" s="171"/>
      <c r="N468" s="166">
        <f t="shared" ca="1" si="54"/>
        <v>-42.68</v>
      </c>
      <c r="O468" s="157" t="str">
        <f t="shared" ca="1" si="55"/>
        <v/>
      </c>
    </row>
    <row r="469" spans="1:15" x14ac:dyDescent="0.35">
      <c r="A469" s="157" t="s">
        <v>994</v>
      </c>
      <c r="B469" s="157" t="s">
        <v>25</v>
      </c>
      <c r="C469" s="157">
        <f ca="1">IFERROR(INDEX(BYEs!$B$2:$B$33,MATCH(D469,BYEs!$A$2:$A$33,0)),"N/A")</f>
        <v>14</v>
      </c>
      <c r="D469" s="214" t="str">
        <f t="shared" ca="1" si="49"/>
        <v>DEN</v>
      </c>
      <c r="E469" s="213" t="str">
        <f t="shared" ca="1" si="50"/>
        <v>RB8</v>
      </c>
      <c r="F469" s="158">
        <f ca="1">IF(LeagueInfo!$H$7="Starter/Bench",INDEX(INDIRECT(""&amp;B469&amp;"!T2:T628"),MATCH(A469,INDIRECT(""&amp;B469&amp;"!B2:B628"),0)),INDEX(INDIRECT(""&amp;B469&amp;"!AB2:AB628"),MATCH(A469,INDIRECT(""&amp;B469&amp;"!B2:B628"),0)))</f>
        <v>-14.123899602186055</v>
      </c>
      <c r="G469" s="159">
        <f t="shared" si="51"/>
        <v>0</v>
      </c>
      <c r="H469" s="160"/>
      <c r="I469" s="159">
        <f t="shared" ca="1" si="52"/>
        <v>-14.123899602186055</v>
      </c>
      <c r="J469" s="159" t="s">
        <v>73</v>
      </c>
      <c r="K469" s="159">
        <f>IF(LeagueInfo!$F$7="Yahoo",IFERROR(INDEX(DefaultAuctionValues!$B$2:$B$331,MATCH(A469,DefaultAuctionValues!$A$2:$A$331,0)),0),IF(LeagueInfo!$F$7="ESPN",IFERROR(INDEX(DefaultAuctionValues!$C$2:$C$331,MATCH(A469,DefaultAuctionValues!$A$2:$A$331,0)),0),IF(LeagueInfo!$F$7="Custom",IFERROR(INDEX(DefaultAuctionValues!$D$2:$D$331,MATCH(A469,DefaultAuctionValues!$A$2:$A$331,0)),0))))</f>
        <v>0</v>
      </c>
      <c r="L469" s="159">
        <f t="shared" ca="1" si="53"/>
        <v>-14.123899602186055</v>
      </c>
      <c r="M469" s="171"/>
      <c r="N469" s="166">
        <f t="shared" ca="1" si="54"/>
        <v>-42.805000000000007</v>
      </c>
      <c r="O469" s="157" t="str">
        <f t="shared" ca="1" si="55"/>
        <v/>
      </c>
    </row>
    <row r="470" spans="1:15" x14ac:dyDescent="0.35">
      <c r="A470" s="157" t="s">
        <v>690</v>
      </c>
      <c r="B470" s="157" t="s">
        <v>25</v>
      </c>
      <c r="C470" s="157">
        <f ca="1">IFERROR(INDEX(BYEs!$B$2:$B$33,MATCH(D470,BYEs!$A$2:$A$33,0)),"N/A")</f>
        <v>5</v>
      </c>
      <c r="D470" s="214" t="str">
        <f t="shared" ca="1" si="49"/>
        <v>TEN</v>
      </c>
      <c r="E470" s="213" t="str">
        <f t="shared" ca="1" si="50"/>
        <v>RB8</v>
      </c>
      <c r="F470" s="158">
        <f ca="1">IF(LeagueInfo!$H$7="Starter/Bench",INDEX(INDIRECT(""&amp;B470&amp;"!T2:T628"),MATCH(A470,INDIRECT(""&amp;B470&amp;"!B2:B628"),0)),INDEX(INDIRECT(""&amp;B470&amp;"!AB2:AB628"),MATCH(A470,INDIRECT(""&amp;B470&amp;"!B2:B628"),0)))</f>
        <v>-14.163494695101889</v>
      </c>
      <c r="G470" s="159">
        <f t="shared" si="51"/>
        <v>0</v>
      </c>
      <c r="H470" s="160"/>
      <c r="I470" s="159">
        <f t="shared" ca="1" si="52"/>
        <v>-14.163494695101889</v>
      </c>
      <c r="J470" s="159" t="s">
        <v>73</v>
      </c>
      <c r="K470" s="159">
        <f>IF(LeagueInfo!$F$7="Yahoo",IFERROR(INDEX(DefaultAuctionValues!$B$2:$B$331,MATCH(A470,DefaultAuctionValues!$A$2:$A$331,0)),0),IF(LeagueInfo!$F$7="ESPN",IFERROR(INDEX(DefaultAuctionValues!$C$2:$C$331,MATCH(A470,DefaultAuctionValues!$A$2:$A$331,0)),0),IF(LeagueInfo!$F$7="Custom",IFERROR(INDEX(DefaultAuctionValues!$D$2:$D$331,MATCH(A470,DefaultAuctionValues!$A$2:$A$331,0)),0))))</f>
        <v>0</v>
      </c>
      <c r="L470" s="159">
        <f t="shared" ca="1" si="53"/>
        <v>-14.163494695101889</v>
      </c>
      <c r="M470" s="171"/>
      <c r="N470" s="166">
        <f t="shared" ca="1" si="54"/>
        <v>-42.925000000000004</v>
      </c>
      <c r="O470" s="157" t="str">
        <f t="shared" ca="1" si="55"/>
        <v/>
      </c>
    </row>
    <row r="471" spans="1:15" x14ac:dyDescent="0.35">
      <c r="A471" s="157" t="s">
        <v>431</v>
      </c>
      <c r="B471" s="157" t="s">
        <v>25</v>
      </c>
      <c r="C471" s="157">
        <f ca="1">IFERROR(INDEX(BYEs!$B$2:$B$33,MATCH(D471,BYEs!$A$2:$A$33,0)),"N/A")</f>
        <v>14</v>
      </c>
      <c r="D471" s="214" t="str">
        <f t="shared" ca="1" si="49"/>
        <v>HOU</v>
      </c>
      <c r="E471" s="213" t="str">
        <f t="shared" ca="1" si="50"/>
        <v>RB8</v>
      </c>
      <c r="F471" s="158">
        <f ca="1">IF(LeagueInfo!$H$7="Starter/Bench",INDEX(INDIRECT(""&amp;B471&amp;"!T2:T628"),MATCH(A471,INDIRECT(""&amp;B471&amp;"!B2:B628"),0)),INDEX(INDIRECT(""&amp;B471&amp;"!AB2:AB628"),MATCH(A471,INDIRECT(""&amp;B471&amp;"!B2:B628"),0)))</f>
        <v>-14.166794286178209</v>
      </c>
      <c r="G471" s="159">
        <f t="shared" si="51"/>
        <v>0</v>
      </c>
      <c r="H471" s="160"/>
      <c r="I471" s="159">
        <f t="shared" ca="1" si="52"/>
        <v>-14.166794286178209</v>
      </c>
      <c r="J471" s="159" t="s">
        <v>73</v>
      </c>
      <c r="K471" s="159">
        <f>IF(LeagueInfo!$F$7="Yahoo",IFERROR(INDEX(DefaultAuctionValues!$B$2:$B$331,MATCH(A471,DefaultAuctionValues!$A$2:$A$331,0)),0),IF(LeagueInfo!$F$7="ESPN",IFERROR(INDEX(DefaultAuctionValues!$C$2:$C$331,MATCH(A471,DefaultAuctionValues!$A$2:$A$331,0)),0),IF(LeagueInfo!$F$7="Custom",IFERROR(INDEX(DefaultAuctionValues!$D$2:$D$331,MATCH(A471,DefaultAuctionValues!$A$2:$A$331,0)),0))))</f>
        <v>0</v>
      </c>
      <c r="L471" s="159">
        <f t="shared" ca="1" si="53"/>
        <v>-14.166794286178209</v>
      </c>
      <c r="M471" s="171"/>
      <c r="N471" s="166">
        <f t="shared" ca="1" si="54"/>
        <v>-42.935000000000002</v>
      </c>
      <c r="O471" s="157" t="str">
        <f t="shared" ca="1" si="55"/>
        <v/>
      </c>
    </row>
    <row r="472" spans="1:15" x14ac:dyDescent="0.35">
      <c r="A472" s="157" t="s">
        <v>440</v>
      </c>
      <c r="B472" s="157" t="s">
        <v>32</v>
      </c>
      <c r="C472" s="157">
        <f ca="1">IFERROR(INDEX(BYEs!$B$2:$B$33,MATCH(D472,BYEs!$A$2:$A$33,0)),"N/A")</f>
        <v>6</v>
      </c>
      <c r="D472" s="214" t="str">
        <f t="shared" ca="1" si="49"/>
        <v>MIA</v>
      </c>
      <c r="E472" s="213" t="str">
        <f t="shared" ca="1" si="50"/>
        <v>WR8</v>
      </c>
      <c r="F472" s="158">
        <f ca="1">IF(LeagueInfo!$H$7="Starter/Bench",INDEX(INDIRECT(""&amp;B472&amp;"!T2:T628"),MATCH(A472,INDIRECT(""&amp;B472&amp;"!B2:B628"),0)),INDEX(INDIRECT(""&amp;B472&amp;"!AB2:AB628"),MATCH(A472,INDIRECT(""&amp;B472&amp;"!B2:B628"),0)))</f>
        <v>-14.193191014788765</v>
      </c>
      <c r="G472" s="159">
        <f t="shared" si="51"/>
        <v>0</v>
      </c>
      <c r="H472" s="160"/>
      <c r="I472" s="159">
        <f t="shared" ca="1" si="52"/>
        <v>-14.193191014788765</v>
      </c>
      <c r="J472" s="159" t="s">
        <v>73</v>
      </c>
      <c r="K472" s="159">
        <f>IF(LeagueInfo!$F$7="Yahoo",IFERROR(INDEX(DefaultAuctionValues!$B$2:$B$331,MATCH(A472,DefaultAuctionValues!$A$2:$A$331,0)),0),IF(LeagueInfo!$F$7="ESPN",IFERROR(INDEX(DefaultAuctionValues!$C$2:$C$331,MATCH(A472,DefaultAuctionValues!$A$2:$A$331,0)),0),IF(LeagueInfo!$F$7="Custom",IFERROR(INDEX(DefaultAuctionValues!$D$2:$D$331,MATCH(A472,DefaultAuctionValues!$A$2:$A$331,0)),0))))</f>
        <v>0</v>
      </c>
      <c r="L472" s="159">
        <f t="shared" ca="1" si="53"/>
        <v>-14.193191014788765</v>
      </c>
      <c r="M472" s="171"/>
      <c r="N472" s="166">
        <f t="shared" ca="1" si="54"/>
        <v>-43.015000000000001</v>
      </c>
      <c r="O472" s="157" t="str">
        <f t="shared" ca="1" si="55"/>
        <v/>
      </c>
    </row>
    <row r="473" spans="1:15" x14ac:dyDescent="0.35">
      <c r="A473" s="157" t="s">
        <v>928</v>
      </c>
      <c r="B473" s="157" t="s">
        <v>32</v>
      </c>
      <c r="C473" s="157">
        <f ca="1">IFERROR(INDEX(BYEs!$B$2:$B$33,MATCH(D473,BYEs!$A$2:$A$33,0)),"N/A")</f>
        <v>7</v>
      </c>
      <c r="D473" s="214" t="str">
        <f t="shared" ca="1" si="49"/>
        <v>DAL</v>
      </c>
      <c r="E473" s="213" t="str">
        <f t="shared" ca="1" si="50"/>
        <v>WR8</v>
      </c>
      <c r="F473" s="158">
        <f ca="1">IF(LeagueInfo!$H$7="Starter/Bench",INDEX(INDIRECT(""&amp;B473&amp;"!T2:T628"),MATCH(A473,INDIRECT(""&amp;B473&amp;"!B2:B628"),0)),INDEX(INDIRECT(""&amp;B473&amp;"!AB2:AB628"),MATCH(A473,INDIRECT(""&amp;B473&amp;"!B2:B628"),0)))</f>
        <v>-14.196490605865087</v>
      </c>
      <c r="G473" s="159">
        <f t="shared" si="51"/>
        <v>0</v>
      </c>
      <c r="H473" s="160"/>
      <c r="I473" s="159">
        <f t="shared" ca="1" si="52"/>
        <v>-14.196490605865087</v>
      </c>
      <c r="J473" s="159" t="s">
        <v>73</v>
      </c>
      <c r="K473" s="159">
        <f>IF(LeagueInfo!$F$7="Yahoo",IFERROR(INDEX(DefaultAuctionValues!$B$2:$B$331,MATCH(A473,DefaultAuctionValues!$A$2:$A$331,0)),0),IF(LeagueInfo!$F$7="ESPN",IFERROR(INDEX(DefaultAuctionValues!$C$2:$C$331,MATCH(A473,DefaultAuctionValues!$A$2:$A$331,0)),0),IF(LeagueInfo!$F$7="Custom",IFERROR(INDEX(DefaultAuctionValues!$D$2:$D$331,MATCH(A473,DefaultAuctionValues!$A$2:$A$331,0)),0))))</f>
        <v>0</v>
      </c>
      <c r="L473" s="159">
        <f t="shared" ca="1" si="53"/>
        <v>-14.196490605865087</v>
      </c>
      <c r="M473" s="171"/>
      <c r="N473" s="166">
        <f t="shared" ca="1" si="54"/>
        <v>-43.025000000000006</v>
      </c>
      <c r="O473" s="157" t="str">
        <f t="shared" ca="1" si="55"/>
        <v/>
      </c>
    </row>
    <row r="474" spans="1:15" x14ac:dyDescent="0.35">
      <c r="A474" s="157" t="s">
        <v>1010</v>
      </c>
      <c r="B474" s="157" t="s">
        <v>32</v>
      </c>
      <c r="C474" s="157">
        <f ca="1">IFERROR(INDEX(BYEs!$B$2:$B$33,MATCH(D474,BYEs!$A$2:$A$33,0)),"N/A")</f>
        <v>10</v>
      </c>
      <c r="D474" s="214" t="str">
        <f t="shared" ca="1" si="49"/>
        <v>CLE</v>
      </c>
      <c r="E474" s="213" t="str">
        <f t="shared" ca="1" si="50"/>
        <v>WR8</v>
      </c>
      <c r="F474" s="158">
        <f ca="1">IF(LeagueInfo!$H$7="Starter/Bench",INDEX(INDIRECT(""&amp;B474&amp;"!T2:T628"),MATCH(A474,INDIRECT(""&amp;B474&amp;"!B2:B628"),0)),INDEX(INDIRECT(""&amp;B474&amp;"!AB2:AB628"),MATCH(A474,INDIRECT(""&amp;B474&amp;"!B2:B628"),0)))</f>
        <v>-14.280630178311235</v>
      </c>
      <c r="G474" s="159">
        <f t="shared" si="51"/>
        <v>0</v>
      </c>
      <c r="H474" s="160"/>
      <c r="I474" s="159">
        <f t="shared" ca="1" si="52"/>
        <v>-14.280630178311235</v>
      </c>
      <c r="J474" s="159" t="s">
        <v>73</v>
      </c>
      <c r="K474" s="159">
        <f>IF(LeagueInfo!$F$7="Yahoo",IFERROR(INDEX(DefaultAuctionValues!$B$2:$B$331,MATCH(A474,DefaultAuctionValues!$A$2:$A$331,0)),0),IF(LeagueInfo!$F$7="ESPN",IFERROR(INDEX(DefaultAuctionValues!$C$2:$C$331,MATCH(A474,DefaultAuctionValues!$A$2:$A$331,0)),0),IF(LeagueInfo!$F$7="Custom",IFERROR(INDEX(DefaultAuctionValues!$D$2:$D$331,MATCH(A474,DefaultAuctionValues!$A$2:$A$331,0)),0))))</f>
        <v>0</v>
      </c>
      <c r="L474" s="159">
        <f t="shared" ca="1" si="53"/>
        <v>-14.280630178311235</v>
      </c>
      <c r="M474" s="171"/>
      <c r="N474" s="166">
        <f t="shared" ca="1" si="54"/>
        <v>-43.28</v>
      </c>
      <c r="O474" s="157" t="str">
        <f t="shared" ca="1" si="55"/>
        <v/>
      </c>
    </row>
    <row r="475" spans="1:15" x14ac:dyDescent="0.35">
      <c r="A475" s="157" t="s">
        <v>932</v>
      </c>
      <c r="B475" s="157" t="s">
        <v>32</v>
      </c>
      <c r="C475" s="157">
        <f ca="1">IFERROR(INDEX(BYEs!$B$2:$B$33,MATCH(D475,BYEs!$A$2:$A$33,0)),"N/A")</f>
        <v>5</v>
      </c>
      <c r="D475" s="214" t="str">
        <f t="shared" ca="1" si="49"/>
        <v>PHI</v>
      </c>
      <c r="E475" s="213" t="str">
        <f t="shared" ca="1" si="50"/>
        <v>WR8</v>
      </c>
      <c r="F475" s="158">
        <f ca="1">IF(LeagueInfo!$H$7="Starter/Bench",INDEX(INDIRECT(""&amp;B475&amp;"!T2:T628"),MATCH(A475,INDIRECT(""&amp;B475&amp;"!B2:B628"),0)),INDEX(INDIRECT(""&amp;B475&amp;"!AB2:AB628"),MATCH(A475,INDIRECT(""&amp;B475&amp;"!B2:B628"),0)))</f>
        <v>-14.280630178311235</v>
      </c>
      <c r="G475" s="159">
        <f t="shared" si="51"/>
        <v>0</v>
      </c>
      <c r="H475" s="160"/>
      <c r="I475" s="159">
        <f t="shared" ca="1" si="52"/>
        <v>-14.280630178311235</v>
      </c>
      <c r="J475" s="159" t="s">
        <v>73</v>
      </c>
      <c r="K475" s="159">
        <f>IF(LeagueInfo!$F$7="Yahoo",IFERROR(INDEX(DefaultAuctionValues!$B$2:$B$331,MATCH(A475,DefaultAuctionValues!$A$2:$A$331,0)),0),IF(LeagueInfo!$F$7="ESPN",IFERROR(INDEX(DefaultAuctionValues!$C$2:$C$331,MATCH(A475,DefaultAuctionValues!$A$2:$A$331,0)),0),IF(LeagueInfo!$F$7="Custom",IFERROR(INDEX(DefaultAuctionValues!$D$2:$D$331,MATCH(A475,DefaultAuctionValues!$A$2:$A$331,0)),0))))</f>
        <v>0</v>
      </c>
      <c r="L475" s="159">
        <f t="shared" ca="1" si="53"/>
        <v>-14.280630178311235</v>
      </c>
      <c r="M475" s="171"/>
      <c r="N475" s="166">
        <f t="shared" ca="1" si="54"/>
        <v>-43.28</v>
      </c>
      <c r="O475" s="157" t="str">
        <f t="shared" ca="1" si="55"/>
        <v/>
      </c>
    </row>
    <row r="476" spans="1:15" x14ac:dyDescent="0.35">
      <c r="A476" s="157" t="s">
        <v>650</v>
      </c>
      <c r="B476" s="157" t="s">
        <v>40</v>
      </c>
      <c r="C476" s="157">
        <f ca="1">IFERROR(INDEX(BYEs!$B$2:$B$33,MATCH(D476,BYEs!$A$2:$A$33,0)),"N/A")</f>
        <v>14</v>
      </c>
      <c r="D476" s="214" t="str">
        <f t="shared" ca="1" si="49"/>
        <v>NE</v>
      </c>
      <c r="E476" s="213" t="str">
        <f t="shared" ca="1" si="50"/>
        <v>TE8</v>
      </c>
      <c r="F476" s="158">
        <f ca="1">IF(LeagueInfo!$H$7="Starter/Bench",INDEX(INDIRECT(""&amp;B476&amp;"!T2:T628"),MATCH(A476,INDIRECT(""&amp;B476&amp;"!B2:B628"),0)),INDEX(INDIRECT(""&amp;B476&amp;"!AB2:AB628"),MATCH(A476,INDIRECT(""&amp;B476&amp;"!B2:B628"),0)))</f>
        <v>-14.302077520307314</v>
      </c>
      <c r="G476" s="159">
        <f t="shared" si="51"/>
        <v>0</v>
      </c>
      <c r="H476" s="160"/>
      <c r="I476" s="159">
        <f t="shared" ca="1" si="52"/>
        <v>-14.302077520307314</v>
      </c>
      <c r="J476" s="159" t="s">
        <v>73</v>
      </c>
      <c r="K476" s="159">
        <f>IF(LeagueInfo!$F$7="Yahoo",IFERROR(INDEX(DefaultAuctionValues!$B$2:$B$331,MATCH(A476,DefaultAuctionValues!$A$2:$A$331,0)),0),IF(LeagueInfo!$F$7="ESPN",IFERROR(INDEX(DefaultAuctionValues!$C$2:$C$331,MATCH(A476,DefaultAuctionValues!$A$2:$A$331,0)),0),IF(LeagueInfo!$F$7="Custom",IFERROR(INDEX(DefaultAuctionValues!$D$2:$D$331,MATCH(A476,DefaultAuctionValues!$A$2:$A$331,0)),0))))</f>
        <v>0</v>
      </c>
      <c r="L476" s="159">
        <f t="shared" ca="1" si="53"/>
        <v>-14.302077520307314</v>
      </c>
      <c r="M476" s="171"/>
      <c r="N476" s="166">
        <f t="shared" ca="1" si="54"/>
        <v>-43.345000000000006</v>
      </c>
      <c r="O476" s="157" t="str">
        <f t="shared" ca="1" si="55"/>
        <v/>
      </c>
    </row>
    <row r="477" spans="1:15" x14ac:dyDescent="0.35">
      <c r="A477" s="157" t="s">
        <v>784</v>
      </c>
      <c r="B477" s="157" t="s">
        <v>25</v>
      </c>
      <c r="C477" s="157">
        <f ca="1">IFERROR(INDEX(BYEs!$B$2:$B$33,MATCH(D477,BYEs!$A$2:$A$33,0)),"N/A")</f>
        <v>7</v>
      </c>
      <c r="D477" s="214" t="str">
        <f t="shared" ca="1" si="49"/>
        <v>DAL</v>
      </c>
      <c r="E477" s="213" t="str">
        <f t="shared" ca="1" si="50"/>
        <v>RB8</v>
      </c>
      <c r="F477" s="158">
        <f ca="1">IF(LeagueInfo!$H$7="Starter/Bench",INDEX(INDIRECT(""&amp;B477&amp;"!T2:T628"),MATCH(A477,INDIRECT(""&amp;B477&amp;"!B2:B628"),0)),INDEX(INDIRECT(""&amp;B477&amp;"!AB2:AB628"),MATCH(A477,INDIRECT(""&amp;B477&amp;"!B2:B628"),0)))</f>
        <v>-14.31197629353627</v>
      </c>
      <c r="G477" s="159">
        <f t="shared" si="51"/>
        <v>0</v>
      </c>
      <c r="H477" s="160"/>
      <c r="I477" s="159">
        <f t="shared" ca="1" si="52"/>
        <v>-14.31197629353627</v>
      </c>
      <c r="J477" s="159" t="s">
        <v>73</v>
      </c>
      <c r="K477" s="159">
        <f>IF(LeagueInfo!$F$7="Yahoo",IFERROR(INDEX(DefaultAuctionValues!$B$2:$B$331,MATCH(A477,DefaultAuctionValues!$A$2:$A$331,0)),0),IF(LeagueInfo!$F$7="ESPN",IFERROR(INDEX(DefaultAuctionValues!$C$2:$C$331,MATCH(A477,DefaultAuctionValues!$A$2:$A$331,0)),0),IF(LeagueInfo!$F$7="Custom",IFERROR(INDEX(DefaultAuctionValues!$D$2:$D$331,MATCH(A477,DefaultAuctionValues!$A$2:$A$331,0)),0))))</f>
        <v>0</v>
      </c>
      <c r="L477" s="159">
        <f t="shared" ca="1" si="53"/>
        <v>-14.31197629353627</v>
      </c>
      <c r="M477" s="171"/>
      <c r="N477" s="166">
        <f t="shared" ca="1" si="54"/>
        <v>-43.375</v>
      </c>
      <c r="O477" s="157" t="str">
        <f t="shared" ca="1" si="55"/>
        <v/>
      </c>
    </row>
    <row r="478" spans="1:15" x14ac:dyDescent="0.35">
      <c r="A478" s="157" t="s">
        <v>934</v>
      </c>
      <c r="B478" s="157" t="s">
        <v>32</v>
      </c>
      <c r="C478" s="157">
        <f ca="1">IFERROR(INDEX(BYEs!$B$2:$B$33,MATCH(D478,BYEs!$A$2:$A$33,0)),"N/A")</f>
        <v>5</v>
      </c>
      <c r="D478" s="214" t="str">
        <f t="shared" ca="1" si="49"/>
        <v>PHI</v>
      </c>
      <c r="E478" s="213" t="str">
        <f t="shared" ca="1" si="50"/>
        <v>WR8</v>
      </c>
      <c r="F478" s="158">
        <f ca="1">IF(LeagueInfo!$H$7="Starter/Bench",INDEX(INDIRECT(""&amp;B478&amp;"!T2:T628"),MATCH(A478,INDIRECT(""&amp;B478&amp;"!B2:B628"),0)),INDEX(INDIRECT(""&amp;B478&amp;"!AB2:AB628"),MATCH(A478,INDIRECT(""&amp;B478&amp;"!B2:B628"),0)))</f>
        <v>-14.387866888291622</v>
      </c>
      <c r="G478" s="159">
        <f t="shared" si="51"/>
        <v>0</v>
      </c>
      <c r="H478" s="160"/>
      <c r="I478" s="159">
        <f t="shared" ca="1" si="52"/>
        <v>-14.387866888291622</v>
      </c>
      <c r="J478" s="159" t="s">
        <v>73</v>
      </c>
      <c r="K478" s="159">
        <f>IF(LeagueInfo!$F$7="Yahoo",IFERROR(INDEX(DefaultAuctionValues!$B$2:$B$331,MATCH(A478,DefaultAuctionValues!$A$2:$A$331,0)),0),IF(LeagueInfo!$F$7="ESPN",IFERROR(INDEX(DefaultAuctionValues!$C$2:$C$331,MATCH(A478,DefaultAuctionValues!$A$2:$A$331,0)),0),IF(LeagueInfo!$F$7="Custom",IFERROR(INDEX(DefaultAuctionValues!$D$2:$D$331,MATCH(A478,DefaultAuctionValues!$A$2:$A$331,0)),0))))</f>
        <v>0</v>
      </c>
      <c r="L478" s="159">
        <f t="shared" ca="1" si="53"/>
        <v>-14.387866888291622</v>
      </c>
      <c r="M478" s="171"/>
      <c r="N478" s="166">
        <f t="shared" ca="1" si="54"/>
        <v>-43.605000000000004</v>
      </c>
      <c r="O478" s="157" t="str">
        <f t="shared" ca="1" si="55"/>
        <v/>
      </c>
    </row>
    <row r="479" spans="1:15" x14ac:dyDescent="0.35">
      <c r="A479" s="157" t="s">
        <v>1011</v>
      </c>
      <c r="B479" s="157" t="s">
        <v>32</v>
      </c>
      <c r="C479" s="157">
        <f ca="1">IFERROR(INDEX(BYEs!$B$2:$B$33,MATCH(D479,BYEs!$A$2:$A$33,0)),"N/A")</f>
        <v>9</v>
      </c>
      <c r="D479" s="214" t="str">
        <f t="shared" ca="1" si="49"/>
        <v>SF</v>
      </c>
      <c r="E479" s="213" t="str">
        <f t="shared" ca="1" si="50"/>
        <v>WR8</v>
      </c>
      <c r="F479" s="158">
        <f ca="1">IF(LeagueInfo!$H$7="Starter/Bench",INDEX(INDIRECT(""&amp;B479&amp;"!T2:T628"),MATCH(A479,INDIRECT(""&amp;B479&amp;"!B2:B628"),0)),INDEX(INDIRECT(""&amp;B479&amp;"!AB2:AB628"),MATCH(A479,INDIRECT(""&amp;B479&amp;"!B2:B628"),0)))</f>
        <v>-14.396115865982422</v>
      </c>
      <c r="G479" s="159">
        <f t="shared" si="51"/>
        <v>0</v>
      </c>
      <c r="H479" s="160"/>
      <c r="I479" s="159">
        <f t="shared" ca="1" si="52"/>
        <v>-14.396115865982422</v>
      </c>
      <c r="J479" s="159" t="s">
        <v>73</v>
      </c>
      <c r="K479" s="159">
        <f>IF(LeagueInfo!$F$7="Yahoo",IFERROR(INDEX(DefaultAuctionValues!$B$2:$B$331,MATCH(A479,DefaultAuctionValues!$A$2:$A$331,0)),0),IF(LeagueInfo!$F$7="ESPN",IFERROR(INDEX(DefaultAuctionValues!$C$2:$C$331,MATCH(A479,DefaultAuctionValues!$A$2:$A$331,0)),0),IF(LeagueInfo!$F$7="Custom",IFERROR(INDEX(DefaultAuctionValues!$D$2:$D$331,MATCH(A479,DefaultAuctionValues!$A$2:$A$331,0)),0))))</f>
        <v>0</v>
      </c>
      <c r="L479" s="159">
        <f t="shared" ca="1" si="53"/>
        <v>-14.396115865982422</v>
      </c>
      <c r="M479" s="171"/>
      <c r="N479" s="166">
        <f t="shared" ca="1" si="54"/>
        <v>-43.63</v>
      </c>
      <c r="O479" s="157" t="str">
        <f t="shared" ca="1" si="55"/>
        <v/>
      </c>
    </row>
    <row r="480" spans="1:15" x14ac:dyDescent="0.35">
      <c r="A480" s="157" t="s">
        <v>467</v>
      </c>
      <c r="B480" s="157" t="s">
        <v>25</v>
      </c>
      <c r="C480" s="157">
        <f ca="1">IFERROR(INDEX(BYEs!$B$2:$B$33,MATCH(D480,BYEs!$A$2:$A$33,0)),"N/A")</f>
        <v>6</v>
      </c>
      <c r="D480" s="214" t="str">
        <f t="shared" ca="1" si="49"/>
        <v>MIA</v>
      </c>
      <c r="E480" s="213" t="str">
        <f t="shared" ca="1" si="50"/>
        <v>RB8</v>
      </c>
      <c r="F480" s="158">
        <f ca="1">IF(LeagueInfo!$H$7="Starter/Bench",INDEX(INDIRECT(""&amp;B480&amp;"!T2:T628"),MATCH(A480,INDIRECT(""&amp;B480&amp;"!B2:B628"),0)),INDEX(INDIRECT(""&amp;B480&amp;"!AB2:AB628"),MATCH(A480,INDIRECT(""&amp;B480&amp;"!B2:B628"),0)))</f>
        <v>-14.434061163360097</v>
      </c>
      <c r="G480" s="159">
        <f t="shared" si="51"/>
        <v>0</v>
      </c>
      <c r="H480" s="160"/>
      <c r="I480" s="159">
        <f t="shared" ca="1" si="52"/>
        <v>-14.434061163360097</v>
      </c>
      <c r="J480" s="159" t="s">
        <v>73</v>
      </c>
      <c r="K480" s="159">
        <f>IF(LeagueInfo!$F$7="Yahoo",IFERROR(INDEX(DefaultAuctionValues!$B$2:$B$331,MATCH(A480,DefaultAuctionValues!$A$2:$A$331,0)),0),IF(LeagueInfo!$F$7="ESPN",IFERROR(INDEX(DefaultAuctionValues!$C$2:$C$331,MATCH(A480,DefaultAuctionValues!$A$2:$A$331,0)),0),IF(LeagueInfo!$F$7="Custom",IFERROR(INDEX(DefaultAuctionValues!$D$2:$D$331,MATCH(A480,DefaultAuctionValues!$A$2:$A$331,0)),0))))</f>
        <v>0</v>
      </c>
      <c r="L480" s="159">
        <f t="shared" ca="1" si="53"/>
        <v>-14.434061163360097</v>
      </c>
      <c r="M480" s="171"/>
      <c r="N480" s="166">
        <f t="shared" ca="1" si="54"/>
        <v>-43.745000000000005</v>
      </c>
      <c r="O480" s="157" t="str">
        <f t="shared" ca="1" si="55"/>
        <v/>
      </c>
    </row>
    <row r="481" spans="1:15" x14ac:dyDescent="0.35">
      <c r="A481" s="157" t="s">
        <v>1096</v>
      </c>
      <c r="B481" s="157" t="s">
        <v>32</v>
      </c>
      <c r="C481" s="157">
        <f ca="1">IFERROR(INDEX(BYEs!$B$2:$B$33,MATCH(D481,BYEs!$A$2:$A$33,0)),"N/A")</f>
        <v>14</v>
      </c>
      <c r="D481" s="214" t="str">
        <f t="shared" ca="1" si="49"/>
        <v>DEN</v>
      </c>
      <c r="E481" s="213" t="str">
        <f t="shared" ca="1" si="50"/>
        <v>WR8</v>
      </c>
      <c r="F481" s="158">
        <f ca="1">IF(LeagueInfo!$H$7="Starter/Bench",INDEX(INDIRECT(""&amp;B481&amp;"!T2:T628"),MATCH(A481,INDIRECT(""&amp;B481&amp;"!B2:B628"),0)),INDEX(INDIRECT(""&amp;B481&amp;"!AB2:AB628"),MATCH(A481,INDIRECT(""&amp;B481&amp;"!B2:B628"),0)))</f>
        <v>-14.443959936589057</v>
      </c>
      <c r="G481" s="159">
        <f t="shared" si="51"/>
        <v>0</v>
      </c>
      <c r="H481" s="160"/>
      <c r="I481" s="159">
        <f t="shared" ca="1" si="52"/>
        <v>-14.443959936589057</v>
      </c>
      <c r="J481" s="159" t="s">
        <v>73</v>
      </c>
      <c r="K481" s="159">
        <f>IF(LeagueInfo!$F$7="Yahoo",IFERROR(INDEX(DefaultAuctionValues!$B$2:$B$331,MATCH(A481,DefaultAuctionValues!$A$2:$A$331,0)),0),IF(LeagueInfo!$F$7="ESPN",IFERROR(INDEX(DefaultAuctionValues!$C$2:$C$331,MATCH(A481,DefaultAuctionValues!$A$2:$A$331,0)),0),IF(LeagueInfo!$F$7="Custom",IFERROR(INDEX(DefaultAuctionValues!$D$2:$D$331,MATCH(A481,DefaultAuctionValues!$A$2:$A$331,0)),0))))</f>
        <v>0</v>
      </c>
      <c r="L481" s="159">
        <f t="shared" ca="1" si="53"/>
        <v>-14.443959936589057</v>
      </c>
      <c r="M481" s="171"/>
      <c r="N481" s="166">
        <f t="shared" ca="1" si="54"/>
        <v>-43.775000000000006</v>
      </c>
      <c r="O481" s="157" t="str">
        <f t="shared" ca="1" si="55"/>
        <v/>
      </c>
    </row>
    <row r="482" spans="1:15" x14ac:dyDescent="0.35">
      <c r="A482" s="157" t="s">
        <v>770</v>
      </c>
      <c r="B482" s="157" t="s">
        <v>25</v>
      </c>
      <c r="C482" s="157">
        <f ca="1">IFERROR(INDEX(BYEs!$B$2:$B$33,MATCH(D482,BYEs!$A$2:$A$33,0)),"N/A")</f>
        <v>11</v>
      </c>
      <c r="D482" s="214" t="str">
        <f t="shared" ca="1" si="49"/>
        <v>TB</v>
      </c>
      <c r="E482" s="213" t="str">
        <f t="shared" ca="1" si="50"/>
        <v>RB8</v>
      </c>
      <c r="F482" s="158">
        <f ca="1">IF(LeagueInfo!$H$7="Starter/Bench",INDEX(INDIRECT(""&amp;B482&amp;"!T2:T628"),MATCH(A482,INDIRECT(""&amp;B482&amp;"!B2:B628"),0)),INDEX(INDIRECT(""&amp;B482&amp;"!AB2:AB628"),MATCH(A482,INDIRECT(""&amp;B482&amp;"!B2:B628"),0)))</f>
        <v>-14.526449713497046</v>
      </c>
      <c r="G482" s="159">
        <f t="shared" si="51"/>
        <v>0</v>
      </c>
      <c r="H482" s="160"/>
      <c r="I482" s="159">
        <f t="shared" ca="1" si="52"/>
        <v>-14.526449713497046</v>
      </c>
      <c r="J482" s="159" t="s">
        <v>73</v>
      </c>
      <c r="K482" s="159">
        <f>IF(LeagueInfo!$F$7="Yahoo",IFERROR(INDEX(DefaultAuctionValues!$B$2:$B$331,MATCH(A482,DefaultAuctionValues!$A$2:$A$331,0)),0),IF(LeagueInfo!$F$7="ESPN",IFERROR(INDEX(DefaultAuctionValues!$C$2:$C$331,MATCH(A482,DefaultAuctionValues!$A$2:$A$331,0)),0),IF(LeagueInfo!$F$7="Custom",IFERROR(INDEX(DefaultAuctionValues!$D$2:$D$331,MATCH(A482,DefaultAuctionValues!$A$2:$A$331,0)),0))))</f>
        <v>0</v>
      </c>
      <c r="L482" s="159">
        <f t="shared" ca="1" si="53"/>
        <v>-14.526449713497046</v>
      </c>
      <c r="M482" s="171"/>
      <c r="N482" s="166">
        <f t="shared" ca="1" si="54"/>
        <v>-44.025000000000006</v>
      </c>
      <c r="O482" s="157" t="str">
        <f t="shared" ca="1" si="55"/>
        <v/>
      </c>
    </row>
    <row r="483" spans="1:15" x14ac:dyDescent="0.35">
      <c r="A483" s="157" t="s">
        <v>1080</v>
      </c>
      <c r="B483" s="157" t="s">
        <v>32</v>
      </c>
      <c r="C483" s="157">
        <f ca="1">IFERROR(INDEX(BYEs!$B$2:$B$33,MATCH(D483,BYEs!$A$2:$A$33,0)),"N/A")</f>
        <v>6</v>
      </c>
      <c r="D483" s="214" t="str">
        <f t="shared" ca="1" si="49"/>
        <v>MIA</v>
      </c>
      <c r="E483" s="213" t="str">
        <f t="shared" ca="1" si="50"/>
        <v>WR8</v>
      </c>
      <c r="F483" s="158">
        <f ca="1">IF(LeagueInfo!$H$7="Starter/Bench",INDEX(INDIRECT(""&amp;B483&amp;"!T2:T628"),MATCH(A483,INDIRECT(""&amp;B483&amp;"!B2:B628"),0)),INDEX(INDIRECT(""&amp;B483&amp;"!AB2:AB628"),MATCH(A483,INDIRECT(""&amp;B483&amp;"!B2:B628"),0)))</f>
        <v>-14.544597464416801</v>
      </c>
      <c r="G483" s="159">
        <f t="shared" si="51"/>
        <v>0</v>
      </c>
      <c r="H483" s="160"/>
      <c r="I483" s="159">
        <f t="shared" ca="1" si="52"/>
        <v>-14.544597464416801</v>
      </c>
      <c r="J483" s="159" t="s">
        <v>73</v>
      </c>
      <c r="K483" s="159">
        <f>IF(LeagueInfo!$F$7="Yahoo",IFERROR(INDEX(DefaultAuctionValues!$B$2:$B$331,MATCH(A483,DefaultAuctionValues!$A$2:$A$331,0)),0),IF(LeagueInfo!$F$7="ESPN",IFERROR(INDEX(DefaultAuctionValues!$C$2:$C$331,MATCH(A483,DefaultAuctionValues!$A$2:$A$331,0)),0),IF(LeagueInfo!$F$7="Custom",IFERROR(INDEX(DefaultAuctionValues!$D$2:$D$331,MATCH(A483,DefaultAuctionValues!$A$2:$A$331,0)),0))))</f>
        <v>0</v>
      </c>
      <c r="L483" s="159">
        <f t="shared" ca="1" si="53"/>
        <v>-14.544597464416801</v>
      </c>
      <c r="M483" s="171"/>
      <c r="N483" s="166">
        <f t="shared" ca="1" si="54"/>
        <v>-44.08</v>
      </c>
      <c r="O483" s="157" t="str">
        <f t="shared" ca="1" si="55"/>
        <v/>
      </c>
    </row>
    <row r="484" spans="1:15" x14ac:dyDescent="0.35">
      <c r="A484" s="157" t="s">
        <v>563</v>
      </c>
      <c r="B484" s="157" t="s">
        <v>32</v>
      </c>
      <c r="C484" s="157">
        <f ca="1">IFERROR(INDEX(BYEs!$B$2:$B$33,MATCH(D484,BYEs!$A$2:$A$33,0)),"N/A")</f>
        <v>5</v>
      </c>
      <c r="D484" s="214" t="str">
        <f t="shared" ca="1" si="49"/>
        <v>TEN</v>
      </c>
      <c r="E484" s="213" t="str">
        <f t="shared" ca="1" si="50"/>
        <v>WR8</v>
      </c>
      <c r="F484" s="158">
        <f ca="1">IF(LeagueInfo!$H$7="Starter/Bench",INDEX(INDIRECT(""&amp;B484&amp;"!T2:T628"),MATCH(A484,INDIRECT(""&amp;B484&amp;"!B2:B628"),0)),INDEX(INDIRECT(""&amp;B484&amp;"!AB2:AB628"),MATCH(A484,INDIRECT(""&amp;B484&amp;"!B2:B628"),0)))</f>
        <v>-14.552846442107603</v>
      </c>
      <c r="G484" s="159">
        <f t="shared" si="51"/>
        <v>0</v>
      </c>
      <c r="H484" s="160"/>
      <c r="I484" s="159">
        <f t="shared" ca="1" si="52"/>
        <v>-14.552846442107603</v>
      </c>
      <c r="J484" s="159" t="s">
        <v>73</v>
      </c>
      <c r="K484" s="159">
        <f>IF(LeagueInfo!$F$7="Yahoo",IFERROR(INDEX(DefaultAuctionValues!$B$2:$B$331,MATCH(A484,DefaultAuctionValues!$A$2:$A$331,0)),0),IF(LeagueInfo!$F$7="ESPN",IFERROR(INDEX(DefaultAuctionValues!$C$2:$C$331,MATCH(A484,DefaultAuctionValues!$A$2:$A$331,0)),0),IF(LeagueInfo!$F$7="Custom",IFERROR(INDEX(DefaultAuctionValues!$D$2:$D$331,MATCH(A484,DefaultAuctionValues!$A$2:$A$331,0)),0))))</f>
        <v>0</v>
      </c>
      <c r="L484" s="159">
        <f t="shared" ca="1" si="53"/>
        <v>-14.552846442107603</v>
      </c>
      <c r="M484" s="171"/>
      <c r="N484" s="166">
        <f t="shared" ca="1" si="54"/>
        <v>-44.105000000000004</v>
      </c>
      <c r="O484" s="157" t="str">
        <f t="shared" ca="1" si="55"/>
        <v/>
      </c>
    </row>
    <row r="485" spans="1:15" x14ac:dyDescent="0.35">
      <c r="A485" s="157" t="s">
        <v>1012</v>
      </c>
      <c r="B485" s="157" t="s">
        <v>32</v>
      </c>
      <c r="C485" s="157">
        <f ca="1">IFERROR(INDEX(BYEs!$B$2:$B$33,MATCH(D485,BYEs!$A$2:$A$33,0)),"N/A")</f>
        <v>5</v>
      </c>
      <c r="D485" s="214" t="str">
        <f t="shared" ca="1" si="49"/>
        <v>PHI</v>
      </c>
      <c r="E485" s="213" t="str">
        <f t="shared" ca="1" si="50"/>
        <v>WR8</v>
      </c>
      <c r="F485" s="158">
        <f ca="1">IF(LeagueInfo!$H$7="Starter/Bench",INDEX(INDIRECT(""&amp;B485&amp;"!T2:T628"),MATCH(A485,INDIRECT(""&amp;B485&amp;"!B2:B628"),0)),INDEX(INDIRECT(""&amp;B485&amp;"!AB2:AB628"),MATCH(A485,INDIRECT(""&amp;B485&amp;"!B2:B628"),0)))</f>
        <v>-14.610589285943195</v>
      </c>
      <c r="G485" s="159">
        <f t="shared" si="51"/>
        <v>0</v>
      </c>
      <c r="H485" s="160"/>
      <c r="I485" s="159">
        <f t="shared" ca="1" si="52"/>
        <v>-14.610589285943195</v>
      </c>
      <c r="J485" s="159" t="s">
        <v>73</v>
      </c>
      <c r="K485" s="159">
        <f>IF(LeagueInfo!$F$7="Yahoo",IFERROR(INDEX(DefaultAuctionValues!$B$2:$B$331,MATCH(A485,DefaultAuctionValues!$A$2:$A$331,0)),0),IF(LeagueInfo!$F$7="ESPN",IFERROR(INDEX(DefaultAuctionValues!$C$2:$C$331,MATCH(A485,DefaultAuctionValues!$A$2:$A$331,0)),0),IF(LeagueInfo!$F$7="Custom",IFERROR(INDEX(DefaultAuctionValues!$D$2:$D$331,MATCH(A485,DefaultAuctionValues!$A$2:$A$331,0)),0))))</f>
        <v>0</v>
      </c>
      <c r="L485" s="159">
        <f t="shared" ca="1" si="53"/>
        <v>-14.610589285943195</v>
      </c>
      <c r="M485" s="171"/>
      <c r="N485" s="166">
        <f t="shared" ca="1" si="54"/>
        <v>-44.28</v>
      </c>
      <c r="O485" s="157" t="str">
        <f t="shared" ca="1" si="55"/>
        <v/>
      </c>
    </row>
    <row r="486" spans="1:15" x14ac:dyDescent="0.35">
      <c r="A486" s="157" t="s">
        <v>1089</v>
      </c>
      <c r="B486" s="157" t="s">
        <v>32</v>
      </c>
      <c r="C486" s="157">
        <f ca="1">IFERROR(INDEX(BYEs!$B$2:$B$33,MATCH(D486,BYEs!$A$2:$A$33,0)),"N/A")</f>
        <v>6</v>
      </c>
      <c r="D486" s="214" t="str">
        <f t="shared" ca="1" si="49"/>
        <v>KC</v>
      </c>
      <c r="E486" s="213" t="str">
        <f t="shared" ca="1" si="50"/>
        <v>WR8</v>
      </c>
      <c r="F486" s="158">
        <f ca="1">IF(LeagueInfo!$H$7="Starter/Bench",INDEX(INDIRECT(""&amp;B486&amp;"!T2:T628"),MATCH(A486,INDIRECT(""&amp;B486&amp;"!B2:B628"),0)),INDEX(INDIRECT(""&amp;B486&amp;"!AB2:AB628"),MATCH(A486,INDIRECT(""&amp;B486&amp;"!B2:B628"),0)))</f>
        <v>-14.643585196706391</v>
      </c>
      <c r="G486" s="159">
        <f t="shared" si="51"/>
        <v>0</v>
      </c>
      <c r="H486" s="160"/>
      <c r="I486" s="159">
        <f t="shared" ca="1" si="52"/>
        <v>-14.643585196706391</v>
      </c>
      <c r="J486" s="159" t="s">
        <v>73</v>
      </c>
      <c r="K486" s="159">
        <f>IF(LeagueInfo!$F$7="Yahoo",IFERROR(INDEX(DefaultAuctionValues!$B$2:$B$331,MATCH(A486,DefaultAuctionValues!$A$2:$A$331,0)),0),IF(LeagueInfo!$F$7="ESPN",IFERROR(INDEX(DefaultAuctionValues!$C$2:$C$331,MATCH(A486,DefaultAuctionValues!$A$2:$A$331,0)),0),IF(LeagueInfo!$F$7="Custom",IFERROR(INDEX(DefaultAuctionValues!$D$2:$D$331,MATCH(A486,DefaultAuctionValues!$A$2:$A$331,0)),0))))</f>
        <v>0</v>
      </c>
      <c r="L486" s="159">
        <f t="shared" ca="1" si="53"/>
        <v>-14.643585196706391</v>
      </c>
      <c r="M486" s="171"/>
      <c r="N486" s="166">
        <f t="shared" ca="1" si="54"/>
        <v>-44.38</v>
      </c>
      <c r="O486" s="157" t="str">
        <f t="shared" ca="1" si="55"/>
        <v/>
      </c>
    </row>
    <row r="487" spans="1:15" x14ac:dyDescent="0.35">
      <c r="A487" s="157" t="s">
        <v>547</v>
      </c>
      <c r="B487" s="157" t="s">
        <v>25</v>
      </c>
      <c r="C487" s="157">
        <f ca="1">IFERROR(INDEX(BYEs!$B$2:$B$33,MATCH(D487,BYEs!$A$2:$A$33,0)),"N/A")</f>
        <v>12</v>
      </c>
      <c r="D487" s="214" t="str">
        <f t="shared" ca="1" si="49"/>
        <v>CIN</v>
      </c>
      <c r="E487" s="213" t="str">
        <f t="shared" ca="1" si="50"/>
        <v>RB8</v>
      </c>
      <c r="F487" s="158">
        <f ca="1">IF(LeagueInfo!$H$7="Starter/Bench",INDEX(INDIRECT(""&amp;B487&amp;"!T2:T628"),MATCH(A487,INDIRECT(""&amp;B487&amp;"!B2:B628"),0)),INDEX(INDIRECT(""&amp;B487&amp;"!AB2:AB628"),MATCH(A487,INDIRECT(""&amp;B487&amp;"!B2:B628"),0)))</f>
        <v>-14.663382743164309</v>
      </c>
      <c r="G487" s="159">
        <f t="shared" si="51"/>
        <v>0</v>
      </c>
      <c r="H487" s="160"/>
      <c r="I487" s="159">
        <f t="shared" ca="1" si="52"/>
        <v>-14.663382743164309</v>
      </c>
      <c r="J487" s="159" t="s">
        <v>73</v>
      </c>
      <c r="K487" s="159">
        <f>IF(LeagueInfo!$F$7="Yahoo",IFERROR(INDEX(DefaultAuctionValues!$B$2:$B$331,MATCH(A487,DefaultAuctionValues!$A$2:$A$331,0)),0),IF(LeagueInfo!$F$7="ESPN",IFERROR(INDEX(DefaultAuctionValues!$C$2:$C$331,MATCH(A487,DefaultAuctionValues!$A$2:$A$331,0)),0),IF(LeagueInfo!$F$7="Custom",IFERROR(INDEX(DefaultAuctionValues!$D$2:$D$331,MATCH(A487,DefaultAuctionValues!$A$2:$A$331,0)),0))))</f>
        <v>0</v>
      </c>
      <c r="L487" s="159">
        <f t="shared" ca="1" si="53"/>
        <v>-14.663382743164309</v>
      </c>
      <c r="M487" s="171"/>
      <c r="N487" s="166">
        <f t="shared" ca="1" si="54"/>
        <v>-44.440000000000005</v>
      </c>
      <c r="O487" s="157" t="str">
        <f t="shared" ca="1" si="55"/>
        <v/>
      </c>
    </row>
    <row r="488" spans="1:15" x14ac:dyDescent="0.35">
      <c r="A488" s="157" t="s">
        <v>930</v>
      </c>
      <c r="B488" s="157" t="s">
        <v>32</v>
      </c>
      <c r="C488" s="157">
        <f ca="1">IFERROR(INDEX(BYEs!$B$2:$B$33,MATCH(D488,BYEs!$A$2:$A$33,0)),"N/A")</f>
        <v>6</v>
      </c>
      <c r="D488" s="214" t="str">
        <f t="shared" ca="1" si="49"/>
        <v>LAR</v>
      </c>
      <c r="E488" s="213" t="str">
        <f t="shared" ca="1" si="50"/>
        <v>WR8</v>
      </c>
      <c r="F488" s="158">
        <f ca="1">IF(LeagueInfo!$H$7="Starter/Bench",INDEX(INDIRECT(""&amp;B488&amp;"!T2:T628"),MATCH(A488,INDIRECT(""&amp;B488&amp;"!B2:B628"),0)),INDEX(INDIRECT(""&amp;B488&amp;"!AB2:AB628"),MATCH(A488,INDIRECT(""&amp;B488&amp;"!B2:B628"),0)))</f>
        <v>-14.683180289622225</v>
      </c>
      <c r="G488" s="159">
        <f t="shared" si="51"/>
        <v>0</v>
      </c>
      <c r="H488" s="160"/>
      <c r="I488" s="159">
        <f t="shared" ca="1" si="52"/>
        <v>-14.683180289622225</v>
      </c>
      <c r="J488" s="159" t="s">
        <v>73</v>
      </c>
      <c r="K488" s="159">
        <f>IF(LeagueInfo!$F$7="Yahoo",IFERROR(INDEX(DefaultAuctionValues!$B$2:$B$331,MATCH(A488,DefaultAuctionValues!$A$2:$A$331,0)),0),IF(LeagueInfo!$F$7="ESPN",IFERROR(INDEX(DefaultAuctionValues!$C$2:$C$331,MATCH(A488,DefaultAuctionValues!$A$2:$A$331,0)),0),IF(LeagueInfo!$F$7="Custom",IFERROR(INDEX(DefaultAuctionValues!$D$2:$D$331,MATCH(A488,DefaultAuctionValues!$A$2:$A$331,0)),0))))</f>
        <v>0</v>
      </c>
      <c r="L488" s="159">
        <f t="shared" ca="1" si="53"/>
        <v>-14.683180289622225</v>
      </c>
      <c r="M488" s="171"/>
      <c r="N488" s="166">
        <f t="shared" ca="1" si="54"/>
        <v>-44.5</v>
      </c>
      <c r="O488" s="157" t="str">
        <f t="shared" ca="1" si="55"/>
        <v/>
      </c>
    </row>
    <row r="489" spans="1:15" x14ac:dyDescent="0.35">
      <c r="A489" s="157" t="s">
        <v>1097</v>
      </c>
      <c r="B489" s="157" t="s">
        <v>32</v>
      </c>
      <c r="C489" s="157">
        <f ca="1">IFERROR(INDEX(BYEs!$B$2:$B$33,MATCH(D489,BYEs!$A$2:$A$33,0)),"N/A")</f>
        <v>11</v>
      </c>
      <c r="D489" s="214" t="str">
        <f t="shared" ca="1" si="49"/>
        <v>ARI</v>
      </c>
      <c r="E489" s="213" t="str">
        <f t="shared" ca="1" si="50"/>
        <v>WR8</v>
      </c>
      <c r="F489" s="158">
        <f ca="1">IF(LeagueInfo!$H$7="Starter/Bench",INDEX(INDIRECT(""&amp;B489&amp;"!T2:T628"),MATCH(A489,INDIRECT(""&amp;B489&amp;"!B2:B628"),0)),INDEX(INDIRECT(""&amp;B489&amp;"!AB2:AB628"),MATCH(A489,INDIRECT(""&amp;B489&amp;"!B2:B628"),0)))</f>
        <v>-14.693079062851185</v>
      </c>
      <c r="G489" s="159">
        <f t="shared" si="51"/>
        <v>0</v>
      </c>
      <c r="H489" s="160"/>
      <c r="I489" s="159">
        <f t="shared" ca="1" si="52"/>
        <v>-14.693079062851185</v>
      </c>
      <c r="J489" s="159" t="s">
        <v>73</v>
      </c>
      <c r="K489" s="159">
        <f>IF(LeagueInfo!$F$7="Yahoo",IFERROR(INDEX(DefaultAuctionValues!$B$2:$B$331,MATCH(A489,DefaultAuctionValues!$A$2:$A$331,0)),0),IF(LeagueInfo!$F$7="ESPN",IFERROR(INDEX(DefaultAuctionValues!$C$2:$C$331,MATCH(A489,DefaultAuctionValues!$A$2:$A$331,0)),0),IF(LeagueInfo!$F$7="Custom",IFERROR(INDEX(DefaultAuctionValues!$D$2:$D$331,MATCH(A489,DefaultAuctionValues!$A$2:$A$331,0)),0))))</f>
        <v>0</v>
      </c>
      <c r="L489" s="159">
        <f t="shared" ca="1" si="53"/>
        <v>-14.693079062851185</v>
      </c>
      <c r="M489" s="171"/>
      <c r="N489" s="166">
        <f t="shared" ca="1" si="54"/>
        <v>-44.53</v>
      </c>
      <c r="O489" s="157" t="str">
        <f t="shared" ca="1" si="55"/>
        <v/>
      </c>
    </row>
    <row r="490" spans="1:15" x14ac:dyDescent="0.35">
      <c r="A490" s="157" t="s">
        <v>495</v>
      </c>
      <c r="B490" s="157" t="s">
        <v>32</v>
      </c>
      <c r="C490" s="157">
        <f ca="1">IFERROR(INDEX(BYEs!$B$2:$B$33,MATCH(D490,BYEs!$A$2:$A$33,0)),"N/A")</f>
        <v>12</v>
      </c>
      <c r="D490" s="214" t="str">
        <f t="shared" ca="1" si="49"/>
        <v>BUF</v>
      </c>
      <c r="E490" s="213" t="str">
        <f t="shared" ca="1" si="50"/>
        <v>WR8</v>
      </c>
      <c r="F490" s="158">
        <f ca="1">IF(LeagueInfo!$H$7="Starter/Bench",INDEX(INDIRECT(""&amp;B490&amp;"!T2:T628"),MATCH(A490,INDIRECT(""&amp;B490&amp;"!B2:B628"),0)),INDEX(INDIRECT(""&amp;B490&amp;"!AB2:AB628"),MATCH(A490,INDIRECT(""&amp;B490&amp;"!B2:B628"),0)))</f>
        <v>-14.726074973614381</v>
      </c>
      <c r="G490" s="159">
        <f t="shared" si="51"/>
        <v>0</v>
      </c>
      <c r="H490" s="160"/>
      <c r="I490" s="159">
        <f t="shared" ca="1" si="52"/>
        <v>-14.726074973614381</v>
      </c>
      <c r="J490" s="159" t="s">
        <v>73</v>
      </c>
      <c r="K490" s="159">
        <f>IF(LeagueInfo!$F$7="Yahoo",IFERROR(INDEX(DefaultAuctionValues!$B$2:$B$331,MATCH(A490,DefaultAuctionValues!$A$2:$A$331,0)),0),IF(LeagueInfo!$F$7="ESPN",IFERROR(INDEX(DefaultAuctionValues!$C$2:$C$331,MATCH(A490,DefaultAuctionValues!$A$2:$A$331,0)),0),IF(LeagueInfo!$F$7="Custom",IFERROR(INDEX(DefaultAuctionValues!$D$2:$D$331,MATCH(A490,DefaultAuctionValues!$A$2:$A$331,0)),0))))</f>
        <v>0</v>
      </c>
      <c r="L490" s="159">
        <f t="shared" ca="1" si="53"/>
        <v>-14.726074973614381</v>
      </c>
      <c r="M490" s="171"/>
      <c r="N490" s="166">
        <f t="shared" ca="1" si="54"/>
        <v>-44.63</v>
      </c>
      <c r="O490" s="157" t="str">
        <f t="shared" ca="1" si="55"/>
        <v/>
      </c>
    </row>
    <row r="491" spans="1:15" x14ac:dyDescent="0.35">
      <c r="A491" s="157" t="s">
        <v>961</v>
      </c>
      <c r="B491" s="157" t="s">
        <v>25</v>
      </c>
      <c r="C491" s="157">
        <f ca="1">IFERROR(INDEX(BYEs!$B$2:$B$33,MATCH(D491,BYEs!$A$2:$A$33,0)),"N/A")</f>
        <v>12</v>
      </c>
      <c r="D491" s="214" t="str">
        <f t="shared" ca="1" si="49"/>
        <v>NO</v>
      </c>
      <c r="E491" s="213" t="str">
        <f t="shared" ca="1" si="50"/>
        <v>RB8</v>
      </c>
      <c r="F491" s="158">
        <f ca="1">IF(LeagueInfo!$H$7="Starter/Bench",INDEX(INDIRECT(""&amp;B491&amp;"!T2:T628"),MATCH(A491,INDIRECT(""&amp;B491&amp;"!B2:B628"),0)),INDEX(INDIRECT(""&amp;B491&amp;"!AB2:AB628"),MATCH(A491,INDIRECT(""&amp;B491&amp;"!B2:B628"),0)))</f>
        <v>-14.740923133457819</v>
      </c>
      <c r="G491" s="159">
        <f t="shared" si="51"/>
        <v>0</v>
      </c>
      <c r="H491" s="160"/>
      <c r="I491" s="159">
        <f t="shared" ca="1" si="52"/>
        <v>-14.740923133457819</v>
      </c>
      <c r="J491" s="159" t="s">
        <v>73</v>
      </c>
      <c r="K491" s="159">
        <f>IF(LeagueInfo!$F$7="Yahoo",IFERROR(INDEX(DefaultAuctionValues!$B$2:$B$331,MATCH(A491,DefaultAuctionValues!$A$2:$A$331,0)),0),IF(LeagueInfo!$F$7="ESPN",IFERROR(INDEX(DefaultAuctionValues!$C$2:$C$331,MATCH(A491,DefaultAuctionValues!$A$2:$A$331,0)),0),IF(LeagueInfo!$F$7="Custom",IFERROR(INDEX(DefaultAuctionValues!$D$2:$D$331,MATCH(A491,DefaultAuctionValues!$A$2:$A$331,0)),0))))</f>
        <v>0</v>
      </c>
      <c r="L491" s="159">
        <f t="shared" ca="1" si="53"/>
        <v>-14.740923133457819</v>
      </c>
      <c r="M491" s="171"/>
      <c r="N491" s="166">
        <f t="shared" ca="1" si="54"/>
        <v>-44.675000000000004</v>
      </c>
      <c r="O491" s="157" t="str">
        <f t="shared" ca="1" si="55"/>
        <v/>
      </c>
    </row>
    <row r="492" spans="1:15" x14ac:dyDescent="0.35">
      <c r="A492" s="157" t="s">
        <v>248</v>
      </c>
      <c r="B492" s="157" t="s">
        <v>32</v>
      </c>
      <c r="C492" s="157">
        <f ca="1">IFERROR(INDEX(BYEs!$B$2:$B$33,MATCH(D492,BYEs!$A$2:$A$33,0)),"N/A")</f>
        <v>11</v>
      </c>
      <c r="D492" s="214" t="str">
        <f t="shared" ca="1" si="49"/>
        <v>NYG</v>
      </c>
      <c r="E492" s="213" t="str">
        <f t="shared" ca="1" si="50"/>
        <v>WR8</v>
      </c>
      <c r="F492" s="158">
        <f ca="1">IF(LeagueInfo!$H$7="Starter/Bench",INDEX(INDIRECT(""&amp;B492&amp;"!T2:T628"),MATCH(A492,INDIRECT(""&amp;B492&amp;"!B2:B628"),0)),INDEX(INDIRECT(""&amp;B492&amp;"!AB2:AB628"),MATCH(A492,INDIRECT(""&amp;B492&amp;"!B2:B628"),0)))</f>
        <v>-14.775568839759174</v>
      </c>
      <c r="G492" s="159">
        <f t="shared" si="51"/>
        <v>0</v>
      </c>
      <c r="H492" s="160"/>
      <c r="I492" s="159">
        <f t="shared" ca="1" si="52"/>
        <v>-14.775568839759174</v>
      </c>
      <c r="J492" s="159" t="s">
        <v>73</v>
      </c>
      <c r="K492" s="159">
        <f>IF(LeagueInfo!$F$7="Yahoo",IFERROR(INDEX(DefaultAuctionValues!$B$2:$B$331,MATCH(A492,DefaultAuctionValues!$A$2:$A$331,0)),0),IF(LeagueInfo!$F$7="ESPN",IFERROR(INDEX(DefaultAuctionValues!$C$2:$C$331,MATCH(A492,DefaultAuctionValues!$A$2:$A$331,0)),0),IF(LeagueInfo!$F$7="Custom",IFERROR(INDEX(DefaultAuctionValues!$D$2:$D$331,MATCH(A492,DefaultAuctionValues!$A$2:$A$331,0)),0))))</f>
        <v>0</v>
      </c>
      <c r="L492" s="159">
        <f t="shared" ca="1" si="53"/>
        <v>-14.775568839759174</v>
      </c>
      <c r="M492" s="171"/>
      <c r="N492" s="166">
        <f t="shared" ca="1" si="54"/>
        <v>-44.78</v>
      </c>
      <c r="O492" s="157" t="str">
        <f t="shared" ca="1" si="55"/>
        <v/>
      </c>
    </row>
    <row r="493" spans="1:15" x14ac:dyDescent="0.35">
      <c r="A493" s="157" t="s">
        <v>549</v>
      </c>
      <c r="B493" s="157" t="s">
        <v>32</v>
      </c>
      <c r="C493" s="157">
        <f ca="1">IFERROR(INDEX(BYEs!$B$2:$B$33,MATCH(D493,BYEs!$A$2:$A$33,0)),"N/A")</f>
        <v>5</v>
      </c>
      <c r="D493" s="214" t="str">
        <f t="shared" ca="1" si="49"/>
        <v>DET</v>
      </c>
      <c r="E493" s="213" t="str">
        <f t="shared" ca="1" si="50"/>
        <v>WR8</v>
      </c>
      <c r="F493" s="158">
        <f ca="1">IF(LeagueInfo!$H$7="Starter/Bench",INDEX(INDIRECT(""&amp;B493&amp;"!T2:T628"),MATCH(A493,INDIRECT(""&amp;B493&amp;"!B2:B628"),0)),INDEX(INDIRECT(""&amp;B493&amp;"!AB2:AB628"),MATCH(A493,INDIRECT(""&amp;B493&amp;"!B2:B628"),0)))</f>
        <v>-14.775568839759174</v>
      </c>
      <c r="G493" s="159">
        <f t="shared" si="51"/>
        <v>0</v>
      </c>
      <c r="H493" s="160"/>
      <c r="I493" s="159">
        <f t="shared" ca="1" si="52"/>
        <v>-14.775568839759174</v>
      </c>
      <c r="J493" s="159" t="s">
        <v>73</v>
      </c>
      <c r="K493" s="159">
        <f>IF(LeagueInfo!$F$7="Yahoo",IFERROR(INDEX(DefaultAuctionValues!$B$2:$B$331,MATCH(A493,DefaultAuctionValues!$A$2:$A$331,0)),0),IF(LeagueInfo!$F$7="ESPN",IFERROR(INDEX(DefaultAuctionValues!$C$2:$C$331,MATCH(A493,DefaultAuctionValues!$A$2:$A$331,0)),0),IF(LeagueInfo!$F$7="Custom",IFERROR(INDEX(DefaultAuctionValues!$D$2:$D$331,MATCH(A493,DefaultAuctionValues!$A$2:$A$331,0)),0))))</f>
        <v>0</v>
      </c>
      <c r="L493" s="159">
        <f t="shared" ca="1" si="53"/>
        <v>-14.775568839759174</v>
      </c>
      <c r="M493" s="171"/>
      <c r="N493" s="166">
        <f t="shared" ca="1" si="54"/>
        <v>-44.78</v>
      </c>
      <c r="O493" s="157" t="str">
        <f t="shared" ca="1" si="55"/>
        <v/>
      </c>
    </row>
    <row r="494" spans="1:15" x14ac:dyDescent="0.35">
      <c r="A494" s="157" t="s">
        <v>1112</v>
      </c>
      <c r="B494" s="157" t="s">
        <v>25</v>
      </c>
      <c r="C494" s="157">
        <f ca="1">IFERROR(INDEX(BYEs!$B$2:$B$33,MATCH(D494,BYEs!$A$2:$A$33,0)),"N/A")</f>
        <v>12</v>
      </c>
      <c r="D494" s="214" t="str">
        <f t="shared" ca="1" si="49"/>
        <v>ATL</v>
      </c>
      <c r="E494" s="213" t="str">
        <f t="shared" ca="1" si="50"/>
        <v>RB8</v>
      </c>
      <c r="F494" s="158">
        <f ca="1">IF(LeagueInfo!$H$7="Starter/Bench",INDEX(INDIRECT(""&amp;B494&amp;"!T2:T628"),MATCH(A494,INDIRECT(""&amp;B494&amp;"!B2:B628"),0)),INDEX(INDIRECT(""&amp;B494&amp;"!AB2:AB628"),MATCH(A494,INDIRECT(""&amp;B494&amp;"!B2:B628"),0)))</f>
        <v>-14.811864341598691</v>
      </c>
      <c r="G494" s="159">
        <f t="shared" si="51"/>
        <v>0</v>
      </c>
      <c r="H494" s="160"/>
      <c r="I494" s="159">
        <f t="shared" ca="1" si="52"/>
        <v>-14.811864341598691</v>
      </c>
      <c r="J494" s="159" t="s">
        <v>73</v>
      </c>
      <c r="K494" s="159">
        <f>IF(LeagueInfo!$F$7="Yahoo",IFERROR(INDEX(DefaultAuctionValues!$B$2:$B$331,MATCH(A494,DefaultAuctionValues!$A$2:$A$331,0)),0),IF(LeagueInfo!$F$7="ESPN",IFERROR(INDEX(DefaultAuctionValues!$C$2:$C$331,MATCH(A494,DefaultAuctionValues!$A$2:$A$331,0)),0),IF(LeagueInfo!$F$7="Custom",IFERROR(INDEX(DefaultAuctionValues!$D$2:$D$331,MATCH(A494,DefaultAuctionValues!$A$2:$A$331,0)),0))))</f>
        <v>0</v>
      </c>
      <c r="L494" s="159">
        <f t="shared" ca="1" si="53"/>
        <v>-14.811864341598691</v>
      </c>
      <c r="M494" s="171"/>
      <c r="N494" s="166">
        <f t="shared" ca="1" si="54"/>
        <v>-44.89</v>
      </c>
      <c r="O494" s="157" t="str">
        <f t="shared" ca="1" si="55"/>
        <v/>
      </c>
    </row>
    <row r="495" spans="1:15" x14ac:dyDescent="0.35">
      <c r="A495" s="157" t="s">
        <v>1013</v>
      </c>
      <c r="B495" s="157" t="s">
        <v>32</v>
      </c>
      <c r="C495" s="157">
        <f ca="1">IFERROR(INDEX(BYEs!$B$2:$B$33,MATCH(D495,BYEs!$A$2:$A$33,0)),"N/A")</f>
        <v>10</v>
      </c>
      <c r="D495" s="214" t="str">
        <f t="shared" ca="1" si="49"/>
        <v>CLE</v>
      </c>
      <c r="E495" s="213" t="str">
        <f t="shared" ca="1" si="50"/>
        <v>WR8</v>
      </c>
      <c r="F495" s="158">
        <f ca="1">IF(LeagueInfo!$H$7="Starter/Bench",INDEX(INDIRECT(""&amp;B495&amp;"!T2:T628"),MATCH(A495,INDIRECT(""&amp;B495&amp;"!B2:B628"),0)),INDEX(INDIRECT(""&amp;B495&amp;"!AB2:AB628"),MATCH(A495,INDIRECT(""&amp;B495&amp;"!B2:B628"),0)))</f>
        <v>-14.841560661285568</v>
      </c>
      <c r="G495" s="159">
        <f t="shared" si="51"/>
        <v>0</v>
      </c>
      <c r="H495" s="160"/>
      <c r="I495" s="159">
        <f t="shared" ca="1" si="52"/>
        <v>-14.841560661285568</v>
      </c>
      <c r="J495" s="159" t="s">
        <v>73</v>
      </c>
      <c r="K495" s="159">
        <f>IF(LeagueInfo!$F$7="Yahoo",IFERROR(INDEX(DefaultAuctionValues!$B$2:$B$331,MATCH(A495,DefaultAuctionValues!$A$2:$A$331,0)),0),IF(LeagueInfo!$F$7="ESPN",IFERROR(INDEX(DefaultAuctionValues!$C$2:$C$331,MATCH(A495,DefaultAuctionValues!$A$2:$A$331,0)),0),IF(LeagueInfo!$F$7="Custom",IFERROR(INDEX(DefaultAuctionValues!$D$2:$D$331,MATCH(A495,DefaultAuctionValues!$A$2:$A$331,0)),0))))</f>
        <v>0</v>
      </c>
      <c r="L495" s="159">
        <f t="shared" ca="1" si="53"/>
        <v>-14.841560661285568</v>
      </c>
      <c r="M495" s="171"/>
      <c r="N495" s="166">
        <f t="shared" ca="1" si="54"/>
        <v>-44.980000000000004</v>
      </c>
      <c r="O495" s="157" t="str">
        <f t="shared" ca="1" si="55"/>
        <v/>
      </c>
    </row>
    <row r="496" spans="1:15" x14ac:dyDescent="0.35">
      <c r="A496" s="157" t="s">
        <v>876</v>
      </c>
      <c r="B496" s="157" t="s">
        <v>25</v>
      </c>
      <c r="C496" s="157">
        <f ca="1">IFERROR(INDEX(BYEs!$B$2:$B$33,MATCH(D496,BYEs!$A$2:$A$33,0)),"N/A")</f>
        <v>6</v>
      </c>
      <c r="D496" s="214" t="str">
        <f t="shared" ca="1" si="49"/>
        <v>LAR</v>
      </c>
      <c r="E496" s="213" t="str">
        <f t="shared" ca="1" si="50"/>
        <v>RB8</v>
      </c>
      <c r="F496" s="158">
        <f ca="1">IF(LeagueInfo!$H$7="Starter/Bench",INDEX(INDIRECT(""&amp;B496&amp;"!T2:T628"),MATCH(A496,INDIRECT(""&amp;B496&amp;"!B2:B628"),0)),INDEX(INDIRECT(""&amp;B496&amp;"!AB2:AB628"),MATCH(A496,INDIRECT(""&amp;B496&amp;"!B2:B628"),0)))</f>
        <v>-14.943847984651477</v>
      </c>
      <c r="G496" s="159">
        <f t="shared" si="51"/>
        <v>0</v>
      </c>
      <c r="H496" s="160"/>
      <c r="I496" s="159">
        <f t="shared" ca="1" si="52"/>
        <v>-14.943847984651477</v>
      </c>
      <c r="J496" s="159" t="s">
        <v>73</v>
      </c>
      <c r="K496" s="159">
        <f>IF(LeagueInfo!$F$7="Yahoo",IFERROR(INDEX(DefaultAuctionValues!$B$2:$B$331,MATCH(A496,DefaultAuctionValues!$A$2:$A$331,0)),0),IF(LeagueInfo!$F$7="ESPN",IFERROR(INDEX(DefaultAuctionValues!$C$2:$C$331,MATCH(A496,DefaultAuctionValues!$A$2:$A$331,0)),0),IF(LeagueInfo!$F$7="Custom",IFERROR(INDEX(DefaultAuctionValues!$D$2:$D$331,MATCH(A496,DefaultAuctionValues!$A$2:$A$331,0)),0))))</f>
        <v>0</v>
      </c>
      <c r="L496" s="159">
        <f t="shared" ca="1" si="53"/>
        <v>-14.943847984651477</v>
      </c>
      <c r="M496" s="171"/>
      <c r="N496" s="166">
        <f t="shared" ca="1" si="54"/>
        <v>-45.290000000000006</v>
      </c>
      <c r="O496" s="157" t="str">
        <f t="shared" ca="1" si="55"/>
        <v/>
      </c>
    </row>
    <row r="497" spans="1:15" x14ac:dyDescent="0.35">
      <c r="A497" s="157" t="s">
        <v>108</v>
      </c>
      <c r="B497" s="157" t="s">
        <v>32</v>
      </c>
      <c r="C497" s="157">
        <f ca="1">IFERROR(INDEX(BYEs!$B$2:$B$33,MATCH(D497,BYEs!$A$2:$A$33,0)),"N/A")</f>
        <v>14</v>
      </c>
      <c r="D497" s="214" t="str">
        <f t="shared" ca="1" si="49"/>
        <v>WAS</v>
      </c>
      <c r="E497" s="213" t="str">
        <f t="shared" ca="1" si="50"/>
        <v>WR8</v>
      </c>
      <c r="F497" s="158">
        <f ca="1">IF(LeagueInfo!$H$7="Starter/Bench",INDEX(INDIRECT(""&amp;B497&amp;"!T2:T628"),MATCH(A497,INDIRECT(""&amp;B497&amp;"!B2:B628"),0)),INDEX(INDIRECT(""&amp;B497&amp;"!AB2:AB628"),MATCH(A497,INDIRECT(""&amp;B497&amp;"!B2:B628"),0)))</f>
        <v>-14.968594917723872</v>
      </c>
      <c r="G497" s="159">
        <f t="shared" si="51"/>
        <v>0</v>
      </c>
      <c r="H497" s="160"/>
      <c r="I497" s="159">
        <f t="shared" ca="1" si="52"/>
        <v>-14.968594917723872</v>
      </c>
      <c r="J497" s="159" t="s">
        <v>73</v>
      </c>
      <c r="K497" s="159">
        <f>IF(LeagueInfo!$F$7="Yahoo",IFERROR(INDEX(DefaultAuctionValues!$B$2:$B$331,MATCH(A497,DefaultAuctionValues!$A$2:$A$331,0)),0),IF(LeagueInfo!$F$7="ESPN",IFERROR(INDEX(DefaultAuctionValues!$C$2:$C$331,MATCH(A497,DefaultAuctionValues!$A$2:$A$331,0)),0),IF(LeagueInfo!$F$7="Custom",IFERROR(INDEX(DefaultAuctionValues!$D$2:$D$331,MATCH(A497,DefaultAuctionValues!$A$2:$A$331,0)),0))))</f>
        <v>0</v>
      </c>
      <c r="L497" s="159">
        <f t="shared" ca="1" si="53"/>
        <v>-14.968594917723872</v>
      </c>
      <c r="M497" s="171"/>
      <c r="N497" s="166">
        <f t="shared" ca="1" si="54"/>
        <v>-45.365000000000002</v>
      </c>
      <c r="O497" s="157" t="str">
        <f t="shared" ca="1" si="55"/>
        <v/>
      </c>
    </row>
    <row r="498" spans="1:15" x14ac:dyDescent="0.35">
      <c r="A498" s="157" t="s">
        <v>793</v>
      </c>
      <c r="B498" s="157" t="s">
        <v>32</v>
      </c>
      <c r="C498" s="157">
        <f ca="1">IFERROR(INDEX(BYEs!$B$2:$B$33,MATCH(D498,BYEs!$A$2:$A$33,0)),"N/A")</f>
        <v>7</v>
      </c>
      <c r="D498" s="214" t="str">
        <f t="shared" ca="1" si="49"/>
        <v>CHI</v>
      </c>
      <c r="E498" s="213" t="str">
        <f t="shared" ca="1" si="50"/>
        <v>WR8</v>
      </c>
      <c r="F498" s="158">
        <f ca="1">IF(LeagueInfo!$H$7="Starter/Bench",INDEX(INDIRECT(""&amp;B498&amp;"!T2:T628"),MATCH(A498,INDIRECT(""&amp;B498&amp;"!B2:B628"),0)),INDEX(INDIRECT(""&amp;B498&amp;"!AB2:AB628"),MATCH(A498,INDIRECT(""&amp;B498&amp;"!B2:B628"),0)))</f>
        <v>-14.999941032948907</v>
      </c>
      <c r="G498" s="159">
        <f t="shared" si="51"/>
        <v>0</v>
      </c>
      <c r="H498" s="160"/>
      <c r="I498" s="159">
        <f t="shared" ca="1" si="52"/>
        <v>-14.999941032948907</v>
      </c>
      <c r="J498" s="159" t="s">
        <v>73</v>
      </c>
      <c r="K498" s="159">
        <f>IF(LeagueInfo!$F$7="Yahoo",IFERROR(INDEX(DefaultAuctionValues!$B$2:$B$331,MATCH(A498,DefaultAuctionValues!$A$2:$A$331,0)),0),IF(LeagueInfo!$F$7="ESPN",IFERROR(INDEX(DefaultAuctionValues!$C$2:$C$331,MATCH(A498,DefaultAuctionValues!$A$2:$A$331,0)),0),IF(LeagueInfo!$F$7="Custom",IFERROR(INDEX(DefaultAuctionValues!$D$2:$D$331,MATCH(A498,DefaultAuctionValues!$A$2:$A$331,0)),0))))</f>
        <v>0</v>
      </c>
      <c r="L498" s="159">
        <f t="shared" ca="1" si="53"/>
        <v>-14.999941032948907</v>
      </c>
      <c r="M498" s="171"/>
      <c r="N498" s="166">
        <f t="shared" ca="1" si="54"/>
        <v>-45.46</v>
      </c>
      <c r="O498" s="157" t="str">
        <f t="shared" ca="1" si="55"/>
        <v/>
      </c>
    </row>
    <row r="499" spans="1:15" x14ac:dyDescent="0.35">
      <c r="A499" s="157" t="s">
        <v>833</v>
      </c>
      <c r="B499" s="157" t="s">
        <v>32</v>
      </c>
      <c r="C499" s="157">
        <f ca="1">IFERROR(INDEX(BYEs!$B$2:$B$33,MATCH(D499,BYEs!$A$2:$A$33,0)),"N/A")</f>
        <v>7</v>
      </c>
      <c r="D499" s="214" t="str">
        <f t="shared" ca="1" si="49"/>
        <v>DAL</v>
      </c>
      <c r="E499" s="213" t="str">
        <f t="shared" ca="1" si="50"/>
        <v>WR8</v>
      </c>
      <c r="F499" s="158">
        <f ca="1">IF(LeagueInfo!$H$7="Starter/Bench",INDEX(INDIRECT(""&amp;B499&amp;"!T2:T628"),MATCH(A499,INDIRECT(""&amp;B499&amp;"!B2:B628"),0)),INDEX(INDIRECT(""&amp;B499&amp;"!AB2:AB628"),MATCH(A499,INDIRECT(""&amp;B499&amp;"!B2:B628"),0)))</f>
        <v>-15.098928765238497</v>
      </c>
      <c r="G499" s="159">
        <f t="shared" si="51"/>
        <v>0</v>
      </c>
      <c r="H499" s="160"/>
      <c r="I499" s="159">
        <f t="shared" ca="1" si="52"/>
        <v>-15.098928765238497</v>
      </c>
      <c r="J499" s="159" t="s">
        <v>73</v>
      </c>
      <c r="K499" s="159">
        <f>IF(LeagueInfo!$F$7="Yahoo",IFERROR(INDEX(DefaultAuctionValues!$B$2:$B$331,MATCH(A499,DefaultAuctionValues!$A$2:$A$331,0)),0),IF(LeagueInfo!$F$7="ESPN",IFERROR(INDEX(DefaultAuctionValues!$C$2:$C$331,MATCH(A499,DefaultAuctionValues!$A$2:$A$331,0)),0),IF(LeagueInfo!$F$7="Custom",IFERROR(INDEX(DefaultAuctionValues!$D$2:$D$331,MATCH(A499,DefaultAuctionValues!$A$2:$A$331,0)),0))))</f>
        <v>0</v>
      </c>
      <c r="L499" s="159">
        <f t="shared" ca="1" si="53"/>
        <v>-15.098928765238497</v>
      </c>
      <c r="M499" s="171"/>
      <c r="N499" s="166">
        <f t="shared" ca="1" si="54"/>
        <v>-45.760000000000005</v>
      </c>
      <c r="O499" s="157" t="str">
        <f t="shared" ca="1" si="55"/>
        <v/>
      </c>
    </row>
    <row r="500" spans="1:15" x14ac:dyDescent="0.35">
      <c r="A500" s="157" t="s">
        <v>523</v>
      </c>
      <c r="B500" s="157" t="s">
        <v>25</v>
      </c>
      <c r="C500" s="157">
        <f ca="1">IFERROR(INDEX(BYEs!$B$2:$B$33,MATCH(D500,BYEs!$A$2:$A$33,0)),"N/A")</f>
        <v>6</v>
      </c>
      <c r="D500" s="214" t="str">
        <f t="shared" ca="1" si="49"/>
        <v>MIA</v>
      </c>
      <c r="E500" s="213" t="str">
        <f t="shared" ca="1" si="50"/>
        <v>RB8</v>
      </c>
      <c r="F500" s="158">
        <f ca="1">IF(LeagueInfo!$H$7="Starter/Bench",INDEX(INDIRECT(""&amp;B500&amp;"!T2:T628"),MATCH(A500,INDIRECT(""&amp;B500&amp;"!B2:B628"),0)),INDEX(INDIRECT(""&amp;B500&amp;"!AB2:AB628"),MATCH(A500,INDIRECT(""&amp;B500&amp;"!B2:B628"),0)))</f>
        <v>-15.225963021676801</v>
      </c>
      <c r="G500" s="159">
        <f t="shared" si="51"/>
        <v>0</v>
      </c>
      <c r="H500" s="160"/>
      <c r="I500" s="159">
        <f t="shared" ca="1" si="52"/>
        <v>-15.225963021676801</v>
      </c>
      <c r="J500" s="159" t="s">
        <v>73</v>
      </c>
      <c r="K500" s="159">
        <f>IF(LeagueInfo!$F$7="Yahoo",IFERROR(INDEX(DefaultAuctionValues!$B$2:$B$331,MATCH(A500,DefaultAuctionValues!$A$2:$A$331,0)),0),IF(LeagueInfo!$F$7="ESPN",IFERROR(INDEX(DefaultAuctionValues!$C$2:$C$331,MATCH(A500,DefaultAuctionValues!$A$2:$A$331,0)),0),IF(LeagueInfo!$F$7="Custom",IFERROR(INDEX(DefaultAuctionValues!$D$2:$D$331,MATCH(A500,DefaultAuctionValues!$A$2:$A$331,0)),0))))</f>
        <v>0</v>
      </c>
      <c r="L500" s="159">
        <f t="shared" ca="1" si="53"/>
        <v>-15.225963021676801</v>
      </c>
      <c r="M500" s="171"/>
      <c r="N500" s="166">
        <f t="shared" ca="1" si="54"/>
        <v>-46.145000000000003</v>
      </c>
      <c r="O500" s="157" t="str">
        <f t="shared" ca="1" si="55"/>
        <v/>
      </c>
    </row>
    <row r="501" spans="1:15" x14ac:dyDescent="0.35">
      <c r="A501" s="157" t="s">
        <v>795</v>
      </c>
      <c r="B501" s="157" t="s">
        <v>32</v>
      </c>
      <c r="C501" s="157">
        <f ca="1">IFERROR(INDEX(BYEs!$B$2:$B$33,MATCH(D501,BYEs!$A$2:$A$33,0)),"N/A")</f>
        <v>6</v>
      </c>
      <c r="D501" s="214" t="str">
        <f t="shared" ca="1" si="49"/>
        <v>KC</v>
      </c>
      <c r="E501" s="213" t="str">
        <f t="shared" ca="1" si="50"/>
        <v>WR8</v>
      </c>
      <c r="F501" s="158">
        <f ca="1">IF(LeagueInfo!$H$7="Starter/Bench",INDEX(INDIRECT(""&amp;B501&amp;"!T2:T628"),MATCH(A501,INDIRECT(""&amp;B501&amp;"!B2:B628"),0)),INDEX(INDIRECT(""&amp;B501&amp;"!AB2:AB628"),MATCH(A501,INDIRECT(""&amp;B501&amp;"!B2:B628"),0)))</f>
        <v>-15.254009545825518</v>
      </c>
      <c r="G501" s="159">
        <f t="shared" si="51"/>
        <v>0</v>
      </c>
      <c r="H501" s="160"/>
      <c r="I501" s="159">
        <f t="shared" ca="1" si="52"/>
        <v>-15.254009545825518</v>
      </c>
      <c r="J501" s="159" t="s">
        <v>73</v>
      </c>
      <c r="K501" s="159">
        <f>IF(LeagueInfo!$F$7="Yahoo",IFERROR(INDEX(DefaultAuctionValues!$B$2:$B$331,MATCH(A501,DefaultAuctionValues!$A$2:$A$331,0)),0),IF(LeagueInfo!$F$7="ESPN",IFERROR(INDEX(DefaultAuctionValues!$C$2:$C$331,MATCH(A501,DefaultAuctionValues!$A$2:$A$331,0)),0),IF(LeagueInfo!$F$7="Custom",IFERROR(INDEX(DefaultAuctionValues!$D$2:$D$331,MATCH(A501,DefaultAuctionValues!$A$2:$A$331,0)),0))))</f>
        <v>0</v>
      </c>
      <c r="L501" s="159">
        <f t="shared" ca="1" si="53"/>
        <v>-15.254009545825518</v>
      </c>
      <c r="M501" s="171"/>
      <c r="N501" s="166">
        <f t="shared" ca="1" si="54"/>
        <v>-46.230000000000004</v>
      </c>
      <c r="O501" s="157" t="str">
        <f t="shared" ca="1" si="55"/>
        <v/>
      </c>
    </row>
    <row r="502" spans="1:15" x14ac:dyDescent="0.35">
      <c r="A502" s="157" t="s">
        <v>762</v>
      </c>
      <c r="B502" s="157" t="s">
        <v>25</v>
      </c>
      <c r="C502" s="157">
        <f ca="1">IFERROR(INDEX(BYEs!$B$2:$B$33,MATCH(D502,BYEs!$A$2:$A$33,0)),"N/A")</f>
        <v>12</v>
      </c>
      <c r="D502" s="214" t="str">
        <f t="shared" ca="1" si="49"/>
        <v>NYJ</v>
      </c>
      <c r="E502" s="213" t="str">
        <f t="shared" ca="1" si="50"/>
        <v>RB8</v>
      </c>
      <c r="F502" s="158">
        <f ca="1">IF(LeagueInfo!$H$7="Starter/Bench",INDEX(INDIRECT(""&amp;B502&amp;"!T2:T628"),MATCH(A502,INDIRECT(""&amp;B502&amp;"!B2:B628"),0)),INDEX(INDIRECT(""&amp;B502&amp;"!AB2:AB628"),MATCH(A502,INDIRECT(""&amp;B502&amp;"!B2:B628"),0)))</f>
        <v>-15.257309136901837</v>
      </c>
      <c r="G502" s="159">
        <f t="shared" si="51"/>
        <v>0</v>
      </c>
      <c r="H502" s="160"/>
      <c r="I502" s="159">
        <f t="shared" ca="1" si="52"/>
        <v>-15.257309136901837</v>
      </c>
      <c r="J502" s="159" t="s">
        <v>73</v>
      </c>
      <c r="K502" s="159">
        <f>IF(LeagueInfo!$F$7="Yahoo",IFERROR(INDEX(DefaultAuctionValues!$B$2:$B$331,MATCH(A502,DefaultAuctionValues!$A$2:$A$331,0)),0),IF(LeagueInfo!$F$7="ESPN",IFERROR(INDEX(DefaultAuctionValues!$C$2:$C$331,MATCH(A502,DefaultAuctionValues!$A$2:$A$331,0)),0),IF(LeagueInfo!$F$7="Custom",IFERROR(INDEX(DefaultAuctionValues!$D$2:$D$331,MATCH(A502,DefaultAuctionValues!$A$2:$A$331,0)),0))))</f>
        <v>0</v>
      </c>
      <c r="L502" s="159">
        <f t="shared" ca="1" si="53"/>
        <v>-15.257309136901837</v>
      </c>
      <c r="M502" s="171"/>
      <c r="N502" s="166">
        <f t="shared" ca="1" si="54"/>
        <v>-46.24</v>
      </c>
      <c r="O502" s="157" t="str">
        <f t="shared" ca="1" si="55"/>
        <v/>
      </c>
    </row>
    <row r="503" spans="1:15" x14ac:dyDescent="0.35">
      <c r="A503" s="157" t="s">
        <v>714</v>
      </c>
      <c r="B503" s="157" t="s">
        <v>25</v>
      </c>
      <c r="C503" s="157">
        <f ca="1">IFERROR(INDEX(BYEs!$B$2:$B$33,MATCH(D503,BYEs!$A$2:$A$33,0)),"N/A")</f>
        <v>11</v>
      </c>
      <c r="D503" s="214" t="str">
        <f t="shared" ca="1" si="49"/>
        <v>CAR</v>
      </c>
      <c r="E503" s="213" t="str">
        <f t="shared" ca="1" si="50"/>
        <v>RB8</v>
      </c>
      <c r="F503" s="158">
        <f ca="1">IF(LeagueInfo!$H$7="Starter/Bench",INDEX(INDIRECT(""&amp;B503&amp;"!T2:T628"),MATCH(A503,INDIRECT(""&amp;B503&amp;"!B2:B628"),0)),INDEX(INDIRECT(""&amp;B503&amp;"!AB2:AB628"),MATCH(A503,INDIRECT(""&amp;B503&amp;"!B2:B628"),0)))</f>
        <v>-15.311752389661111</v>
      </c>
      <c r="G503" s="159">
        <f t="shared" si="51"/>
        <v>0</v>
      </c>
      <c r="H503" s="160"/>
      <c r="I503" s="159">
        <f t="shared" ca="1" si="52"/>
        <v>-15.311752389661111</v>
      </c>
      <c r="J503" s="159" t="s">
        <v>73</v>
      </c>
      <c r="K503" s="159">
        <f>IF(LeagueInfo!$F$7="Yahoo",IFERROR(INDEX(DefaultAuctionValues!$B$2:$B$331,MATCH(A503,DefaultAuctionValues!$A$2:$A$331,0)),0),IF(LeagueInfo!$F$7="ESPN",IFERROR(INDEX(DefaultAuctionValues!$C$2:$C$331,MATCH(A503,DefaultAuctionValues!$A$2:$A$331,0)),0),IF(LeagueInfo!$F$7="Custom",IFERROR(INDEX(DefaultAuctionValues!$D$2:$D$331,MATCH(A503,DefaultAuctionValues!$A$2:$A$331,0)),0))))</f>
        <v>0</v>
      </c>
      <c r="L503" s="159">
        <f t="shared" ca="1" si="53"/>
        <v>-15.311752389661111</v>
      </c>
      <c r="M503" s="171"/>
      <c r="N503" s="166">
        <f t="shared" ca="1" si="54"/>
        <v>-46.405000000000001</v>
      </c>
      <c r="O503" s="157" t="str">
        <f t="shared" ca="1" si="55"/>
        <v/>
      </c>
    </row>
    <row r="504" spans="1:15" x14ac:dyDescent="0.35">
      <c r="A504" s="157" t="s">
        <v>884</v>
      </c>
      <c r="B504" s="157" t="s">
        <v>25</v>
      </c>
      <c r="C504" s="157">
        <f ca="1">IFERROR(INDEX(BYEs!$B$2:$B$33,MATCH(D504,BYEs!$A$2:$A$33,0)),"N/A")</f>
        <v>12</v>
      </c>
      <c r="D504" s="214" t="str">
        <f t="shared" ca="1" si="49"/>
        <v>ATL</v>
      </c>
      <c r="E504" s="213" t="str">
        <f t="shared" ca="1" si="50"/>
        <v>RB8</v>
      </c>
      <c r="F504" s="158">
        <f ca="1">IF(LeagueInfo!$H$7="Starter/Bench",INDEX(INDIRECT(""&amp;B504&amp;"!T2:T628"),MATCH(A504,INDIRECT(""&amp;B504&amp;"!B2:B628"),0)),INDEX(INDIRECT(""&amp;B504&amp;"!AB2:AB628"),MATCH(A504,INDIRECT(""&amp;B504&amp;"!B2:B628"),0)))</f>
        <v>-15.32825034504271</v>
      </c>
      <c r="G504" s="159">
        <f t="shared" si="51"/>
        <v>0</v>
      </c>
      <c r="H504" s="160"/>
      <c r="I504" s="159">
        <f t="shared" ca="1" si="52"/>
        <v>-15.32825034504271</v>
      </c>
      <c r="J504" s="159" t="s">
        <v>73</v>
      </c>
      <c r="K504" s="159">
        <f>IF(LeagueInfo!$F$7="Yahoo",IFERROR(INDEX(DefaultAuctionValues!$B$2:$B$331,MATCH(A504,DefaultAuctionValues!$A$2:$A$331,0)),0),IF(LeagueInfo!$F$7="ESPN",IFERROR(INDEX(DefaultAuctionValues!$C$2:$C$331,MATCH(A504,DefaultAuctionValues!$A$2:$A$331,0)),0),IF(LeagueInfo!$F$7="Custom",IFERROR(INDEX(DefaultAuctionValues!$D$2:$D$331,MATCH(A504,DefaultAuctionValues!$A$2:$A$331,0)),0))))</f>
        <v>0</v>
      </c>
      <c r="L504" s="159">
        <f t="shared" ca="1" si="53"/>
        <v>-15.32825034504271</v>
      </c>
      <c r="M504" s="171"/>
      <c r="N504" s="166">
        <f t="shared" ca="1" si="54"/>
        <v>-46.455000000000005</v>
      </c>
      <c r="O504" s="157" t="str">
        <f t="shared" ca="1" si="55"/>
        <v/>
      </c>
    </row>
    <row r="505" spans="1:15" x14ac:dyDescent="0.35">
      <c r="A505" s="157" t="s">
        <v>1079</v>
      </c>
      <c r="B505" s="157" t="s">
        <v>32</v>
      </c>
      <c r="C505" s="157">
        <f ca="1">IFERROR(INDEX(BYEs!$B$2:$B$33,MATCH(D505,BYEs!$A$2:$A$33,0)),"N/A")</f>
        <v>12</v>
      </c>
      <c r="D505" s="214" t="str">
        <f t="shared" ca="1" si="49"/>
        <v>ATL</v>
      </c>
      <c r="E505" s="213" t="str">
        <f t="shared" ca="1" si="50"/>
        <v>WR8</v>
      </c>
      <c r="F505" s="158">
        <f ca="1">IF(LeagueInfo!$H$7="Starter/Bench",INDEX(INDIRECT(""&amp;B505&amp;"!T2:T628"),MATCH(A505,INDIRECT(""&amp;B505&amp;"!B2:B628"),0)),INDEX(INDIRECT(""&amp;B505&amp;"!AB2:AB628"),MATCH(A505,INDIRECT(""&amp;B505&amp;"!B2:B628"),0)))</f>
        <v>-15.348047891500626</v>
      </c>
      <c r="G505" s="159">
        <f t="shared" si="51"/>
        <v>0</v>
      </c>
      <c r="H505" s="160"/>
      <c r="I505" s="159">
        <f t="shared" ca="1" si="52"/>
        <v>-15.348047891500626</v>
      </c>
      <c r="J505" s="159" t="s">
        <v>73</v>
      </c>
      <c r="K505" s="159">
        <f>IF(LeagueInfo!$F$7="Yahoo",IFERROR(INDEX(DefaultAuctionValues!$B$2:$B$331,MATCH(A505,DefaultAuctionValues!$A$2:$A$331,0)),0),IF(LeagueInfo!$F$7="ESPN",IFERROR(INDEX(DefaultAuctionValues!$C$2:$C$331,MATCH(A505,DefaultAuctionValues!$A$2:$A$331,0)),0),IF(LeagueInfo!$F$7="Custom",IFERROR(INDEX(DefaultAuctionValues!$D$2:$D$331,MATCH(A505,DefaultAuctionValues!$A$2:$A$331,0)),0))))</f>
        <v>0</v>
      </c>
      <c r="L505" s="159">
        <f t="shared" ca="1" si="53"/>
        <v>-15.348047891500626</v>
      </c>
      <c r="M505" s="171"/>
      <c r="N505" s="166">
        <f t="shared" ca="1" si="54"/>
        <v>-46.515000000000001</v>
      </c>
      <c r="O505" s="157" t="str">
        <f t="shared" ca="1" si="55"/>
        <v/>
      </c>
    </row>
    <row r="506" spans="1:15" x14ac:dyDescent="0.35">
      <c r="A506" s="157" t="s">
        <v>808</v>
      </c>
      <c r="B506" s="157" t="s">
        <v>32</v>
      </c>
      <c r="C506" s="157">
        <f ca="1">IFERROR(INDEX(BYEs!$B$2:$B$33,MATCH(D506,BYEs!$A$2:$A$33,0)),"N/A")</f>
        <v>5</v>
      </c>
      <c r="D506" s="214" t="str">
        <f t="shared" ca="1" si="49"/>
        <v>LAC</v>
      </c>
      <c r="E506" s="213" t="str">
        <f t="shared" ca="1" si="50"/>
        <v>WR8</v>
      </c>
      <c r="F506" s="158">
        <f ca="1">IF(LeagueInfo!$H$7="Starter/Bench",INDEX(INDIRECT(""&amp;B506&amp;"!T2:T628"),MATCH(A506,INDIRECT(""&amp;B506&amp;"!B2:B628"),0)),INDEX(INDIRECT(""&amp;B506&amp;"!AB2:AB628"),MATCH(A506,INDIRECT(""&amp;B506&amp;"!B2:B628"),0)))</f>
        <v>-15.389292779954621</v>
      </c>
      <c r="G506" s="159">
        <f t="shared" si="51"/>
        <v>0</v>
      </c>
      <c r="H506" s="160"/>
      <c r="I506" s="159">
        <f t="shared" ca="1" si="52"/>
        <v>-15.389292779954621</v>
      </c>
      <c r="J506" s="159" t="s">
        <v>73</v>
      </c>
      <c r="K506" s="159">
        <f>IF(LeagueInfo!$F$7="Yahoo",IFERROR(INDEX(DefaultAuctionValues!$B$2:$B$331,MATCH(A506,DefaultAuctionValues!$A$2:$A$331,0)),0),IF(LeagueInfo!$F$7="ESPN",IFERROR(INDEX(DefaultAuctionValues!$C$2:$C$331,MATCH(A506,DefaultAuctionValues!$A$2:$A$331,0)),0),IF(LeagueInfo!$F$7="Custom",IFERROR(INDEX(DefaultAuctionValues!$D$2:$D$331,MATCH(A506,DefaultAuctionValues!$A$2:$A$331,0)),0))))</f>
        <v>0</v>
      </c>
      <c r="L506" s="159">
        <f t="shared" ca="1" si="53"/>
        <v>-15.389292779954621</v>
      </c>
      <c r="M506" s="171"/>
      <c r="N506" s="166">
        <f t="shared" ca="1" si="54"/>
        <v>-46.64</v>
      </c>
      <c r="O506" s="157" t="str">
        <f t="shared" ca="1" si="55"/>
        <v/>
      </c>
    </row>
    <row r="507" spans="1:15" x14ac:dyDescent="0.35">
      <c r="A507" s="157" t="s">
        <v>593</v>
      </c>
      <c r="B507" s="157" t="s">
        <v>32</v>
      </c>
      <c r="C507" s="157">
        <f ca="1">IFERROR(INDEX(BYEs!$B$2:$B$33,MATCH(D507,BYEs!$A$2:$A$33,0)),"N/A")</f>
        <v>6</v>
      </c>
      <c r="D507" s="214" t="str">
        <f t="shared" ca="1" si="49"/>
        <v>KC</v>
      </c>
      <c r="E507" s="213" t="str">
        <f t="shared" ca="1" si="50"/>
        <v>WR8</v>
      </c>
      <c r="F507" s="158">
        <f ca="1">IF(LeagueInfo!$H$7="Starter/Bench",INDEX(INDIRECT(""&amp;B507&amp;"!T2:T628"),MATCH(A507,INDIRECT(""&amp;B507&amp;"!B2:B628"),0)),INDEX(INDIRECT(""&amp;B507&amp;"!AB2:AB628"),MATCH(A507,INDIRECT(""&amp;B507&amp;"!B2:B628"),0)))</f>
        <v>-15.428887872870456</v>
      </c>
      <c r="G507" s="159">
        <f t="shared" si="51"/>
        <v>0</v>
      </c>
      <c r="H507" s="160"/>
      <c r="I507" s="159">
        <f t="shared" ca="1" si="52"/>
        <v>-15.428887872870456</v>
      </c>
      <c r="J507" s="159" t="s">
        <v>73</v>
      </c>
      <c r="K507" s="159">
        <f>IF(LeagueInfo!$F$7="Yahoo",IFERROR(INDEX(DefaultAuctionValues!$B$2:$B$331,MATCH(A507,DefaultAuctionValues!$A$2:$A$331,0)),0),IF(LeagueInfo!$F$7="ESPN",IFERROR(INDEX(DefaultAuctionValues!$C$2:$C$331,MATCH(A507,DefaultAuctionValues!$A$2:$A$331,0)),0),IF(LeagueInfo!$F$7="Custom",IFERROR(INDEX(DefaultAuctionValues!$D$2:$D$331,MATCH(A507,DefaultAuctionValues!$A$2:$A$331,0)),0))))</f>
        <v>0</v>
      </c>
      <c r="L507" s="159">
        <f t="shared" ca="1" si="53"/>
        <v>-15.428887872870456</v>
      </c>
      <c r="M507" s="171"/>
      <c r="N507" s="166">
        <f t="shared" ca="1" si="54"/>
        <v>-46.760000000000005</v>
      </c>
      <c r="O507" s="157" t="str">
        <f t="shared" ca="1" si="55"/>
        <v/>
      </c>
    </row>
    <row r="508" spans="1:15" x14ac:dyDescent="0.35">
      <c r="A508" s="157" t="s">
        <v>409</v>
      </c>
      <c r="B508" s="157" t="s">
        <v>32</v>
      </c>
      <c r="C508" s="157">
        <f ca="1">IFERROR(INDEX(BYEs!$B$2:$B$33,MATCH(D508,BYEs!$A$2:$A$33,0)),"N/A")</f>
        <v>11</v>
      </c>
      <c r="D508" s="214" t="str">
        <f t="shared" ca="1" si="49"/>
        <v>CAR</v>
      </c>
      <c r="E508" s="213" t="str">
        <f t="shared" ca="1" si="50"/>
        <v>WR8</v>
      </c>
      <c r="F508" s="158">
        <f ca="1">IF(LeagueInfo!$H$7="Starter/Bench",INDEX(INDIRECT(""&amp;B508&amp;"!T2:T628"),MATCH(A508,INDIRECT(""&amp;B508&amp;"!B2:B628"),0)),INDEX(INDIRECT(""&amp;B508&amp;"!AB2:AB628"),MATCH(A508,INDIRECT(""&amp;B508&amp;"!B2:B628"),0)))</f>
        <v>-15.466833170248131</v>
      </c>
      <c r="G508" s="159">
        <f t="shared" si="51"/>
        <v>0</v>
      </c>
      <c r="H508" s="160"/>
      <c r="I508" s="159">
        <f t="shared" ca="1" si="52"/>
        <v>-15.466833170248131</v>
      </c>
      <c r="J508" s="159" t="s">
        <v>73</v>
      </c>
      <c r="K508" s="159">
        <f>IF(LeagueInfo!$F$7="Yahoo",IFERROR(INDEX(DefaultAuctionValues!$B$2:$B$331,MATCH(A508,DefaultAuctionValues!$A$2:$A$331,0)),0),IF(LeagueInfo!$F$7="ESPN",IFERROR(INDEX(DefaultAuctionValues!$C$2:$C$331,MATCH(A508,DefaultAuctionValues!$A$2:$A$331,0)),0),IF(LeagueInfo!$F$7="Custom",IFERROR(INDEX(DefaultAuctionValues!$D$2:$D$331,MATCH(A508,DefaultAuctionValues!$A$2:$A$331,0)),0))))</f>
        <v>0</v>
      </c>
      <c r="L508" s="159">
        <f t="shared" ca="1" si="53"/>
        <v>-15.466833170248131</v>
      </c>
      <c r="M508" s="171"/>
      <c r="N508" s="166">
        <f t="shared" ca="1" si="54"/>
        <v>-46.875</v>
      </c>
      <c r="O508" s="157" t="str">
        <f t="shared" ca="1" si="55"/>
        <v/>
      </c>
    </row>
    <row r="509" spans="1:15" x14ac:dyDescent="0.35">
      <c r="A509" s="157" t="s">
        <v>366</v>
      </c>
      <c r="B509" s="157" t="s">
        <v>32</v>
      </c>
      <c r="C509" s="157">
        <f ca="1">IFERROR(INDEX(BYEs!$B$2:$B$33,MATCH(D509,BYEs!$A$2:$A$33,0)),"N/A")</f>
        <v>12</v>
      </c>
      <c r="D509" s="214" t="str">
        <f t="shared" ca="1" si="49"/>
        <v>NO</v>
      </c>
      <c r="E509" s="213" t="str">
        <f t="shared" ca="1" si="50"/>
        <v>WR8</v>
      </c>
      <c r="F509" s="158">
        <f ca="1">IF(LeagueInfo!$H$7="Starter/Bench",INDEX(INDIRECT(""&amp;B509&amp;"!T2:T628"),MATCH(A509,INDIRECT(""&amp;B509&amp;"!B2:B628"),0)),INDEX(INDIRECT(""&amp;B509&amp;"!AB2:AB628"),MATCH(A509,INDIRECT(""&amp;B509&amp;"!B2:B628"),0)))</f>
        <v>-15.468482965786292</v>
      </c>
      <c r="G509" s="159">
        <f t="shared" si="51"/>
        <v>0</v>
      </c>
      <c r="H509" s="160"/>
      <c r="I509" s="159">
        <f t="shared" ca="1" si="52"/>
        <v>-15.468482965786292</v>
      </c>
      <c r="J509" s="159" t="s">
        <v>73</v>
      </c>
      <c r="K509" s="159">
        <f>IF(LeagueInfo!$F$7="Yahoo",IFERROR(INDEX(DefaultAuctionValues!$B$2:$B$331,MATCH(A509,DefaultAuctionValues!$A$2:$A$331,0)),0),IF(LeagueInfo!$F$7="ESPN",IFERROR(INDEX(DefaultAuctionValues!$C$2:$C$331,MATCH(A509,DefaultAuctionValues!$A$2:$A$331,0)),0),IF(LeagueInfo!$F$7="Custom",IFERROR(INDEX(DefaultAuctionValues!$D$2:$D$331,MATCH(A509,DefaultAuctionValues!$A$2:$A$331,0)),0))))</f>
        <v>0</v>
      </c>
      <c r="L509" s="159">
        <f t="shared" ca="1" si="53"/>
        <v>-15.468482965786292</v>
      </c>
      <c r="M509" s="171"/>
      <c r="N509" s="166">
        <f t="shared" ca="1" si="54"/>
        <v>-46.88</v>
      </c>
      <c r="O509" s="157" t="str">
        <f t="shared" ca="1" si="55"/>
        <v/>
      </c>
    </row>
    <row r="510" spans="1:15" x14ac:dyDescent="0.35">
      <c r="A510" s="157" t="s">
        <v>659</v>
      </c>
      <c r="B510" s="157" t="s">
        <v>25</v>
      </c>
      <c r="C510" s="157">
        <f ca="1">IFERROR(INDEX(BYEs!$B$2:$B$33,MATCH(D510,BYEs!$A$2:$A$33,0)),"N/A")</f>
        <v>7</v>
      </c>
      <c r="D510" s="214" t="str">
        <f t="shared" ca="1" si="49"/>
        <v>DAL</v>
      </c>
      <c r="E510" s="213" t="str">
        <f t="shared" ca="1" si="50"/>
        <v>RB8</v>
      </c>
      <c r="F510" s="158">
        <f ca="1">IF(LeagueInfo!$H$7="Starter/Bench",INDEX(INDIRECT(""&amp;B510&amp;"!T2:T628"),MATCH(A510,INDIRECT(""&amp;B510&amp;"!B2:B628"),0)),INDEX(INDIRECT(""&amp;B510&amp;"!AB2:AB628"),MATCH(A510,INDIRECT(""&amp;B510&amp;"!B2:B628"),0)))</f>
        <v>-15.5707702891522</v>
      </c>
      <c r="G510" s="159">
        <f t="shared" si="51"/>
        <v>0</v>
      </c>
      <c r="H510" s="160"/>
      <c r="I510" s="159">
        <f t="shared" ca="1" si="52"/>
        <v>-15.5707702891522</v>
      </c>
      <c r="J510" s="159" t="s">
        <v>73</v>
      </c>
      <c r="K510" s="159">
        <f>IF(LeagueInfo!$F$7="Yahoo",IFERROR(INDEX(DefaultAuctionValues!$B$2:$B$331,MATCH(A510,DefaultAuctionValues!$A$2:$A$331,0)),0),IF(LeagueInfo!$F$7="ESPN",IFERROR(INDEX(DefaultAuctionValues!$C$2:$C$331,MATCH(A510,DefaultAuctionValues!$A$2:$A$331,0)),0),IF(LeagueInfo!$F$7="Custom",IFERROR(INDEX(DefaultAuctionValues!$D$2:$D$331,MATCH(A510,DefaultAuctionValues!$A$2:$A$331,0)),0))))</f>
        <v>0</v>
      </c>
      <c r="L510" s="159">
        <f t="shared" ca="1" si="53"/>
        <v>-15.5707702891522</v>
      </c>
      <c r="M510" s="171"/>
      <c r="N510" s="166">
        <f t="shared" ca="1" si="54"/>
        <v>-47.190000000000005</v>
      </c>
      <c r="O510" s="157" t="str">
        <f t="shared" ca="1" si="55"/>
        <v/>
      </c>
    </row>
    <row r="511" spans="1:15" x14ac:dyDescent="0.35">
      <c r="A511" s="157" t="s">
        <v>497</v>
      </c>
      <c r="B511" s="157" t="s">
        <v>32</v>
      </c>
      <c r="C511" s="157">
        <f ca="1">IFERROR(INDEX(BYEs!$B$2:$B$33,MATCH(D511,BYEs!$A$2:$A$33,0)),"N/A")</f>
        <v>12</v>
      </c>
      <c r="D511" s="214" t="str">
        <f t="shared" ca="1" si="49"/>
        <v>JAC</v>
      </c>
      <c r="E511" s="213" t="str">
        <f t="shared" ca="1" si="50"/>
        <v>WR8</v>
      </c>
      <c r="F511" s="158">
        <f ca="1">IF(LeagueInfo!$H$7="Starter/Bench",INDEX(INDIRECT(""&amp;B511&amp;"!T2:T628"),MATCH(A511,INDIRECT(""&amp;B511&amp;"!B2:B628"),0)),INDEX(INDIRECT(""&amp;B511&amp;"!AB2:AB628"),MATCH(A511,INDIRECT(""&amp;B511&amp;"!B2:B628"),0)))</f>
        <v>-15.676357203594428</v>
      </c>
      <c r="G511" s="159">
        <f t="shared" si="51"/>
        <v>0</v>
      </c>
      <c r="H511" s="160"/>
      <c r="I511" s="159">
        <f t="shared" ca="1" si="52"/>
        <v>-15.676357203594428</v>
      </c>
      <c r="J511" s="159" t="s">
        <v>73</v>
      </c>
      <c r="K511" s="159">
        <f>IF(LeagueInfo!$F$7="Yahoo",IFERROR(INDEX(DefaultAuctionValues!$B$2:$B$331,MATCH(A511,DefaultAuctionValues!$A$2:$A$331,0)),0),IF(LeagueInfo!$F$7="ESPN",IFERROR(INDEX(DefaultAuctionValues!$C$2:$C$331,MATCH(A511,DefaultAuctionValues!$A$2:$A$331,0)),0),IF(LeagueInfo!$F$7="Custom",IFERROR(INDEX(DefaultAuctionValues!$D$2:$D$331,MATCH(A511,DefaultAuctionValues!$A$2:$A$331,0)),0))))</f>
        <v>0</v>
      </c>
      <c r="L511" s="159">
        <f t="shared" ca="1" si="53"/>
        <v>-15.676357203594428</v>
      </c>
      <c r="M511" s="171"/>
      <c r="N511" s="166">
        <f t="shared" ca="1" si="54"/>
        <v>-47.510000000000005</v>
      </c>
      <c r="O511" s="157" t="str">
        <f t="shared" ca="1" si="55"/>
        <v/>
      </c>
    </row>
    <row r="512" spans="1:15" x14ac:dyDescent="0.35">
      <c r="A512" s="157" t="s">
        <v>1202</v>
      </c>
      <c r="B512" s="157" t="s">
        <v>32</v>
      </c>
      <c r="C512" s="157">
        <f ca="1">IFERROR(INDEX(BYEs!$B$2:$B$33,MATCH(D512,BYEs!$A$2:$A$33,0)),"N/A")</f>
        <v>14</v>
      </c>
      <c r="D512" s="214" t="str">
        <f t="shared" ca="1" si="49"/>
        <v>NE</v>
      </c>
      <c r="E512" s="213" t="str">
        <f t="shared" ca="1" si="50"/>
        <v>WR8</v>
      </c>
      <c r="F512" s="158">
        <f ca="1">IF(LeagueInfo!$H$7="Starter/Bench",INDEX(INDIRECT(""&amp;B512&amp;"!T2:T628"),MATCH(A512,INDIRECT(""&amp;B512&amp;"!B2:B628"),0)),INDEX(INDIRECT(""&amp;B512&amp;"!AB2:AB628"),MATCH(A512,INDIRECT(""&amp;B512&amp;"!B2:B628"),0)))</f>
        <v>-15.811640437723529</v>
      </c>
      <c r="G512" s="159">
        <f t="shared" si="51"/>
        <v>0</v>
      </c>
      <c r="H512" s="160"/>
      <c r="I512" s="159">
        <f t="shared" ca="1" si="52"/>
        <v>-15.811640437723529</v>
      </c>
      <c r="J512" s="159" t="s">
        <v>73</v>
      </c>
      <c r="K512" s="159">
        <f>IF(LeagueInfo!$F$7="Yahoo",IFERROR(INDEX(DefaultAuctionValues!$B$2:$B$331,MATCH(A512,DefaultAuctionValues!$A$2:$A$331,0)),0),IF(LeagueInfo!$F$7="ESPN",IFERROR(INDEX(DefaultAuctionValues!$C$2:$C$331,MATCH(A512,DefaultAuctionValues!$A$2:$A$331,0)),0),IF(LeagueInfo!$F$7="Custom",IFERROR(INDEX(DefaultAuctionValues!$D$2:$D$331,MATCH(A512,DefaultAuctionValues!$A$2:$A$331,0)),0))))</f>
        <v>0</v>
      </c>
      <c r="L512" s="159">
        <f t="shared" ca="1" si="53"/>
        <v>-15.811640437723529</v>
      </c>
      <c r="M512" s="171"/>
      <c r="N512" s="166">
        <f t="shared" ca="1" si="54"/>
        <v>-47.92</v>
      </c>
      <c r="O512" s="157" t="str">
        <f t="shared" ca="1" si="55"/>
        <v/>
      </c>
    </row>
    <row r="513" spans="1:15" x14ac:dyDescent="0.35">
      <c r="A513" s="157" t="s">
        <v>235</v>
      </c>
      <c r="B513" s="157" t="s">
        <v>32</v>
      </c>
      <c r="C513" s="157">
        <f ca="1">IFERROR(INDEX(BYEs!$B$2:$B$33,MATCH(D513,BYEs!$A$2:$A$33,0)),"N/A")</f>
        <v>14</v>
      </c>
      <c r="D513" s="214" t="str">
        <f t="shared" ca="1" si="49"/>
        <v>HOU</v>
      </c>
      <c r="E513" s="213" t="str">
        <f t="shared" ca="1" si="50"/>
        <v>WR8</v>
      </c>
      <c r="F513" s="158">
        <f ca="1">IF(LeagueInfo!$H$7="Starter/Bench",INDEX(INDIRECT(""&amp;B513&amp;"!T2:T628"),MATCH(A513,INDIRECT(""&amp;B513&amp;"!B2:B628"),0)),INDEX(INDIRECT(""&amp;B513&amp;"!AB2:AB628"),MATCH(A513,INDIRECT(""&amp;B513&amp;"!B2:B628"),0)))</f>
        <v>-15.828138393105126</v>
      </c>
      <c r="G513" s="159">
        <f t="shared" si="51"/>
        <v>0</v>
      </c>
      <c r="H513" s="160"/>
      <c r="I513" s="159">
        <f t="shared" ca="1" si="52"/>
        <v>-15.828138393105126</v>
      </c>
      <c r="J513" s="159" t="s">
        <v>73</v>
      </c>
      <c r="K513" s="159">
        <f>IF(LeagueInfo!$F$7="Yahoo",IFERROR(INDEX(DefaultAuctionValues!$B$2:$B$331,MATCH(A513,DefaultAuctionValues!$A$2:$A$331,0)),0),IF(LeagueInfo!$F$7="ESPN",IFERROR(INDEX(DefaultAuctionValues!$C$2:$C$331,MATCH(A513,DefaultAuctionValues!$A$2:$A$331,0)),0),IF(LeagueInfo!$F$7="Custom",IFERROR(INDEX(DefaultAuctionValues!$D$2:$D$331,MATCH(A513,DefaultAuctionValues!$A$2:$A$331,0)),0))))</f>
        <v>0</v>
      </c>
      <c r="L513" s="159">
        <f t="shared" ca="1" si="53"/>
        <v>-15.828138393105126</v>
      </c>
      <c r="M513" s="171"/>
      <c r="N513" s="166">
        <f t="shared" ca="1" si="54"/>
        <v>-47.97</v>
      </c>
      <c r="O513" s="157" t="str">
        <f t="shared" ca="1" si="55"/>
        <v/>
      </c>
    </row>
    <row r="514" spans="1:15" x14ac:dyDescent="0.35">
      <c r="A514" s="157" t="s">
        <v>430</v>
      </c>
      <c r="B514" s="157" t="s">
        <v>25</v>
      </c>
      <c r="C514" s="157">
        <f ca="1">IFERROR(INDEX(BYEs!$B$2:$B$33,MATCH(D514,BYEs!$A$2:$A$33,0)),"N/A")</f>
        <v>12</v>
      </c>
      <c r="D514" s="214" t="str">
        <f t="shared" ca="1" si="49"/>
        <v>CIN</v>
      </c>
      <c r="E514" s="213" t="str">
        <f t="shared" ca="1" si="50"/>
        <v>RB8</v>
      </c>
      <c r="F514" s="158">
        <f ca="1">IF(LeagueInfo!$H$7="Starter/Bench",INDEX(INDIRECT(""&amp;B514&amp;"!T2:T628"),MATCH(A514,INDIRECT(""&amp;B514&amp;"!B2:B628"),0)),INDEX(INDIRECT(""&amp;B514&amp;"!AB2:AB628"),MATCH(A514,INDIRECT(""&amp;B514&amp;"!B2:B628"),0)))</f>
        <v>-15.851235530639366</v>
      </c>
      <c r="G514" s="159">
        <f t="shared" si="51"/>
        <v>0</v>
      </c>
      <c r="H514" s="160"/>
      <c r="I514" s="159">
        <f t="shared" ca="1" si="52"/>
        <v>-15.851235530639366</v>
      </c>
      <c r="J514" s="159" t="s">
        <v>73</v>
      </c>
      <c r="K514" s="159">
        <f>IF(LeagueInfo!$F$7="Yahoo",IFERROR(INDEX(DefaultAuctionValues!$B$2:$B$331,MATCH(A514,DefaultAuctionValues!$A$2:$A$331,0)),0),IF(LeagueInfo!$F$7="ESPN",IFERROR(INDEX(DefaultAuctionValues!$C$2:$C$331,MATCH(A514,DefaultAuctionValues!$A$2:$A$331,0)),0),IF(LeagueInfo!$F$7="Custom",IFERROR(INDEX(DefaultAuctionValues!$D$2:$D$331,MATCH(A514,DefaultAuctionValues!$A$2:$A$331,0)),0))))</f>
        <v>0</v>
      </c>
      <c r="L514" s="159">
        <f t="shared" ca="1" si="53"/>
        <v>-15.851235530639366</v>
      </c>
      <c r="M514" s="171"/>
      <c r="N514" s="166">
        <f t="shared" ca="1" si="54"/>
        <v>-48.040000000000006</v>
      </c>
      <c r="O514" s="157" t="str">
        <f t="shared" ca="1" si="55"/>
        <v/>
      </c>
    </row>
    <row r="515" spans="1:15" x14ac:dyDescent="0.35">
      <c r="A515" s="157" t="s">
        <v>429</v>
      </c>
      <c r="B515" s="157" t="s">
        <v>25</v>
      </c>
      <c r="C515" s="157">
        <f ca="1">IFERROR(INDEX(BYEs!$B$2:$B$33,MATCH(D515,BYEs!$A$2:$A$33,0)),"N/A")</f>
        <v>7</v>
      </c>
      <c r="D515" s="214" t="str">
        <f t="shared" ca="1" si="49"/>
        <v>CHI</v>
      </c>
      <c r="E515" s="213" t="str">
        <f t="shared" ca="1" si="50"/>
        <v>RB8</v>
      </c>
      <c r="F515" s="158">
        <f ca="1">IF(LeagueInfo!$H$7="Starter/Bench",INDEX(INDIRECT(""&amp;B515&amp;"!T2:T628"),MATCH(A515,INDIRECT(""&amp;B515&amp;"!B2:B628"),0)),INDEX(INDIRECT(""&amp;B515&amp;"!AB2:AB628"),MATCH(A515,INDIRECT(""&amp;B515&amp;"!B2:B628"),0)))</f>
        <v>-15.852885326177525</v>
      </c>
      <c r="G515" s="159">
        <f t="shared" si="51"/>
        <v>0</v>
      </c>
      <c r="H515" s="160"/>
      <c r="I515" s="159">
        <f t="shared" ca="1" si="52"/>
        <v>-15.852885326177525</v>
      </c>
      <c r="J515" s="159" t="s">
        <v>73</v>
      </c>
      <c r="K515" s="159">
        <f>IF(LeagueInfo!$F$7="Yahoo",IFERROR(INDEX(DefaultAuctionValues!$B$2:$B$331,MATCH(A515,DefaultAuctionValues!$A$2:$A$331,0)),0),IF(LeagueInfo!$F$7="ESPN",IFERROR(INDEX(DefaultAuctionValues!$C$2:$C$331,MATCH(A515,DefaultAuctionValues!$A$2:$A$331,0)),0),IF(LeagueInfo!$F$7="Custom",IFERROR(INDEX(DefaultAuctionValues!$D$2:$D$331,MATCH(A515,DefaultAuctionValues!$A$2:$A$331,0)),0))))</f>
        <v>0</v>
      </c>
      <c r="L515" s="159">
        <f t="shared" ca="1" si="53"/>
        <v>-15.852885326177525</v>
      </c>
      <c r="M515" s="171"/>
      <c r="N515" s="166">
        <f t="shared" ca="1" si="54"/>
        <v>-48.045000000000002</v>
      </c>
      <c r="O515" s="157" t="str">
        <f t="shared" ca="1" si="55"/>
        <v/>
      </c>
    </row>
    <row r="516" spans="1:15" x14ac:dyDescent="0.35">
      <c r="A516" s="157" t="s">
        <v>993</v>
      </c>
      <c r="B516" s="157" t="s">
        <v>25</v>
      </c>
      <c r="C516" s="157">
        <f ca="1">IFERROR(INDEX(BYEs!$B$2:$B$33,MATCH(D516,BYEs!$A$2:$A$33,0)),"N/A")</f>
        <v>6</v>
      </c>
      <c r="D516" s="214" t="str">
        <f t="shared" ca="1" si="49"/>
        <v>KC</v>
      </c>
      <c r="E516" s="213" t="str">
        <f t="shared" ca="1" si="50"/>
        <v>RB8</v>
      </c>
      <c r="F516" s="158">
        <f ca="1">IF(LeagueInfo!$H$7="Starter/Bench",INDEX(INDIRECT(""&amp;B516&amp;"!T2:T628"),MATCH(A516,INDIRECT(""&amp;B516&amp;"!B2:B628"),0)),INDEX(INDIRECT(""&amp;B516&amp;"!AB2:AB628"),MATCH(A516,INDIRECT(""&amp;B516&amp;"!B2:B628"),0)))</f>
        <v>-15.867733486020963</v>
      </c>
      <c r="G516" s="159">
        <f t="shared" si="51"/>
        <v>0</v>
      </c>
      <c r="H516" s="160"/>
      <c r="I516" s="159">
        <f t="shared" ca="1" si="52"/>
        <v>-15.867733486020963</v>
      </c>
      <c r="J516" s="159" t="s">
        <v>73</v>
      </c>
      <c r="K516" s="159">
        <f>IF(LeagueInfo!$F$7="Yahoo",IFERROR(INDEX(DefaultAuctionValues!$B$2:$B$331,MATCH(A516,DefaultAuctionValues!$A$2:$A$331,0)),0),IF(LeagueInfo!$F$7="ESPN",IFERROR(INDEX(DefaultAuctionValues!$C$2:$C$331,MATCH(A516,DefaultAuctionValues!$A$2:$A$331,0)),0),IF(LeagueInfo!$F$7="Custom",IFERROR(INDEX(DefaultAuctionValues!$D$2:$D$331,MATCH(A516,DefaultAuctionValues!$A$2:$A$331,0)),0))))</f>
        <v>0</v>
      </c>
      <c r="L516" s="159">
        <f t="shared" ca="1" si="53"/>
        <v>-15.867733486020963</v>
      </c>
      <c r="M516" s="171"/>
      <c r="N516" s="166">
        <f t="shared" ca="1" si="54"/>
        <v>-48.09</v>
      </c>
      <c r="O516" s="157" t="str">
        <f t="shared" ca="1" si="55"/>
        <v/>
      </c>
    </row>
    <row r="517" spans="1:15" x14ac:dyDescent="0.35">
      <c r="A517" s="157" t="s">
        <v>246</v>
      </c>
      <c r="B517" s="157" t="s">
        <v>32</v>
      </c>
      <c r="C517" s="157">
        <f ca="1">IFERROR(INDEX(BYEs!$B$2:$B$33,MATCH(D517,BYEs!$A$2:$A$33,0)),"N/A")</f>
        <v>11</v>
      </c>
      <c r="D517" s="214" t="str">
        <f t="shared" ca="1" si="49"/>
        <v>ARI</v>
      </c>
      <c r="E517" s="213" t="str">
        <f t="shared" ca="1" si="50"/>
        <v>WR8</v>
      </c>
      <c r="F517" s="158">
        <f ca="1">IF(LeagueInfo!$H$7="Starter/Bench",INDEX(INDIRECT(""&amp;B517&amp;"!T2:T628"),MATCH(A517,INDIRECT(""&amp;B517&amp;"!B2:B628"),0)),INDEX(INDIRECT(""&amp;B517&amp;"!AB2:AB628"),MATCH(A517,INDIRECT(""&amp;B517&amp;"!B2:B628"),0)))</f>
        <v>-15.889180828017039</v>
      </c>
      <c r="G517" s="159">
        <f t="shared" si="51"/>
        <v>0</v>
      </c>
      <c r="H517" s="160"/>
      <c r="I517" s="159">
        <f t="shared" ca="1" si="52"/>
        <v>-15.889180828017039</v>
      </c>
      <c r="J517" s="159" t="s">
        <v>73</v>
      </c>
      <c r="K517" s="159">
        <f>IF(LeagueInfo!$F$7="Yahoo",IFERROR(INDEX(DefaultAuctionValues!$B$2:$B$331,MATCH(A517,DefaultAuctionValues!$A$2:$A$331,0)),0),IF(LeagueInfo!$F$7="ESPN",IFERROR(INDEX(DefaultAuctionValues!$C$2:$C$331,MATCH(A517,DefaultAuctionValues!$A$2:$A$331,0)),0),IF(LeagueInfo!$F$7="Custom",IFERROR(INDEX(DefaultAuctionValues!$D$2:$D$331,MATCH(A517,DefaultAuctionValues!$A$2:$A$331,0)),0))))</f>
        <v>0</v>
      </c>
      <c r="L517" s="159">
        <f t="shared" ca="1" si="53"/>
        <v>-15.889180828017039</v>
      </c>
      <c r="M517" s="171"/>
      <c r="N517" s="166">
        <f t="shared" ca="1" si="54"/>
        <v>-48.155000000000001</v>
      </c>
      <c r="O517" s="157" t="str">
        <f t="shared" ca="1" si="55"/>
        <v/>
      </c>
    </row>
    <row r="518" spans="1:15" x14ac:dyDescent="0.35">
      <c r="A518" s="157" t="s">
        <v>996</v>
      </c>
      <c r="B518" s="157" t="s">
        <v>25</v>
      </c>
      <c r="C518" s="157">
        <f ca="1">IFERROR(INDEX(BYEs!$B$2:$B$33,MATCH(D518,BYEs!$A$2:$A$33,0)),"N/A")</f>
        <v>12</v>
      </c>
      <c r="D518" s="214" t="str">
        <f t="shared" ca="1" si="49"/>
        <v>BUF</v>
      </c>
      <c r="E518" s="213" t="str">
        <f t="shared" ca="1" si="50"/>
        <v>RB8</v>
      </c>
      <c r="F518" s="158">
        <f ca="1">IF(LeagueInfo!$H$7="Starter/Bench",INDEX(INDIRECT(""&amp;B518&amp;"!T2:T628"),MATCH(A518,INDIRECT(""&amp;B518&amp;"!B2:B628"),0)),INDEX(INDIRECT(""&amp;B518&amp;"!AB2:AB628"),MATCH(A518,INDIRECT(""&amp;B518&amp;"!B2:B628"),0)))</f>
        <v>-15.897429805707841</v>
      </c>
      <c r="G518" s="159">
        <f t="shared" si="51"/>
        <v>0</v>
      </c>
      <c r="H518" s="160"/>
      <c r="I518" s="159">
        <f t="shared" ca="1" si="52"/>
        <v>-15.897429805707841</v>
      </c>
      <c r="J518" s="159" t="s">
        <v>73</v>
      </c>
      <c r="K518" s="159">
        <f>IF(LeagueInfo!$F$7="Yahoo",IFERROR(INDEX(DefaultAuctionValues!$B$2:$B$331,MATCH(A518,DefaultAuctionValues!$A$2:$A$331,0)),0),IF(LeagueInfo!$F$7="ESPN",IFERROR(INDEX(DefaultAuctionValues!$C$2:$C$331,MATCH(A518,DefaultAuctionValues!$A$2:$A$331,0)),0),IF(LeagueInfo!$F$7="Custom",IFERROR(INDEX(DefaultAuctionValues!$D$2:$D$331,MATCH(A518,DefaultAuctionValues!$A$2:$A$331,0)),0))))</f>
        <v>0</v>
      </c>
      <c r="L518" s="159">
        <f t="shared" ca="1" si="53"/>
        <v>-15.897429805707841</v>
      </c>
      <c r="M518" s="171"/>
      <c r="N518" s="166">
        <f t="shared" ca="1" si="54"/>
        <v>-48.180000000000007</v>
      </c>
      <c r="O518" s="157" t="str">
        <f t="shared" ca="1" si="55"/>
        <v/>
      </c>
    </row>
    <row r="519" spans="1:15" x14ac:dyDescent="0.35">
      <c r="A519" s="157" t="s">
        <v>356</v>
      </c>
      <c r="B519" s="157" t="s">
        <v>25</v>
      </c>
      <c r="C519" s="157">
        <f ca="1">IFERROR(INDEX(BYEs!$B$2:$B$33,MATCH(D519,BYEs!$A$2:$A$33,0)),"N/A")</f>
        <v>10</v>
      </c>
      <c r="D519" s="214" t="str">
        <f t="shared" ca="1" si="49"/>
        <v>CLE</v>
      </c>
      <c r="E519" s="213" t="str">
        <f t="shared" ca="1" si="50"/>
        <v>RB8</v>
      </c>
      <c r="F519" s="158">
        <f ca="1">IF(LeagueInfo!$H$7="Starter/Bench",INDEX(INDIRECT(""&amp;B519&amp;"!T2:T628"),MATCH(A519,INDIRECT(""&amp;B519&amp;"!B2:B628"),0)),INDEX(INDIRECT(""&amp;B519&amp;"!AB2:AB628"),MATCH(A519,INDIRECT(""&amp;B519&amp;"!B2:B628"),0)))</f>
        <v>-15.918877147703919</v>
      </c>
      <c r="G519" s="159">
        <f t="shared" si="51"/>
        <v>0</v>
      </c>
      <c r="H519" s="160"/>
      <c r="I519" s="159">
        <f t="shared" ca="1" si="52"/>
        <v>-15.918877147703919</v>
      </c>
      <c r="J519" s="159" t="s">
        <v>73</v>
      </c>
      <c r="K519" s="159">
        <f>IF(LeagueInfo!$F$7="Yahoo",IFERROR(INDEX(DefaultAuctionValues!$B$2:$B$331,MATCH(A519,DefaultAuctionValues!$A$2:$A$331,0)),0),IF(LeagueInfo!$F$7="ESPN",IFERROR(INDEX(DefaultAuctionValues!$C$2:$C$331,MATCH(A519,DefaultAuctionValues!$A$2:$A$331,0)),0),IF(LeagueInfo!$F$7="Custom",IFERROR(INDEX(DefaultAuctionValues!$D$2:$D$331,MATCH(A519,DefaultAuctionValues!$A$2:$A$331,0)),0))))</f>
        <v>0</v>
      </c>
      <c r="L519" s="159">
        <f t="shared" ca="1" si="53"/>
        <v>-15.918877147703919</v>
      </c>
      <c r="M519" s="171"/>
      <c r="N519" s="166">
        <f t="shared" ca="1" si="54"/>
        <v>-48.245000000000005</v>
      </c>
      <c r="O519" s="157" t="str">
        <f t="shared" ca="1" si="55"/>
        <v/>
      </c>
    </row>
    <row r="520" spans="1:15" x14ac:dyDescent="0.35">
      <c r="A520" s="157" t="s">
        <v>1009</v>
      </c>
      <c r="B520" s="157" t="s">
        <v>32</v>
      </c>
      <c r="C520" s="157">
        <f ca="1">IFERROR(INDEX(BYEs!$B$2:$B$33,MATCH(D520,BYEs!$A$2:$A$33,0)),"N/A")</f>
        <v>5</v>
      </c>
      <c r="D520" s="214" t="str">
        <f t="shared" ca="1" si="49"/>
        <v>LAC</v>
      </c>
      <c r="E520" s="213" t="str">
        <f t="shared" ca="1" si="50"/>
        <v>WR8</v>
      </c>
      <c r="F520" s="158">
        <f ca="1">IF(LeagueInfo!$H$7="Starter/Bench",INDEX(INDIRECT(""&amp;B520&amp;"!T2:T628"),MATCH(A520,INDIRECT(""&amp;B520&amp;"!B2:B628"),0)),INDEX(INDIRECT(""&amp;B520&amp;"!AB2:AB628"),MATCH(A520,INDIRECT(""&amp;B520&amp;"!B2:B628"),0)))</f>
        <v>-15.932075512009195</v>
      </c>
      <c r="G520" s="159">
        <f t="shared" si="51"/>
        <v>0</v>
      </c>
      <c r="H520" s="160"/>
      <c r="I520" s="159">
        <f t="shared" ca="1" si="52"/>
        <v>-15.932075512009195</v>
      </c>
      <c r="J520" s="159" t="s">
        <v>73</v>
      </c>
      <c r="K520" s="159">
        <f>IF(LeagueInfo!$F$7="Yahoo",IFERROR(INDEX(DefaultAuctionValues!$B$2:$B$331,MATCH(A520,DefaultAuctionValues!$A$2:$A$331,0)),0),IF(LeagueInfo!$F$7="ESPN",IFERROR(INDEX(DefaultAuctionValues!$C$2:$C$331,MATCH(A520,DefaultAuctionValues!$A$2:$A$331,0)),0),IF(LeagueInfo!$F$7="Custom",IFERROR(INDEX(DefaultAuctionValues!$D$2:$D$331,MATCH(A520,DefaultAuctionValues!$A$2:$A$331,0)),0))))</f>
        <v>0</v>
      </c>
      <c r="L520" s="159">
        <f t="shared" ca="1" si="53"/>
        <v>-15.932075512009195</v>
      </c>
      <c r="M520" s="171"/>
      <c r="N520" s="166">
        <f t="shared" ca="1" si="54"/>
        <v>-48.285000000000004</v>
      </c>
      <c r="O520" s="157" t="str">
        <f t="shared" ca="1" si="55"/>
        <v/>
      </c>
    </row>
    <row r="521" spans="1:15" x14ac:dyDescent="0.35">
      <c r="A521" s="157" t="s">
        <v>788</v>
      </c>
      <c r="B521" s="157" t="s">
        <v>32</v>
      </c>
      <c r="C521" s="157">
        <f ca="1">IFERROR(INDEX(BYEs!$B$2:$B$33,MATCH(D521,BYEs!$A$2:$A$33,0)),"N/A")</f>
        <v>14</v>
      </c>
      <c r="D521" s="214" t="str">
        <f t="shared" ca="1" si="49"/>
        <v>NE</v>
      </c>
      <c r="E521" s="213" t="str">
        <f t="shared" ca="1" si="50"/>
        <v>WR8</v>
      </c>
      <c r="F521" s="158">
        <f ca="1">IF(LeagueInfo!$H$7="Starter/Bench",INDEX(INDIRECT(""&amp;B521&amp;"!T2:T628"),MATCH(A521,INDIRECT(""&amp;B521&amp;"!B2:B628"),0)),INDEX(INDIRECT(""&amp;B521&amp;"!AB2:AB628"),MATCH(A521,INDIRECT(""&amp;B521&amp;"!B2:B628"),0)))</f>
        <v>-15.932075512009195</v>
      </c>
      <c r="G521" s="159">
        <f t="shared" si="51"/>
        <v>0</v>
      </c>
      <c r="H521" s="160"/>
      <c r="I521" s="159">
        <f t="shared" ca="1" si="52"/>
        <v>-15.932075512009195</v>
      </c>
      <c r="J521" s="159" t="s">
        <v>73</v>
      </c>
      <c r="K521" s="159">
        <f>IF(LeagueInfo!$F$7="Yahoo",IFERROR(INDEX(DefaultAuctionValues!$B$2:$B$331,MATCH(A521,DefaultAuctionValues!$A$2:$A$331,0)),0),IF(LeagueInfo!$F$7="ESPN",IFERROR(INDEX(DefaultAuctionValues!$C$2:$C$331,MATCH(A521,DefaultAuctionValues!$A$2:$A$331,0)),0),IF(LeagueInfo!$F$7="Custom",IFERROR(INDEX(DefaultAuctionValues!$D$2:$D$331,MATCH(A521,DefaultAuctionValues!$A$2:$A$331,0)),0))))</f>
        <v>0</v>
      </c>
      <c r="L521" s="159">
        <f t="shared" ca="1" si="53"/>
        <v>-15.932075512009195</v>
      </c>
      <c r="M521" s="171"/>
      <c r="N521" s="166">
        <f t="shared" ca="1" si="54"/>
        <v>-48.285000000000004</v>
      </c>
      <c r="O521" s="157" t="str">
        <f t="shared" ca="1" si="55"/>
        <v/>
      </c>
    </row>
    <row r="522" spans="1:15" x14ac:dyDescent="0.35">
      <c r="A522" s="157" t="s">
        <v>411</v>
      </c>
      <c r="B522" s="157" t="s">
        <v>32</v>
      </c>
      <c r="C522" s="157">
        <f ca="1">IFERROR(INDEX(BYEs!$B$2:$B$33,MATCH(D522,BYEs!$A$2:$A$33,0)),"N/A")</f>
        <v>11</v>
      </c>
      <c r="D522" s="214" t="str">
        <f t="shared" ca="1" si="49"/>
        <v>ARI</v>
      </c>
      <c r="E522" s="213" t="str">
        <f t="shared" ca="1" si="50"/>
        <v>WR8</v>
      </c>
      <c r="F522" s="158">
        <f ca="1">IF(LeagueInfo!$H$7="Starter/Bench",INDEX(INDIRECT(""&amp;B522&amp;"!T2:T628"),MATCH(A522,INDIRECT(""&amp;B522&amp;"!B2:B628"),0)),INDEX(INDIRECT(""&amp;B522&amp;"!AB2:AB628"),MATCH(A522,INDIRECT(""&amp;B522&amp;"!B2:B628"),0)))</f>
        <v>-15.937024898623676</v>
      </c>
      <c r="G522" s="159">
        <f t="shared" si="51"/>
        <v>0</v>
      </c>
      <c r="H522" s="160"/>
      <c r="I522" s="159">
        <f t="shared" ca="1" si="52"/>
        <v>-15.937024898623676</v>
      </c>
      <c r="J522" s="159" t="s">
        <v>73</v>
      </c>
      <c r="K522" s="159">
        <f>IF(LeagueInfo!$F$7="Yahoo",IFERROR(INDEX(DefaultAuctionValues!$B$2:$B$331,MATCH(A522,DefaultAuctionValues!$A$2:$A$331,0)),0),IF(LeagueInfo!$F$7="ESPN",IFERROR(INDEX(DefaultAuctionValues!$C$2:$C$331,MATCH(A522,DefaultAuctionValues!$A$2:$A$331,0)),0),IF(LeagueInfo!$F$7="Custom",IFERROR(INDEX(DefaultAuctionValues!$D$2:$D$331,MATCH(A522,DefaultAuctionValues!$A$2:$A$331,0)),0))))</f>
        <v>0</v>
      </c>
      <c r="L522" s="159">
        <f t="shared" ca="1" si="53"/>
        <v>-15.937024898623676</v>
      </c>
      <c r="M522" s="171"/>
      <c r="N522" s="166">
        <f t="shared" ca="1" si="54"/>
        <v>-48.300000000000004</v>
      </c>
      <c r="O522" s="157" t="str">
        <f t="shared" ca="1" si="55"/>
        <v/>
      </c>
    </row>
    <row r="523" spans="1:15" x14ac:dyDescent="0.35">
      <c r="A523" s="157" t="s">
        <v>1088</v>
      </c>
      <c r="B523" s="157" t="s">
        <v>32</v>
      </c>
      <c r="C523" s="157">
        <f ca="1">IFERROR(INDEX(BYEs!$B$2:$B$33,MATCH(D523,BYEs!$A$2:$A$33,0)),"N/A")</f>
        <v>12</v>
      </c>
      <c r="D523" s="214" t="str">
        <f t="shared" ca="1" si="49"/>
        <v>NO</v>
      </c>
      <c r="E523" s="213" t="str">
        <f t="shared" ca="1" si="50"/>
        <v>WR8</v>
      </c>
      <c r="F523" s="158">
        <f ca="1">IF(LeagueInfo!$H$7="Starter/Bench",INDEX(INDIRECT(""&amp;B523&amp;"!T2:T628"),MATCH(A523,INDIRECT(""&amp;B523&amp;"!B2:B628"),0)),INDEX(INDIRECT(""&amp;B523&amp;"!AB2:AB628"),MATCH(A523,INDIRECT(""&amp;B523&amp;"!B2:B628"),0)))</f>
        <v>-15.953522854005273</v>
      </c>
      <c r="G523" s="159">
        <f t="shared" si="51"/>
        <v>0</v>
      </c>
      <c r="H523" s="160"/>
      <c r="I523" s="159">
        <f t="shared" ca="1" si="52"/>
        <v>-15.953522854005273</v>
      </c>
      <c r="J523" s="159" t="s">
        <v>73</v>
      </c>
      <c r="K523" s="159">
        <f>IF(LeagueInfo!$F$7="Yahoo",IFERROR(INDEX(DefaultAuctionValues!$B$2:$B$331,MATCH(A523,DefaultAuctionValues!$A$2:$A$331,0)),0),IF(LeagueInfo!$F$7="ESPN",IFERROR(INDEX(DefaultAuctionValues!$C$2:$C$331,MATCH(A523,DefaultAuctionValues!$A$2:$A$331,0)),0),IF(LeagueInfo!$F$7="Custom",IFERROR(INDEX(DefaultAuctionValues!$D$2:$D$331,MATCH(A523,DefaultAuctionValues!$A$2:$A$331,0)),0))))</f>
        <v>0</v>
      </c>
      <c r="L523" s="159">
        <f t="shared" ca="1" si="53"/>
        <v>-15.953522854005273</v>
      </c>
      <c r="M523" s="171"/>
      <c r="N523" s="166">
        <f t="shared" ca="1" si="54"/>
        <v>-48.35</v>
      </c>
      <c r="O523" s="157" t="str">
        <f t="shared" ca="1" si="55"/>
        <v/>
      </c>
    </row>
    <row r="524" spans="1:15" x14ac:dyDescent="0.35">
      <c r="A524" s="157" t="s">
        <v>522</v>
      </c>
      <c r="B524" s="157" t="s">
        <v>25</v>
      </c>
      <c r="C524" s="157">
        <f ca="1">IFERROR(INDEX(BYEs!$B$2:$B$33,MATCH(D524,BYEs!$A$2:$A$33,0)),"N/A")</f>
        <v>11</v>
      </c>
      <c r="D524" s="214" t="str">
        <f t="shared" ca="1" si="49"/>
        <v>ARI</v>
      </c>
      <c r="E524" s="213" t="str">
        <f t="shared" ca="1" si="50"/>
        <v>RB8</v>
      </c>
      <c r="F524" s="158">
        <f ca="1">IF(LeagueInfo!$H$7="Starter/Bench",INDEX(INDIRECT(""&amp;B524&amp;"!T2:T628"),MATCH(A524,INDIRECT(""&amp;B524&amp;"!B2:B628"),0)),INDEX(INDIRECT(""&amp;B524&amp;"!AB2:AB628"),MATCH(A524,INDIRECT(""&amp;B524&amp;"!B2:B628"),0)))</f>
        <v>-15.958472240619752</v>
      </c>
      <c r="G524" s="159">
        <f t="shared" si="51"/>
        <v>0</v>
      </c>
      <c r="H524" s="160"/>
      <c r="I524" s="159">
        <f t="shared" ca="1" si="52"/>
        <v>-15.958472240619752</v>
      </c>
      <c r="J524" s="159" t="s">
        <v>73</v>
      </c>
      <c r="K524" s="159">
        <f>IF(LeagueInfo!$F$7="Yahoo",IFERROR(INDEX(DefaultAuctionValues!$B$2:$B$331,MATCH(A524,DefaultAuctionValues!$A$2:$A$331,0)),0),IF(LeagueInfo!$F$7="ESPN",IFERROR(INDEX(DefaultAuctionValues!$C$2:$C$331,MATCH(A524,DefaultAuctionValues!$A$2:$A$331,0)),0),IF(LeagueInfo!$F$7="Custom",IFERROR(INDEX(DefaultAuctionValues!$D$2:$D$331,MATCH(A524,DefaultAuctionValues!$A$2:$A$331,0)),0))))</f>
        <v>0</v>
      </c>
      <c r="L524" s="159">
        <f t="shared" ca="1" si="53"/>
        <v>-15.958472240619752</v>
      </c>
      <c r="M524" s="171"/>
      <c r="N524" s="166">
        <f t="shared" ca="1" si="54"/>
        <v>-48.365000000000002</v>
      </c>
      <c r="O524" s="157" t="str">
        <f t="shared" ca="1" si="55"/>
        <v/>
      </c>
    </row>
    <row r="525" spans="1:15" x14ac:dyDescent="0.35">
      <c r="A525" s="157" t="s">
        <v>999</v>
      </c>
      <c r="B525" s="157" t="s">
        <v>25</v>
      </c>
      <c r="C525" s="157">
        <f ca="1">IFERROR(INDEX(BYEs!$B$2:$B$33,MATCH(D525,BYEs!$A$2:$A$33,0)),"N/A")</f>
        <v>9</v>
      </c>
      <c r="D525" s="214" t="str">
        <f t="shared" ref="D525:D588" ca="1" si="56">INDEX(INDIRECT(""&amp;B525&amp;"!F2:F628"),MATCH(A525,INDIRECT(""&amp;B525&amp;"!B2:B628"),0))</f>
        <v>SF</v>
      </c>
      <c r="E525" s="213" t="str">
        <f t="shared" ref="E525:E588" ca="1" si="57">INDEX(INDIRECT(""&amp;$B525&amp;"!AA2:AA628"),MATCH($A525,INDIRECT(""&amp;$B525&amp;"!B2:B628"),0))</f>
        <v>RB8</v>
      </c>
      <c r="F525" s="158">
        <f ca="1">IF(LeagueInfo!$H$7="Starter/Bench",INDEX(INDIRECT(""&amp;B525&amp;"!T2:T628"),MATCH(A525,INDIRECT(""&amp;B525&amp;"!B2:B628"),0)),INDEX(INDIRECT(""&amp;B525&amp;"!AB2:AB628"),MATCH(A525,INDIRECT(""&amp;B525&amp;"!B2:B628"),0)))</f>
        <v>-15.96672121831055</v>
      </c>
      <c r="G525" s="159">
        <f t="shared" ref="G525:G588" si="58">IF(H525&gt;0,F525-H525,0)</f>
        <v>0</v>
      </c>
      <c r="H525" s="160"/>
      <c r="I525" s="159">
        <f t="shared" ref="I525:I588" ca="1" si="59">F525*$A$2</f>
        <v>-15.96672121831055</v>
      </c>
      <c r="J525" s="159" t="s">
        <v>73</v>
      </c>
      <c r="K525" s="159">
        <f>IF(LeagueInfo!$F$7="Yahoo",IFERROR(INDEX(DefaultAuctionValues!$B$2:$B$331,MATCH(A525,DefaultAuctionValues!$A$2:$A$331,0)),0),IF(LeagueInfo!$F$7="ESPN",IFERROR(INDEX(DefaultAuctionValues!$C$2:$C$331,MATCH(A525,DefaultAuctionValues!$A$2:$A$331,0)),0),IF(LeagueInfo!$F$7="Custom",IFERROR(INDEX(DefaultAuctionValues!$D$2:$D$331,MATCH(A525,DefaultAuctionValues!$A$2:$A$331,0)),0))))</f>
        <v>0</v>
      </c>
      <c r="L525" s="159">
        <f t="shared" ref="L525:L588" ca="1" si="60">I525-K525</f>
        <v>-15.96672121831055</v>
      </c>
      <c r="M525" s="171"/>
      <c r="N525" s="166">
        <f t="shared" ref="N525:N588" ca="1" si="61">INDEX(INDIRECT(""&amp;$B525&amp;"!Z2:Z628"),MATCH($A525,INDIRECT(""&amp;$B525&amp;"!B2:B628"),0))</f>
        <v>-48.39</v>
      </c>
      <c r="O525" s="157" t="str">
        <f t="shared" ref="O525:O588" ca="1" si="62">IF(INDEX(INDIRECT(""&amp;$B525&amp;"!W2:W628"),MATCH($A525,INDIRECT(""&amp;$B525&amp;"!B2:B628"),0))=0,"",INDEX(INDIRECT(""&amp;$B525&amp;"!W2:W628"),MATCH($A525,INDIRECT(""&amp;$B525&amp;"!B2:B628"),0)))</f>
        <v/>
      </c>
    </row>
    <row r="526" spans="1:15" x14ac:dyDescent="0.35">
      <c r="A526" s="157" t="s">
        <v>883</v>
      </c>
      <c r="B526" s="157" t="s">
        <v>25</v>
      </c>
      <c r="C526" s="157">
        <f ca="1">IFERROR(INDEX(BYEs!$B$2:$B$33,MATCH(D526,BYEs!$A$2:$A$33,0)),"N/A")</f>
        <v>5</v>
      </c>
      <c r="D526" s="214" t="str">
        <f t="shared" ca="1" si="56"/>
        <v>DET</v>
      </c>
      <c r="E526" s="213" t="str">
        <f t="shared" ca="1" si="57"/>
        <v>RB8</v>
      </c>
      <c r="F526" s="158">
        <f ca="1">IF(LeagueInfo!$H$7="Starter/Bench",INDEX(INDIRECT(""&amp;B526&amp;"!T2:T628"),MATCH(A526,INDIRECT(""&amp;B526&amp;"!B2:B628"),0)),INDEX(INDIRECT(""&amp;B526&amp;"!AB2:AB628"),MATCH(A526,INDIRECT(""&amp;B526&amp;"!B2:B628"),0)))</f>
        <v>-15.971670604925031</v>
      </c>
      <c r="G526" s="159">
        <f t="shared" si="58"/>
        <v>0</v>
      </c>
      <c r="H526" s="160"/>
      <c r="I526" s="159">
        <f t="shared" ca="1" si="59"/>
        <v>-15.971670604925031</v>
      </c>
      <c r="J526" s="159" t="s">
        <v>73</v>
      </c>
      <c r="K526" s="159">
        <f>IF(LeagueInfo!$F$7="Yahoo",IFERROR(INDEX(DefaultAuctionValues!$B$2:$B$331,MATCH(A526,DefaultAuctionValues!$A$2:$A$331,0)),0),IF(LeagueInfo!$F$7="ESPN",IFERROR(INDEX(DefaultAuctionValues!$C$2:$C$331,MATCH(A526,DefaultAuctionValues!$A$2:$A$331,0)),0),IF(LeagueInfo!$F$7="Custom",IFERROR(INDEX(DefaultAuctionValues!$D$2:$D$331,MATCH(A526,DefaultAuctionValues!$A$2:$A$331,0)),0))))</f>
        <v>0</v>
      </c>
      <c r="L526" s="159">
        <f t="shared" ca="1" si="60"/>
        <v>-15.971670604925031</v>
      </c>
      <c r="M526" s="171"/>
      <c r="N526" s="166">
        <f t="shared" ca="1" si="61"/>
        <v>-48.405000000000001</v>
      </c>
      <c r="O526" s="157" t="str">
        <f t="shared" ca="1" si="62"/>
        <v/>
      </c>
    </row>
    <row r="527" spans="1:15" x14ac:dyDescent="0.35">
      <c r="A527" s="157" t="s">
        <v>998</v>
      </c>
      <c r="B527" s="157" t="s">
        <v>25</v>
      </c>
      <c r="C527" s="157">
        <f ca="1">IFERROR(INDEX(BYEs!$B$2:$B$33,MATCH(D527,BYEs!$A$2:$A$33,0)),"N/A")</f>
        <v>14</v>
      </c>
      <c r="D527" s="214" t="str">
        <f t="shared" ca="1" si="56"/>
        <v>BAL</v>
      </c>
      <c r="E527" s="213" t="str">
        <f t="shared" ca="1" si="57"/>
        <v>RB8</v>
      </c>
      <c r="F527" s="158">
        <f ca="1">IF(LeagueInfo!$H$7="Starter/Bench",INDEX(INDIRECT(""&amp;B527&amp;"!T2:T628"),MATCH(A527,INDIRECT(""&amp;B527&amp;"!B2:B628"),0)),INDEX(INDIRECT(""&amp;B527&amp;"!AB2:AB628"),MATCH(A527,INDIRECT(""&amp;B527&amp;"!B2:B628"),0)))</f>
        <v>-15.989818355844788</v>
      </c>
      <c r="G527" s="159">
        <f t="shared" si="58"/>
        <v>0</v>
      </c>
      <c r="H527" s="160"/>
      <c r="I527" s="159">
        <f t="shared" ca="1" si="59"/>
        <v>-15.989818355844788</v>
      </c>
      <c r="J527" s="159" t="s">
        <v>73</v>
      </c>
      <c r="K527" s="159">
        <f>IF(LeagueInfo!$F$7="Yahoo",IFERROR(INDEX(DefaultAuctionValues!$B$2:$B$331,MATCH(A527,DefaultAuctionValues!$A$2:$A$331,0)),0),IF(LeagueInfo!$F$7="ESPN",IFERROR(INDEX(DefaultAuctionValues!$C$2:$C$331,MATCH(A527,DefaultAuctionValues!$A$2:$A$331,0)),0),IF(LeagueInfo!$F$7="Custom",IFERROR(INDEX(DefaultAuctionValues!$D$2:$D$331,MATCH(A527,DefaultAuctionValues!$A$2:$A$331,0)),0))))</f>
        <v>0</v>
      </c>
      <c r="L527" s="159">
        <f t="shared" ca="1" si="60"/>
        <v>-15.989818355844788</v>
      </c>
      <c r="M527" s="171"/>
      <c r="N527" s="166">
        <f t="shared" ca="1" si="61"/>
        <v>-48.46</v>
      </c>
      <c r="O527" s="157" t="str">
        <f t="shared" ca="1" si="62"/>
        <v/>
      </c>
    </row>
    <row r="528" spans="1:15" x14ac:dyDescent="0.35">
      <c r="A528" s="157" t="s">
        <v>631</v>
      </c>
      <c r="B528" s="157" t="s">
        <v>25</v>
      </c>
      <c r="C528" s="157">
        <f ca="1">IFERROR(INDEX(BYEs!$B$2:$B$33,MATCH(D528,BYEs!$A$2:$A$33,0)),"N/A")</f>
        <v>12</v>
      </c>
      <c r="D528" s="214" t="str">
        <f t="shared" ca="1" si="56"/>
        <v>NO</v>
      </c>
      <c r="E528" s="213" t="str">
        <f t="shared" ca="1" si="57"/>
        <v>RB8</v>
      </c>
      <c r="F528" s="158">
        <f ca="1">IF(LeagueInfo!$H$7="Starter/Bench",INDEX(INDIRECT(""&amp;B528&amp;"!T2:T628"),MATCH(A528,INDIRECT(""&amp;B528&amp;"!B2:B628"),0)),INDEX(INDIRECT(""&amp;B528&amp;"!AB2:AB628"),MATCH(A528,INDIRECT(""&amp;B528&amp;"!B2:B628"),0)))</f>
        <v>-16.022814266607984</v>
      </c>
      <c r="G528" s="159">
        <f t="shared" si="58"/>
        <v>0</v>
      </c>
      <c r="H528" s="160"/>
      <c r="I528" s="159">
        <f t="shared" ca="1" si="59"/>
        <v>-16.022814266607984</v>
      </c>
      <c r="J528" s="159" t="s">
        <v>73</v>
      </c>
      <c r="K528" s="159">
        <f>IF(LeagueInfo!$F$7="Yahoo",IFERROR(INDEX(DefaultAuctionValues!$B$2:$B$331,MATCH(A528,DefaultAuctionValues!$A$2:$A$331,0)),0),IF(LeagueInfo!$F$7="ESPN",IFERROR(INDEX(DefaultAuctionValues!$C$2:$C$331,MATCH(A528,DefaultAuctionValues!$A$2:$A$331,0)),0),IF(LeagueInfo!$F$7="Custom",IFERROR(INDEX(DefaultAuctionValues!$D$2:$D$331,MATCH(A528,DefaultAuctionValues!$A$2:$A$331,0)),0))))</f>
        <v>0</v>
      </c>
      <c r="L528" s="159">
        <f t="shared" ca="1" si="60"/>
        <v>-16.022814266607984</v>
      </c>
      <c r="M528" s="171"/>
      <c r="N528" s="166">
        <f t="shared" ca="1" si="61"/>
        <v>-48.56</v>
      </c>
      <c r="O528" s="157" t="str">
        <f t="shared" ca="1" si="62"/>
        <v/>
      </c>
    </row>
    <row r="529" spans="1:15" x14ac:dyDescent="0.35">
      <c r="A529" s="157" t="s">
        <v>234</v>
      </c>
      <c r="B529" s="157" t="s">
        <v>25</v>
      </c>
      <c r="C529" s="157">
        <f ca="1">IFERROR(INDEX(BYEs!$B$2:$B$33,MATCH(D529,BYEs!$A$2:$A$33,0)),"N/A")</f>
        <v>14</v>
      </c>
      <c r="D529" s="214" t="str">
        <f t="shared" ca="1" si="56"/>
        <v>DEN</v>
      </c>
      <c r="E529" s="213" t="str">
        <f t="shared" ca="1" si="57"/>
        <v>RB8</v>
      </c>
      <c r="F529" s="158">
        <f ca="1">IF(LeagueInfo!$H$7="Starter/Bench",INDEX(INDIRECT(""&amp;B529&amp;"!T2:T628"),MATCH(A529,INDIRECT(""&amp;B529&amp;"!B2:B628"),0)),INDEX(INDIRECT(""&amp;B529&amp;"!AB2:AB628"),MATCH(A529,INDIRECT(""&amp;B529&amp;"!B2:B628"),0)))</f>
        <v>-16.042611813065903</v>
      </c>
      <c r="G529" s="159">
        <f t="shared" si="58"/>
        <v>0</v>
      </c>
      <c r="H529" s="160"/>
      <c r="I529" s="159">
        <f t="shared" ca="1" si="59"/>
        <v>-16.042611813065903</v>
      </c>
      <c r="J529" s="159" t="s">
        <v>73</v>
      </c>
      <c r="K529" s="159">
        <f>IF(LeagueInfo!$F$7="Yahoo",IFERROR(INDEX(DefaultAuctionValues!$B$2:$B$331,MATCH(A529,DefaultAuctionValues!$A$2:$A$331,0)),0),IF(LeagueInfo!$F$7="ESPN",IFERROR(INDEX(DefaultAuctionValues!$C$2:$C$331,MATCH(A529,DefaultAuctionValues!$A$2:$A$331,0)),0),IF(LeagueInfo!$F$7="Custom",IFERROR(INDEX(DefaultAuctionValues!$D$2:$D$331,MATCH(A529,DefaultAuctionValues!$A$2:$A$331,0)),0))))</f>
        <v>0</v>
      </c>
      <c r="L529" s="159">
        <f t="shared" ca="1" si="60"/>
        <v>-16.042611813065903</v>
      </c>
      <c r="M529" s="171"/>
      <c r="N529" s="166">
        <f t="shared" ca="1" si="61"/>
        <v>-48.620000000000005</v>
      </c>
      <c r="O529" s="157" t="str">
        <f t="shared" ca="1" si="62"/>
        <v/>
      </c>
    </row>
    <row r="530" spans="1:15" x14ac:dyDescent="0.35">
      <c r="A530" s="157" t="s">
        <v>791</v>
      </c>
      <c r="B530" s="157" t="s">
        <v>32</v>
      </c>
      <c r="C530" s="157">
        <f ca="1">IFERROR(INDEX(BYEs!$B$2:$B$33,MATCH(D530,BYEs!$A$2:$A$33,0)),"N/A")</f>
        <v>14</v>
      </c>
      <c r="D530" s="214" t="str">
        <f t="shared" ca="1" si="56"/>
        <v>HOU</v>
      </c>
      <c r="E530" s="213" t="str">
        <f t="shared" ca="1" si="57"/>
        <v>WR8</v>
      </c>
      <c r="F530" s="158">
        <f ca="1">IF(LeagueInfo!$H$7="Starter/Bench",INDEX(INDIRECT(""&amp;B530&amp;"!T2:T628"),MATCH(A530,INDIRECT(""&amp;B530&amp;"!B2:B628"),0)),INDEX(INDIRECT(""&amp;B530&amp;"!AB2:AB628"),MATCH(A530,INDIRECT(""&amp;B530&amp;"!B2:B628"),0)))</f>
        <v>-16.102004452439655</v>
      </c>
      <c r="G530" s="159">
        <f t="shared" si="58"/>
        <v>0</v>
      </c>
      <c r="H530" s="160"/>
      <c r="I530" s="159">
        <f t="shared" ca="1" si="59"/>
        <v>-16.102004452439655</v>
      </c>
      <c r="J530" s="159" t="s">
        <v>73</v>
      </c>
      <c r="K530" s="159">
        <f>IF(LeagueInfo!$F$7="Yahoo",IFERROR(INDEX(DefaultAuctionValues!$B$2:$B$331,MATCH(A530,DefaultAuctionValues!$A$2:$A$331,0)),0),IF(LeagueInfo!$F$7="ESPN",IFERROR(INDEX(DefaultAuctionValues!$C$2:$C$331,MATCH(A530,DefaultAuctionValues!$A$2:$A$331,0)),0),IF(LeagueInfo!$F$7="Custom",IFERROR(INDEX(DefaultAuctionValues!$D$2:$D$331,MATCH(A530,DefaultAuctionValues!$A$2:$A$331,0)),0))))</f>
        <v>0</v>
      </c>
      <c r="L530" s="159">
        <f t="shared" ca="1" si="60"/>
        <v>-16.102004452439655</v>
      </c>
      <c r="M530" s="171"/>
      <c r="N530" s="166">
        <f t="shared" ca="1" si="61"/>
        <v>-48.800000000000004</v>
      </c>
      <c r="O530" s="157" t="str">
        <f t="shared" ca="1" si="62"/>
        <v/>
      </c>
    </row>
    <row r="531" spans="1:15" x14ac:dyDescent="0.35">
      <c r="A531" s="157" t="s">
        <v>935</v>
      </c>
      <c r="B531" s="157" t="s">
        <v>32</v>
      </c>
      <c r="C531" s="157">
        <f ca="1">IFERROR(INDEX(BYEs!$B$2:$B$33,MATCH(D531,BYEs!$A$2:$A$33,0)),"N/A")</f>
        <v>14</v>
      </c>
      <c r="D531" s="214" t="str">
        <f t="shared" ca="1" si="56"/>
        <v>IND</v>
      </c>
      <c r="E531" s="213" t="str">
        <f t="shared" ca="1" si="57"/>
        <v>WR8</v>
      </c>
      <c r="F531" s="158">
        <f ca="1">IF(LeagueInfo!$H$7="Starter/Bench",INDEX(INDIRECT(""&amp;B531&amp;"!T2:T628"),MATCH(A531,INDIRECT(""&amp;B531&amp;"!B2:B628"),0)),INDEX(INDIRECT(""&amp;B531&amp;"!AB2:AB628"),MATCH(A531,INDIRECT(""&amp;B531&amp;"!B2:B628"),0)))</f>
        <v>-16.116852612283093</v>
      </c>
      <c r="G531" s="159">
        <f t="shared" si="58"/>
        <v>0</v>
      </c>
      <c r="H531" s="160"/>
      <c r="I531" s="159">
        <f t="shared" ca="1" si="59"/>
        <v>-16.116852612283093</v>
      </c>
      <c r="J531" s="159" t="s">
        <v>73</v>
      </c>
      <c r="K531" s="159">
        <f>IF(LeagueInfo!$F$7="Yahoo",IFERROR(INDEX(DefaultAuctionValues!$B$2:$B$331,MATCH(A531,DefaultAuctionValues!$A$2:$A$331,0)),0),IF(LeagueInfo!$F$7="ESPN",IFERROR(INDEX(DefaultAuctionValues!$C$2:$C$331,MATCH(A531,DefaultAuctionValues!$A$2:$A$331,0)),0),IF(LeagueInfo!$F$7="Custom",IFERROR(INDEX(DefaultAuctionValues!$D$2:$D$331,MATCH(A531,DefaultAuctionValues!$A$2:$A$331,0)),0))))</f>
        <v>0</v>
      </c>
      <c r="L531" s="159">
        <f t="shared" ca="1" si="60"/>
        <v>-16.116852612283093</v>
      </c>
      <c r="M531" s="171"/>
      <c r="N531" s="166">
        <f t="shared" ca="1" si="61"/>
        <v>-48.844999999999999</v>
      </c>
      <c r="O531" s="157" t="str">
        <f t="shared" ca="1" si="62"/>
        <v/>
      </c>
    </row>
    <row r="532" spans="1:15" x14ac:dyDescent="0.35">
      <c r="A532" s="157" t="s">
        <v>1203</v>
      </c>
      <c r="B532" s="157" t="s">
        <v>32</v>
      </c>
      <c r="C532" s="157">
        <f ca="1">IFERROR(INDEX(BYEs!$B$2:$B$33,MATCH(D532,BYEs!$A$2:$A$33,0)),"N/A")</f>
        <v>6</v>
      </c>
      <c r="D532" s="214" t="str">
        <f t="shared" ca="1" si="56"/>
        <v>MIA</v>
      </c>
      <c r="E532" s="213" t="str">
        <f t="shared" ca="1" si="57"/>
        <v>WR8</v>
      </c>
      <c r="F532" s="158">
        <f ca="1">IF(LeagueInfo!$H$7="Starter/Bench",INDEX(INDIRECT(""&amp;B532&amp;"!T2:T628"),MATCH(A532,INDIRECT(""&amp;B532&amp;"!B2:B628"),0)),INDEX(INDIRECT(""&amp;B532&amp;"!AB2:AB628"),MATCH(A532,INDIRECT(""&amp;B532&amp;"!B2:B628"),0)))</f>
        <v>-16.128401181050211</v>
      </c>
      <c r="G532" s="159">
        <f t="shared" si="58"/>
        <v>0</v>
      </c>
      <c r="H532" s="160"/>
      <c r="I532" s="159">
        <f t="shared" ca="1" si="59"/>
        <v>-16.128401181050211</v>
      </c>
      <c r="J532" s="159" t="s">
        <v>73</v>
      </c>
      <c r="K532" s="159">
        <f>IF(LeagueInfo!$F$7="Yahoo",IFERROR(INDEX(DefaultAuctionValues!$B$2:$B$331,MATCH(A532,DefaultAuctionValues!$A$2:$A$331,0)),0),IF(LeagueInfo!$F$7="ESPN",IFERROR(INDEX(DefaultAuctionValues!$C$2:$C$331,MATCH(A532,DefaultAuctionValues!$A$2:$A$331,0)),0),IF(LeagueInfo!$F$7="Custom",IFERROR(INDEX(DefaultAuctionValues!$D$2:$D$331,MATCH(A532,DefaultAuctionValues!$A$2:$A$331,0)),0))))</f>
        <v>0</v>
      </c>
      <c r="L532" s="159">
        <f t="shared" ca="1" si="60"/>
        <v>-16.128401181050211</v>
      </c>
      <c r="M532" s="171"/>
      <c r="N532" s="166">
        <f t="shared" ca="1" si="61"/>
        <v>-48.88</v>
      </c>
      <c r="O532" s="157" t="str">
        <f t="shared" ca="1" si="62"/>
        <v/>
      </c>
    </row>
    <row r="533" spans="1:15" x14ac:dyDescent="0.35">
      <c r="A533" s="157" t="s">
        <v>609</v>
      </c>
      <c r="B533" s="157" t="s">
        <v>32</v>
      </c>
      <c r="C533" s="157">
        <f ca="1">IFERROR(INDEX(BYEs!$B$2:$B$33,MATCH(D533,BYEs!$A$2:$A$33,0)),"N/A")</f>
        <v>14</v>
      </c>
      <c r="D533" s="214" t="str">
        <f t="shared" ca="1" si="56"/>
        <v>BAL</v>
      </c>
      <c r="E533" s="213" t="str">
        <f t="shared" ca="1" si="57"/>
        <v>WR8</v>
      </c>
      <c r="F533" s="158">
        <f ca="1">IF(LeagueInfo!$H$7="Starter/Bench",INDEX(INDIRECT(""&amp;B533&amp;"!T2:T628"),MATCH(A533,INDIRECT(""&amp;B533&amp;"!B2:B628"),0)),INDEX(INDIRECT(""&amp;B533&amp;"!AB2:AB628"),MATCH(A533,INDIRECT(""&amp;B533&amp;"!B2:B628"),0)))</f>
        <v>-16.133350567664692</v>
      </c>
      <c r="G533" s="159">
        <f t="shared" si="58"/>
        <v>0</v>
      </c>
      <c r="H533" s="160"/>
      <c r="I533" s="159">
        <f t="shared" ca="1" si="59"/>
        <v>-16.133350567664692</v>
      </c>
      <c r="J533" s="159" t="s">
        <v>73</v>
      </c>
      <c r="K533" s="159">
        <f>IF(LeagueInfo!$F$7="Yahoo",IFERROR(INDEX(DefaultAuctionValues!$B$2:$B$331,MATCH(A533,DefaultAuctionValues!$A$2:$A$331,0)),0),IF(LeagueInfo!$F$7="ESPN",IFERROR(INDEX(DefaultAuctionValues!$C$2:$C$331,MATCH(A533,DefaultAuctionValues!$A$2:$A$331,0)),0),IF(LeagueInfo!$F$7="Custom",IFERROR(INDEX(DefaultAuctionValues!$D$2:$D$331,MATCH(A533,DefaultAuctionValues!$A$2:$A$331,0)),0))))</f>
        <v>0</v>
      </c>
      <c r="L533" s="159">
        <f t="shared" ca="1" si="60"/>
        <v>-16.133350567664692</v>
      </c>
      <c r="M533" s="171"/>
      <c r="N533" s="166">
        <f t="shared" ca="1" si="61"/>
        <v>-48.895000000000003</v>
      </c>
      <c r="O533" s="157" t="str">
        <f t="shared" ca="1" si="62"/>
        <v/>
      </c>
    </row>
    <row r="534" spans="1:15" x14ac:dyDescent="0.35">
      <c r="A534" s="157" t="s">
        <v>786</v>
      </c>
      <c r="B534" s="157" t="s">
        <v>32</v>
      </c>
      <c r="C534" s="157">
        <f ca="1">IFERROR(INDEX(BYEs!$B$2:$B$33,MATCH(D534,BYEs!$A$2:$A$33,0)),"N/A")</f>
        <v>6</v>
      </c>
      <c r="D534" s="214" t="str">
        <f t="shared" ca="1" si="56"/>
        <v>KC</v>
      </c>
      <c r="E534" s="213" t="str">
        <f t="shared" ca="1" si="57"/>
        <v>WR8</v>
      </c>
      <c r="F534" s="158">
        <f ca="1">IF(LeagueInfo!$H$7="Starter/Bench",INDEX(INDIRECT(""&amp;B534&amp;"!T2:T628"),MATCH(A534,INDIRECT(""&amp;B534&amp;"!B2:B628"),0)),INDEX(INDIRECT(""&amp;B534&amp;"!AB2:AB628"),MATCH(A534,INDIRECT(""&amp;B534&amp;"!B2:B628"),0)))</f>
        <v>-16.146548931969971</v>
      </c>
      <c r="G534" s="159">
        <f t="shared" si="58"/>
        <v>0</v>
      </c>
      <c r="H534" s="160"/>
      <c r="I534" s="159">
        <f t="shared" ca="1" si="59"/>
        <v>-16.146548931969971</v>
      </c>
      <c r="J534" s="159" t="s">
        <v>73</v>
      </c>
      <c r="K534" s="159">
        <f>IF(LeagueInfo!$F$7="Yahoo",IFERROR(INDEX(DefaultAuctionValues!$B$2:$B$331,MATCH(A534,DefaultAuctionValues!$A$2:$A$331,0)),0),IF(LeagueInfo!$F$7="ESPN",IFERROR(INDEX(DefaultAuctionValues!$C$2:$C$331,MATCH(A534,DefaultAuctionValues!$A$2:$A$331,0)),0),IF(LeagueInfo!$F$7="Custom",IFERROR(INDEX(DefaultAuctionValues!$D$2:$D$331,MATCH(A534,DefaultAuctionValues!$A$2:$A$331,0)),0))))</f>
        <v>0</v>
      </c>
      <c r="L534" s="159">
        <f t="shared" ca="1" si="60"/>
        <v>-16.146548931969971</v>
      </c>
      <c r="M534" s="171"/>
      <c r="N534" s="166">
        <f t="shared" ca="1" si="61"/>
        <v>-48.935000000000002</v>
      </c>
      <c r="O534" s="157" t="str">
        <f t="shared" ca="1" si="62"/>
        <v/>
      </c>
    </row>
    <row r="535" spans="1:15" x14ac:dyDescent="0.35">
      <c r="A535" s="157" t="s">
        <v>718</v>
      </c>
      <c r="B535" s="157" t="s">
        <v>32</v>
      </c>
      <c r="C535" s="157">
        <f ca="1">IFERROR(INDEX(BYEs!$B$2:$B$33,MATCH(D535,BYEs!$A$2:$A$33,0)),"N/A")</f>
        <v>12</v>
      </c>
      <c r="D535" s="214" t="str">
        <f t="shared" ca="1" si="56"/>
        <v>CIN</v>
      </c>
      <c r="E535" s="213" t="str">
        <f t="shared" ca="1" si="57"/>
        <v>WR8</v>
      </c>
      <c r="F535" s="158">
        <f ca="1">IF(LeagueInfo!$H$7="Starter/Bench",INDEX(INDIRECT(""&amp;B535&amp;"!T2:T628"),MATCH(A535,INDIRECT(""&amp;B535&amp;"!B2:B628"),0)),INDEX(INDIRECT(""&amp;B535&amp;"!AB2:AB628"),MATCH(A535,INDIRECT(""&amp;B535&amp;"!B2:B628"),0)))</f>
        <v>-16.146548931969971</v>
      </c>
      <c r="G535" s="159">
        <f t="shared" si="58"/>
        <v>0</v>
      </c>
      <c r="H535" s="160"/>
      <c r="I535" s="159">
        <f t="shared" ca="1" si="59"/>
        <v>-16.146548931969971</v>
      </c>
      <c r="J535" s="159" t="s">
        <v>73</v>
      </c>
      <c r="K535" s="159">
        <f>IF(LeagueInfo!$F$7="Yahoo",IFERROR(INDEX(DefaultAuctionValues!$B$2:$B$331,MATCH(A535,DefaultAuctionValues!$A$2:$A$331,0)),0),IF(LeagueInfo!$F$7="ESPN",IFERROR(INDEX(DefaultAuctionValues!$C$2:$C$331,MATCH(A535,DefaultAuctionValues!$A$2:$A$331,0)),0),IF(LeagueInfo!$F$7="Custom",IFERROR(INDEX(DefaultAuctionValues!$D$2:$D$331,MATCH(A535,DefaultAuctionValues!$A$2:$A$331,0)),0))))</f>
        <v>0</v>
      </c>
      <c r="L535" s="159">
        <f t="shared" ca="1" si="60"/>
        <v>-16.146548931969971</v>
      </c>
      <c r="M535" s="171"/>
      <c r="N535" s="166">
        <f t="shared" ca="1" si="61"/>
        <v>-48.935000000000002</v>
      </c>
      <c r="O535" s="157" t="str">
        <f t="shared" ca="1" si="62"/>
        <v/>
      </c>
    </row>
    <row r="536" spans="1:15" x14ac:dyDescent="0.35">
      <c r="A536" s="157" t="s">
        <v>997</v>
      </c>
      <c r="B536" s="157" t="s">
        <v>25</v>
      </c>
      <c r="C536" s="157">
        <f ca="1">IFERROR(INDEX(BYEs!$B$2:$B$33,MATCH(D536,BYEs!$A$2:$A$33,0)),"N/A")</f>
        <v>12</v>
      </c>
      <c r="D536" s="214" t="str">
        <f t="shared" ca="1" si="56"/>
        <v>JAC</v>
      </c>
      <c r="E536" s="213" t="str">
        <f t="shared" ca="1" si="57"/>
        <v>RB8</v>
      </c>
      <c r="F536" s="158">
        <f ca="1">IF(LeagueInfo!$H$7="Starter/Bench",INDEX(INDIRECT(""&amp;B536&amp;"!T2:T628"),MATCH(A536,INDIRECT(""&amp;B536&amp;"!B2:B628"),0)),INDEX(INDIRECT(""&amp;B536&amp;"!AB2:AB628"),MATCH(A536,INDIRECT(""&amp;B536&amp;"!B2:B628"),0)))</f>
        <v>-16.148198727508131</v>
      </c>
      <c r="G536" s="159">
        <f t="shared" si="58"/>
        <v>0</v>
      </c>
      <c r="H536" s="160"/>
      <c r="I536" s="159">
        <f t="shared" ca="1" si="59"/>
        <v>-16.148198727508131</v>
      </c>
      <c r="J536" s="159" t="s">
        <v>73</v>
      </c>
      <c r="K536" s="159">
        <f>IF(LeagueInfo!$F$7="Yahoo",IFERROR(INDEX(DefaultAuctionValues!$B$2:$B$331,MATCH(A536,DefaultAuctionValues!$A$2:$A$331,0)),0),IF(LeagueInfo!$F$7="ESPN",IFERROR(INDEX(DefaultAuctionValues!$C$2:$C$331,MATCH(A536,DefaultAuctionValues!$A$2:$A$331,0)),0),IF(LeagueInfo!$F$7="Custom",IFERROR(INDEX(DefaultAuctionValues!$D$2:$D$331,MATCH(A536,DefaultAuctionValues!$A$2:$A$331,0)),0))))</f>
        <v>0</v>
      </c>
      <c r="L536" s="159">
        <f t="shared" ca="1" si="60"/>
        <v>-16.148198727508131</v>
      </c>
      <c r="M536" s="171"/>
      <c r="N536" s="166">
        <f t="shared" ca="1" si="61"/>
        <v>-48.940000000000005</v>
      </c>
      <c r="O536" s="157" t="str">
        <f t="shared" ca="1" si="62"/>
        <v/>
      </c>
    </row>
    <row r="537" spans="1:15" x14ac:dyDescent="0.35">
      <c r="A537" s="157" t="s">
        <v>505</v>
      </c>
      <c r="B537" s="157" t="s">
        <v>32</v>
      </c>
      <c r="C537" s="157">
        <f ca="1">IFERROR(INDEX(BYEs!$B$2:$B$33,MATCH(D537,BYEs!$A$2:$A$33,0)),"N/A")</f>
        <v>10</v>
      </c>
      <c r="D537" s="214" t="str">
        <f t="shared" ca="1" si="56"/>
        <v>LV</v>
      </c>
      <c r="E537" s="213" t="str">
        <f t="shared" ca="1" si="57"/>
        <v>WR8</v>
      </c>
      <c r="F537" s="158">
        <f ca="1">IF(LeagueInfo!$H$7="Starter/Bench",INDEX(INDIRECT(""&amp;B537&amp;"!T2:T628"),MATCH(A537,INDIRECT(""&amp;B537&amp;"!B2:B628"),0)),INDEX(INDIRECT(""&amp;B537&amp;"!AB2:AB628"),MATCH(A537,INDIRECT(""&amp;B537&amp;"!B2:B628"),0)))</f>
        <v>-16.161397091813409</v>
      </c>
      <c r="G537" s="159">
        <f t="shared" si="58"/>
        <v>0</v>
      </c>
      <c r="H537" s="160"/>
      <c r="I537" s="159">
        <f t="shared" ca="1" si="59"/>
        <v>-16.161397091813409</v>
      </c>
      <c r="J537" s="159" t="s">
        <v>73</v>
      </c>
      <c r="K537" s="159">
        <f>IF(LeagueInfo!$F$7="Yahoo",IFERROR(INDEX(DefaultAuctionValues!$B$2:$B$331,MATCH(A537,DefaultAuctionValues!$A$2:$A$331,0)),0),IF(LeagueInfo!$F$7="ESPN",IFERROR(INDEX(DefaultAuctionValues!$C$2:$C$331,MATCH(A537,DefaultAuctionValues!$A$2:$A$331,0)),0),IF(LeagueInfo!$F$7="Custom",IFERROR(INDEX(DefaultAuctionValues!$D$2:$D$331,MATCH(A537,DefaultAuctionValues!$A$2:$A$331,0)),0))))</f>
        <v>0</v>
      </c>
      <c r="L537" s="159">
        <f t="shared" ca="1" si="60"/>
        <v>-16.161397091813409</v>
      </c>
      <c r="M537" s="171"/>
      <c r="N537" s="166">
        <f t="shared" ca="1" si="61"/>
        <v>-48.980000000000004</v>
      </c>
      <c r="O537" s="157" t="str">
        <f t="shared" ca="1" si="62"/>
        <v/>
      </c>
    </row>
    <row r="538" spans="1:15" x14ac:dyDescent="0.35">
      <c r="A538" s="157" t="s">
        <v>622</v>
      </c>
      <c r="B538" s="157" t="s">
        <v>25</v>
      </c>
      <c r="C538" s="157">
        <f ca="1">IFERROR(INDEX(BYEs!$B$2:$B$33,MATCH(D538,BYEs!$A$2:$A$33,0)),"N/A")</f>
        <v>5</v>
      </c>
      <c r="D538" s="214" t="str">
        <f t="shared" ca="1" si="56"/>
        <v>LAC</v>
      </c>
      <c r="E538" s="213" t="str">
        <f t="shared" ca="1" si="57"/>
        <v>RB8</v>
      </c>
      <c r="F538" s="158">
        <f ca="1">IF(LeagueInfo!$H$7="Starter/Bench",INDEX(INDIRECT(""&amp;B538&amp;"!T2:T628"),MATCH(A538,INDIRECT(""&amp;B538&amp;"!B2:B628"),0)),INDEX(INDIRECT(""&amp;B538&amp;"!AB2:AB628"),MATCH(A538,INDIRECT(""&amp;B538&amp;"!B2:B628"),0)))</f>
        <v>-16.169646069504207</v>
      </c>
      <c r="G538" s="159">
        <f t="shared" si="58"/>
        <v>0</v>
      </c>
      <c r="H538" s="160"/>
      <c r="I538" s="159">
        <f t="shared" ca="1" si="59"/>
        <v>-16.169646069504207</v>
      </c>
      <c r="J538" s="159" t="s">
        <v>73</v>
      </c>
      <c r="K538" s="159">
        <f>IF(LeagueInfo!$F$7="Yahoo",IFERROR(INDEX(DefaultAuctionValues!$B$2:$B$331,MATCH(A538,DefaultAuctionValues!$A$2:$A$331,0)),0),IF(LeagueInfo!$F$7="ESPN",IFERROR(INDEX(DefaultAuctionValues!$C$2:$C$331,MATCH(A538,DefaultAuctionValues!$A$2:$A$331,0)),0),IF(LeagueInfo!$F$7="Custom",IFERROR(INDEX(DefaultAuctionValues!$D$2:$D$331,MATCH(A538,DefaultAuctionValues!$A$2:$A$331,0)),0))))</f>
        <v>0</v>
      </c>
      <c r="L538" s="159">
        <f t="shared" ca="1" si="60"/>
        <v>-16.169646069504207</v>
      </c>
      <c r="M538" s="171"/>
      <c r="N538" s="166">
        <f t="shared" ca="1" si="61"/>
        <v>-49.005000000000003</v>
      </c>
      <c r="O538" s="157" t="str">
        <f t="shared" ca="1" si="62"/>
        <v/>
      </c>
    </row>
    <row r="539" spans="1:15" x14ac:dyDescent="0.35">
      <c r="A539" s="157" t="s">
        <v>444</v>
      </c>
      <c r="B539" s="157" t="s">
        <v>32</v>
      </c>
      <c r="C539" s="157">
        <f ca="1">IFERROR(INDEX(BYEs!$B$2:$B$33,MATCH(D539,BYEs!$A$2:$A$33,0)),"N/A")</f>
        <v>14</v>
      </c>
      <c r="D539" s="214" t="str">
        <f t="shared" ca="1" si="56"/>
        <v>IND</v>
      </c>
      <c r="E539" s="213" t="str">
        <f t="shared" ca="1" si="57"/>
        <v>WR8</v>
      </c>
      <c r="F539" s="158">
        <f ca="1">IF(LeagueInfo!$H$7="Starter/Bench",INDEX(INDIRECT(""&amp;B539&amp;"!T2:T628"),MATCH(A539,INDIRECT(""&amp;B539&amp;"!B2:B628"),0)),INDEX(INDIRECT(""&amp;B539&amp;"!AB2:AB628"),MATCH(A539,INDIRECT(""&amp;B539&amp;"!B2:B628"),0)))</f>
        <v>-16.200992184729241</v>
      </c>
      <c r="G539" s="159">
        <f t="shared" si="58"/>
        <v>0</v>
      </c>
      <c r="H539" s="160"/>
      <c r="I539" s="159">
        <f t="shared" ca="1" si="59"/>
        <v>-16.200992184729241</v>
      </c>
      <c r="J539" s="159" t="s">
        <v>73</v>
      </c>
      <c r="K539" s="159">
        <f>IF(LeagueInfo!$F$7="Yahoo",IFERROR(INDEX(DefaultAuctionValues!$B$2:$B$331,MATCH(A539,DefaultAuctionValues!$A$2:$A$331,0)),0),IF(LeagueInfo!$F$7="ESPN",IFERROR(INDEX(DefaultAuctionValues!$C$2:$C$331,MATCH(A539,DefaultAuctionValues!$A$2:$A$331,0)),0),IF(LeagueInfo!$F$7="Custom",IFERROR(INDEX(DefaultAuctionValues!$D$2:$D$331,MATCH(A539,DefaultAuctionValues!$A$2:$A$331,0)),0))))</f>
        <v>0</v>
      </c>
      <c r="L539" s="159">
        <f t="shared" ca="1" si="60"/>
        <v>-16.200992184729241</v>
      </c>
      <c r="M539" s="171"/>
      <c r="N539" s="166">
        <f t="shared" ca="1" si="61"/>
        <v>-49.1</v>
      </c>
      <c r="O539" s="157" t="str">
        <f t="shared" ca="1" si="62"/>
        <v/>
      </c>
    </row>
    <row r="540" spans="1:15" x14ac:dyDescent="0.35">
      <c r="A540" s="157" t="s">
        <v>810</v>
      </c>
      <c r="B540" s="157" t="s">
        <v>32</v>
      </c>
      <c r="C540" s="157">
        <f ca="1">IFERROR(INDEX(BYEs!$B$2:$B$33,MATCH(D540,BYEs!$A$2:$A$33,0)),"N/A")</f>
        <v>9</v>
      </c>
      <c r="D540" s="214" t="str">
        <f t="shared" ca="1" si="56"/>
        <v>SF</v>
      </c>
      <c r="E540" s="213" t="str">
        <f t="shared" ca="1" si="57"/>
        <v>WR8</v>
      </c>
      <c r="F540" s="158">
        <f ca="1">IF(LeagueInfo!$H$7="Starter/Bench",INDEX(INDIRECT(""&amp;B540&amp;"!T2:T628"),MATCH(A540,INDIRECT(""&amp;B540&amp;"!B2:B628"),0)),INDEX(INDIRECT(""&amp;B540&amp;"!AB2:AB628"),MATCH(A540,INDIRECT(""&amp;B540&amp;"!B2:B628"),0)))</f>
        <v>-16.200992184729241</v>
      </c>
      <c r="G540" s="159">
        <f t="shared" si="58"/>
        <v>0</v>
      </c>
      <c r="H540" s="160"/>
      <c r="I540" s="159">
        <f t="shared" ca="1" si="59"/>
        <v>-16.200992184729241</v>
      </c>
      <c r="J540" s="159" t="s">
        <v>73</v>
      </c>
      <c r="K540" s="159">
        <f>IF(LeagueInfo!$F$7="Yahoo",IFERROR(INDEX(DefaultAuctionValues!$B$2:$B$331,MATCH(A540,DefaultAuctionValues!$A$2:$A$331,0)),0),IF(LeagueInfo!$F$7="ESPN",IFERROR(INDEX(DefaultAuctionValues!$C$2:$C$331,MATCH(A540,DefaultAuctionValues!$A$2:$A$331,0)),0),IF(LeagueInfo!$F$7="Custom",IFERROR(INDEX(DefaultAuctionValues!$D$2:$D$331,MATCH(A540,DefaultAuctionValues!$A$2:$A$331,0)),0))))</f>
        <v>0</v>
      </c>
      <c r="L540" s="159">
        <f t="shared" ca="1" si="60"/>
        <v>-16.200992184729241</v>
      </c>
      <c r="M540" s="171"/>
      <c r="N540" s="166">
        <f t="shared" ca="1" si="61"/>
        <v>-49.1</v>
      </c>
      <c r="O540" s="157" t="str">
        <f t="shared" ca="1" si="62"/>
        <v/>
      </c>
    </row>
    <row r="541" spans="1:15" x14ac:dyDescent="0.35">
      <c r="A541" s="157" t="s">
        <v>1017</v>
      </c>
      <c r="B541" s="157" t="s">
        <v>32</v>
      </c>
      <c r="C541" s="157">
        <f ca="1">IFERROR(INDEX(BYEs!$B$2:$B$33,MATCH(D541,BYEs!$A$2:$A$33,0)),"N/A")</f>
        <v>6</v>
      </c>
      <c r="D541" s="214" t="str">
        <f t="shared" ca="1" si="56"/>
        <v>MIA</v>
      </c>
      <c r="E541" s="213" t="str">
        <f t="shared" ca="1" si="57"/>
        <v>WR8</v>
      </c>
      <c r="F541" s="158">
        <f ca="1">IF(LeagueInfo!$H$7="Starter/Bench",INDEX(INDIRECT(""&amp;B541&amp;"!T2:T628"),MATCH(A541,INDIRECT(""&amp;B541&amp;"!B2:B628"),0)),INDEX(INDIRECT(""&amp;B541&amp;"!AB2:AB628"),MATCH(A541,INDIRECT(""&amp;B541&amp;"!B2:B628"),0)))</f>
        <v>-16.237287686568759</v>
      </c>
      <c r="G541" s="159">
        <f t="shared" si="58"/>
        <v>0</v>
      </c>
      <c r="H541" s="160"/>
      <c r="I541" s="159">
        <f t="shared" ca="1" si="59"/>
        <v>-16.237287686568759</v>
      </c>
      <c r="J541" s="159" t="s">
        <v>73</v>
      </c>
      <c r="K541" s="159">
        <f>IF(LeagueInfo!$F$7="Yahoo",IFERROR(INDEX(DefaultAuctionValues!$B$2:$B$331,MATCH(A541,DefaultAuctionValues!$A$2:$A$331,0)),0),IF(LeagueInfo!$F$7="ESPN",IFERROR(INDEX(DefaultAuctionValues!$C$2:$C$331,MATCH(A541,DefaultAuctionValues!$A$2:$A$331,0)),0),IF(LeagueInfo!$F$7="Custom",IFERROR(INDEX(DefaultAuctionValues!$D$2:$D$331,MATCH(A541,DefaultAuctionValues!$A$2:$A$331,0)),0))))</f>
        <v>0</v>
      </c>
      <c r="L541" s="159">
        <f t="shared" ca="1" si="60"/>
        <v>-16.237287686568759</v>
      </c>
      <c r="M541" s="171"/>
      <c r="N541" s="166">
        <f t="shared" ca="1" si="61"/>
        <v>-49.21</v>
      </c>
      <c r="O541" s="157" t="str">
        <f t="shared" ca="1" si="62"/>
        <v/>
      </c>
    </row>
    <row r="542" spans="1:15" x14ac:dyDescent="0.35">
      <c r="A542" s="157" t="s">
        <v>625</v>
      </c>
      <c r="B542" s="157" t="s">
        <v>25</v>
      </c>
      <c r="C542" s="157">
        <f ca="1">IFERROR(INDEX(BYEs!$B$2:$B$33,MATCH(D542,BYEs!$A$2:$A$33,0)),"N/A")</f>
        <v>6</v>
      </c>
      <c r="D542" s="214" t="str">
        <f t="shared" ca="1" si="56"/>
        <v>KC</v>
      </c>
      <c r="E542" s="213" t="str">
        <f t="shared" ca="1" si="57"/>
        <v>RB8</v>
      </c>
      <c r="F542" s="158">
        <f ca="1">IF(LeagueInfo!$H$7="Starter/Bench",INDEX(INDIRECT(""&amp;B542&amp;"!T2:T628"),MATCH(A542,INDIRECT(""&amp;B542&amp;"!B2:B628"),0)),INDEX(INDIRECT(""&amp;B542&amp;"!AB2:AB628"),MATCH(A542,INDIRECT(""&amp;B542&amp;"!B2:B628"),0)))</f>
        <v>-16.280182370560915</v>
      </c>
      <c r="G542" s="159">
        <f t="shared" si="58"/>
        <v>0</v>
      </c>
      <c r="H542" s="160"/>
      <c r="I542" s="159">
        <f t="shared" ca="1" si="59"/>
        <v>-16.280182370560915</v>
      </c>
      <c r="J542" s="159" t="s">
        <v>73</v>
      </c>
      <c r="K542" s="159">
        <f>IF(LeagueInfo!$F$7="Yahoo",IFERROR(INDEX(DefaultAuctionValues!$B$2:$B$331,MATCH(A542,DefaultAuctionValues!$A$2:$A$331,0)),0),IF(LeagueInfo!$F$7="ESPN",IFERROR(INDEX(DefaultAuctionValues!$C$2:$C$331,MATCH(A542,DefaultAuctionValues!$A$2:$A$331,0)),0),IF(LeagueInfo!$F$7="Custom",IFERROR(INDEX(DefaultAuctionValues!$D$2:$D$331,MATCH(A542,DefaultAuctionValues!$A$2:$A$331,0)),0))))</f>
        <v>0</v>
      </c>
      <c r="L542" s="159">
        <f t="shared" ca="1" si="60"/>
        <v>-16.280182370560915</v>
      </c>
      <c r="M542" s="171"/>
      <c r="N542" s="166">
        <f t="shared" ca="1" si="61"/>
        <v>-49.34</v>
      </c>
      <c r="O542" s="157" t="str">
        <f t="shared" ca="1" si="62"/>
        <v/>
      </c>
    </row>
    <row r="543" spans="1:15" x14ac:dyDescent="0.35">
      <c r="A543" s="157" t="s">
        <v>1128</v>
      </c>
      <c r="B543" s="157" t="s">
        <v>32</v>
      </c>
      <c r="C543" s="157">
        <f ca="1">IFERROR(INDEX(BYEs!$B$2:$B$33,MATCH(D543,BYEs!$A$2:$A$33,0)),"N/A")</f>
        <v>11</v>
      </c>
      <c r="D543" s="214" t="str">
        <f t="shared" ca="1" si="56"/>
        <v>NYG</v>
      </c>
      <c r="E543" s="213" t="str">
        <f t="shared" ca="1" si="57"/>
        <v>WR8</v>
      </c>
      <c r="F543" s="158">
        <f ca="1">IF(LeagueInfo!$H$7="Starter/Bench",INDEX(INDIRECT(""&amp;B543&amp;"!T2:T628"),MATCH(A543,INDIRECT(""&amp;B543&amp;"!B2:B628"),0)),INDEX(INDIRECT(""&amp;B543&amp;"!AB2:AB628"),MATCH(A543,INDIRECT(""&amp;B543&amp;"!B2:B628"),0)))</f>
        <v>-16.387419080541299</v>
      </c>
      <c r="G543" s="159">
        <f t="shared" si="58"/>
        <v>0</v>
      </c>
      <c r="H543" s="160"/>
      <c r="I543" s="159">
        <f t="shared" ca="1" si="59"/>
        <v>-16.387419080541299</v>
      </c>
      <c r="J543" s="159" t="s">
        <v>73</v>
      </c>
      <c r="K543" s="159">
        <f>IF(LeagueInfo!$F$7="Yahoo",IFERROR(INDEX(DefaultAuctionValues!$B$2:$B$331,MATCH(A543,DefaultAuctionValues!$A$2:$A$331,0)),0),IF(LeagueInfo!$F$7="ESPN",IFERROR(INDEX(DefaultAuctionValues!$C$2:$C$331,MATCH(A543,DefaultAuctionValues!$A$2:$A$331,0)),0),IF(LeagueInfo!$F$7="Custom",IFERROR(INDEX(DefaultAuctionValues!$D$2:$D$331,MATCH(A543,DefaultAuctionValues!$A$2:$A$331,0)),0))))</f>
        <v>0</v>
      </c>
      <c r="L543" s="159">
        <f t="shared" ca="1" si="60"/>
        <v>-16.387419080541299</v>
      </c>
      <c r="M543" s="171"/>
      <c r="N543" s="166">
        <f t="shared" ca="1" si="61"/>
        <v>-49.664999999999999</v>
      </c>
      <c r="O543" s="157" t="str">
        <f t="shared" ca="1" si="62"/>
        <v/>
      </c>
    </row>
    <row r="544" spans="1:15" x14ac:dyDescent="0.35">
      <c r="A544" s="157" t="s">
        <v>496</v>
      </c>
      <c r="B544" s="157" t="s">
        <v>32</v>
      </c>
      <c r="C544" s="157">
        <f ca="1">IFERROR(INDEX(BYEs!$B$2:$B$33,MATCH(D544,BYEs!$A$2:$A$33,0)),"N/A")</f>
        <v>10</v>
      </c>
      <c r="D544" s="214" t="str">
        <f t="shared" ca="1" si="56"/>
        <v>SEA</v>
      </c>
      <c r="E544" s="213" t="str">
        <f t="shared" ca="1" si="57"/>
        <v>WR8</v>
      </c>
      <c r="F544" s="158">
        <f ca="1">IF(LeagueInfo!$H$7="Starter/Bench",INDEX(INDIRECT(""&amp;B544&amp;"!T2:T628"),MATCH(A544,INDIRECT(""&amp;B544&amp;"!B2:B628"),0)),INDEX(INDIRECT(""&amp;B544&amp;"!AB2:AB628"),MATCH(A544,INDIRECT(""&amp;B544&amp;"!B2:B628"),0)))</f>
        <v>-16.400617444846578</v>
      </c>
      <c r="G544" s="159">
        <f t="shared" si="58"/>
        <v>0</v>
      </c>
      <c r="H544" s="160"/>
      <c r="I544" s="159">
        <f t="shared" ca="1" si="59"/>
        <v>-16.400617444846578</v>
      </c>
      <c r="J544" s="159" t="s">
        <v>73</v>
      </c>
      <c r="K544" s="159">
        <f>IF(LeagueInfo!$F$7="Yahoo",IFERROR(INDEX(DefaultAuctionValues!$B$2:$B$331,MATCH(A544,DefaultAuctionValues!$A$2:$A$331,0)),0),IF(LeagueInfo!$F$7="ESPN",IFERROR(INDEX(DefaultAuctionValues!$C$2:$C$331,MATCH(A544,DefaultAuctionValues!$A$2:$A$331,0)),0),IF(LeagueInfo!$F$7="Custom",IFERROR(INDEX(DefaultAuctionValues!$D$2:$D$331,MATCH(A544,DefaultAuctionValues!$A$2:$A$331,0)),0))))</f>
        <v>0</v>
      </c>
      <c r="L544" s="159">
        <f t="shared" ca="1" si="60"/>
        <v>-16.400617444846578</v>
      </c>
      <c r="M544" s="171"/>
      <c r="N544" s="166">
        <f t="shared" ca="1" si="61"/>
        <v>-49.704999999999998</v>
      </c>
      <c r="O544" s="157" t="str">
        <f t="shared" ca="1" si="62"/>
        <v/>
      </c>
    </row>
    <row r="545" spans="1:15" x14ac:dyDescent="0.35">
      <c r="A545" s="157" t="s">
        <v>612</v>
      </c>
      <c r="B545" s="157" t="s">
        <v>32</v>
      </c>
      <c r="C545" s="157">
        <f ca="1">IFERROR(INDEX(BYEs!$B$2:$B$33,MATCH(D545,BYEs!$A$2:$A$33,0)),"N/A")</f>
        <v>10</v>
      </c>
      <c r="D545" s="214" t="str">
        <f t="shared" ca="1" si="56"/>
        <v>GB</v>
      </c>
      <c r="E545" s="213" t="str">
        <f t="shared" ca="1" si="57"/>
        <v>WR8</v>
      </c>
      <c r="F545" s="158">
        <f ca="1">IF(LeagueInfo!$H$7="Starter/Bench",INDEX(INDIRECT(""&amp;B545&amp;"!T2:T628"),MATCH(A545,INDIRECT(""&amp;B545&amp;"!B2:B628"),0)),INDEX(INDIRECT(""&amp;B545&amp;"!AB2:AB628"),MATCH(A545,INDIRECT(""&amp;B545&amp;"!B2:B628"),0)))</f>
        <v>-16.418765195766337</v>
      </c>
      <c r="G545" s="159">
        <f t="shared" si="58"/>
        <v>0</v>
      </c>
      <c r="H545" s="160"/>
      <c r="I545" s="159">
        <f t="shared" ca="1" si="59"/>
        <v>-16.418765195766337</v>
      </c>
      <c r="J545" s="159" t="s">
        <v>73</v>
      </c>
      <c r="K545" s="159">
        <f>IF(LeagueInfo!$F$7="Yahoo",IFERROR(INDEX(DefaultAuctionValues!$B$2:$B$331,MATCH(A545,DefaultAuctionValues!$A$2:$A$331,0)),0),IF(LeagueInfo!$F$7="ESPN",IFERROR(INDEX(DefaultAuctionValues!$C$2:$C$331,MATCH(A545,DefaultAuctionValues!$A$2:$A$331,0)),0),IF(LeagueInfo!$F$7="Custom",IFERROR(INDEX(DefaultAuctionValues!$D$2:$D$331,MATCH(A545,DefaultAuctionValues!$A$2:$A$331,0)),0))))</f>
        <v>0</v>
      </c>
      <c r="L545" s="159">
        <f t="shared" ca="1" si="60"/>
        <v>-16.418765195766337</v>
      </c>
      <c r="M545" s="171"/>
      <c r="N545" s="166">
        <f t="shared" ca="1" si="61"/>
        <v>-49.760000000000005</v>
      </c>
      <c r="O545" s="157" t="str">
        <f t="shared" ca="1" si="62"/>
        <v/>
      </c>
    </row>
    <row r="546" spans="1:15" x14ac:dyDescent="0.35">
      <c r="A546" s="157" t="s">
        <v>846</v>
      </c>
      <c r="B546" s="157" t="s">
        <v>32</v>
      </c>
      <c r="C546" s="157">
        <f ca="1">IFERROR(INDEX(BYEs!$B$2:$B$33,MATCH(D546,BYEs!$A$2:$A$33,0)),"N/A")</f>
        <v>9</v>
      </c>
      <c r="D546" s="214" t="str">
        <f t="shared" ca="1" si="56"/>
        <v>SF</v>
      </c>
      <c r="E546" s="213" t="str">
        <f t="shared" ca="1" si="57"/>
        <v>WR8</v>
      </c>
      <c r="F546" s="158">
        <f ca="1">IF(LeagueInfo!$H$7="Starter/Bench",INDEX(INDIRECT(""&amp;B546&amp;"!T2:T628"),MATCH(A546,INDIRECT(""&amp;B546&amp;"!B2:B628"),0)),INDEX(INDIRECT(""&amp;B546&amp;"!AB2:AB628"),MATCH(A546,INDIRECT(""&amp;B546&amp;"!B2:B628"),0)))</f>
        <v>-16.464959470834813</v>
      </c>
      <c r="G546" s="159">
        <f t="shared" si="58"/>
        <v>0</v>
      </c>
      <c r="H546" s="160"/>
      <c r="I546" s="159">
        <f t="shared" ca="1" si="59"/>
        <v>-16.464959470834813</v>
      </c>
      <c r="J546" s="159" t="s">
        <v>73</v>
      </c>
      <c r="K546" s="159">
        <f>IF(LeagueInfo!$F$7="Yahoo",IFERROR(INDEX(DefaultAuctionValues!$B$2:$B$331,MATCH(A546,DefaultAuctionValues!$A$2:$A$331,0)),0),IF(LeagueInfo!$F$7="ESPN",IFERROR(INDEX(DefaultAuctionValues!$C$2:$C$331,MATCH(A546,DefaultAuctionValues!$A$2:$A$331,0)),0),IF(LeagueInfo!$F$7="Custom",IFERROR(INDEX(DefaultAuctionValues!$D$2:$D$331,MATCH(A546,DefaultAuctionValues!$A$2:$A$331,0)),0))))</f>
        <v>0</v>
      </c>
      <c r="L546" s="159">
        <f t="shared" ca="1" si="60"/>
        <v>-16.464959470834813</v>
      </c>
      <c r="M546" s="171"/>
      <c r="N546" s="166">
        <f t="shared" ca="1" si="61"/>
        <v>-49.900000000000006</v>
      </c>
      <c r="O546" s="157" t="str">
        <f t="shared" ca="1" si="62"/>
        <v/>
      </c>
    </row>
    <row r="547" spans="1:15" x14ac:dyDescent="0.35">
      <c r="A547" s="157" t="s">
        <v>363</v>
      </c>
      <c r="B547" s="157" t="s">
        <v>32</v>
      </c>
      <c r="C547" s="157">
        <f ca="1">IFERROR(INDEX(BYEs!$B$2:$B$33,MATCH(D547,BYEs!$A$2:$A$33,0)),"N/A")</f>
        <v>5</v>
      </c>
      <c r="D547" s="214" t="str">
        <f t="shared" ca="1" si="56"/>
        <v>DET</v>
      </c>
      <c r="E547" s="213" t="str">
        <f t="shared" ca="1" si="57"/>
        <v>WR8</v>
      </c>
      <c r="F547" s="158">
        <f ca="1">IF(LeagueInfo!$H$7="Starter/Bench",INDEX(INDIRECT(""&amp;B547&amp;"!T2:T628"),MATCH(A547,INDIRECT(""&amp;B547&amp;"!B2:B628"),0)),INDEX(INDIRECT(""&amp;B547&amp;"!AB2:AB628"),MATCH(A547,INDIRECT(""&amp;B547&amp;"!B2:B628"),0)))</f>
        <v>-16.474858244063768</v>
      </c>
      <c r="G547" s="159">
        <f t="shared" si="58"/>
        <v>0</v>
      </c>
      <c r="H547" s="160"/>
      <c r="I547" s="159">
        <f t="shared" ca="1" si="59"/>
        <v>-16.474858244063768</v>
      </c>
      <c r="J547" s="159" t="s">
        <v>73</v>
      </c>
      <c r="K547" s="159">
        <f>IF(LeagueInfo!$F$7="Yahoo",IFERROR(INDEX(DefaultAuctionValues!$B$2:$B$331,MATCH(A547,DefaultAuctionValues!$A$2:$A$331,0)),0),IF(LeagueInfo!$F$7="ESPN",IFERROR(INDEX(DefaultAuctionValues!$C$2:$C$331,MATCH(A547,DefaultAuctionValues!$A$2:$A$331,0)),0),IF(LeagueInfo!$F$7="Custom",IFERROR(INDEX(DefaultAuctionValues!$D$2:$D$331,MATCH(A547,DefaultAuctionValues!$A$2:$A$331,0)),0))))</f>
        <v>0</v>
      </c>
      <c r="L547" s="159">
        <f t="shared" ca="1" si="60"/>
        <v>-16.474858244063768</v>
      </c>
      <c r="M547" s="171"/>
      <c r="N547" s="166">
        <f t="shared" ca="1" si="61"/>
        <v>-49.93</v>
      </c>
      <c r="O547" s="157" t="str">
        <f t="shared" ca="1" si="62"/>
        <v/>
      </c>
    </row>
    <row r="548" spans="1:15" x14ac:dyDescent="0.35">
      <c r="A548" s="157" t="s">
        <v>1015</v>
      </c>
      <c r="B548" s="157" t="s">
        <v>32</v>
      </c>
      <c r="C548" s="157">
        <f ca="1">IFERROR(INDEX(BYEs!$B$2:$B$33,MATCH(D548,BYEs!$A$2:$A$33,0)),"N/A")</f>
        <v>12</v>
      </c>
      <c r="D548" s="214" t="str">
        <f t="shared" ca="1" si="56"/>
        <v>JAC</v>
      </c>
      <c r="E548" s="213" t="str">
        <f t="shared" ca="1" si="57"/>
        <v>WR8</v>
      </c>
      <c r="F548" s="158">
        <f ca="1">IF(LeagueInfo!$H$7="Starter/Bench",INDEX(INDIRECT(""&amp;B548&amp;"!T2:T628"),MATCH(A548,INDIRECT(""&amp;B548&amp;"!B2:B628"),0)),INDEX(INDIRECT(""&amp;B548&amp;"!AB2:AB628"),MATCH(A548,INDIRECT(""&amp;B548&amp;"!B2:B628"),0)))</f>
        <v>-16.631588820188952</v>
      </c>
      <c r="G548" s="159">
        <f t="shared" si="58"/>
        <v>0</v>
      </c>
      <c r="H548" s="160"/>
      <c r="I548" s="159">
        <f t="shared" ca="1" si="59"/>
        <v>-16.631588820188952</v>
      </c>
      <c r="J548" s="159" t="s">
        <v>73</v>
      </c>
      <c r="K548" s="159">
        <f>IF(LeagueInfo!$F$7="Yahoo",IFERROR(INDEX(DefaultAuctionValues!$B$2:$B$331,MATCH(A548,DefaultAuctionValues!$A$2:$A$331,0)),0),IF(LeagueInfo!$F$7="ESPN",IFERROR(INDEX(DefaultAuctionValues!$C$2:$C$331,MATCH(A548,DefaultAuctionValues!$A$2:$A$331,0)),0),IF(LeagueInfo!$F$7="Custom",IFERROR(INDEX(DefaultAuctionValues!$D$2:$D$331,MATCH(A548,DefaultAuctionValues!$A$2:$A$331,0)),0))))</f>
        <v>0</v>
      </c>
      <c r="L548" s="159">
        <f t="shared" ca="1" si="60"/>
        <v>-16.631588820188952</v>
      </c>
      <c r="M548" s="171"/>
      <c r="N548" s="166">
        <f t="shared" ca="1" si="61"/>
        <v>-50.405000000000001</v>
      </c>
      <c r="O548" s="157" t="str">
        <f t="shared" ca="1" si="62"/>
        <v/>
      </c>
    </row>
    <row r="549" spans="1:15" x14ac:dyDescent="0.35">
      <c r="A549" s="157" t="s">
        <v>471</v>
      </c>
      <c r="B549" s="157" t="s">
        <v>32</v>
      </c>
      <c r="C549" s="157">
        <f ca="1">IFERROR(INDEX(BYEs!$B$2:$B$33,MATCH(D549,BYEs!$A$2:$A$33,0)),"N/A")</f>
        <v>9</v>
      </c>
      <c r="D549" s="214" t="str">
        <f t="shared" ca="1" si="56"/>
        <v>PIT</v>
      </c>
      <c r="E549" s="213" t="str">
        <f t="shared" ca="1" si="57"/>
        <v>WR8</v>
      </c>
      <c r="F549" s="158">
        <f ca="1">IF(LeagueInfo!$H$7="Starter/Bench",INDEX(INDIRECT(""&amp;B549&amp;"!T2:T628"),MATCH(A549,INDIRECT(""&amp;B549&amp;"!B2:B628"),0)),INDEX(INDIRECT(""&amp;B549&amp;"!AB2:AB628"),MATCH(A549,INDIRECT(""&amp;B549&amp;"!B2:B628"),0)))</f>
        <v>-16.674483504181104</v>
      </c>
      <c r="G549" s="159">
        <f t="shared" si="58"/>
        <v>0</v>
      </c>
      <c r="H549" s="160"/>
      <c r="I549" s="159">
        <f t="shared" ca="1" si="59"/>
        <v>-16.674483504181104</v>
      </c>
      <c r="J549" s="159" t="s">
        <v>73</v>
      </c>
      <c r="K549" s="159">
        <f>IF(LeagueInfo!$F$7="Yahoo",IFERROR(INDEX(DefaultAuctionValues!$B$2:$B$331,MATCH(A549,DefaultAuctionValues!$A$2:$A$331,0)),0),IF(LeagueInfo!$F$7="ESPN",IFERROR(INDEX(DefaultAuctionValues!$C$2:$C$331,MATCH(A549,DefaultAuctionValues!$A$2:$A$331,0)),0),IF(LeagueInfo!$F$7="Custom",IFERROR(INDEX(DefaultAuctionValues!$D$2:$D$331,MATCH(A549,DefaultAuctionValues!$A$2:$A$331,0)),0))))</f>
        <v>0</v>
      </c>
      <c r="L549" s="159">
        <f t="shared" ca="1" si="60"/>
        <v>-16.674483504181104</v>
      </c>
      <c r="M549" s="171"/>
      <c r="N549" s="166">
        <f t="shared" ca="1" si="61"/>
        <v>-50.535000000000004</v>
      </c>
      <c r="O549" s="157" t="str">
        <f t="shared" ca="1" si="62"/>
        <v/>
      </c>
    </row>
    <row r="550" spans="1:15" x14ac:dyDescent="0.35">
      <c r="A550" s="157" t="s">
        <v>623</v>
      </c>
      <c r="B550" s="157" t="s">
        <v>25</v>
      </c>
      <c r="C550" s="157">
        <f ca="1">IFERROR(INDEX(BYEs!$B$2:$B$33,MATCH(D550,BYEs!$A$2:$A$33,0)),"N/A")</f>
        <v>5</v>
      </c>
      <c r="D550" s="214" t="str">
        <f t="shared" ca="1" si="56"/>
        <v>PHI</v>
      </c>
      <c r="E550" s="213" t="str">
        <f t="shared" ca="1" si="57"/>
        <v>RB8</v>
      </c>
      <c r="F550" s="158">
        <f ca="1">IF(LeagueInfo!$H$7="Starter/Bench",INDEX(INDIRECT(""&amp;B550&amp;"!T2:T628"),MATCH(A550,INDIRECT(""&amp;B550&amp;"!B2:B628"),0)),INDEX(INDIRECT(""&amp;B550&amp;"!AB2:AB628"),MATCH(A550,INDIRECT(""&amp;B550&amp;"!B2:B628"),0)))</f>
        <v>-16.692631255100864</v>
      </c>
      <c r="G550" s="159">
        <f t="shared" si="58"/>
        <v>0</v>
      </c>
      <c r="H550" s="160"/>
      <c r="I550" s="159">
        <f t="shared" ca="1" si="59"/>
        <v>-16.692631255100864</v>
      </c>
      <c r="J550" s="159" t="s">
        <v>73</v>
      </c>
      <c r="K550" s="159">
        <f>IF(LeagueInfo!$F$7="Yahoo",IFERROR(INDEX(DefaultAuctionValues!$B$2:$B$331,MATCH(A550,DefaultAuctionValues!$A$2:$A$331,0)),0),IF(LeagueInfo!$F$7="ESPN",IFERROR(INDEX(DefaultAuctionValues!$C$2:$C$331,MATCH(A550,DefaultAuctionValues!$A$2:$A$331,0)),0),IF(LeagueInfo!$F$7="Custom",IFERROR(INDEX(DefaultAuctionValues!$D$2:$D$331,MATCH(A550,DefaultAuctionValues!$A$2:$A$331,0)),0))))</f>
        <v>0</v>
      </c>
      <c r="L550" s="159">
        <f t="shared" ca="1" si="60"/>
        <v>-16.692631255100864</v>
      </c>
      <c r="M550" s="171"/>
      <c r="N550" s="166">
        <f t="shared" ca="1" si="61"/>
        <v>-50.59</v>
      </c>
      <c r="O550" s="157" t="str">
        <f t="shared" ca="1" si="62"/>
        <v/>
      </c>
    </row>
    <row r="551" spans="1:15" x14ac:dyDescent="0.35">
      <c r="A551" s="157" t="s">
        <v>1014</v>
      </c>
      <c r="B551" s="157" t="s">
        <v>32</v>
      </c>
      <c r="C551" s="157">
        <f ca="1">IFERROR(INDEX(BYEs!$B$2:$B$33,MATCH(D551,BYEs!$A$2:$A$33,0)),"N/A")</f>
        <v>10</v>
      </c>
      <c r="D551" s="214" t="str">
        <f t="shared" ca="1" si="56"/>
        <v>GB</v>
      </c>
      <c r="E551" s="213" t="str">
        <f t="shared" ca="1" si="57"/>
        <v>WR8</v>
      </c>
      <c r="F551" s="158">
        <f ca="1">IF(LeagueInfo!$H$7="Starter/Bench",INDEX(INDIRECT(""&amp;B551&amp;"!T2:T628"),MATCH(A551,INDIRECT(""&amp;B551&amp;"!B2:B628"),0)),INDEX(INDIRECT(""&amp;B551&amp;"!AB2:AB628"),MATCH(A551,INDIRECT(""&amp;B551&amp;"!B2:B628"),0)))</f>
        <v>-16.752023894474618</v>
      </c>
      <c r="G551" s="159">
        <f t="shared" si="58"/>
        <v>0</v>
      </c>
      <c r="H551" s="160"/>
      <c r="I551" s="159">
        <f t="shared" ca="1" si="59"/>
        <v>-16.752023894474618</v>
      </c>
      <c r="J551" s="159" t="s">
        <v>73</v>
      </c>
      <c r="K551" s="159">
        <f>IF(LeagueInfo!$F$7="Yahoo",IFERROR(INDEX(DefaultAuctionValues!$B$2:$B$331,MATCH(A551,DefaultAuctionValues!$A$2:$A$331,0)),0),IF(LeagueInfo!$F$7="ESPN",IFERROR(INDEX(DefaultAuctionValues!$C$2:$C$331,MATCH(A551,DefaultAuctionValues!$A$2:$A$331,0)),0),IF(LeagueInfo!$F$7="Custom",IFERROR(INDEX(DefaultAuctionValues!$D$2:$D$331,MATCH(A551,DefaultAuctionValues!$A$2:$A$331,0)),0))))</f>
        <v>0</v>
      </c>
      <c r="L551" s="159">
        <f t="shared" ca="1" si="60"/>
        <v>-16.752023894474618</v>
      </c>
      <c r="M551" s="171"/>
      <c r="N551" s="166">
        <f t="shared" ca="1" si="61"/>
        <v>-50.77</v>
      </c>
      <c r="O551" s="157" t="str">
        <f t="shared" ca="1" si="62"/>
        <v/>
      </c>
    </row>
    <row r="552" spans="1:15" x14ac:dyDescent="0.35">
      <c r="A552" s="157" t="s">
        <v>1018</v>
      </c>
      <c r="B552" s="157" t="s">
        <v>32</v>
      </c>
      <c r="C552" s="157">
        <f ca="1">IFERROR(INDEX(BYEs!$B$2:$B$33,MATCH(D552,BYEs!$A$2:$A$33,0)),"N/A")</f>
        <v>10</v>
      </c>
      <c r="D552" s="214" t="str">
        <f t="shared" ca="1" si="56"/>
        <v>SEA</v>
      </c>
      <c r="E552" s="213" t="str">
        <f t="shared" ca="1" si="57"/>
        <v>WR8</v>
      </c>
      <c r="F552" s="158">
        <f ca="1">IF(LeagueInfo!$H$7="Starter/Bench",INDEX(INDIRECT(""&amp;B552&amp;"!T2:T628"),MATCH(A552,INDIRECT(""&amp;B552&amp;"!B2:B628"),0)),INDEX(INDIRECT(""&amp;B552&amp;"!AB2:AB628"),MATCH(A552,INDIRECT(""&amp;B552&amp;"!B2:B628"),0)))</f>
        <v>-16.801517760619411</v>
      </c>
      <c r="G552" s="159">
        <f t="shared" si="58"/>
        <v>0</v>
      </c>
      <c r="H552" s="160"/>
      <c r="I552" s="159">
        <f t="shared" ca="1" si="59"/>
        <v>-16.801517760619411</v>
      </c>
      <c r="J552" s="159" t="s">
        <v>73</v>
      </c>
      <c r="K552" s="159">
        <f>IF(LeagueInfo!$F$7="Yahoo",IFERROR(INDEX(DefaultAuctionValues!$B$2:$B$331,MATCH(A552,DefaultAuctionValues!$A$2:$A$331,0)),0),IF(LeagueInfo!$F$7="ESPN",IFERROR(INDEX(DefaultAuctionValues!$C$2:$C$331,MATCH(A552,DefaultAuctionValues!$A$2:$A$331,0)),0),IF(LeagueInfo!$F$7="Custom",IFERROR(INDEX(DefaultAuctionValues!$D$2:$D$331,MATCH(A552,DefaultAuctionValues!$A$2:$A$331,0)),0))))</f>
        <v>0</v>
      </c>
      <c r="L552" s="159">
        <f t="shared" ca="1" si="60"/>
        <v>-16.801517760619411</v>
      </c>
      <c r="M552" s="171"/>
      <c r="N552" s="166">
        <f t="shared" ca="1" si="61"/>
        <v>-50.92</v>
      </c>
      <c r="O552" s="157" t="str">
        <f t="shared" ca="1" si="62"/>
        <v/>
      </c>
    </row>
    <row r="553" spans="1:15" x14ac:dyDescent="0.35">
      <c r="A553" s="157" t="s">
        <v>1019</v>
      </c>
      <c r="B553" s="157" t="s">
        <v>32</v>
      </c>
      <c r="C553" s="157">
        <f ca="1">IFERROR(INDEX(BYEs!$B$2:$B$33,MATCH(D553,BYEs!$A$2:$A$33,0)),"N/A")</f>
        <v>10</v>
      </c>
      <c r="D553" s="214" t="str">
        <f t="shared" ca="1" si="56"/>
        <v>SEA</v>
      </c>
      <c r="E553" s="213" t="str">
        <f t="shared" ca="1" si="57"/>
        <v>WR8</v>
      </c>
      <c r="F553" s="158">
        <f ca="1">IF(LeagueInfo!$H$7="Starter/Bench",INDEX(INDIRECT(""&amp;B553&amp;"!T2:T628"),MATCH(A553,INDIRECT(""&amp;B553&amp;"!B2:B628"),0)),INDEX(INDIRECT(""&amp;B553&amp;"!AB2:AB628"),MATCH(A553,INDIRECT(""&amp;B553&amp;"!B2:B628"),0)))</f>
        <v>-16.808116942772049</v>
      </c>
      <c r="G553" s="159">
        <f t="shared" si="58"/>
        <v>0</v>
      </c>
      <c r="H553" s="160"/>
      <c r="I553" s="159">
        <f t="shared" ca="1" si="59"/>
        <v>-16.808116942772049</v>
      </c>
      <c r="J553" s="159" t="s">
        <v>73</v>
      </c>
      <c r="K553" s="159">
        <f>IF(LeagueInfo!$F$7="Yahoo",IFERROR(INDEX(DefaultAuctionValues!$B$2:$B$331,MATCH(A553,DefaultAuctionValues!$A$2:$A$331,0)),0),IF(LeagueInfo!$F$7="ESPN",IFERROR(INDEX(DefaultAuctionValues!$C$2:$C$331,MATCH(A553,DefaultAuctionValues!$A$2:$A$331,0)),0),IF(LeagueInfo!$F$7="Custom",IFERROR(INDEX(DefaultAuctionValues!$D$2:$D$331,MATCH(A553,DefaultAuctionValues!$A$2:$A$331,0)),0))))</f>
        <v>0</v>
      </c>
      <c r="L553" s="159">
        <f t="shared" ca="1" si="60"/>
        <v>-16.808116942772049</v>
      </c>
      <c r="M553" s="171"/>
      <c r="N553" s="166">
        <f t="shared" ca="1" si="61"/>
        <v>-50.940000000000005</v>
      </c>
      <c r="O553" s="157" t="str">
        <f t="shared" ca="1" si="62"/>
        <v/>
      </c>
    </row>
    <row r="554" spans="1:15" x14ac:dyDescent="0.35">
      <c r="A554" s="157" t="s">
        <v>1023</v>
      </c>
      <c r="B554" s="157" t="s">
        <v>32</v>
      </c>
      <c r="C554" s="157">
        <f ca="1">IFERROR(INDEX(BYEs!$B$2:$B$33,MATCH(D554,BYEs!$A$2:$A$33,0)),"N/A")</f>
        <v>5</v>
      </c>
      <c r="D554" s="214" t="str">
        <f t="shared" ca="1" si="56"/>
        <v>PHI</v>
      </c>
      <c r="E554" s="213" t="str">
        <f t="shared" ca="1" si="57"/>
        <v>WR8</v>
      </c>
      <c r="F554" s="158">
        <f ca="1">IF(LeagueInfo!$H$7="Starter/Bench",INDEX(INDIRECT(""&amp;B554&amp;"!T2:T628"),MATCH(A554,INDIRECT(""&amp;B554&amp;"!B2:B628"),0)),INDEX(INDIRECT(""&amp;B554&amp;"!AB2:AB628"),MATCH(A554,INDIRECT(""&amp;B554&amp;"!B2:B628"),0)))</f>
        <v>-16.931851608134036</v>
      </c>
      <c r="G554" s="159">
        <f t="shared" si="58"/>
        <v>0</v>
      </c>
      <c r="H554" s="160"/>
      <c r="I554" s="159">
        <f t="shared" ca="1" si="59"/>
        <v>-16.931851608134036</v>
      </c>
      <c r="J554" s="159" t="s">
        <v>73</v>
      </c>
      <c r="K554" s="159">
        <f>IF(LeagueInfo!$F$7="Yahoo",IFERROR(INDEX(DefaultAuctionValues!$B$2:$B$331,MATCH(A554,DefaultAuctionValues!$A$2:$A$331,0)),0),IF(LeagueInfo!$F$7="ESPN",IFERROR(INDEX(DefaultAuctionValues!$C$2:$C$331,MATCH(A554,DefaultAuctionValues!$A$2:$A$331,0)),0),IF(LeagueInfo!$F$7="Custom",IFERROR(INDEX(DefaultAuctionValues!$D$2:$D$331,MATCH(A554,DefaultAuctionValues!$A$2:$A$331,0)),0))))</f>
        <v>0</v>
      </c>
      <c r="L554" s="159">
        <f t="shared" ca="1" si="60"/>
        <v>-16.931851608134036</v>
      </c>
      <c r="M554" s="171"/>
      <c r="N554" s="166">
        <f t="shared" ca="1" si="61"/>
        <v>-51.315000000000005</v>
      </c>
      <c r="O554" s="157" t="str">
        <f t="shared" ca="1" si="62"/>
        <v/>
      </c>
    </row>
    <row r="555" spans="1:15" x14ac:dyDescent="0.35">
      <c r="A555" s="157" t="s">
        <v>556</v>
      </c>
      <c r="B555" s="157" t="s">
        <v>32</v>
      </c>
      <c r="C555" s="157">
        <f ca="1">IFERROR(INDEX(BYEs!$B$2:$B$33,MATCH(D555,BYEs!$A$2:$A$33,0)),"N/A")</f>
        <v>9</v>
      </c>
      <c r="D555" s="214" t="str">
        <f t="shared" ca="1" si="56"/>
        <v>SF</v>
      </c>
      <c r="E555" s="213" t="str">
        <f t="shared" ca="1" si="57"/>
        <v>WR8</v>
      </c>
      <c r="F555" s="158">
        <f ca="1">IF(LeagueInfo!$H$7="Starter/Bench",INDEX(INDIRECT(""&amp;B555&amp;"!T2:T628"),MATCH(A555,INDIRECT(""&amp;B555&amp;"!B2:B628"),0)),INDEX(INDIRECT(""&amp;B555&amp;"!AB2:AB628"),MATCH(A555,INDIRECT(""&amp;B555&amp;"!B2:B628"),0)))</f>
        <v>-17.068784637801297</v>
      </c>
      <c r="G555" s="159">
        <f t="shared" si="58"/>
        <v>0</v>
      </c>
      <c r="H555" s="160"/>
      <c r="I555" s="159">
        <f t="shared" ca="1" si="59"/>
        <v>-17.068784637801297</v>
      </c>
      <c r="J555" s="159" t="s">
        <v>73</v>
      </c>
      <c r="K555" s="159">
        <f>IF(LeagueInfo!$F$7="Yahoo",IFERROR(INDEX(DefaultAuctionValues!$B$2:$B$331,MATCH(A555,DefaultAuctionValues!$A$2:$A$331,0)),0),IF(LeagueInfo!$F$7="ESPN",IFERROR(INDEX(DefaultAuctionValues!$C$2:$C$331,MATCH(A555,DefaultAuctionValues!$A$2:$A$331,0)),0),IF(LeagueInfo!$F$7="Custom",IFERROR(INDEX(DefaultAuctionValues!$D$2:$D$331,MATCH(A555,DefaultAuctionValues!$A$2:$A$331,0)),0))))</f>
        <v>0</v>
      </c>
      <c r="L555" s="159">
        <f t="shared" ca="1" si="60"/>
        <v>-17.068784637801297</v>
      </c>
      <c r="M555" s="171"/>
      <c r="N555" s="166">
        <f t="shared" ca="1" si="61"/>
        <v>-51.730000000000004</v>
      </c>
      <c r="O555" s="157" t="str">
        <f t="shared" ca="1" si="62"/>
        <v/>
      </c>
    </row>
    <row r="556" spans="1:15" x14ac:dyDescent="0.35">
      <c r="A556" s="157" t="s">
        <v>603</v>
      </c>
      <c r="B556" s="157" t="s">
        <v>32</v>
      </c>
      <c r="C556" s="157">
        <f ca="1">IFERROR(INDEX(BYEs!$B$2:$B$33,MATCH(D556,BYEs!$A$2:$A$33,0)),"N/A")</f>
        <v>6</v>
      </c>
      <c r="D556" s="214" t="str">
        <f t="shared" ca="1" si="56"/>
        <v>MIA</v>
      </c>
      <c r="E556" s="213" t="str">
        <f t="shared" ca="1" si="57"/>
        <v>WR8</v>
      </c>
      <c r="F556" s="158">
        <f ca="1">IF(LeagueInfo!$H$7="Starter/Bench",INDEX(INDIRECT(""&amp;B556&amp;"!T2:T628"),MATCH(A556,INDIRECT(""&amp;B556&amp;"!B2:B628"),0)),INDEX(INDIRECT(""&amp;B556&amp;"!AB2:AB628"),MATCH(A556,INDIRECT(""&amp;B556&amp;"!B2:B628"),0)))</f>
        <v>-17.250262146998875</v>
      </c>
      <c r="G556" s="159">
        <f t="shared" si="58"/>
        <v>0</v>
      </c>
      <c r="H556" s="160"/>
      <c r="I556" s="159">
        <f t="shared" ca="1" si="59"/>
        <v>-17.250262146998875</v>
      </c>
      <c r="J556" s="159" t="s">
        <v>73</v>
      </c>
      <c r="K556" s="159">
        <f>IF(LeagueInfo!$F$7="Yahoo",IFERROR(INDEX(DefaultAuctionValues!$B$2:$B$331,MATCH(A556,DefaultAuctionValues!$A$2:$A$331,0)),0),IF(LeagueInfo!$F$7="ESPN",IFERROR(INDEX(DefaultAuctionValues!$C$2:$C$331,MATCH(A556,DefaultAuctionValues!$A$2:$A$331,0)),0),IF(LeagueInfo!$F$7="Custom",IFERROR(INDEX(DefaultAuctionValues!$D$2:$D$331,MATCH(A556,DefaultAuctionValues!$A$2:$A$331,0)),0))))</f>
        <v>0</v>
      </c>
      <c r="L556" s="159">
        <f t="shared" ca="1" si="60"/>
        <v>-17.250262146998875</v>
      </c>
      <c r="M556" s="171"/>
      <c r="N556" s="166">
        <f t="shared" ca="1" si="61"/>
        <v>-52.28</v>
      </c>
      <c r="O556" s="157" t="str">
        <f t="shared" ca="1" si="62"/>
        <v/>
      </c>
    </row>
    <row r="557" spans="1:15" x14ac:dyDescent="0.35">
      <c r="A557" s="157" t="s">
        <v>1027</v>
      </c>
      <c r="B557" s="157" t="s">
        <v>32</v>
      </c>
      <c r="C557" s="157">
        <f ca="1">IFERROR(INDEX(BYEs!$B$2:$B$33,MATCH(D557,BYEs!$A$2:$A$33,0)),"N/A")</f>
        <v>11</v>
      </c>
      <c r="D557" s="214" t="str">
        <f t="shared" ca="1" si="56"/>
        <v>NYG</v>
      </c>
      <c r="E557" s="213" t="str">
        <f t="shared" ca="1" si="57"/>
        <v>WR8</v>
      </c>
      <c r="F557" s="158">
        <f ca="1">IF(LeagueInfo!$H$7="Starter/Bench",INDEX(INDIRECT(""&amp;B557&amp;"!T2:T628"),MATCH(A557,INDIRECT(""&amp;B557&amp;"!B2:B628"),0)),INDEX(INDIRECT(""&amp;B557&amp;"!AB2:AB628"),MATCH(A557,INDIRECT(""&amp;B557&amp;"!B2:B628"),0)))</f>
        <v>-17.324502946216068</v>
      </c>
      <c r="G557" s="159">
        <f t="shared" si="58"/>
        <v>0</v>
      </c>
      <c r="H557" s="160"/>
      <c r="I557" s="159">
        <f t="shared" ca="1" si="59"/>
        <v>-17.324502946216068</v>
      </c>
      <c r="J557" s="159" t="s">
        <v>73</v>
      </c>
      <c r="K557" s="159">
        <f>IF(LeagueInfo!$F$7="Yahoo",IFERROR(INDEX(DefaultAuctionValues!$B$2:$B$331,MATCH(A557,DefaultAuctionValues!$A$2:$A$331,0)),0),IF(LeagueInfo!$F$7="ESPN",IFERROR(INDEX(DefaultAuctionValues!$C$2:$C$331,MATCH(A557,DefaultAuctionValues!$A$2:$A$331,0)),0),IF(LeagueInfo!$F$7="Custom",IFERROR(INDEX(DefaultAuctionValues!$D$2:$D$331,MATCH(A557,DefaultAuctionValues!$A$2:$A$331,0)),0))))</f>
        <v>0</v>
      </c>
      <c r="L557" s="159">
        <f t="shared" ca="1" si="60"/>
        <v>-17.324502946216068</v>
      </c>
      <c r="M557" s="171"/>
      <c r="N557" s="166">
        <f t="shared" ca="1" si="61"/>
        <v>-52.505000000000003</v>
      </c>
      <c r="O557" s="157" t="str">
        <f t="shared" ca="1" si="62"/>
        <v/>
      </c>
    </row>
    <row r="558" spans="1:15" x14ac:dyDescent="0.35">
      <c r="A558" s="157" t="s">
        <v>813</v>
      </c>
      <c r="B558" s="157" t="s">
        <v>32</v>
      </c>
      <c r="C558" s="157">
        <f ca="1">IFERROR(INDEX(BYEs!$B$2:$B$33,MATCH(D558,BYEs!$A$2:$A$33,0)),"N/A")</f>
        <v>6</v>
      </c>
      <c r="D558" s="214" t="str">
        <f t="shared" ca="1" si="56"/>
        <v>LAR</v>
      </c>
      <c r="E558" s="213" t="str">
        <f t="shared" ca="1" si="57"/>
        <v>WR8</v>
      </c>
      <c r="F558" s="158">
        <f ca="1">IF(LeagueInfo!$H$7="Starter/Bench",INDEX(INDIRECT(""&amp;B558&amp;"!T2:T628"),MATCH(A558,INDIRECT(""&amp;B558&amp;"!B2:B628"),0)),INDEX(INDIRECT(""&amp;B558&amp;"!AB2:AB628"),MATCH(A558,INDIRECT(""&amp;B558&amp;"!B2:B628"),0)))</f>
        <v>-17.359148652517423</v>
      </c>
      <c r="G558" s="159">
        <f t="shared" si="58"/>
        <v>0</v>
      </c>
      <c r="H558" s="160"/>
      <c r="I558" s="159">
        <f t="shared" ca="1" si="59"/>
        <v>-17.359148652517423</v>
      </c>
      <c r="J558" s="159" t="s">
        <v>73</v>
      </c>
      <c r="K558" s="159">
        <f>IF(LeagueInfo!$F$7="Yahoo",IFERROR(INDEX(DefaultAuctionValues!$B$2:$B$331,MATCH(A558,DefaultAuctionValues!$A$2:$A$331,0)),0),IF(LeagueInfo!$F$7="ESPN",IFERROR(INDEX(DefaultAuctionValues!$C$2:$C$331,MATCH(A558,DefaultAuctionValues!$A$2:$A$331,0)),0),IF(LeagueInfo!$F$7="Custom",IFERROR(INDEX(DefaultAuctionValues!$D$2:$D$331,MATCH(A558,DefaultAuctionValues!$A$2:$A$331,0)),0))))</f>
        <v>0</v>
      </c>
      <c r="L558" s="159">
        <f t="shared" ca="1" si="60"/>
        <v>-17.359148652517423</v>
      </c>
      <c r="M558" s="171"/>
      <c r="N558" s="166">
        <f t="shared" ca="1" si="61"/>
        <v>-52.61</v>
      </c>
      <c r="O558" s="157" t="str">
        <f t="shared" ca="1" si="62"/>
        <v/>
      </c>
    </row>
    <row r="559" spans="1:15" x14ac:dyDescent="0.35">
      <c r="A559" s="157" t="s">
        <v>1129</v>
      </c>
      <c r="B559" s="157" t="s">
        <v>32</v>
      </c>
      <c r="C559" s="157">
        <f ca="1">IFERROR(INDEX(BYEs!$B$2:$B$33,MATCH(D559,BYEs!$A$2:$A$33,0)),"N/A")</f>
        <v>11</v>
      </c>
      <c r="D559" s="214" t="str">
        <f t="shared" ca="1" si="56"/>
        <v>TB</v>
      </c>
      <c r="E559" s="213" t="str">
        <f t="shared" ca="1" si="57"/>
        <v>WR8</v>
      </c>
      <c r="F559" s="158">
        <f ca="1">IF(LeagueInfo!$H$7="Starter/Bench",INDEX(INDIRECT(""&amp;B559&amp;"!T2:T628"),MATCH(A559,INDIRECT(""&amp;B559&amp;"!B2:B628"),0)),INDEX(INDIRECT(""&amp;B559&amp;"!AB2:AB628"),MATCH(A559,INDIRECT(""&amp;B559&amp;"!B2:B628"),0)))</f>
        <v>-17.377296403437182</v>
      </c>
      <c r="G559" s="159">
        <f t="shared" si="58"/>
        <v>0</v>
      </c>
      <c r="H559" s="160"/>
      <c r="I559" s="159">
        <f t="shared" ca="1" si="59"/>
        <v>-17.377296403437182</v>
      </c>
      <c r="J559" s="159" t="s">
        <v>73</v>
      </c>
      <c r="K559" s="159">
        <f>IF(LeagueInfo!$F$7="Yahoo",IFERROR(INDEX(DefaultAuctionValues!$B$2:$B$331,MATCH(A559,DefaultAuctionValues!$A$2:$A$331,0)),0),IF(LeagueInfo!$F$7="ESPN",IFERROR(INDEX(DefaultAuctionValues!$C$2:$C$331,MATCH(A559,DefaultAuctionValues!$A$2:$A$331,0)),0),IF(LeagueInfo!$F$7="Custom",IFERROR(INDEX(DefaultAuctionValues!$D$2:$D$331,MATCH(A559,DefaultAuctionValues!$A$2:$A$331,0)),0))))</f>
        <v>0</v>
      </c>
      <c r="L559" s="159">
        <f t="shared" ca="1" si="60"/>
        <v>-17.377296403437182</v>
      </c>
      <c r="M559" s="171"/>
      <c r="N559" s="166">
        <f t="shared" ca="1" si="61"/>
        <v>-52.665000000000006</v>
      </c>
      <c r="O559" s="157" t="str">
        <f t="shared" ca="1" si="62"/>
        <v/>
      </c>
    </row>
    <row r="560" spans="1:15" x14ac:dyDescent="0.35">
      <c r="A560" s="157" t="s">
        <v>564</v>
      </c>
      <c r="B560" s="157" t="s">
        <v>32</v>
      </c>
      <c r="C560" s="157">
        <f ca="1">IFERROR(INDEX(BYEs!$B$2:$B$33,MATCH(D560,BYEs!$A$2:$A$33,0)),"N/A")</f>
        <v>14</v>
      </c>
      <c r="D560" s="214" t="str">
        <f t="shared" ca="1" si="56"/>
        <v>BAL</v>
      </c>
      <c r="E560" s="213" t="str">
        <f t="shared" ca="1" si="57"/>
        <v>WR8</v>
      </c>
      <c r="F560" s="158">
        <f ca="1">IF(LeagueInfo!$H$7="Starter/Bench",INDEX(INDIRECT(""&amp;B560&amp;"!T2:T628"),MATCH(A560,INDIRECT(""&amp;B560&amp;"!B2:B628"),0)),INDEX(INDIRECT(""&amp;B560&amp;"!AB2:AB628"),MATCH(A560,INDIRECT(""&amp;B560&amp;"!B2:B628"),0)))</f>
        <v>-17.525778001871561</v>
      </c>
      <c r="G560" s="159">
        <f t="shared" si="58"/>
        <v>0</v>
      </c>
      <c r="H560" s="160"/>
      <c r="I560" s="159">
        <f t="shared" ca="1" si="59"/>
        <v>-17.525778001871561</v>
      </c>
      <c r="J560" s="159" t="s">
        <v>73</v>
      </c>
      <c r="K560" s="159">
        <f>IF(LeagueInfo!$F$7="Yahoo",IFERROR(INDEX(DefaultAuctionValues!$B$2:$B$331,MATCH(A560,DefaultAuctionValues!$A$2:$A$331,0)),0),IF(LeagueInfo!$F$7="ESPN",IFERROR(INDEX(DefaultAuctionValues!$C$2:$C$331,MATCH(A560,DefaultAuctionValues!$A$2:$A$331,0)),0),IF(LeagueInfo!$F$7="Custom",IFERROR(INDEX(DefaultAuctionValues!$D$2:$D$331,MATCH(A560,DefaultAuctionValues!$A$2:$A$331,0)),0))))</f>
        <v>0</v>
      </c>
      <c r="L560" s="159">
        <f t="shared" ca="1" si="60"/>
        <v>-17.525778001871561</v>
      </c>
      <c r="M560" s="171"/>
      <c r="N560" s="166">
        <f t="shared" ca="1" si="61"/>
        <v>-53.115000000000002</v>
      </c>
      <c r="O560" s="157" t="str">
        <f t="shared" ca="1" si="62"/>
        <v/>
      </c>
    </row>
    <row r="561" spans="1:15" x14ac:dyDescent="0.35">
      <c r="A561" s="157" t="s">
        <v>1024</v>
      </c>
      <c r="B561" s="157" t="s">
        <v>32</v>
      </c>
      <c r="C561" s="157">
        <f ca="1">IFERROR(INDEX(BYEs!$B$2:$B$33,MATCH(D561,BYEs!$A$2:$A$33,0)),"N/A")</f>
        <v>10</v>
      </c>
      <c r="D561" s="214" t="str">
        <f t="shared" ca="1" si="56"/>
        <v>LV</v>
      </c>
      <c r="E561" s="213" t="str">
        <f t="shared" ca="1" si="57"/>
        <v>WR8</v>
      </c>
      <c r="F561" s="158">
        <f ca="1">IF(LeagueInfo!$H$7="Starter/Bench",INDEX(INDIRECT(""&amp;B561&amp;"!T2:T628"),MATCH(A561,INDIRECT(""&amp;B561&amp;"!B2:B628"),0)),INDEX(INDIRECT(""&amp;B561&amp;"!AB2:AB628"),MATCH(A561,INDIRECT(""&amp;B561&amp;"!B2:B628"),0)))</f>
        <v>-17.548875139405801</v>
      </c>
      <c r="G561" s="159">
        <f t="shared" si="58"/>
        <v>0</v>
      </c>
      <c r="H561" s="160"/>
      <c r="I561" s="159">
        <f t="shared" ca="1" si="59"/>
        <v>-17.548875139405801</v>
      </c>
      <c r="J561" s="159" t="s">
        <v>73</v>
      </c>
      <c r="K561" s="159">
        <f>IF(LeagueInfo!$F$7="Yahoo",IFERROR(INDEX(DefaultAuctionValues!$B$2:$B$331,MATCH(A561,DefaultAuctionValues!$A$2:$A$331,0)),0),IF(LeagueInfo!$F$7="ESPN",IFERROR(INDEX(DefaultAuctionValues!$C$2:$C$331,MATCH(A561,DefaultAuctionValues!$A$2:$A$331,0)),0),IF(LeagueInfo!$F$7="Custom",IFERROR(INDEX(DefaultAuctionValues!$D$2:$D$331,MATCH(A561,DefaultAuctionValues!$A$2:$A$331,0)),0))))</f>
        <v>0</v>
      </c>
      <c r="L561" s="159">
        <f t="shared" ca="1" si="60"/>
        <v>-17.548875139405801</v>
      </c>
      <c r="M561" s="171"/>
      <c r="N561" s="166">
        <f t="shared" ca="1" si="61"/>
        <v>-53.185000000000002</v>
      </c>
      <c r="O561" s="157" t="str">
        <f t="shared" ca="1" si="62"/>
        <v/>
      </c>
    </row>
    <row r="562" spans="1:15" x14ac:dyDescent="0.35">
      <c r="A562" s="157" t="s">
        <v>1098</v>
      </c>
      <c r="B562" s="157" t="s">
        <v>32</v>
      </c>
      <c r="C562" s="157">
        <f ca="1">IFERROR(INDEX(BYEs!$B$2:$B$33,MATCH(D562,BYEs!$A$2:$A$33,0)),"N/A")</f>
        <v>5</v>
      </c>
      <c r="D562" s="214" t="str">
        <f t="shared" ca="1" si="56"/>
        <v>TEN</v>
      </c>
      <c r="E562" s="213" t="str">
        <f t="shared" ca="1" si="57"/>
        <v>WR8</v>
      </c>
      <c r="F562" s="158">
        <f ca="1">IF(LeagueInfo!$H$7="Starter/Bench",INDEX(INDIRECT(""&amp;B562&amp;"!T2:T628"),MATCH(A562,INDIRECT(""&amp;B562&amp;"!B2:B628"),0)),INDEX(INDIRECT(""&amp;B562&amp;"!AB2:AB628"),MATCH(A562,INDIRECT(""&amp;B562&amp;"!B2:B628"),0)))</f>
        <v>-17.596719210012434</v>
      </c>
      <c r="G562" s="159">
        <f t="shared" si="58"/>
        <v>0</v>
      </c>
      <c r="H562" s="160"/>
      <c r="I562" s="159">
        <f t="shared" ca="1" si="59"/>
        <v>-17.596719210012434</v>
      </c>
      <c r="J562" s="159" t="s">
        <v>73</v>
      </c>
      <c r="K562" s="159">
        <f>IF(LeagueInfo!$F$7="Yahoo",IFERROR(INDEX(DefaultAuctionValues!$B$2:$B$331,MATCH(A562,DefaultAuctionValues!$A$2:$A$331,0)),0),IF(LeagueInfo!$F$7="ESPN",IFERROR(INDEX(DefaultAuctionValues!$C$2:$C$331,MATCH(A562,DefaultAuctionValues!$A$2:$A$331,0)),0),IF(LeagueInfo!$F$7="Custom",IFERROR(INDEX(DefaultAuctionValues!$D$2:$D$331,MATCH(A562,DefaultAuctionValues!$A$2:$A$331,0)),0))))</f>
        <v>0</v>
      </c>
      <c r="L562" s="159">
        <f t="shared" ca="1" si="60"/>
        <v>-17.596719210012434</v>
      </c>
      <c r="M562" s="171"/>
      <c r="N562" s="166">
        <f t="shared" ca="1" si="61"/>
        <v>-53.330000000000005</v>
      </c>
      <c r="O562" s="157" t="str">
        <f t="shared" ca="1" si="62"/>
        <v/>
      </c>
    </row>
    <row r="563" spans="1:15" x14ac:dyDescent="0.35">
      <c r="A563" s="157" t="s">
        <v>350</v>
      </c>
      <c r="B563" s="157" t="s">
        <v>26</v>
      </c>
      <c r="C563" s="157">
        <f ca="1">IFERROR(INDEX(BYEs!$B$2:$B$33,MATCH(D563,BYEs!$A$2:$A$33,0)),"N/A")</f>
        <v>12</v>
      </c>
      <c r="D563" s="214" t="str">
        <f t="shared" ca="1" si="56"/>
        <v>NO</v>
      </c>
      <c r="E563" s="213" t="str">
        <f t="shared" ca="1" si="57"/>
        <v>QB6</v>
      </c>
      <c r="F563" s="158">
        <f ca="1">IF(LeagueInfo!$H$7="Starter/Bench",INDEX(INDIRECT(""&amp;B563&amp;"!T2:T628"),MATCH(A563,INDIRECT(""&amp;B563&amp;"!B2:B628"),0)),INDEX(INDIRECT(""&amp;B563&amp;"!AB2:AB628"),MATCH(A563,INDIRECT(""&amp;B563&amp;"!B2:B628"),0)))</f>
        <v>-17.651162462771705</v>
      </c>
      <c r="G563" s="159">
        <f t="shared" si="58"/>
        <v>0</v>
      </c>
      <c r="H563" s="160"/>
      <c r="I563" s="159">
        <f t="shared" ca="1" si="59"/>
        <v>-17.651162462771705</v>
      </c>
      <c r="J563" s="159" t="s">
        <v>73</v>
      </c>
      <c r="K563" s="159">
        <f>IF(LeagueInfo!$F$7="Yahoo",IFERROR(INDEX(DefaultAuctionValues!$B$2:$B$331,MATCH(A563,DefaultAuctionValues!$A$2:$A$331,0)),0),IF(LeagueInfo!$F$7="ESPN",IFERROR(INDEX(DefaultAuctionValues!$C$2:$C$331,MATCH(A563,DefaultAuctionValues!$A$2:$A$331,0)),0),IF(LeagueInfo!$F$7="Custom",IFERROR(INDEX(DefaultAuctionValues!$D$2:$D$331,MATCH(A563,DefaultAuctionValues!$A$2:$A$331,0)),0))))</f>
        <v>1</v>
      </c>
      <c r="L563" s="159">
        <f t="shared" ca="1" si="60"/>
        <v>-18.651162462771705</v>
      </c>
      <c r="M563" s="171"/>
      <c r="N563" s="166">
        <f t="shared" ca="1" si="61"/>
        <v>-53.494999999999997</v>
      </c>
      <c r="O563" s="157" t="str">
        <f t="shared" ca="1" si="62"/>
        <v/>
      </c>
    </row>
    <row r="564" spans="1:15" x14ac:dyDescent="0.35">
      <c r="A564" s="157" t="s">
        <v>601</v>
      </c>
      <c r="B564" s="157" t="s">
        <v>32</v>
      </c>
      <c r="C564" s="157">
        <f ca="1">IFERROR(INDEX(BYEs!$B$2:$B$33,MATCH(D564,BYEs!$A$2:$A$33,0)),"N/A")</f>
        <v>7</v>
      </c>
      <c r="D564" s="214" t="str">
        <f t="shared" ca="1" si="56"/>
        <v>CHI</v>
      </c>
      <c r="E564" s="213" t="str">
        <f t="shared" ca="1" si="57"/>
        <v>WR8</v>
      </c>
      <c r="F564" s="158">
        <f ca="1">IF(LeagueInfo!$H$7="Starter/Bench",INDEX(INDIRECT(""&amp;B564&amp;"!T2:T628"),MATCH(A564,INDIRECT(""&amp;B564&amp;"!B2:B628"),0)),INDEX(INDIRECT(""&amp;B564&amp;"!AB2:AB628"),MATCH(A564,INDIRECT(""&amp;B564&amp;"!B2:B628"),0)))</f>
        <v>-17.675909395844105</v>
      </c>
      <c r="G564" s="159">
        <f t="shared" si="58"/>
        <v>0</v>
      </c>
      <c r="H564" s="160"/>
      <c r="I564" s="159">
        <f t="shared" ca="1" si="59"/>
        <v>-17.675909395844105</v>
      </c>
      <c r="J564" s="159" t="s">
        <v>73</v>
      </c>
      <c r="K564" s="159">
        <f>IF(LeagueInfo!$F$7="Yahoo",IFERROR(INDEX(DefaultAuctionValues!$B$2:$B$331,MATCH(A564,DefaultAuctionValues!$A$2:$A$331,0)),0),IF(LeagueInfo!$F$7="ESPN",IFERROR(INDEX(DefaultAuctionValues!$C$2:$C$331,MATCH(A564,DefaultAuctionValues!$A$2:$A$331,0)),0),IF(LeagueInfo!$F$7="Custom",IFERROR(INDEX(DefaultAuctionValues!$D$2:$D$331,MATCH(A564,DefaultAuctionValues!$A$2:$A$331,0)),0))))</f>
        <v>0</v>
      </c>
      <c r="L564" s="159">
        <f t="shared" ca="1" si="60"/>
        <v>-17.675909395844105</v>
      </c>
      <c r="M564" s="171"/>
      <c r="N564" s="166">
        <f t="shared" ca="1" si="61"/>
        <v>-53.57</v>
      </c>
      <c r="O564" s="157" t="str">
        <f t="shared" ca="1" si="62"/>
        <v/>
      </c>
    </row>
    <row r="565" spans="1:15" x14ac:dyDescent="0.35">
      <c r="A565" s="157" t="s">
        <v>848</v>
      </c>
      <c r="B565" s="157" t="s">
        <v>32</v>
      </c>
      <c r="C565" s="157">
        <f ca="1">IFERROR(INDEX(BYEs!$B$2:$B$33,MATCH(D565,BYEs!$A$2:$A$33,0)),"N/A")</f>
        <v>12</v>
      </c>
      <c r="D565" s="214" t="str">
        <f t="shared" ca="1" si="56"/>
        <v>NYJ</v>
      </c>
      <c r="E565" s="213" t="str">
        <f t="shared" ca="1" si="57"/>
        <v>WR8</v>
      </c>
      <c r="F565" s="158">
        <f ca="1">IF(LeagueInfo!$H$7="Starter/Bench",INDEX(INDIRECT(""&amp;B565&amp;"!T2:T628"),MATCH(A565,INDIRECT(""&amp;B565&amp;"!B2:B628"),0)),INDEX(INDIRECT(""&amp;B565&amp;"!AB2:AB628"),MATCH(A565,INDIRECT(""&amp;B565&amp;"!B2:B628"),0)))</f>
        <v>-17.700656328916502</v>
      </c>
      <c r="G565" s="159">
        <f t="shared" si="58"/>
        <v>0</v>
      </c>
      <c r="H565" s="160"/>
      <c r="I565" s="159">
        <f t="shared" ca="1" si="59"/>
        <v>-17.700656328916502</v>
      </c>
      <c r="J565" s="159" t="s">
        <v>73</v>
      </c>
      <c r="K565" s="159">
        <f>IF(LeagueInfo!$F$7="Yahoo",IFERROR(INDEX(DefaultAuctionValues!$B$2:$B$331,MATCH(A565,DefaultAuctionValues!$A$2:$A$331,0)),0),IF(LeagueInfo!$F$7="ESPN",IFERROR(INDEX(DefaultAuctionValues!$C$2:$C$331,MATCH(A565,DefaultAuctionValues!$A$2:$A$331,0)),0),IF(LeagueInfo!$F$7="Custom",IFERROR(INDEX(DefaultAuctionValues!$D$2:$D$331,MATCH(A565,DefaultAuctionValues!$A$2:$A$331,0)),0))))</f>
        <v>0</v>
      </c>
      <c r="L565" s="159">
        <f t="shared" ca="1" si="60"/>
        <v>-17.700656328916502</v>
      </c>
      <c r="M565" s="171"/>
      <c r="N565" s="166">
        <f t="shared" ca="1" si="61"/>
        <v>-53.645000000000003</v>
      </c>
      <c r="O565" s="157" t="str">
        <f t="shared" ca="1" si="62"/>
        <v/>
      </c>
    </row>
    <row r="566" spans="1:15" x14ac:dyDescent="0.35">
      <c r="A566" s="157" t="s">
        <v>777</v>
      </c>
      <c r="B566" s="157" t="s">
        <v>26</v>
      </c>
      <c r="C566" s="157">
        <f ca="1">IFERROR(INDEX(BYEs!$B$2:$B$33,MATCH(D566,BYEs!$A$2:$A$33,0)),"N/A")</f>
        <v>10</v>
      </c>
      <c r="D566" s="214" t="str">
        <f t="shared" ca="1" si="56"/>
        <v>LV</v>
      </c>
      <c r="E566" s="213" t="str">
        <f t="shared" ca="1" si="57"/>
        <v>QB6</v>
      </c>
      <c r="F566" s="158">
        <f ca="1">IF(LeagueInfo!$H$7="Starter/Bench",INDEX(INDIRECT(""&amp;B566&amp;"!T2:T628"),MATCH(A566,INDIRECT(""&amp;B566&amp;"!B2:B628"),0)),INDEX(INDIRECT(""&amp;B566&amp;"!AB2:AB628"),MATCH(A566,INDIRECT(""&amp;B566&amp;"!B2:B628"),0)))</f>
        <v>-17.915129748877277</v>
      </c>
      <c r="G566" s="159">
        <f t="shared" si="58"/>
        <v>0</v>
      </c>
      <c r="H566" s="160"/>
      <c r="I566" s="159">
        <f t="shared" ca="1" si="59"/>
        <v>-17.915129748877277</v>
      </c>
      <c r="J566" s="159" t="s">
        <v>73</v>
      </c>
      <c r="K566" s="159">
        <f>IF(LeagueInfo!$F$7="Yahoo",IFERROR(INDEX(DefaultAuctionValues!$B$2:$B$331,MATCH(A566,DefaultAuctionValues!$A$2:$A$331,0)),0),IF(LeagueInfo!$F$7="ESPN",IFERROR(INDEX(DefaultAuctionValues!$C$2:$C$331,MATCH(A566,DefaultAuctionValues!$A$2:$A$331,0)),0),IF(LeagueInfo!$F$7="Custom",IFERROR(INDEX(DefaultAuctionValues!$D$2:$D$331,MATCH(A566,DefaultAuctionValues!$A$2:$A$331,0)),0))))</f>
        <v>0</v>
      </c>
      <c r="L566" s="159">
        <f t="shared" ca="1" si="60"/>
        <v>-17.915129748877277</v>
      </c>
      <c r="M566" s="171"/>
      <c r="N566" s="166">
        <f t="shared" ca="1" si="61"/>
        <v>-54.295000000000002</v>
      </c>
      <c r="O566" s="157" t="str">
        <f t="shared" ca="1" si="62"/>
        <v/>
      </c>
    </row>
    <row r="567" spans="1:15" x14ac:dyDescent="0.35">
      <c r="A567" s="157" t="s">
        <v>1021</v>
      </c>
      <c r="B567" s="157" t="s">
        <v>32</v>
      </c>
      <c r="C567" s="157">
        <f ca="1">IFERROR(INDEX(BYEs!$B$2:$B$33,MATCH(D567,BYEs!$A$2:$A$33,0)),"N/A")</f>
        <v>6</v>
      </c>
      <c r="D567" s="214" t="str">
        <f t="shared" ca="1" si="56"/>
        <v>KC</v>
      </c>
      <c r="E567" s="213" t="str">
        <f t="shared" ca="1" si="57"/>
        <v>WR8</v>
      </c>
      <c r="F567" s="158">
        <f ca="1">IF(LeagueInfo!$H$7="Starter/Bench",INDEX(INDIRECT(""&amp;B567&amp;"!T2:T628"),MATCH(A567,INDIRECT(""&amp;B567&amp;"!B2:B628"),0)),INDEX(INDIRECT(""&amp;B567&amp;"!AB2:AB628"),MATCH(A567,INDIRECT(""&amp;B567&amp;"!B2:B628"),0)))</f>
        <v>-17.916779544415437</v>
      </c>
      <c r="G567" s="159">
        <f t="shared" si="58"/>
        <v>0</v>
      </c>
      <c r="H567" s="160"/>
      <c r="I567" s="159">
        <f t="shared" ca="1" si="59"/>
        <v>-17.916779544415437</v>
      </c>
      <c r="J567" s="159" t="s">
        <v>73</v>
      </c>
      <c r="K567" s="159">
        <f>IF(LeagueInfo!$F$7="Yahoo",IFERROR(INDEX(DefaultAuctionValues!$B$2:$B$331,MATCH(A567,DefaultAuctionValues!$A$2:$A$331,0)),0),IF(LeagueInfo!$F$7="ESPN",IFERROR(INDEX(DefaultAuctionValues!$C$2:$C$331,MATCH(A567,DefaultAuctionValues!$A$2:$A$331,0)),0),IF(LeagueInfo!$F$7="Custom",IFERROR(INDEX(DefaultAuctionValues!$D$2:$D$331,MATCH(A567,DefaultAuctionValues!$A$2:$A$331,0)),0))))</f>
        <v>0</v>
      </c>
      <c r="L567" s="159">
        <f t="shared" ca="1" si="60"/>
        <v>-17.916779544415437</v>
      </c>
      <c r="M567" s="171"/>
      <c r="N567" s="166">
        <f t="shared" ca="1" si="61"/>
        <v>-54.300000000000004</v>
      </c>
      <c r="O567" s="157" t="str">
        <f t="shared" ca="1" si="62"/>
        <v/>
      </c>
    </row>
    <row r="568" spans="1:15" x14ac:dyDescent="0.35">
      <c r="A568" s="157" t="s">
        <v>1021</v>
      </c>
      <c r="B568" s="157" t="s">
        <v>32</v>
      </c>
      <c r="C568" s="157">
        <f ca="1">IFERROR(INDEX(BYEs!$B$2:$B$33,MATCH(D568,BYEs!$A$2:$A$33,0)),"N/A")</f>
        <v>6</v>
      </c>
      <c r="D568" s="214" t="str">
        <f t="shared" ca="1" si="56"/>
        <v>KC</v>
      </c>
      <c r="E568" s="213" t="str">
        <f t="shared" ca="1" si="57"/>
        <v>WR8</v>
      </c>
      <c r="F568" s="158">
        <f ca="1">IF(LeagueInfo!$H$7="Starter/Bench",INDEX(INDIRECT(""&amp;B568&amp;"!T2:T628"),MATCH(A568,INDIRECT(""&amp;B568&amp;"!B2:B628"),0)),INDEX(INDIRECT(""&amp;B568&amp;"!AB2:AB628"),MATCH(A568,INDIRECT(""&amp;B568&amp;"!B2:B628"),0)))</f>
        <v>-17.916779544415437</v>
      </c>
      <c r="G568" s="159">
        <f t="shared" si="58"/>
        <v>0</v>
      </c>
      <c r="H568" s="160"/>
      <c r="I568" s="159">
        <f t="shared" ca="1" si="59"/>
        <v>-17.916779544415437</v>
      </c>
      <c r="J568" s="159" t="s">
        <v>73</v>
      </c>
      <c r="K568" s="159">
        <f>IF(LeagueInfo!$F$7="Yahoo",IFERROR(INDEX(DefaultAuctionValues!$B$2:$B$331,MATCH(A568,DefaultAuctionValues!$A$2:$A$331,0)),0),IF(LeagueInfo!$F$7="ESPN",IFERROR(INDEX(DefaultAuctionValues!$C$2:$C$331,MATCH(A568,DefaultAuctionValues!$A$2:$A$331,0)),0),IF(LeagueInfo!$F$7="Custom",IFERROR(INDEX(DefaultAuctionValues!$D$2:$D$331,MATCH(A568,DefaultAuctionValues!$A$2:$A$331,0)),0))))</f>
        <v>0</v>
      </c>
      <c r="L568" s="159">
        <f t="shared" ca="1" si="60"/>
        <v>-17.916779544415437</v>
      </c>
      <c r="M568" s="171"/>
      <c r="N568" s="166">
        <f t="shared" ca="1" si="61"/>
        <v>-54.300000000000004</v>
      </c>
      <c r="O568" s="157" t="str">
        <f t="shared" ca="1" si="62"/>
        <v/>
      </c>
    </row>
    <row r="569" spans="1:15" x14ac:dyDescent="0.35">
      <c r="A569" s="157" t="s">
        <v>1090</v>
      </c>
      <c r="B569" s="157" t="s">
        <v>32</v>
      </c>
      <c r="C569" s="157">
        <f ca="1">IFERROR(INDEX(BYEs!$B$2:$B$33,MATCH(D569,BYEs!$A$2:$A$33,0)),"N/A")</f>
        <v>14</v>
      </c>
      <c r="D569" s="214" t="str">
        <f t="shared" ca="1" si="56"/>
        <v>WAS</v>
      </c>
      <c r="E569" s="213" t="str">
        <f t="shared" ca="1" si="57"/>
        <v>WR8</v>
      </c>
      <c r="F569" s="158">
        <f ca="1">IF(LeagueInfo!$H$7="Starter/Bench",INDEX(INDIRECT(""&amp;B569&amp;"!T2:T628"),MATCH(A569,INDIRECT(""&amp;B569&amp;"!B2:B628"),0)),INDEX(INDIRECT(""&amp;B569&amp;"!AB2:AB628"),MATCH(A569,INDIRECT(""&amp;B569&amp;"!B2:B628"),0)))</f>
        <v>-18.019066867781341</v>
      </c>
      <c r="G569" s="159">
        <f t="shared" si="58"/>
        <v>0</v>
      </c>
      <c r="H569" s="160"/>
      <c r="I569" s="159">
        <f t="shared" ca="1" si="59"/>
        <v>-18.019066867781341</v>
      </c>
      <c r="J569" s="159" t="s">
        <v>73</v>
      </c>
      <c r="K569" s="159">
        <f>IF(LeagueInfo!$F$7="Yahoo",IFERROR(INDEX(DefaultAuctionValues!$B$2:$B$331,MATCH(A569,DefaultAuctionValues!$A$2:$A$331,0)),0),IF(LeagueInfo!$F$7="ESPN",IFERROR(INDEX(DefaultAuctionValues!$C$2:$C$331,MATCH(A569,DefaultAuctionValues!$A$2:$A$331,0)),0),IF(LeagueInfo!$F$7="Custom",IFERROR(INDEX(DefaultAuctionValues!$D$2:$D$331,MATCH(A569,DefaultAuctionValues!$A$2:$A$331,0)),0))))</f>
        <v>0</v>
      </c>
      <c r="L569" s="159">
        <f t="shared" ca="1" si="60"/>
        <v>-18.019066867781341</v>
      </c>
      <c r="M569" s="171"/>
      <c r="N569" s="166">
        <f t="shared" ca="1" si="61"/>
        <v>-54.61</v>
      </c>
      <c r="O569" s="157" t="str">
        <f t="shared" ca="1" si="62"/>
        <v/>
      </c>
    </row>
    <row r="570" spans="1:15" x14ac:dyDescent="0.35">
      <c r="A570" s="157" t="s">
        <v>534</v>
      </c>
      <c r="B570" s="157" t="s">
        <v>26</v>
      </c>
      <c r="C570" s="157">
        <f ca="1">IFERROR(INDEX(BYEs!$B$2:$B$33,MATCH(D570,BYEs!$A$2:$A$33,0)),"N/A")</f>
        <v>9</v>
      </c>
      <c r="D570" s="214" t="str">
        <f t="shared" ca="1" si="56"/>
        <v>PIT</v>
      </c>
      <c r="E570" s="213" t="str">
        <f t="shared" ca="1" si="57"/>
        <v>QB6</v>
      </c>
      <c r="F570" s="158">
        <f ca="1">IF(LeagueInfo!$H$7="Starter/Bench",INDEX(INDIRECT(""&amp;B570&amp;"!T2:T628"),MATCH(A570,INDIRECT(""&amp;B570&amp;"!B2:B628"),0)),INDEX(INDIRECT(""&amp;B570&amp;"!AB2:AB628"),MATCH(A570,INDIRECT(""&amp;B570&amp;"!B2:B628"),0)))</f>
        <v>-18.3335178973546</v>
      </c>
      <c r="G570" s="159">
        <f t="shared" si="58"/>
        <v>0</v>
      </c>
      <c r="H570" s="160"/>
      <c r="I570" s="159">
        <f t="shared" ca="1" si="59"/>
        <v>-18.3335178973546</v>
      </c>
      <c r="J570" s="159" t="s">
        <v>73</v>
      </c>
      <c r="K570" s="159">
        <f>IF(LeagueInfo!$F$7="Yahoo",IFERROR(INDEX(DefaultAuctionValues!$B$2:$B$331,MATCH(A570,DefaultAuctionValues!$A$2:$A$331,0)),0),IF(LeagueInfo!$F$7="ESPN",IFERROR(INDEX(DefaultAuctionValues!$C$2:$C$331,MATCH(A570,DefaultAuctionValues!$A$2:$A$331,0)),0),IF(LeagueInfo!$F$7="Custom",IFERROR(INDEX(DefaultAuctionValues!$D$2:$D$331,MATCH(A570,DefaultAuctionValues!$A$2:$A$331,0)),0))))</f>
        <v>0</v>
      </c>
      <c r="L570" s="159">
        <f t="shared" ca="1" si="60"/>
        <v>-18.3335178973546</v>
      </c>
      <c r="M570" s="171"/>
      <c r="N570" s="166">
        <f t="shared" ca="1" si="61"/>
        <v>-55.563000000000002</v>
      </c>
      <c r="O570" s="157" t="str">
        <f t="shared" ca="1" si="62"/>
        <v/>
      </c>
    </row>
    <row r="571" spans="1:15" x14ac:dyDescent="0.35">
      <c r="A571" s="157" t="s">
        <v>346</v>
      </c>
      <c r="B571" s="157" t="s">
        <v>26</v>
      </c>
      <c r="C571" s="157">
        <f ca="1">IFERROR(INDEX(BYEs!$B$2:$B$33,MATCH(D571,BYEs!$A$2:$A$33,0)),"N/A")</f>
        <v>14</v>
      </c>
      <c r="D571" s="214" t="str">
        <f t="shared" ca="1" si="56"/>
        <v>NE</v>
      </c>
      <c r="E571" s="213" t="str">
        <f t="shared" ca="1" si="57"/>
        <v>QB7</v>
      </c>
      <c r="F571" s="158">
        <f ca="1">IF(LeagueInfo!$H$7="Starter/Bench",INDEX(INDIRECT(""&amp;B571&amp;"!T2:T628"),MATCH(A571,INDIRECT(""&amp;B571&amp;"!B2:B628"),0)),INDEX(INDIRECT(""&amp;B571&amp;"!AB2:AB628"),MATCH(A571,INDIRECT(""&amp;B571&amp;"!B2:B628"),0)))</f>
        <v>-22.488362980656241</v>
      </c>
      <c r="G571" s="159">
        <f t="shared" si="58"/>
        <v>0</v>
      </c>
      <c r="H571" s="160"/>
      <c r="I571" s="159">
        <f t="shared" ca="1" si="59"/>
        <v>-22.488362980656241</v>
      </c>
      <c r="J571" s="159" t="s">
        <v>73</v>
      </c>
      <c r="K571" s="159">
        <f>IF(LeagueInfo!$F$7="Yahoo",IFERROR(INDEX(DefaultAuctionValues!$B$2:$B$331,MATCH(A571,DefaultAuctionValues!$A$2:$A$331,0)),0),IF(LeagueInfo!$F$7="ESPN",IFERROR(INDEX(DefaultAuctionValues!$C$2:$C$331,MATCH(A571,DefaultAuctionValues!$A$2:$A$331,0)),0),IF(LeagueInfo!$F$7="Custom",IFERROR(INDEX(DefaultAuctionValues!$D$2:$D$331,MATCH(A571,DefaultAuctionValues!$A$2:$A$331,0)),0))))</f>
        <v>0</v>
      </c>
      <c r="L571" s="159">
        <f t="shared" ca="1" si="60"/>
        <v>-22.488362980656241</v>
      </c>
      <c r="M571" s="171"/>
      <c r="N571" s="166">
        <f t="shared" ca="1" si="61"/>
        <v>-68.155000000000001</v>
      </c>
      <c r="O571" s="157" t="str">
        <f t="shared" ca="1" si="62"/>
        <v/>
      </c>
    </row>
    <row r="572" spans="1:15" x14ac:dyDescent="0.35">
      <c r="A572" s="157" t="s">
        <v>583</v>
      </c>
      <c r="B572" s="157" t="s">
        <v>26</v>
      </c>
      <c r="C572" s="157">
        <f ca="1">IFERROR(INDEX(BYEs!$B$2:$B$33,MATCH(D572,BYEs!$A$2:$A$33,0)),"N/A")</f>
        <v>10</v>
      </c>
      <c r="D572" s="214" t="str">
        <f t="shared" ca="1" si="56"/>
        <v>SEA</v>
      </c>
      <c r="E572" s="213" t="str">
        <f t="shared" ca="1" si="57"/>
        <v>QB7</v>
      </c>
      <c r="F572" s="158">
        <f ca="1">IF(LeagueInfo!$H$7="Starter/Bench",INDEX(INDIRECT(""&amp;B572&amp;"!T2:T628"),MATCH(A572,INDIRECT(""&amp;B572&amp;"!B2:B628"),0)),INDEX(INDIRECT(""&amp;B572&amp;"!AB2:AB628"),MATCH(A572,INDIRECT(""&amp;B572&amp;"!B2:B628"),0)))</f>
        <v>-24.333494310534164</v>
      </c>
      <c r="G572" s="159">
        <f t="shared" si="58"/>
        <v>0</v>
      </c>
      <c r="H572" s="160"/>
      <c r="I572" s="159">
        <f t="shared" ca="1" si="59"/>
        <v>-24.333494310534164</v>
      </c>
      <c r="J572" s="159" t="s">
        <v>73</v>
      </c>
      <c r="K572" s="159">
        <f>IF(LeagueInfo!$F$7="Yahoo",IFERROR(INDEX(DefaultAuctionValues!$B$2:$B$331,MATCH(A572,DefaultAuctionValues!$A$2:$A$331,0)),0),IF(LeagueInfo!$F$7="ESPN",IFERROR(INDEX(DefaultAuctionValues!$C$2:$C$331,MATCH(A572,DefaultAuctionValues!$A$2:$A$331,0)),0),IF(LeagueInfo!$F$7="Custom",IFERROR(INDEX(DefaultAuctionValues!$D$2:$D$331,MATCH(A572,DefaultAuctionValues!$A$2:$A$331,0)),0))))</f>
        <v>0</v>
      </c>
      <c r="L572" s="159">
        <f t="shared" ca="1" si="60"/>
        <v>-24.333494310534164</v>
      </c>
      <c r="M572" s="171"/>
      <c r="N572" s="166">
        <f t="shared" ca="1" si="61"/>
        <v>-73.747</v>
      </c>
      <c r="O572" s="157" t="str">
        <f t="shared" ca="1" si="62"/>
        <v/>
      </c>
    </row>
    <row r="573" spans="1:15" x14ac:dyDescent="0.35">
      <c r="A573" s="157" t="s">
        <v>413</v>
      </c>
      <c r="B573" s="157" t="s">
        <v>26</v>
      </c>
      <c r="C573" s="157">
        <f ca="1">IFERROR(INDEX(BYEs!$B$2:$B$33,MATCH(D573,BYEs!$A$2:$A$33,0)),"N/A")</f>
        <v>11</v>
      </c>
      <c r="D573" s="214" t="str">
        <f t="shared" ca="1" si="56"/>
        <v>NYG</v>
      </c>
      <c r="E573" s="213" t="str">
        <f t="shared" ca="1" si="57"/>
        <v>QB7</v>
      </c>
      <c r="F573" s="158">
        <f ca="1">IF(LeagueInfo!$H$7="Starter/Bench",INDEX(INDIRECT(""&amp;B573&amp;"!T2:T628"),MATCH(A573,INDIRECT(""&amp;B573&amp;"!B2:B628"),0)),INDEX(INDIRECT(""&amp;B573&amp;"!AB2:AB628"),MATCH(A573,INDIRECT(""&amp;B573&amp;"!B2:B628"),0)))</f>
        <v>-24.634087057586878</v>
      </c>
      <c r="G573" s="159">
        <f t="shared" si="58"/>
        <v>0</v>
      </c>
      <c r="H573" s="160"/>
      <c r="I573" s="159">
        <f t="shared" ca="1" si="59"/>
        <v>-24.634087057586878</v>
      </c>
      <c r="J573" s="159" t="s">
        <v>73</v>
      </c>
      <c r="K573" s="159">
        <f>IF(LeagueInfo!$F$7="Yahoo",IFERROR(INDEX(DefaultAuctionValues!$B$2:$B$331,MATCH(A573,DefaultAuctionValues!$A$2:$A$331,0)),0),IF(LeagueInfo!$F$7="ESPN",IFERROR(INDEX(DefaultAuctionValues!$C$2:$C$331,MATCH(A573,DefaultAuctionValues!$A$2:$A$331,0)),0),IF(LeagueInfo!$F$7="Custom",IFERROR(INDEX(DefaultAuctionValues!$D$2:$D$331,MATCH(A573,DefaultAuctionValues!$A$2:$A$331,0)),0))))</f>
        <v>0</v>
      </c>
      <c r="L573" s="159">
        <f t="shared" ca="1" si="60"/>
        <v>-24.634087057586878</v>
      </c>
      <c r="M573" s="171"/>
      <c r="N573" s="166">
        <f t="shared" ca="1" si="61"/>
        <v>-74.658000000000001</v>
      </c>
      <c r="O573" s="157" t="str">
        <f t="shared" ca="1" si="62"/>
        <v/>
      </c>
    </row>
    <row r="574" spans="1:15" x14ac:dyDescent="0.35">
      <c r="A574" s="157" t="s">
        <v>415</v>
      </c>
      <c r="B574" s="157" t="s">
        <v>26</v>
      </c>
      <c r="C574" s="157">
        <f ca="1">IFERROR(INDEX(BYEs!$B$2:$B$33,MATCH(D574,BYEs!$A$2:$A$33,0)),"N/A")</f>
        <v>6</v>
      </c>
      <c r="D574" s="214" t="str">
        <f t="shared" ca="1" si="56"/>
        <v>MIN</v>
      </c>
      <c r="E574" s="213" t="str">
        <f t="shared" ca="1" si="57"/>
        <v>QB7</v>
      </c>
      <c r="F574" s="158">
        <f ca="1">IF(LeagueInfo!$H$7="Starter/Bench",INDEX(INDIRECT(""&amp;B574&amp;"!T2:T628"),MATCH(A574,INDIRECT(""&amp;B574&amp;"!B2:B628"),0)),INDEX(INDIRECT(""&amp;B574&amp;"!AB2:AB628"),MATCH(A574,INDIRECT(""&amp;B574&amp;"!B2:B628"),0)))</f>
        <v>-24.650255053860842</v>
      </c>
      <c r="G574" s="159">
        <f t="shared" si="58"/>
        <v>0</v>
      </c>
      <c r="H574" s="160"/>
      <c r="I574" s="159">
        <f t="shared" ca="1" si="59"/>
        <v>-24.650255053860842</v>
      </c>
      <c r="J574" s="159" t="s">
        <v>73</v>
      </c>
      <c r="K574" s="159">
        <f>IF(LeagueInfo!$F$7="Yahoo",IFERROR(INDEX(DefaultAuctionValues!$B$2:$B$331,MATCH(A574,DefaultAuctionValues!$A$2:$A$331,0)),0),IF(LeagueInfo!$F$7="ESPN",IFERROR(INDEX(DefaultAuctionValues!$C$2:$C$331,MATCH(A574,DefaultAuctionValues!$A$2:$A$331,0)),0),IF(LeagueInfo!$F$7="Custom",IFERROR(INDEX(DefaultAuctionValues!$D$2:$D$331,MATCH(A574,DefaultAuctionValues!$A$2:$A$331,0)),0))))</f>
        <v>0</v>
      </c>
      <c r="L574" s="159">
        <f t="shared" ca="1" si="60"/>
        <v>-24.650255053860842</v>
      </c>
      <c r="M574" s="171"/>
      <c r="N574" s="166">
        <f t="shared" ca="1" si="61"/>
        <v>-74.706999999999994</v>
      </c>
      <c r="O574" s="157" t="str">
        <f t="shared" ca="1" si="62"/>
        <v/>
      </c>
    </row>
    <row r="575" spans="1:15" x14ac:dyDescent="0.35">
      <c r="A575" s="157" t="s">
        <v>417</v>
      </c>
      <c r="B575" s="157" t="s">
        <v>26</v>
      </c>
      <c r="C575" s="157">
        <f ca="1">IFERROR(INDEX(BYEs!$B$2:$B$33,MATCH(D575,BYEs!$A$2:$A$33,0)),"N/A")</f>
        <v>14</v>
      </c>
      <c r="D575" s="214" t="str">
        <f t="shared" ca="1" si="56"/>
        <v>DEN</v>
      </c>
      <c r="E575" s="213" t="str">
        <f t="shared" ca="1" si="57"/>
        <v>QB7</v>
      </c>
      <c r="F575" s="158">
        <f ca="1">IF(LeagueInfo!$H$7="Starter/Bench",INDEX(INDIRECT(""&amp;B575&amp;"!T2:T628"),MATCH(A575,INDIRECT(""&amp;B575&amp;"!B2:B628"),0)),INDEX(INDIRECT(""&amp;B575&amp;"!AB2:AB628"),MATCH(A575,INDIRECT(""&amp;B575&amp;"!B2:B628"),0)))</f>
        <v>-25.446446380576766</v>
      </c>
      <c r="G575" s="159">
        <f t="shared" si="58"/>
        <v>0</v>
      </c>
      <c r="H575" s="160"/>
      <c r="I575" s="159">
        <f t="shared" ca="1" si="59"/>
        <v>-25.446446380576766</v>
      </c>
      <c r="J575" s="159" t="s">
        <v>73</v>
      </c>
      <c r="K575" s="159">
        <f>IF(LeagueInfo!$F$7="Yahoo",IFERROR(INDEX(DefaultAuctionValues!$B$2:$B$331,MATCH(A575,DefaultAuctionValues!$A$2:$A$331,0)),0),IF(LeagueInfo!$F$7="ESPN",IFERROR(INDEX(DefaultAuctionValues!$C$2:$C$331,MATCH(A575,DefaultAuctionValues!$A$2:$A$331,0)),0),IF(LeagueInfo!$F$7="Custom",IFERROR(INDEX(DefaultAuctionValues!$D$2:$D$331,MATCH(A575,DefaultAuctionValues!$A$2:$A$331,0)),0))))</f>
        <v>0</v>
      </c>
      <c r="L575" s="159">
        <f t="shared" ca="1" si="60"/>
        <v>-25.446446380576766</v>
      </c>
      <c r="M575" s="171"/>
      <c r="N575" s="166">
        <f t="shared" ca="1" si="61"/>
        <v>-77.12</v>
      </c>
      <c r="O575" s="157" t="str">
        <f t="shared" ca="1" si="62"/>
        <v/>
      </c>
    </row>
    <row r="576" spans="1:15" x14ac:dyDescent="0.35">
      <c r="A576" s="157" t="s">
        <v>114</v>
      </c>
      <c r="B576" s="157" t="s">
        <v>26</v>
      </c>
      <c r="C576" s="157">
        <f ca="1">IFERROR(INDEX(BYEs!$B$2:$B$33,MATCH(D576,BYEs!$A$2:$A$33,0)),"N/A")</f>
        <v>10</v>
      </c>
      <c r="D576" s="214" t="str">
        <f t="shared" ca="1" si="56"/>
        <v>CLE</v>
      </c>
      <c r="E576" s="213" t="str">
        <f t="shared" ca="1" si="57"/>
        <v>QB7</v>
      </c>
      <c r="F576" s="158">
        <f ca="1">IF(LeagueInfo!$H$7="Starter/Bench",INDEX(INDIRECT(""&amp;B576&amp;"!T2:T628"),MATCH(A576,INDIRECT(""&amp;B576&amp;"!B2:B628"),0)),INDEX(INDIRECT(""&amp;B576&amp;"!AB2:AB628"),MATCH(A576,INDIRECT(""&amp;B576&amp;"!B2:B628"),0)))</f>
        <v>-25.653330741062003</v>
      </c>
      <c r="G576" s="159">
        <f t="shared" si="58"/>
        <v>0</v>
      </c>
      <c r="H576" s="160"/>
      <c r="I576" s="159">
        <f t="shared" ca="1" si="59"/>
        <v>-25.653330741062003</v>
      </c>
      <c r="J576" s="159" t="s">
        <v>73</v>
      </c>
      <c r="K576" s="159">
        <f>IF(LeagueInfo!$F$7="Yahoo",IFERROR(INDEX(DefaultAuctionValues!$B$2:$B$331,MATCH(A576,DefaultAuctionValues!$A$2:$A$331,0)),0),IF(LeagueInfo!$F$7="ESPN",IFERROR(INDEX(DefaultAuctionValues!$C$2:$C$331,MATCH(A576,DefaultAuctionValues!$A$2:$A$331,0)),0),IF(LeagueInfo!$F$7="Custom",IFERROR(INDEX(DefaultAuctionValues!$D$2:$D$331,MATCH(A576,DefaultAuctionValues!$A$2:$A$331,0)),0))))</f>
        <v>0</v>
      </c>
      <c r="L576" s="159">
        <f t="shared" ca="1" si="60"/>
        <v>-25.653330741062003</v>
      </c>
      <c r="M576" s="171"/>
      <c r="N576" s="166">
        <f t="shared" ca="1" si="61"/>
        <v>-77.747</v>
      </c>
      <c r="O576" s="157" t="str">
        <f t="shared" ca="1" si="62"/>
        <v/>
      </c>
    </row>
    <row r="577" spans="1:15" x14ac:dyDescent="0.35">
      <c r="A577" s="157" t="s">
        <v>857</v>
      </c>
      <c r="B577" s="157" t="s">
        <v>26</v>
      </c>
      <c r="C577" s="157">
        <f ca="1">IFERROR(INDEX(BYEs!$B$2:$B$33,MATCH(D577,BYEs!$A$2:$A$33,0)),"N/A")</f>
        <v>12</v>
      </c>
      <c r="D577" s="214" t="str">
        <f t="shared" ca="1" si="56"/>
        <v>ATL</v>
      </c>
      <c r="E577" s="213" t="str">
        <f t="shared" ca="1" si="57"/>
        <v>QB7</v>
      </c>
      <c r="F577" s="158">
        <f ca="1">IF(LeagueInfo!$H$7="Starter/Bench",INDEX(INDIRECT(""&amp;B577&amp;"!T2:T628"),MATCH(A577,INDIRECT(""&amp;B577&amp;"!B2:B628"),0)),INDEX(INDIRECT(""&amp;B577&amp;"!AB2:AB628"),MATCH(A577,INDIRECT(""&amp;B577&amp;"!B2:B628"),0)))</f>
        <v>-25.94072512380944</v>
      </c>
      <c r="G577" s="159">
        <f t="shared" si="58"/>
        <v>0</v>
      </c>
      <c r="H577" s="160"/>
      <c r="I577" s="159">
        <f t="shared" ca="1" si="59"/>
        <v>-25.94072512380944</v>
      </c>
      <c r="J577" s="159" t="s">
        <v>73</v>
      </c>
      <c r="K577" s="159">
        <f>IF(LeagueInfo!$F$7="Yahoo",IFERROR(INDEX(DefaultAuctionValues!$B$2:$B$331,MATCH(A577,DefaultAuctionValues!$A$2:$A$331,0)),0),IF(LeagueInfo!$F$7="ESPN",IFERROR(INDEX(DefaultAuctionValues!$C$2:$C$331,MATCH(A577,DefaultAuctionValues!$A$2:$A$331,0)),0),IF(LeagueInfo!$F$7="Custom",IFERROR(INDEX(DefaultAuctionValues!$D$2:$D$331,MATCH(A577,DefaultAuctionValues!$A$2:$A$331,0)),0))))</f>
        <v>0</v>
      </c>
      <c r="L577" s="159">
        <f t="shared" ca="1" si="60"/>
        <v>-25.94072512380944</v>
      </c>
      <c r="M577" s="171"/>
      <c r="N577" s="166">
        <f t="shared" ca="1" si="61"/>
        <v>-78.617999999999995</v>
      </c>
      <c r="O577" s="157" t="str">
        <f t="shared" ca="1" si="62"/>
        <v/>
      </c>
    </row>
    <row r="578" spans="1:15" x14ac:dyDescent="0.35">
      <c r="A578" s="157" t="s">
        <v>836</v>
      </c>
      <c r="B578" s="157" t="s">
        <v>26</v>
      </c>
      <c r="C578" s="157">
        <f ca="1">IFERROR(INDEX(BYEs!$B$2:$B$33,MATCH(D578,BYEs!$A$2:$A$33,0)),"N/A")</f>
        <v>12</v>
      </c>
      <c r="D578" s="214" t="str">
        <f t="shared" ca="1" si="56"/>
        <v>CIN</v>
      </c>
      <c r="E578" s="213" t="str">
        <f t="shared" ca="1" si="57"/>
        <v>QB7</v>
      </c>
      <c r="F578" s="158">
        <f ca="1">IF(LeagueInfo!$H$7="Starter/Bench",INDEX(INDIRECT(""&amp;B578&amp;"!T2:T628"),MATCH(A578,INDIRECT(""&amp;B578&amp;"!B2:B628"),0)),INDEX(INDIRECT(""&amp;B578&amp;"!AB2:AB628"),MATCH(A578,INDIRECT(""&amp;B578&amp;"!B2:B628"),0)))</f>
        <v>-26.056210811480629</v>
      </c>
      <c r="G578" s="159">
        <f t="shared" si="58"/>
        <v>0</v>
      </c>
      <c r="H578" s="160"/>
      <c r="I578" s="159">
        <f t="shared" ca="1" si="59"/>
        <v>-26.056210811480629</v>
      </c>
      <c r="J578" s="159" t="s">
        <v>73</v>
      </c>
      <c r="K578" s="159">
        <f>IF(LeagueInfo!$F$7="Yahoo",IFERROR(INDEX(DefaultAuctionValues!$B$2:$B$331,MATCH(A578,DefaultAuctionValues!$A$2:$A$331,0)),0),IF(LeagueInfo!$F$7="ESPN",IFERROR(INDEX(DefaultAuctionValues!$C$2:$C$331,MATCH(A578,DefaultAuctionValues!$A$2:$A$331,0)),0),IF(LeagueInfo!$F$7="Custom",IFERROR(INDEX(DefaultAuctionValues!$D$2:$D$331,MATCH(A578,DefaultAuctionValues!$A$2:$A$331,0)),0))))</f>
        <v>0</v>
      </c>
      <c r="L578" s="159">
        <f t="shared" ca="1" si="60"/>
        <v>-26.056210811480629</v>
      </c>
      <c r="M578" s="171"/>
      <c r="N578" s="166">
        <f t="shared" ca="1" si="61"/>
        <v>-78.968000000000004</v>
      </c>
      <c r="O578" s="157" t="str">
        <f t="shared" ca="1" si="62"/>
        <v/>
      </c>
    </row>
    <row r="579" spans="1:15" x14ac:dyDescent="0.35">
      <c r="A579" s="157" t="s">
        <v>860</v>
      </c>
      <c r="B579" s="157" t="s">
        <v>26</v>
      </c>
      <c r="C579" s="157">
        <f ca="1">IFERROR(INDEX(BYEs!$B$2:$B$33,MATCH(D579,BYEs!$A$2:$A$33,0)),"N/A")</f>
        <v>12</v>
      </c>
      <c r="D579" s="214" t="str">
        <f t="shared" ca="1" si="56"/>
        <v>NO</v>
      </c>
      <c r="E579" s="213" t="str">
        <f t="shared" ca="1" si="57"/>
        <v>QB7</v>
      </c>
      <c r="F579" s="158">
        <f ca="1">IF(LeagueInfo!$H$7="Starter/Bench",INDEX(INDIRECT(""&amp;B579&amp;"!T2:T628"),MATCH(A579,INDIRECT(""&amp;B579&amp;"!B2:B628"),0)),INDEX(INDIRECT(""&amp;B579&amp;"!AB2:AB628"),MATCH(A579,INDIRECT(""&amp;B579&amp;"!B2:B628"),0)))</f>
        <v>-26.088216844920925</v>
      </c>
      <c r="G579" s="159">
        <f t="shared" si="58"/>
        <v>0</v>
      </c>
      <c r="H579" s="160"/>
      <c r="I579" s="159">
        <f t="shared" ca="1" si="59"/>
        <v>-26.088216844920925</v>
      </c>
      <c r="J579" s="159" t="s">
        <v>73</v>
      </c>
      <c r="K579" s="159">
        <f>IF(LeagueInfo!$F$7="Yahoo",IFERROR(INDEX(DefaultAuctionValues!$B$2:$B$331,MATCH(A579,DefaultAuctionValues!$A$2:$A$331,0)),0),IF(LeagueInfo!$F$7="ESPN",IFERROR(INDEX(DefaultAuctionValues!$C$2:$C$331,MATCH(A579,DefaultAuctionValues!$A$2:$A$331,0)),0),IF(LeagueInfo!$F$7="Custom",IFERROR(INDEX(DefaultAuctionValues!$D$2:$D$331,MATCH(A579,DefaultAuctionValues!$A$2:$A$331,0)),0))))</f>
        <v>0</v>
      </c>
      <c r="L579" s="159">
        <f t="shared" ca="1" si="60"/>
        <v>-26.088216844920925</v>
      </c>
      <c r="M579" s="171"/>
      <c r="N579" s="166">
        <f t="shared" ca="1" si="61"/>
        <v>-79.064999999999998</v>
      </c>
      <c r="O579" s="157" t="str">
        <f t="shared" ca="1" si="62"/>
        <v/>
      </c>
    </row>
    <row r="580" spans="1:15" x14ac:dyDescent="0.35">
      <c r="A580" s="157" t="s">
        <v>856</v>
      </c>
      <c r="B580" s="157" t="s">
        <v>26</v>
      </c>
      <c r="C580" s="157">
        <f ca="1">IFERROR(INDEX(BYEs!$B$2:$B$33,MATCH(D580,BYEs!$A$2:$A$33,0)),"N/A")</f>
        <v>14</v>
      </c>
      <c r="D580" s="214" t="str">
        <f t="shared" ca="1" si="56"/>
        <v>BAL</v>
      </c>
      <c r="E580" s="213" t="str">
        <f t="shared" ca="1" si="57"/>
        <v>QB7</v>
      </c>
      <c r="F580" s="158">
        <f ca="1">IF(LeagueInfo!$H$7="Starter/Bench",INDEX(INDIRECT(""&amp;B580&amp;"!T2:T628"),MATCH(A580,INDIRECT(""&amp;B580&amp;"!B2:B628"),0)),INDEX(INDIRECT(""&amp;B580&amp;"!AB2:AB628"),MATCH(A580,INDIRECT(""&amp;B580&amp;"!B2:B628"),0)))</f>
        <v>-26.309289447034342</v>
      </c>
      <c r="G580" s="159">
        <f t="shared" si="58"/>
        <v>0</v>
      </c>
      <c r="H580" s="160"/>
      <c r="I580" s="159">
        <f t="shared" ca="1" si="59"/>
        <v>-26.309289447034342</v>
      </c>
      <c r="J580" s="159" t="s">
        <v>73</v>
      </c>
      <c r="K580" s="159">
        <f>IF(LeagueInfo!$F$7="Yahoo",IFERROR(INDEX(DefaultAuctionValues!$B$2:$B$331,MATCH(A580,DefaultAuctionValues!$A$2:$A$331,0)),0),IF(LeagueInfo!$F$7="ESPN",IFERROR(INDEX(DefaultAuctionValues!$C$2:$C$331,MATCH(A580,DefaultAuctionValues!$A$2:$A$331,0)),0),IF(LeagueInfo!$F$7="Custom",IFERROR(INDEX(DefaultAuctionValues!$D$2:$D$331,MATCH(A580,DefaultAuctionValues!$A$2:$A$331,0)),0))))</f>
        <v>0</v>
      </c>
      <c r="L580" s="159">
        <f t="shared" ca="1" si="60"/>
        <v>-26.309289447034342</v>
      </c>
      <c r="M580" s="171"/>
      <c r="N580" s="166">
        <f t="shared" ca="1" si="61"/>
        <v>-79.734999999999999</v>
      </c>
      <c r="O580" s="157" t="str">
        <f t="shared" ca="1" si="62"/>
        <v/>
      </c>
    </row>
    <row r="581" spans="1:15" x14ac:dyDescent="0.35">
      <c r="A581" s="157" t="s">
        <v>723</v>
      </c>
      <c r="B581" s="157" t="s">
        <v>26</v>
      </c>
      <c r="C581" s="157">
        <f ca="1">IFERROR(INDEX(BYEs!$B$2:$B$33,MATCH(D581,BYEs!$A$2:$A$33,0)),"N/A")</f>
        <v>5</v>
      </c>
      <c r="D581" s="214" t="str">
        <f t="shared" ca="1" si="56"/>
        <v>DET</v>
      </c>
      <c r="E581" s="213" t="str">
        <f t="shared" ca="1" si="57"/>
        <v>QB7</v>
      </c>
      <c r="F581" s="158">
        <f ca="1">IF(LeagueInfo!$H$7="Starter/Bench",INDEX(INDIRECT(""&amp;B581&amp;"!T2:T628"),MATCH(A581,INDIRECT(""&amp;B581&amp;"!B2:B628"),0)),INDEX(INDIRECT(""&amp;B581&amp;"!AB2:AB628"),MATCH(A581,INDIRECT(""&amp;B581&amp;"!B2:B628"),0)))</f>
        <v>-26.380890573390474</v>
      </c>
      <c r="G581" s="159">
        <f t="shared" si="58"/>
        <v>0</v>
      </c>
      <c r="H581" s="160"/>
      <c r="I581" s="159">
        <f t="shared" ca="1" si="59"/>
        <v>-26.380890573390474</v>
      </c>
      <c r="J581" s="159" t="s">
        <v>73</v>
      </c>
      <c r="K581" s="159">
        <f>IF(LeagueInfo!$F$7="Yahoo",IFERROR(INDEX(DefaultAuctionValues!$B$2:$B$331,MATCH(A581,DefaultAuctionValues!$A$2:$A$331,0)),0),IF(LeagueInfo!$F$7="ESPN",IFERROR(INDEX(DefaultAuctionValues!$C$2:$C$331,MATCH(A581,DefaultAuctionValues!$A$2:$A$331,0)),0),IF(LeagueInfo!$F$7="Custom",IFERROR(INDEX(DefaultAuctionValues!$D$2:$D$331,MATCH(A581,DefaultAuctionValues!$A$2:$A$331,0)),0))))</f>
        <v>0</v>
      </c>
      <c r="L581" s="159">
        <f t="shared" ca="1" si="60"/>
        <v>-26.380890573390474</v>
      </c>
      <c r="M581" s="171"/>
      <c r="N581" s="166">
        <f t="shared" ca="1" si="61"/>
        <v>-79.951999999999998</v>
      </c>
      <c r="O581" s="157" t="str">
        <f t="shared" ca="1" si="62"/>
        <v/>
      </c>
    </row>
    <row r="582" spans="1:15" x14ac:dyDescent="0.35">
      <c r="A582" s="157" t="s">
        <v>673</v>
      </c>
      <c r="B582" s="157" t="s">
        <v>26</v>
      </c>
      <c r="C582" s="157">
        <f ca="1">IFERROR(INDEX(BYEs!$B$2:$B$33,MATCH(D582,BYEs!$A$2:$A$33,0)),"N/A")</f>
        <v>12</v>
      </c>
      <c r="D582" s="214" t="str">
        <f t="shared" ca="1" si="56"/>
        <v>BUF</v>
      </c>
      <c r="E582" s="213" t="str">
        <f t="shared" ca="1" si="57"/>
        <v>QB7</v>
      </c>
      <c r="F582" s="158">
        <f ca="1">IF(LeagueInfo!$H$7="Starter/Bench",INDEX(INDIRECT(""&amp;B582&amp;"!T2:T628"),MATCH(A582,INDIRECT(""&amp;B582&amp;"!B2:B628"),0)),INDEX(INDIRECT(""&amp;B582&amp;"!AB2:AB628"),MATCH(A582,INDIRECT(""&amp;B582&amp;"!B2:B628"),0)))</f>
        <v>-26.568967264740696</v>
      </c>
      <c r="G582" s="159">
        <f t="shared" si="58"/>
        <v>0</v>
      </c>
      <c r="H582" s="160"/>
      <c r="I582" s="159">
        <f t="shared" ca="1" si="59"/>
        <v>-26.568967264740696</v>
      </c>
      <c r="J582" s="159" t="s">
        <v>73</v>
      </c>
      <c r="K582" s="159">
        <f>IF(LeagueInfo!$F$7="Yahoo",IFERROR(INDEX(DefaultAuctionValues!$B$2:$B$331,MATCH(A582,DefaultAuctionValues!$A$2:$A$331,0)),0),IF(LeagueInfo!$F$7="ESPN",IFERROR(INDEX(DefaultAuctionValues!$C$2:$C$331,MATCH(A582,DefaultAuctionValues!$A$2:$A$331,0)),0),IF(LeagueInfo!$F$7="Custom",IFERROR(INDEX(DefaultAuctionValues!$D$2:$D$331,MATCH(A582,DefaultAuctionValues!$A$2:$A$331,0)),0))))</f>
        <v>0</v>
      </c>
      <c r="L582" s="159">
        <f t="shared" ca="1" si="60"/>
        <v>-26.568967264740696</v>
      </c>
      <c r="M582" s="171"/>
      <c r="N582" s="166">
        <f t="shared" ca="1" si="61"/>
        <v>-80.522000000000006</v>
      </c>
      <c r="O582" s="157" t="str">
        <f t="shared" ca="1" si="62"/>
        <v/>
      </c>
    </row>
    <row r="583" spans="1:15" x14ac:dyDescent="0.35">
      <c r="A583" s="157" t="s">
        <v>986</v>
      </c>
      <c r="B583" s="157" t="s">
        <v>26</v>
      </c>
      <c r="C583" s="157">
        <f ca="1">IFERROR(INDEX(BYEs!$B$2:$B$33,MATCH(D583,BYEs!$A$2:$A$33,0)),"N/A")</f>
        <v>6</v>
      </c>
      <c r="D583" s="214" t="str">
        <f t="shared" ca="1" si="56"/>
        <v>MIA</v>
      </c>
      <c r="E583" s="213" t="str">
        <f t="shared" ca="1" si="57"/>
        <v>QB7</v>
      </c>
      <c r="F583" s="158">
        <f ca="1">IF(LeagueInfo!$H$7="Starter/Bench",INDEX(INDIRECT(""&amp;B583&amp;"!T2:T628"),MATCH(A583,INDIRECT(""&amp;B583&amp;"!B2:B628"),0)),INDEX(INDIRECT(""&amp;B583&amp;"!AB2:AB628"),MATCH(A583,INDIRECT(""&amp;B583&amp;"!B2:B628"),0)))</f>
        <v>-26.69864119404005</v>
      </c>
      <c r="G583" s="159">
        <f t="shared" si="58"/>
        <v>0</v>
      </c>
      <c r="H583" s="160"/>
      <c r="I583" s="159">
        <f t="shared" ca="1" si="59"/>
        <v>-26.69864119404005</v>
      </c>
      <c r="J583" s="159" t="s">
        <v>73</v>
      </c>
      <c r="K583" s="159">
        <f>IF(LeagueInfo!$F$7="Yahoo",IFERROR(INDEX(DefaultAuctionValues!$B$2:$B$331,MATCH(A583,DefaultAuctionValues!$A$2:$A$331,0)),0),IF(LeagueInfo!$F$7="ESPN",IFERROR(INDEX(DefaultAuctionValues!$C$2:$C$331,MATCH(A583,DefaultAuctionValues!$A$2:$A$331,0)),0),IF(LeagueInfo!$F$7="Custom",IFERROR(INDEX(DefaultAuctionValues!$D$2:$D$331,MATCH(A583,DefaultAuctionValues!$A$2:$A$331,0)),0))))</f>
        <v>0</v>
      </c>
      <c r="L583" s="159">
        <f t="shared" ca="1" si="60"/>
        <v>-26.69864119404005</v>
      </c>
      <c r="M583" s="171"/>
      <c r="N583" s="166">
        <f t="shared" ca="1" si="61"/>
        <v>-80.914999999999992</v>
      </c>
      <c r="O583" s="157" t="str">
        <f t="shared" ca="1" si="62"/>
        <v/>
      </c>
    </row>
    <row r="584" spans="1:15" x14ac:dyDescent="0.35">
      <c r="A584" s="157" t="s">
        <v>224</v>
      </c>
      <c r="B584" s="157" t="s">
        <v>26</v>
      </c>
      <c r="C584" s="157">
        <f ca="1">IFERROR(INDEX(BYEs!$B$2:$B$33,MATCH(D584,BYEs!$A$2:$A$33,0)),"N/A")</f>
        <v>6</v>
      </c>
      <c r="D584" s="214" t="str">
        <f t="shared" ca="1" si="56"/>
        <v>LAR</v>
      </c>
      <c r="E584" s="213" t="str">
        <f t="shared" ca="1" si="57"/>
        <v>QB7</v>
      </c>
      <c r="F584" s="158">
        <f ca="1">IF(LeagueInfo!$H$7="Starter/Bench",INDEX(INDIRECT(""&amp;B584&amp;"!T2:T628"),MATCH(A584,INDIRECT(""&amp;B584&amp;"!B2:B628"),0)),INDEX(INDIRECT(""&amp;B584&amp;"!AB2:AB628"),MATCH(A584,INDIRECT(""&amp;B584&amp;"!B2:B628"),0)))</f>
        <v>-26.700620948685849</v>
      </c>
      <c r="G584" s="159">
        <f t="shared" si="58"/>
        <v>0</v>
      </c>
      <c r="H584" s="160"/>
      <c r="I584" s="159">
        <f t="shared" ca="1" si="59"/>
        <v>-26.700620948685849</v>
      </c>
      <c r="J584" s="159" t="s">
        <v>73</v>
      </c>
      <c r="K584" s="159">
        <f>IF(LeagueInfo!$F$7="Yahoo",IFERROR(INDEX(DefaultAuctionValues!$B$2:$B$331,MATCH(A584,DefaultAuctionValues!$A$2:$A$331,0)),0),IF(LeagueInfo!$F$7="ESPN",IFERROR(INDEX(DefaultAuctionValues!$C$2:$C$331,MATCH(A584,DefaultAuctionValues!$A$2:$A$331,0)),0),IF(LeagueInfo!$F$7="Custom",IFERROR(INDEX(DefaultAuctionValues!$D$2:$D$331,MATCH(A584,DefaultAuctionValues!$A$2:$A$331,0)),0))))</f>
        <v>0</v>
      </c>
      <c r="L584" s="159">
        <f t="shared" ca="1" si="60"/>
        <v>-26.700620948685849</v>
      </c>
      <c r="M584" s="171"/>
      <c r="N584" s="166">
        <f t="shared" ca="1" si="61"/>
        <v>-80.921000000000006</v>
      </c>
      <c r="O584" s="157" t="str">
        <f t="shared" ca="1" si="62"/>
        <v/>
      </c>
    </row>
    <row r="585" spans="1:15" x14ac:dyDescent="0.35">
      <c r="A585" s="157" t="s">
        <v>135</v>
      </c>
      <c r="B585" s="157" t="s">
        <v>26</v>
      </c>
      <c r="C585" s="157">
        <f ca="1">IFERROR(INDEX(BYEs!$B$2:$B$33,MATCH(D585,BYEs!$A$2:$A$33,0)),"N/A")</f>
        <v>6</v>
      </c>
      <c r="D585" s="214" t="str">
        <f t="shared" ca="1" si="56"/>
        <v>KC</v>
      </c>
      <c r="E585" s="213" t="str">
        <f t="shared" ca="1" si="57"/>
        <v>QB7</v>
      </c>
      <c r="F585" s="158">
        <f ca="1">IF(LeagueInfo!$H$7="Starter/Bench",INDEX(INDIRECT(""&amp;B585&amp;"!T2:T628"),MATCH(A585,INDIRECT(""&amp;B585&amp;"!B2:B628"),0)),INDEX(INDIRECT(""&amp;B585&amp;"!AB2:AB628"),MATCH(A585,INDIRECT(""&amp;B585&amp;"!B2:B628"),0)))</f>
        <v>-26.76562289288934</v>
      </c>
      <c r="G585" s="159">
        <f t="shared" si="58"/>
        <v>0</v>
      </c>
      <c r="H585" s="160"/>
      <c r="I585" s="159">
        <f t="shared" ca="1" si="59"/>
        <v>-26.76562289288934</v>
      </c>
      <c r="J585" s="159" t="s">
        <v>73</v>
      </c>
      <c r="K585" s="159">
        <f>IF(LeagueInfo!$F$7="Yahoo",IFERROR(INDEX(DefaultAuctionValues!$B$2:$B$331,MATCH(A585,DefaultAuctionValues!$A$2:$A$331,0)),0),IF(LeagueInfo!$F$7="ESPN",IFERROR(INDEX(DefaultAuctionValues!$C$2:$C$331,MATCH(A585,DefaultAuctionValues!$A$2:$A$331,0)),0),IF(LeagueInfo!$F$7="Custom",IFERROR(INDEX(DefaultAuctionValues!$D$2:$D$331,MATCH(A585,DefaultAuctionValues!$A$2:$A$331,0)),0))))</f>
        <v>0</v>
      </c>
      <c r="L585" s="159">
        <f t="shared" ca="1" si="60"/>
        <v>-26.76562289288934</v>
      </c>
      <c r="M585" s="171"/>
      <c r="N585" s="166">
        <f t="shared" ca="1" si="61"/>
        <v>-81.117999999999995</v>
      </c>
      <c r="O585" s="157" t="str">
        <f t="shared" ca="1" si="62"/>
        <v/>
      </c>
    </row>
    <row r="586" spans="1:15" x14ac:dyDescent="0.35">
      <c r="A586" s="157" t="s">
        <v>416</v>
      </c>
      <c r="B586" s="157" t="s">
        <v>26</v>
      </c>
      <c r="C586" s="157">
        <f ca="1">IFERROR(INDEX(BYEs!$B$2:$B$33,MATCH(D586,BYEs!$A$2:$A$33,0)),"N/A")</f>
        <v>9</v>
      </c>
      <c r="D586" s="214" t="str">
        <f t="shared" ca="1" si="56"/>
        <v>SF</v>
      </c>
      <c r="E586" s="213" t="str">
        <f t="shared" ca="1" si="57"/>
        <v>QB7</v>
      </c>
      <c r="F586" s="158">
        <f ca="1">IF(LeagueInfo!$H$7="Starter/Bench",INDEX(INDIRECT(""&amp;B586&amp;"!T2:T628"),MATCH(A586,INDIRECT(""&amp;B586&amp;"!B2:B628"),0)),INDEX(INDIRECT(""&amp;B586&amp;"!AB2:AB628"),MATCH(A586,INDIRECT(""&amp;B586&amp;"!B2:B628"),0)))</f>
        <v>-26.767932606642766</v>
      </c>
      <c r="G586" s="159">
        <f t="shared" si="58"/>
        <v>0</v>
      </c>
      <c r="H586" s="160"/>
      <c r="I586" s="159">
        <f t="shared" ca="1" si="59"/>
        <v>-26.767932606642766</v>
      </c>
      <c r="J586" s="159" t="s">
        <v>73</v>
      </c>
      <c r="K586" s="159">
        <f>IF(LeagueInfo!$F$7="Yahoo",IFERROR(INDEX(DefaultAuctionValues!$B$2:$B$331,MATCH(A586,DefaultAuctionValues!$A$2:$A$331,0)),0),IF(LeagueInfo!$F$7="ESPN",IFERROR(INDEX(DefaultAuctionValues!$C$2:$C$331,MATCH(A586,DefaultAuctionValues!$A$2:$A$331,0)),0),IF(LeagueInfo!$F$7="Custom",IFERROR(INDEX(DefaultAuctionValues!$D$2:$D$331,MATCH(A586,DefaultAuctionValues!$A$2:$A$331,0)),0))))</f>
        <v>0</v>
      </c>
      <c r="L586" s="159">
        <f t="shared" ca="1" si="60"/>
        <v>-26.767932606642766</v>
      </c>
      <c r="M586" s="171"/>
      <c r="N586" s="166">
        <f t="shared" ca="1" si="61"/>
        <v>-81.125</v>
      </c>
      <c r="O586" s="157" t="str">
        <f t="shared" ca="1" si="62"/>
        <v/>
      </c>
    </row>
    <row r="587" spans="1:15" x14ac:dyDescent="0.35">
      <c r="A587" s="157" t="s">
        <v>347</v>
      </c>
      <c r="B587" s="157" t="s">
        <v>26</v>
      </c>
      <c r="C587" s="157">
        <f ca="1">IFERROR(INDEX(BYEs!$B$2:$B$33,MATCH(D587,BYEs!$A$2:$A$33,0)),"N/A")</f>
        <v>7</v>
      </c>
      <c r="D587" s="214" t="str">
        <f t="shared" ca="1" si="56"/>
        <v>DAL</v>
      </c>
      <c r="E587" s="213" t="str">
        <f t="shared" ca="1" si="57"/>
        <v>QB7</v>
      </c>
      <c r="F587" s="158">
        <f ca="1">IF(LeagueInfo!$H$7="Starter/Bench",INDEX(INDIRECT(""&amp;B587&amp;"!T2:T628"),MATCH(A587,INDIRECT(""&amp;B587&amp;"!B2:B628"),0)),INDEX(INDIRECT(""&amp;B587&amp;"!AB2:AB628"),MATCH(A587,INDIRECT(""&amp;B587&amp;"!B2:B628"),0)))</f>
        <v>-26.868240175362882</v>
      </c>
      <c r="G587" s="159">
        <f t="shared" si="58"/>
        <v>0</v>
      </c>
      <c r="H587" s="160"/>
      <c r="I587" s="159">
        <f t="shared" ca="1" si="59"/>
        <v>-26.868240175362882</v>
      </c>
      <c r="J587" s="159" t="s">
        <v>73</v>
      </c>
      <c r="K587" s="159">
        <f>IF(LeagueInfo!$F$7="Yahoo",IFERROR(INDEX(DefaultAuctionValues!$B$2:$B$331,MATCH(A587,DefaultAuctionValues!$A$2:$A$331,0)),0),IF(LeagueInfo!$F$7="ESPN",IFERROR(INDEX(DefaultAuctionValues!$C$2:$C$331,MATCH(A587,DefaultAuctionValues!$A$2:$A$331,0)),0),IF(LeagueInfo!$F$7="Custom",IFERROR(INDEX(DefaultAuctionValues!$D$2:$D$331,MATCH(A587,DefaultAuctionValues!$A$2:$A$331,0)),0))))</f>
        <v>0</v>
      </c>
      <c r="L587" s="159">
        <f t="shared" ca="1" si="60"/>
        <v>-26.868240175362882</v>
      </c>
      <c r="M587" s="171"/>
      <c r="N587" s="166">
        <f t="shared" ca="1" si="61"/>
        <v>-81.429000000000002</v>
      </c>
      <c r="O587" s="157" t="str">
        <f t="shared" ca="1" si="62"/>
        <v/>
      </c>
    </row>
    <row r="588" spans="1:15" x14ac:dyDescent="0.35">
      <c r="A588" s="157" t="s">
        <v>835</v>
      </c>
      <c r="B588" s="157" t="s">
        <v>26</v>
      </c>
      <c r="C588" s="157">
        <f ca="1">IFERROR(INDEX(BYEs!$B$2:$B$33,MATCH(D588,BYEs!$A$2:$A$33,0)),"N/A")</f>
        <v>7</v>
      </c>
      <c r="D588" s="214" t="str">
        <f t="shared" ca="1" si="56"/>
        <v>CHI</v>
      </c>
      <c r="E588" s="213" t="str">
        <f t="shared" ca="1" si="57"/>
        <v>QB7</v>
      </c>
      <c r="F588" s="158">
        <f ca="1">IF(LeagueInfo!$H$7="Starter/Bench",INDEX(INDIRECT(""&amp;B588&amp;"!T2:T628"),MATCH(A588,INDIRECT(""&amp;B588&amp;"!B2:B628"),0)),INDEX(INDIRECT(""&amp;B588&amp;"!AB2:AB628"),MATCH(A588,INDIRECT(""&amp;B588&amp;"!B2:B628"),0)))</f>
        <v>-26.875829234838417</v>
      </c>
      <c r="G588" s="159">
        <f t="shared" si="58"/>
        <v>0</v>
      </c>
      <c r="H588" s="160"/>
      <c r="I588" s="159">
        <f t="shared" ca="1" si="59"/>
        <v>-26.875829234838417</v>
      </c>
      <c r="J588" s="159" t="s">
        <v>73</v>
      </c>
      <c r="K588" s="159">
        <f>IF(LeagueInfo!$F$7="Yahoo",IFERROR(INDEX(DefaultAuctionValues!$B$2:$B$331,MATCH(A588,DefaultAuctionValues!$A$2:$A$331,0)),0),IF(LeagueInfo!$F$7="ESPN",IFERROR(INDEX(DefaultAuctionValues!$C$2:$C$331,MATCH(A588,DefaultAuctionValues!$A$2:$A$331,0)),0),IF(LeagueInfo!$F$7="Custom",IFERROR(INDEX(DefaultAuctionValues!$D$2:$D$331,MATCH(A588,DefaultAuctionValues!$A$2:$A$331,0)),0))))</f>
        <v>0</v>
      </c>
      <c r="L588" s="159">
        <f t="shared" ca="1" si="60"/>
        <v>-26.875829234838417</v>
      </c>
      <c r="M588" s="171"/>
      <c r="N588" s="166">
        <f t="shared" ca="1" si="61"/>
        <v>-81.451999999999998</v>
      </c>
      <c r="O588" s="157" t="str">
        <f t="shared" ca="1" si="62"/>
        <v/>
      </c>
    </row>
    <row r="589" spans="1:15" x14ac:dyDescent="0.35">
      <c r="A589" s="157" t="s">
        <v>537</v>
      </c>
      <c r="B589" s="157" t="s">
        <v>26</v>
      </c>
      <c r="C589" s="157">
        <f ca="1">IFERROR(INDEX(BYEs!$B$2:$B$33,MATCH(D589,BYEs!$A$2:$A$33,0)),"N/A")</f>
        <v>14</v>
      </c>
      <c r="D589" s="214" t="str">
        <f t="shared" ref="D589:D619" ca="1" si="63">INDEX(INDIRECT(""&amp;B589&amp;"!F2:F628"),MATCH(A589,INDIRECT(""&amp;B589&amp;"!B2:B628"),0))</f>
        <v>HOU</v>
      </c>
      <c r="E589" s="213" t="str">
        <f t="shared" ref="E589:E619" ca="1" si="64">INDEX(INDIRECT(""&amp;$B589&amp;"!AA2:AA628"),MATCH($A589,INDIRECT(""&amp;$B589&amp;"!B2:B628"),0))</f>
        <v>QB7</v>
      </c>
      <c r="F589" s="158">
        <f ca="1">IF(LeagueInfo!$H$7="Starter/Bench",INDEX(INDIRECT(""&amp;B589&amp;"!T2:T628"),MATCH(A589,INDIRECT(""&amp;B589&amp;"!B2:B628"),0)),INDEX(INDIRECT(""&amp;B589&amp;"!AB2:AB628"),MATCH(A589,INDIRECT(""&amp;B589&amp;"!B2:B628"),0)))</f>
        <v>-26.877149071268946</v>
      </c>
      <c r="G589" s="159">
        <f t="shared" ref="G589:G652" si="65">IF(H589&gt;0,F589-H589,0)</f>
        <v>0</v>
      </c>
      <c r="H589" s="160"/>
      <c r="I589" s="159">
        <f t="shared" ref="I589:I619" ca="1" si="66">F589*$A$2</f>
        <v>-26.877149071268946</v>
      </c>
      <c r="J589" s="159" t="s">
        <v>73</v>
      </c>
      <c r="K589" s="159">
        <f>IF(LeagueInfo!$F$7="Yahoo",IFERROR(INDEX(DefaultAuctionValues!$B$2:$B$331,MATCH(A589,DefaultAuctionValues!$A$2:$A$331,0)),0),IF(LeagueInfo!$F$7="ESPN",IFERROR(INDEX(DefaultAuctionValues!$C$2:$C$331,MATCH(A589,DefaultAuctionValues!$A$2:$A$331,0)),0),IF(LeagueInfo!$F$7="Custom",IFERROR(INDEX(DefaultAuctionValues!$D$2:$D$331,MATCH(A589,DefaultAuctionValues!$A$2:$A$331,0)),0))))</f>
        <v>0</v>
      </c>
      <c r="L589" s="159">
        <f t="shared" ref="L589:L652" ca="1" si="67">I589-K589</f>
        <v>-26.877149071268946</v>
      </c>
      <c r="M589" s="171"/>
      <c r="N589" s="166">
        <f t="shared" ref="N589:N619" ca="1" si="68">INDEX(INDIRECT(""&amp;$B589&amp;"!Z2:Z628"),MATCH($A589,INDIRECT(""&amp;$B589&amp;"!B2:B628"),0))</f>
        <v>-81.456000000000003</v>
      </c>
      <c r="O589" s="157" t="str">
        <f t="shared" ref="O589:O619" ca="1" si="69">IF(INDEX(INDIRECT(""&amp;$B589&amp;"!W2:W628"),MATCH($A589,INDIRECT(""&amp;$B589&amp;"!B2:B628"),0))=0,"",INDEX(INDIRECT(""&amp;$B589&amp;"!W2:W628"),MATCH($A589,INDIRECT(""&amp;$B589&amp;"!B2:B628"),0)))</f>
        <v/>
      </c>
    </row>
    <row r="590" spans="1:15" x14ac:dyDescent="0.35">
      <c r="A590" s="157" t="s">
        <v>133</v>
      </c>
      <c r="B590" s="157" t="s">
        <v>26</v>
      </c>
      <c r="C590" s="157">
        <f ca="1">IFERROR(INDEX(BYEs!$B$2:$B$33,MATCH(D590,BYEs!$A$2:$A$33,0)),"N/A")</f>
        <v>12</v>
      </c>
      <c r="D590" s="214" t="str">
        <f t="shared" ca="1" si="63"/>
        <v>NYJ</v>
      </c>
      <c r="E590" s="213" t="str">
        <f t="shared" ca="1" si="64"/>
        <v>QB7</v>
      </c>
      <c r="F590" s="158">
        <f ca="1">IF(LeagueInfo!$H$7="Starter/Bench",INDEX(INDIRECT(""&amp;B590&amp;"!T2:T628"),MATCH(A590,INDIRECT(""&amp;B590&amp;"!B2:B628"),0)),INDEX(INDIRECT(""&amp;B590&amp;"!AB2:AB628"),MATCH(A590,INDIRECT(""&amp;B590&amp;"!B2:B628"),0)))</f>
        <v>-26.922353469014524</v>
      </c>
      <c r="G590" s="159">
        <f t="shared" si="65"/>
        <v>0</v>
      </c>
      <c r="H590" s="160"/>
      <c r="I590" s="159">
        <f t="shared" ca="1" si="66"/>
        <v>-26.922353469014524</v>
      </c>
      <c r="J590" s="159" t="s">
        <v>73</v>
      </c>
      <c r="K590" s="159">
        <f>IF(LeagueInfo!$F$7="Yahoo",IFERROR(INDEX(DefaultAuctionValues!$B$2:$B$331,MATCH(A590,DefaultAuctionValues!$A$2:$A$331,0)),0),IF(LeagueInfo!$F$7="ESPN",IFERROR(INDEX(DefaultAuctionValues!$C$2:$C$331,MATCH(A590,DefaultAuctionValues!$A$2:$A$331,0)),0),IF(LeagueInfo!$F$7="Custom",IFERROR(INDEX(DefaultAuctionValues!$D$2:$D$331,MATCH(A590,DefaultAuctionValues!$A$2:$A$331,0)),0))))</f>
        <v>0</v>
      </c>
      <c r="L590" s="159">
        <f t="shared" ca="1" si="67"/>
        <v>-26.922353469014524</v>
      </c>
      <c r="M590" s="171"/>
      <c r="N590" s="166">
        <f t="shared" ca="1" si="68"/>
        <v>-81.593000000000004</v>
      </c>
      <c r="O590" s="157" t="str">
        <f t="shared" ca="1" si="69"/>
        <v/>
      </c>
    </row>
    <row r="591" spans="1:15" x14ac:dyDescent="0.35">
      <c r="A591" s="157" t="s">
        <v>582</v>
      </c>
      <c r="B591" s="157" t="s">
        <v>26</v>
      </c>
      <c r="C591" s="157">
        <f ca="1">IFERROR(INDEX(BYEs!$B$2:$B$33,MATCH(D591,BYEs!$A$2:$A$33,0)),"N/A")</f>
        <v>10</v>
      </c>
      <c r="D591" s="214" t="str">
        <f t="shared" ca="1" si="63"/>
        <v>GB</v>
      </c>
      <c r="E591" s="213" t="str">
        <f t="shared" ca="1" si="64"/>
        <v>QB7</v>
      </c>
      <c r="F591" s="158">
        <f ca="1">IF(LeagueInfo!$H$7="Starter/Bench",INDEX(INDIRECT(""&amp;B591&amp;"!T2:T628"),MATCH(A591,INDIRECT(""&amp;B591&amp;"!B2:B628"),0)),INDEX(INDIRECT(""&amp;B591&amp;"!AB2:AB628"),MATCH(A591,INDIRECT(""&amp;B591&amp;"!B2:B628"),0)))</f>
        <v>-26.935881792427434</v>
      </c>
      <c r="G591" s="159">
        <f t="shared" si="65"/>
        <v>0</v>
      </c>
      <c r="H591" s="160"/>
      <c r="I591" s="159">
        <f t="shared" ca="1" si="66"/>
        <v>-26.935881792427434</v>
      </c>
      <c r="J591" s="159" t="s">
        <v>73</v>
      </c>
      <c r="K591" s="159">
        <f>IF(LeagueInfo!$F$7="Yahoo",IFERROR(INDEX(DefaultAuctionValues!$B$2:$B$331,MATCH(A591,DefaultAuctionValues!$A$2:$A$331,0)),0),IF(LeagueInfo!$F$7="ESPN",IFERROR(INDEX(DefaultAuctionValues!$C$2:$C$331,MATCH(A591,DefaultAuctionValues!$A$2:$A$331,0)),0),IF(LeagueInfo!$F$7="Custom",IFERROR(INDEX(DefaultAuctionValues!$D$2:$D$331,MATCH(A591,DefaultAuctionValues!$A$2:$A$331,0)),0))))</f>
        <v>0</v>
      </c>
      <c r="L591" s="159">
        <f t="shared" ca="1" si="67"/>
        <v>-26.935881792427434</v>
      </c>
      <c r="M591" s="171"/>
      <c r="N591" s="166">
        <f t="shared" ca="1" si="68"/>
        <v>-81.634</v>
      </c>
      <c r="O591" s="157" t="str">
        <f t="shared" ca="1" si="69"/>
        <v/>
      </c>
    </row>
    <row r="592" spans="1:15" x14ac:dyDescent="0.35">
      <c r="A592" s="157" t="s">
        <v>776</v>
      </c>
      <c r="B592" s="157" t="s">
        <v>26</v>
      </c>
      <c r="C592" s="157">
        <f ca="1">IFERROR(INDEX(BYEs!$B$2:$B$33,MATCH(D592,BYEs!$A$2:$A$33,0)),"N/A")</f>
        <v>11</v>
      </c>
      <c r="D592" s="214" t="str">
        <f t="shared" ca="1" si="63"/>
        <v>ARI</v>
      </c>
      <c r="E592" s="213" t="str">
        <f t="shared" ca="1" si="64"/>
        <v>QB7</v>
      </c>
      <c r="F592" s="158">
        <f ca="1">IF(LeagueInfo!$H$7="Starter/Bench",INDEX(INDIRECT(""&amp;B592&amp;"!T2:T628"),MATCH(A592,INDIRECT(""&amp;B592&amp;"!B2:B628"),0)),INDEX(INDIRECT(""&amp;B592&amp;"!AB2:AB628"),MATCH(A592,INDIRECT(""&amp;B592&amp;"!B2:B628"),0)))</f>
        <v>-26.942151015472437</v>
      </c>
      <c r="G592" s="159">
        <f t="shared" si="65"/>
        <v>0</v>
      </c>
      <c r="H592" s="160"/>
      <c r="I592" s="159">
        <f t="shared" ca="1" si="66"/>
        <v>-26.942151015472437</v>
      </c>
      <c r="J592" s="159" t="s">
        <v>73</v>
      </c>
      <c r="K592" s="159">
        <f>IF(LeagueInfo!$F$7="Yahoo",IFERROR(INDEX(DefaultAuctionValues!$B$2:$B$331,MATCH(A592,DefaultAuctionValues!$A$2:$A$331,0)),0),IF(LeagueInfo!$F$7="ESPN",IFERROR(INDEX(DefaultAuctionValues!$C$2:$C$331,MATCH(A592,DefaultAuctionValues!$A$2:$A$331,0)),0),IF(LeagueInfo!$F$7="Custom",IFERROR(INDEX(DefaultAuctionValues!$D$2:$D$331,MATCH(A592,DefaultAuctionValues!$A$2:$A$331,0)),0))))</f>
        <v>0</v>
      </c>
      <c r="L592" s="159">
        <f t="shared" ca="1" si="67"/>
        <v>-26.942151015472437</v>
      </c>
      <c r="M592" s="171"/>
      <c r="N592" s="166">
        <f t="shared" ca="1" si="68"/>
        <v>-81.652999999999992</v>
      </c>
      <c r="O592" s="157" t="str">
        <f t="shared" ca="1" si="69"/>
        <v/>
      </c>
    </row>
    <row r="593" spans="1:15" x14ac:dyDescent="0.35">
      <c r="A593" s="157" t="s">
        <v>349</v>
      </c>
      <c r="B593" s="157" t="s">
        <v>26</v>
      </c>
      <c r="C593" s="157">
        <f ca="1">IFERROR(INDEX(BYEs!$B$2:$B$33,MATCH(D593,BYEs!$A$2:$A$33,0)),"N/A")</f>
        <v>5</v>
      </c>
      <c r="D593" s="214" t="str">
        <f t="shared" ca="1" si="63"/>
        <v>LAC</v>
      </c>
      <c r="E593" s="213" t="str">
        <f t="shared" ca="1" si="64"/>
        <v>QB7</v>
      </c>
      <c r="F593" s="158">
        <f ca="1">IF(LeagueInfo!$H$7="Starter/Bench",INDEX(INDIRECT(""&amp;B593&amp;"!T2:T628"),MATCH(A593,INDIRECT(""&amp;B593&amp;"!B2:B628"),0)),INDEX(INDIRECT(""&amp;B593&amp;"!AB2:AB628"),MATCH(A593,INDIRECT(""&amp;B593&amp;"!B2:B628"),0)))</f>
        <v>-26.985045699464596</v>
      </c>
      <c r="G593" s="159">
        <f t="shared" si="65"/>
        <v>0</v>
      </c>
      <c r="H593" s="160"/>
      <c r="I593" s="159">
        <f t="shared" ca="1" si="66"/>
        <v>-26.985045699464596</v>
      </c>
      <c r="J593" s="159" t="s">
        <v>73</v>
      </c>
      <c r="K593" s="159">
        <f>IF(LeagueInfo!$F$7="Yahoo",IFERROR(INDEX(DefaultAuctionValues!$B$2:$B$331,MATCH(A593,DefaultAuctionValues!$A$2:$A$331,0)),0),IF(LeagueInfo!$F$7="ESPN",IFERROR(INDEX(DefaultAuctionValues!$C$2:$C$331,MATCH(A593,DefaultAuctionValues!$A$2:$A$331,0)),0),IF(LeagueInfo!$F$7="Custom",IFERROR(INDEX(DefaultAuctionValues!$D$2:$D$331,MATCH(A593,DefaultAuctionValues!$A$2:$A$331,0)),0))))</f>
        <v>0</v>
      </c>
      <c r="L593" s="159">
        <f t="shared" ca="1" si="67"/>
        <v>-26.985045699464596</v>
      </c>
      <c r="M593" s="171"/>
      <c r="N593" s="166">
        <f t="shared" ca="1" si="68"/>
        <v>-81.783000000000001</v>
      </c>
      <c r="O593" s="157" t="str">
        <f t="shared" ca="1" si="69"/>
        <v/>
      </c>
    </row>
    <row r="594" spans="1:15" x14ac:dyDescent="0.35">
      <c r="A594" s="157" t="s">
        <v>858</v>
      </c>
      <c r="B594" s="157" t="s">
        <v>26</v>
      </c>
      <c r="C594" s="157">
        <f ca="1">IFERROR(INDEX(BYEs!$B$2:$B$33,MATCH(D594,BYEs!$A$2:$A$33,0)),"N/A")</f>
        <v>14</v>
      </c>
      <c r="D594" s="214" t="str">
        <f t="shared" ca="1" si="63"/>
        <v>IND</v>
      </c>
      <c r="E594" s="213" t="str">
        <f t="shared" ca="1" si="64"/>
        <v>QB7</v>
      </c>
      <c r="F594" s="158">
        <f ca="1">IF(LeagueInfo!$H$7="Starter/Bench",INDEX(INDIRECT(""&amp;B594&amp;"!T2:T628"),MATCH(A594,INDIRECT(""&amp;B594&amp;"!B2:B628"),0)),INDEX(INDIRECT(""&amp;B594&amp;"!AB2:AB628"),MATCH(A594,INDIRECT(""&amp;B594&amp;"!B2:B628"),0)))</f>
        <v>-27.005833123245409</v>
      </c>
      <c r="G594" s="159">
        <f t="shared" si="65"/>
        <v>0</v>
      </c>
      <c r="H594" s="160"/>
      <c r="I594" s="159">
        <f t="shared" ca="1" si="66"/>
        <v>-27.005833123245409</v>
      </c>
      <c r="J594" s="159" t="s">
        <v>73</v>
      </c>
      <c r="K594" s="159">
        <f>IF(LeagueInfo!$F$7="Yahoo",IFERROR(INDEX(DefaultAuctionValues!$B$2:$B$331,MATCH(A594,DefaultAuctionValues!$A$2:$A$331,0)),0),IF(LeagueInfo!$F$7="ESPN",IFERROR(INDEX(DefaultAuctionValues!$C$2:$C$331,MATCH(A594,DefaultAuctionValues!$A$2:$A$331,0)),0),IF(LeagueInfo!$F$7="Custom",IFERROR(INDEX(DefaultAuctionValues!$D$2:$D$331,MATCH(A594,DefaultAuctionValues!$A$2:$A$331,0)),0))))</f>
        <v>0</v>
      </c>
      <c r="L594" s="159">
        <f t="shared" ca="1" si="67"/>
        <v>-27.005833123245409</v>
      </c>
      <c r="M594" s="171"/>
      <c r="N594" s="166">
        <f t="shared" ca="1" si="68"/>
        <v>-81.846000000000004</v>
      </c>
      <c r="O594" s="157" t="str">
        <f t="shared" ca="1" si="69"/>
        <v/>
      </c>
    </row>
    <row r="595" spans="1:15" x14ac:dyDescent="0.35">
      <c r="A595" s="157" t="s">
        <v>536</v>
      </c>
      <c r="B595" s="157" t="s">
        <v>26</v>
      </c>
      <c r="C595" s="157">
        <f ca="1">IFERROR(INDEX(BYEs!$B$2:$B$33,MATCH(D595,BYEs!$A$2:$A$33,0)),"N/A")</f>
        <v>12</v>
      </c>
      <c r="D595" s="214" t="str">
        <f t="shared" ca="1" si="63"/>
        <v>JAC</v>
      </c>
      <c r="E595" s="213" t="str">
        <f t="shared" ca="1" si="64"/>
        <v>QB7</v>
      </c>
      <c r="F595" s="158">
        <f ca="1">IF(LeagueInfo!$H$7="Starter/Bench",INDEX(INDIRECT(""&amp;B595&amp;"!T2:T628"),MATCH(A595,INDIRECT(""&amp;B595&amp;"!B2:B628"),0)),INDEX(INDIRECT(""&amp;B595&amp;"!AB2:AB628"),MATCH(A595,INDIRECT(""&amp;B595&amp;"!B2:B628"),0)))</f>
        <v>-27.034209606501758</v>
      </c>
      <c r="G595" s="159">
        <f t="shared" si="65"/>
        <v>0</v>
      </c>
      <c r="H595" s="160"/>
      <c r="I595" s="159">
        <f t="shared" ca="1" si="66"/>
        <v>-27.034209606501758</v>
      </c>
      <c r="J595" s="159" t="s">
        <v>73</v>
      </c>
      <c r="K595" s="159">
        <f>IF(LeagueInfo!$F$7="Yahoo",IFERROR(INDEX(DefaultAuctionValues!$B$2:$B$331,MATCH(A595,DefaultAuctionValues!$A$2:$A$331,0)),0),IF(LeagueInfo!$F$7="ESPN",IFERROR(INDEX(DefaultAuctionValues!$C$2:$C$331,MATCH(A595,DefaultAuctionValues!$A$2:$A$331,0)),0),IF(LeagueInfo!$F$7="Custom",IFERROR(INDEX(DefaultAuctionValues!$D$2:$D$331,MATCH(A595,DefaultAuctionValues!$A$2:$A$331,0)),0))))</f>
        <v>0</v>
      </c>
      <c r="L595" s="159">
        <f t="shared" ca="1" si="67"/>
        <v>-27.034209606501758</v>
      </c>
      <c r="M595" s="171"/>
      <c r="N595" s="166">
        <f t="shared" ca="1" si="68"/>
        <v>-81.932000000000002</v>
      </c>
      <c r="O595" s="157" t="str">
        <f t="shared" ca="1" si="69"/>
        <v/>
      </c>
    </row>
    <row r="596" spans="1:15" x14ac:dyDescent="0.35">
      <c r="A596" s="157" t="s">
        <v>105</v>
      </c>
      <c r="B596" s="157" t="s">
        <v>26</v>
      </c>
      <c r="C596" s="157">
        <f ca="1">IFERROR(INDEX(BYEs!$B$2:$B$33,MATCH(D596,BYEs!$A$2:$A$33,0)),"N/A")</f>
        <v>14</v>
      </c>
      <c r="D596" s="214" t="str">
        <f t="shared" ca="1" si="63"/>
        <v>WAS</v>
      </c>
      <c r="E596" s="213" t="str">
        <f t="shared" ca="1" si="64"/>
        <v>QB7</v>
      </c>
      <c r="F596" s="158">
        <f ca="1">IF(LeagueInfo!$H$7="Starter/Bench",INDEX(INDIRECT(""&amp;B596&amp;"!T2:T628"),MATCH(A596,INDIRECT(""&amp;B596&amp;"!B2:B628"),0)),INDEX(INDIRECT(""&amp;B596&amp;"!AB2:AB628"),MATCH(A596,INDIRECT(""&amp;B596&amp;"!B2:B628"),0)))</f>
        <v>-27.038829034008604</v>
      </c>
      <c r="G596" s="159">
        <f t="shared" si="65"/>
        <v>0</v>
      </c>
      <c r="H596" s="160"/>
      <c r="I596" s="159">
        <f t="shared" ca="1" si="66"/>
        <v>-27.038829034008604</v>
      </c>
      <c r="J596" s="159" t="s">
        <v>73</v>
      </c>
      <c r="K596" s="159">
        <f>IF(LeagueInfo!$F$7="Yahoo",IFERROR(INDEX(DefaultAuctionValues!$B$2:$B$331,MATCH(A596,DefaultAuctionValues!$A$2:$A$331,0)),0),IF(LeagueInfo!$F$7="ESPN",IFERROR(INDEX(DefaultAuctionValues!$C$2:$C$331,MATCH(A596,DefaultAuctionValues!$A$2:$A$331,0)),0),IF(LeagueInfo!$F$7="Custom",IFERROR(INDEX(DefaultAuctionValues!$D$2:$D$331,MATCH(A596,DefaultAuctionValues!$A$2:$A$331,0)),0))))</f>
        <v>0</v>
      </c>
      <c r="L596" s="159">
        <f t="shared" ca="1" si="67"/>
        <v>-27.038829034008604</v>
      </c>
      <c r="M596" s="171"/>
      <c r="N596" s="166">
        <f t="shared" ca="1" si="68"/>
        <v>-81.945999999999998</v>
      </c>
      <c r="O596" s="157" t="str">
        <f t="shared" ca="1" si="69"/>
        <v/>
      </c>
    </row>
    <row r="597" spans="1:15" x14ac:dyDescent="0.35">
      <c r="A597" s="157" t="s">
        <v>580</v>
      </c>
      <c r="B597" s="157" t="s">
        <v>26</v>
      </c>
      <c r="C597" s="157">
        <f ca="1">IFERROR(INDEX(BYEs!$B$2:$B$33,MATCH(D597,BYEs!$A$2:$A$33,0)),"N/A")</f>
        <v>5</v>
      </c>
      <c r="D597" s="214" t="str">
        <f t="shared" ca="1" si="63"/>
        <v>PHI</v>
      </c>
      <c r="E597" s="213" t="str">
        <f t="shared" ca="1" si="64"/>
        <v>QB7</v>
      </c>
      <c r="F597" s="158">
        <f ca="1">IF(LeagueInfo!$H$7="Starter/Bench",INDEX(INDIRECT(""&amp;B597&amp;"!T2:T628"),MATCH(A597,INDIRECT(""&amp;B597&amp;"!B2:B628"),0)),INDEX(INDIRECT(""&amp;B597&amp;"!AB2:AB628"),MATCH(A597,INDIRECT(""&amp;B597&amp;"!B2:B628"),0)))</f>
        <v>-27.044768297945978</v>
      </c>
      <c r="G597" s="159">
        <f t="shared" si="65"/>
        <v>0</v>
      </c>
      <c r="H597" s="160"/>
      <c r="I597" s="159">
        <f t="shared" ca="1" si="66"/>
        <v>-27.044768297945978</v>
      </c>
      <c r="J597" s="159" t="s">
        <v>73</v>
      </c>
      <c r="K597" s="159">
        <f>IF(LeagueInfo!$F$7="Yahoo",IFERROR(INDEX(DefaultAuctionValues!$B$2:$B$331,MATCH(A597,DefaultAuctionValues!$A$2:$A$331,0)),0),IF(LeagueInfo!$F$7="ESPN",IFERROR(INDEX(DefaultAuctionValues!$C$2:$C$331,MATCH(A597,DefaultAuctionValues!$A$2:$A$331,0)),0),IF(LeagueInfo!$F$7="Custom",IFERROR(INDEX(DefaultAuctionValues!$D$2:$D$331,MATCH(A597,DefaultAuctionValues!$A$2:$A$331,0)),0))))</f>
        <v>0</v>
      </c>
      <c r="L597" s="159">
        <f t="shared" ca="1" si="67"/>
        <v>-27.044768297945978</v>
      </c>
      <c r="M597" s="171"/>
      <c r="N597" s="166">
        <f t="shared" ca="1" si="68"/>
        <v>-81.963999999999999</v>
      </c>
      <c r="O597" s="157" t="str">
        <f t="shared" ca="1" si="69"/>
        <v/>
      </c>
    </row>
    <row r="598" spans="1:15" x14ac:dyDescent="0.35">
      <c r="A598" s="157" t="s">
        <v>538</v>
      </c>
      <c r="B598" s="157" t="s">
        <v>26</v>
      </c>
      <c r="C598" s="157">
        <f ca="1">IFERROR(INDEX(BYEs!$B$2:$B$33,MATCH(D598,BYEs!$A$2:$A$33,0)),"N/A")</f>
        <v>11</v>
      </c>
      <c r="D598" s="214" t="str">
        <f t="shared" ca="1" si="63"/>
        <v>TB</v>
      </c>
      <c r="E598" s="213" t="str">
        <f t="shared" ca="1" si="64"/>
        <v>QB7</v>
      </c>
      <c r="F598" s="158">
        <f ca="1">IF(LeagueInfo!$H$7="Starter/Bench",INDEX(INDIRECT(""&amp;B598&amp;"!T2:T628"),MATCH(A598,INDIRECT(""&amp;B598&amp;"!B2:B628"),0)),INDEX(INDIRECT(""&amp;B598&amp;"!AB2:AB628"),MATCH(A598,INDIRECT(""&amp;B598&amp;"!B2:B628"),0)))</f>
        <v>-27.182031286720875</v>
      </c>
      <c r="G598" s="159">
        <f t="shared" si="65"/>
        <v>0</v>
      </c>
      <c r="H598" s="160"/>
      <c r="I598" s="159">
        <f t="shared" ca="1" si="66"/>
        <v>-27.182031286720875</v>
      </c>
      <c r="J598" s="159" t="s">
        <v>73</v>
      </c>
      <c r="K598" s="159">
        <f>IF(LeagueInfo!$F$7="Yahoo",IFERROR(INDEX(DefaultAuctionValues!$B$2:$B$331,MATCH(A598,DefaultAuctionValues!$A$2:$A$331,0)),0),IF(LeagueInfo!$F$7="ESPN",IFERROR(INDEX(DefaultAuctionValues!$C$2:$C$331,MATCH(A598,DefaultAuctionValues!$A$2:$A$331,0)),0),IF(LeagueInfo!$F$7="Custom",IFERROR(INDEX(DefaultAuctionValues!$D$2:$D$331,MATCH(A598,DefaultAuctionValues!$A$2:$A$331,0)),0))))</f>
        <v>0</v>
      </c>
      <c r="L598" s="159">
        <f t="shared" ca="1" si="67"/>
        <v>-27.182031286720875</v>
      </c>
      <c r="M598" s="171"/>
      <c r="N598" s="166">
        <f t="shared" ca="1" si="68"/>
        <v>-82.38</v>
      </c>
      <c r="O598" s="157" t="str">
        <f t="shared" ca="1" si="69"/>
        <v/>
      </c>
    </row>
    <row r="599" spans="1:15" x14ac:dyDescent="0.35">
      <c r="A599" s="157" t="s">
        <v>132</v>
      </c>
      <c r="B599" s="157" t="s">
        <v>26</v>
      </c>
      <c r="C599" s="157">
        <f ca="1">IFERROR(INDEX(BYEs!$B$2:$B$33,MATCH(D599,BYEs!$A$2:$A$33,0)),"N/A")</f>
        <v>11</v>
      </c>
      <c r="D599" s="214" t="str">
        <f t="shared" ca="1" si="63"/>
        <v>CAR</v>
      </c>
      <c r="E599" s="213" t="str">
        <f t="shared" ca="1" si="64"/>
        <v>QB7</v>
      </c>
      <c r="F599" s="158">
        <f ca="1">IF(LeagueInfo!$H$7="Starter/Bench",INDEX(INDIRECT(""&amp;B599&amp;"!T2:T628"),MATCH(A599,INDIRECT(""&amp;B599&amp;"!B2:B628"),0)),INDEX(INDIRECT(""&amp;B599&amp;"!AB2:AB628"),MATCH(A599,INDIRECT(""&amp;B599&amp;"!B2:B628"),0)))</f>
        <v>-27.193579855487997</v>
      </c>
      <c r="G599" s="159">
        <f t="shared" si="65"/>
        <v>0</v>
      </c>
      <c r="H599" s="160"/>
      <c r="I599" s="159">
        <f t="shared" ca="1" si="66"/>
        <v>-27.193579855487997</v>
      </c>
      <c r="J599" s="159" t="s">
        <v>73</v>
      </c>
      <c r="K599" s="159">
        <f>IF(LeagueInfo!$F$7="Yahoo",IFERROR(INDEX(DefaultAuctionValues!$B$2:$B$331,MATCH(A599,DefaultAuctionValues!$A$2:$A$331,0)),0),IF(LeagueInfo!$F$7="ESPN",IFERROR(INDEX(DefaultAuctionValues!$C$2:$C$331,MATCH(A599,DefaultAuctionValues!$A$2:$A$331,0)),0),IF(LeagueInfo!$F$7="Custom",IFERROR(INDEX(DefaultAuctionValues!$D$2:$D$331,MATCH(A599,DefaultAuctionValues!$A$2:$A$331,0)),0))))</f>
        <v>0</v>
      </c>
      <c r="L599" s="159">
        <f t="shared" ca="1" si="67"/>
        <v>-27.193579855487997</v>
      </c>
      <c r="M599" s="171"/>
      <c r="N599" s="166">
        <f t="shared" ca="1" si="68"/>
        <v>-82.415000000000006</v>
      </c>
      <c r="O599" s="157" t="str">
        <f t="shared" ca="1" si="69"/>
        <v/>
      </c>
    </row>
    <row r="600" spans="1:15" x14ac:dyDescent="0.35">
      <c r="A600" s="157" t="s">
        <v>348</v>
      </c>
      <c r="B600" s="157" t="s">
        <v>26</v>
      </c>
      <c r="C600" s="157">
        <f ca="1">IFERROR(INDEX(BYEs!$B$2:$B$33,MATCH(D600,BYEs!$A$2:$A$33,0)),"N/A")</f>
        <v>5</v>
      </c>
      <c r="D600" s="214" t="str">
        <f t="shared" ca="1" si="63"/>
        <v>TEN</v>
      </c>
      <c r="E600" s="213" t="str">
        <f t="shared" ca="1" si="64"/>
        <v>QB7</v>
      </c>
      <c r="F600" s="158">
        <f ca="1">IF(LeagueInfo!$H$7="Starter/Bench",INDEX(INDIRECT(""&amp;B600&amp;"!T2:T628"),MATCH(A600,INDIRECT(""&amp;B600&amp;"!B2:B628"),0)),INDEX(INDIRECT(""&amp;B600&amp;"!AB2:AB628"),MATCH(A600,INDIRECT(""&amp;B600&amp;"!B2:B628"),0)))</f>
        <v>-27.206448260685644</v>
      </c>
      <c r="G600" s="159">
        <f t="shared" si="65"/>
        <v>0</v>
      </c>
      <c r="H600" s="160"/>
      <c r="I600" s="159">
        <f t="shared" ca="1" si="66"/>
        <v>-27.206448260685644</v>
      </c>
      <c r="J600" s="159" t="s">
        <v>73</v>
      </c>
      <c r="K600" s="159">
        <f>IF(LeagueInfo!$F$7="Yahoo",IFERROR(INDEX(DefaultAuctionValues!$B$2:$B$331,MATCH(A600,DefaultAuctionValues!$A$2:$A$331,0)),0),IF(LeagueInfo!$F$7="ESPN",IFERROR(INDEX(DefaultAuctionValues!$C$2:$C$331,MATCH(A600,DefaultAuctionValues!$A$2:$A$331,0)),0),IF(LeagueInfo!$F$7="Custom",IFERROR(INDEX(DefaultAuctionValues!$D$2:$D$331,MATCH(A600,DefaultAuctionValues!$A$2:$A$331,0)),0))))</f>
        <v>0</v>
      </c>
      <c r="L600" s="159">
        <f t="shared" ca="1" si="67"/>
        <v>-27.206448260685644</v>
      </c>
      <c r="M600" s="171"/>
      <c r="N600" s="166">
        <f t="shared" ca="1" si="68"/>
        <v>-82.454000000000008</v>
      </c>
      <c r="O600" s="157" t="str">
        <f t="shared" ca="1" si="69"/>
        <v/>
      </c>
    </row>
    <row r="601" spans="1:15" x14ac:dyDescent="0.35">
      <c r="A601" s="157" t="s">
        <v>419</v>
      </c>
      <c r="B601" s="157" t="s">
        <v>26</v>
      </c>
      <c r="C601" s="157">
        <f ca="1">IFERROR(INDEX(BYEs!$B$2:$B$33,MATCH(D601,BYEs!$A$2:$A$33,0)),"N/A")</f>
        <v>5</v>
      </c>
      <c r="D601" s="214" t="str">
        <f t="shared" ca="1" si="63"/>
        <v>LAC</v>
      </c>
      <c r="E601" s="213" t="str">
        <f t="shared" ca="1" si="64"/>
        <v>QB7</v>
      </c>
      <c r="F601" s="158">
        <f ca="1">IF(LeagueInfo!$H$7="Starter/Bench",INDEX(INDIRECT(""&amp;B601&amp;"!T2:T628"),MATCH(A601,INDIRECT(""&amp;B601&amp;"!B2:B628"),0)),INDEX(INDIRECT(""&amp;B601&amp;"!AB2:AB628"),MATCH(A601,INDIRECT(""&amp;B601&amp;"!B2:B628"),0)))</f>
        <v>-28.031675988873172</v>
      </c>
      <c r="G601" s="159">
        <f t="shared" si="65"/>
        <v>0</v>
      </c>
      <c r="H601" s="160"/>
      <c r="I601" s="159">
        <f t="shared" ca="1" si="66"/>
        <v>-28.031675988873172</v>
      </c>
      <c r="J601" s="159" t="s">
        <v>73</v>
      </c>
      <c r="K601" s="159">
        <f>IF(LeagueInfo!$F$7="Yahoo",IFERROR(INDEX(DefaultAuctionValues!$B$2:$B$331,MATCH(A601,DefaultAuctionValues!$A$2:$A$331,0)),0),IF(LeagueInfo!$F$7="ESPN",IFERROR(INDEX(DefaultAuctionValues!$C$2:$C$331,MATCH(A601,DefaultAuctionValues!$A$2:$A$331,0)),0),IF(LeagueInfo!$F$7="Custom",IFERROR(INDEX(DefaultAuctionValues!$D$2:$D$331,MATCH(A601,DefaultAuctionValues!$A$2:$A$331,0)),0))))</f>
        <v>0</v>
      </c>
      <c r="L601" s="159">
        <f t="shared" ca="1" si="67"/>
        <v>-28.031675988873172</v>
      </c>
      <c r="M601" s="171"/>
      <c r="N601" s="166">
        <f t="shared" ca="1" si="68"/>
        <v>-84.954999999999998</v>
      </c>
      <c r="O601" s="157" t="str">
        <f t="shared" ca="1" si="69"/>
        <v/>
      </c>
    </row>
    <row r="602" spans="1:15" x14ac:dyDescent="0.35">
      <c r="A602" s="157" t="s">
        <v>533</v>
      </c>
      <c r="B602" s="157" t="s">
        <v>26</v>
      </c>
      <c r="C602" s="157">
        <f ca="1">IFERROR(INDEX(BYEs!$B$2:$B$33,MATCH(D602,BYEs!$A$2:$A$33,0)),"N/A")</f>
        <v>14</v>
      </c>
      <c r="D602" s="214" t="str">
        <f t="shared" ca="1" si="63"/>
        <v>DEN</v>
      </c>
      <c r="E602" s="213" t="str">
        <f t="shared" ca="1" si="64"/>
        <v>QB7</v>
      </c>
      <c r="F602" s="158">
        <f ca="1">IF(LeagueInfo!$H$7="Starter/Bench",INDEX(INDIRECT(""&amp;B602&amp;"!T2:T628"),MATCH(A602,INDIRECT(""&amp;B602&amp;"!B2:B628"),0)),INDEX(INDIRECT(""&amp;B602&amp;"!AB2:AB628"),MATCH(A602,INDIRECT(""&amp;B602&amp;"!B2:B628"),0)))</f>
        <v>-28.06467189963637</v>
      </c>
      <c r="G602" s="159">
        <f t="shared" si="65"/>
        <v>0</v>
      </c>
      <c r="H602" s="160"/>
      <c r="I602" s="159">
        <f t="shared" ca="1" si="66"/>
        <v>-28.06467189963637</v>
      </c>
      <c r="J602" s="159" t="s">
        <v>73</v>
      </c>
      <c r="K602" s="159">
        <f>IF(LeagueInfo!$F$7="Yahoo",IFERROR(INDEX(DefaultAuctionValues!$B$2:$B$331,MATCH(A602,DefaultAuctionValues!$A$2:$A$331,0)),0),IF(LeagueInfo!$F$7="ESPN",IFERROR(INDEX(DefaultAuctionValues!$C$2:$C$331,MATCH(A602,DefaultAuctionValues!$A$2:$A$331,0)),0),IF(LeagueInfo!$F$7="Custom",IFERROR(INDEX(DefaultAuctionValues!$D$2:$D$331,MATCH(A602,DefaultAuctionValues!$A$2:$A$331,0)),0))))</f>
        <v>0</v>
      </c>
      <c r="L602" s="159">
        <f t="shared" ca="1" si="67"/>
        <v>-28.06467189963637</v>
      </c>
      <c r="M602" s="171"/>
      <c r="N602" s="166">
        <f t="shared" ca="1" si="68"/>
        <v>-85.055000000000007</v>
      </c>
      <c r="O602" s="157" t="str">
        <f t="shared" ca="1" si="69"/>
        <v/>
      </c>
    </row>
    <row r="603" spans="1:15" x14ac:dyDescent="0.35">
      <c r="A603" s="157" t="s">
        <v>984</v>
      </c>
      <c r="B603" s="157" t="s">
        <v>26</v>
      </c>
      <c r="C603" s="157">
        <f ca="1">IFERROR(INDEX(BYEs!$B$2:$B$33,MATCH(D603,BYEs!$A$2:$A$33,0)),"N/A")</f>
        <v>11</v>
      </c>
      <c r="D603" s="214" t="str">
        <f t="shared" ca="1" si="63"/>
        <v>NYG</v>
      </c>
      <c r="E603" s="213" t="str">
        <f t="shared" ca="1" si="64"/>
        <v>QB7</v>
      </c>
      <c r="F603" s="158">
        <f ca="1">IF(LeagueInfo!$H$7="Starter/Bench",INDEX(INDIRECT(""&amp;B603&amp;"!T2:T628"),MATCH(A603,INDIRECT(""&amp;B603&amp;"!B2:B628"),0)),INDEX(INDIRECT(""&amp;B603&amp;"!AB2:AB628"),MATCH(A603,INDIRECT(""&amp;B603&amp;"!B2:B628"),0)))</f>
        <v>-28.130663721162758</v>
      </c>
      <c r="G603" s="159">
        <f t="shared" si="65"/>
        <v>0</v>
      </c>
      <c r="H603" s="160"/>
      <c r="I603" s="159">
        <f t="shared" ca="1" si="66"/>
        <v>-28.130663721162758</v>
      </c>
      <c r="J603" s="159" t="s">
        <v>73</v>
      </c>
      <c r="K603" s="159">
        <f>IF(LeagueInfo!$F$7="Yahoo",IFERROR(INDEX(DefaultAuctionValues!$B$2:$B$331,MATCH(A603,DefaultAuctionValues!$A$2:$A$331,0)),0),IF(LeagueInfo!$F$7="ESPN",IFERROR(INDEX(DefaultAuctionValues!$C$2:$C$331,MATCH(A603,DefaultAuctionValues!$A$2:$A$331,0)),0),IF(LeagueInfo!$F$7="Custom",IFERROR(INDEX(DefaultAuctionValues!$D$2:$D$331,MATCH(A603,DefaultAuctionValues!$A$2:$A$331,0)),0))))</f>
        <v>0</v>
      </c>
      <c r="L603" s="159">
        <f t="shared" ca="1" si="67"/>
        <v>-28.130663721162758</v>
      </c>
      <c r="M603" s="171"/>
      <c r="N603" s="166">
        <f t="shared" ca="1" si="68"/>
        <v>-85.254999999999995</v>
      </c>
      <c r="O603" s="157" t="str">
        <f t="shared" ca="1" si="69"/>
        <v/>
      </c>
    </row>
    <row r="604" spans="1:15" x14ac:dyDescent="0.35">
      <c r="A604" s="157" t="s">
        <v>223</v>
      </c>
      <c r="B604" s="157" t="s">
        <v>26</v>
      </c>
      <c r="C604" s="157">
        <f ca="1">IFERROR(INDEX(BYEs!$B$2:$B$33,MATCH(D604,BYEs!$A$2:$A$33,0)),"N/A")</f>
        <v>14</v>
      </c>
      <c r="D604" s="214" t="str">
        <f t="shared" ca="1" si="63"/>
        <v>HOU</v>
      </c>
      <c r="E604" s="213" t="str">
        <f t="shared" ca="1" si="64"/>
        <v>QB7</v>
      </c>
      <c r="F604" s="158">
        <f ca="1">IF(LeagueInfo!$H$7="Starter/Bench",INDEX(INDIRECT(""&amp;B604&amp;"!T2:T628"),MATCH(A604,INDIRECT(""&amp;B604&amp;"!B2:B628"),0)),INDEX(INDIRECT(""&amp;B604&amp;"!AB2:AB628"),MATCH(A604,INDIRECT(""&amp;B604&amp;"!B2:B628"),0)))</f>
        <v>-28.180157587307555</v>
      </c>
      <c r="G604" s="159">
        <f t="shared" si="65"/>
        <v>0</v>
      </c>
      <c r="H604" s="160"/>
      <c r="I604" s="159">
        <f t="shared" ca="1" si="66"/>
        <v>-28.180157587307555</v>
      </c>
      <c r="J604" s="159" t="s">
        <v>73</v>
      </c>
      <c r="K604" s="159">
        <f>IF(LeagueInfo!$F$7="Yahoo",IFERROR(INDEX(DefaultAuctionValues!$B$2:$B$331,MATCH(A604,DefaultAuctionValues!$A$2:$A$331,0)),0),IF(LeagueInfo!$F$7="ESPN",IFERROR(INDEX(DefaultAuctionValues!$C$2:$C$331,MATCH(A604,DefaultAuctionValues!$A$2:$A$331,0)),0),IF(LeagueInfo!$F$7="Custom",IFERROR(INDEX(DefaultAuctionValues!$D$2:$D$331,MATCH(A604,DefaultAuctionValues!$A$2:$A$331,0)),0))))</f>
        <v>0</v>
      </c>
      <c r="L604" s="159">
        <f t="shared" ca="1" si="67"/>
        <v>-28.180157587307555</v>
      </c>
      <c r="M604" s="171"/>
      <c r="N604" s="166">
        <f t="shared" ca="1" si="68"/>
        <v>-85.405000000000001</v>
      </c>
      <c r="O604" s="157" t="str">
        <f t="shared" ca="1" si="69"/>
        <v/>
      </c>
    </row>
    <row r="605" spans="1:15" x14ac:dyDescent="0.35">
      <c r="A605" s="157" t="s">
        <v>535</v>
      </c>
      <c r="B605" s="157" t="s">
        <v>26</v>
      </c>
      <c r="C605" s="157">
        <f ca="1">IFERROR(INDEX(BYEs!$B$2:$B$33,MATCH(D605,BYEs!$A$2:$A$33,0)),"N/A")</f>
        <v>7</v>
      </c>
      <c r="D605" s="214" t="str">
        <f t="shared" ca="1" si="63"/>
        <v>DAL</v>
      </c>
      <c r="E605" s="213" t="str">
        <f t="shared" ca="1" si="64"/>
        <v>QB7</v>
      </c>
      <c r="F605" s="158">
        <f ca="1">IF(LeagueInfo!$H$7="Starter/Bench",INDEX(INDIRECT(""&amp;B605&amp;"!T2:T628"),MATCH(A605,INDIRECT(""&amp;B605&amp;"!B2:B628"),0)),INDEX(INDIRECT(""&amp;B605&amp;"!AB2:AB628"),MATCH(A605,INDIRECT(""&amp;B605&amp;"!B2:B628"),0)))</f>
        <v>-28.191706156074673</v>
      </c>
      <c r="G605" s="159">
        <f t="shared" si="65"/>
        <v>0</v>
      </c>
      <c r="H605" s="160"/>
      <c r="I605" s="159">
        <f t="shared" ca="1" si="66"/>
        <v>-28.191706156074673</v>
      </c>
      <c r="J605" s="159" t="s">
        <v>73</v>
      </c>
      <c r="K605" s="159">
        <f>IF(LeagueInfo!$F$7="Yahoo",IFERROR(INDEX(DefaultAuctionValues!$B$2:$B$331,MATCH(A605,DefaultAuctionValues!$A$2:$A$331,0)),0),IF(LeagueInfo!$F$7="ESPN",IFERROR(INDEX(DefaultAuctionValues!$C$2:$C$331,MATCH(A605,DefaultAuctionValues!$A$2:$A$331,0)),0),IF(LeagueInfo!$F$7="Custom",IFERROR(INDEX(DefaultAuctionValues!$D$2:$D$331,MATCH(A605,DefaultAuctionValues!$A$2:$A$331,0)),0))))</f>
        <v>0</v>
      </c>
      <c r="L605" s="159">
        <f t="shared" ca="1" si="67"/>
        <v>-28.191706156074673</v>
      </c>
      <c r="M605" s="171"/>
      <c r="N605" s="166">
        <f t="shared" ca="1" si="68"/>
        <v>-85.44</v>
      </c>
      <c r="O605" s="157" t="str">
        <f t="shared" ca="1" si="69"/>
        <v/>
      </c>
    </row>
    <row r="606" spans="1:15" x14ac:dyDescent="0.35">
      <c r="A606" s="157" t="s">
        <v>859</v>
      </c>
      <c r="B606" s="157" t="s">
        <v>26</v>
      </c>
      <c r="C606" s="157">
        <f ca="1">IFERROR(INDEX(BYEs!$B$2:$B$33,MATCH(D606,BYEs!$A$2:$A$33,0)),"N/A")</f>
        <v>11</v>
      </c>
      <c r="D606" s="214" t="str">
        <f t="shared" ca="1" si="63"/>
        <v>TB</v>
      </c>
      <c r="E606" s="213" t="str">
        <f t="shared" ca="1" si="64"/>
        <v>QB7</v>
      </c>
      <c r="F606" s="158">
        <f ca="1">IF(LeagueInfo!$H$7="Starter/Bench",INDEX(INDIRECT(""&amp;B606&amp;"!T2:T628"),MATCH(A606,INDIRECT(""&amp;B606&amp;"!B2:B628"),0)),INDEX(INDIRECT(""&amp;B606&amp;"!AB2:AB628"),MATCH(A606,INDIRECT(""&amp;B606&amp;"!B2:B628"),0)))</f>
        <v>-28.213153498070749</v>
      </c>
      <c r="G606" s="159">
        <f t="shared" si="65"/>
        <v>0</v>
      </c>
      <c r="H606" s="160"/>
      <c r="I606" s="159">
        <f t="shared" ca="1" si="66"/>
        <v>-28.213153498070749</v>
      </c>
      <c r="J606" s="159" t="s">
        <v>73</v>
      </c>
      <c r="K606" s="159">
        <f>IF(LeagueInfo!$F$7="Yahoo",IFERROR(INDEX(DefaultAuctionValues!$B$2:$B$331,MATCH(A606,DefaultAuctionValues!$A$2:$A$331,0)),0),IF(LeagueInfo!$F$7="ESPN",IFERROR(INDEX(DefaultAuctionValues!$C$2:$C$331,MATCH(A606,DefaultAuctionValues!$A$2:$A$331,0)),0),IF(LeagueInfo!$F$7="Custom",IFERROR(INDEX(DefaultAuctionValues!$D$2:$D$331,MATCH(A606,DefaultAuctionValues!$A$2:$A$331,0)),0))))</f>
        <v>0</v>
      </c>
      <c r="L606" s="159">
        <f t="shared" ca="1" si="67"/>
        <v>-28.213153498070749</v>
      </c>
      <c r="M606" s="171"/>
      <c r="N606" s="166">
        <f t="shared" ca="1" si="68"/>
        <v>-85.504999999999995</v>
      </c>
      <c r="O606" s="157" t="str">
        <f t="shared" ca="1" si="69"/>
        <v/>
      </c>
    </row>
    <row r="607" spans="1:15" x14ac:dyDescent="0.35">
      <c r="A607" s="157" t="s">
        <v>985</v>
      </c>
      <c r="B607" s="157" t="s">
        <v>26</v>
      </c>
      <c r="C607" s="157">
        <f ca="1">IFERROR(INDEX(BYEs!$B$2:$B$33,MATCH(D607,BYEs!$A$2:$A$33,0)),"N/A")</f>
        <v>12</v>
      </c>
      <c r="D607" s="214" t="str">
        <f t="shared" ca="1" si="63"/>
        <v>NYJ</v>
      </c>
      <c r="E607" s="213" t="str">
        <f t="shared" ca="1" si="64"/>
        <v>QB7</v>
      </c>
      <c r="F607" s="158">
        <f ca="1">IF(LeagueInfo!$H$7="Starter/Bench",INDEX(INDIRECT(""&amp;B607&amp;"!T2:T628"),MATCH(A607,INDIRECT(""&amp;B607&amp;"!B2:B628"),0)),INDEX(INDIRECT(""&amp;B607&amp;"!AB2:AB628"),MATCH(A607,INDIRECT(""&amp;B607&amp;"!B2:B628"),0)))</f>
        <v>-28.259347773139222</v>
      </c>
      <c r="G607" s="159">
        <f t="shared" si="65"/>
        <v>0</v>
      </c>
      <c r="H607" s="160"/>
      <c r="I607" s="159">
        <f t="shared" ca="1" si="66"/>
        <v>-28.259347773139222</v>
      </c>
      <c r="J607" s="159" t="s">
        <v>73</v>
      </c>
      <c r="K607" s="159">
        <f>IF(LeagueInfo!$F$7="Yahoo",IFERROR(INDEX(DefaultAuctionValues!$B$2:$B$331,MATCH(A607,DefaultAuctionValues!$A$2:$A$331,0)),0),IF(LeagueInfo!$F$7="ESPN",IFERROR(INDEX(DefaultAuctionValues!$C$2:$C$331,MATCH(A607,DefaultAuctionValues!$A$2:$A$331,0)),0),IF(LeagueInfo!$F$7="Custom",IFERROR(INDEX(DefaultAuctionValues!$D$2:$D$331,MATCH(A607,DefaultAuctionValues!$A$2:$A$331,0)),0))))</f>
        <v>0</v>
      </c>
      <c r="L607" s="159">
        <f t="shared" ca="1" si="67"/>
        <v>-28.259347773139222</v>
      </c>
      <c r="M607" s="171"/>
      <c r="N607" s="166">
        <f t="shared" ca="1" si="68"/>
        <v>-85.644999999999996</v>
      </c>
      <c r="O607" s="157" t="str">
        <f t="shared" ca="1" si="69"/>
        <v/>
      </c>
    </row>
    <row r="608" spans="1:15" x14ac:dyDescent="0.35">
      <c r="A608" s="157" t="s">
        <v>987</v>
      </c>
      <c r="B608" s="157" t="s">
        <v>26</v>
      </c>
      <c r="C608" s="157">
        <f ca="1">IFERROR(INDEX(BYEs!$B$2:$B$33,MATCH(D608,BYEs!$A$2:$A$33,0)),"N/A")</f>
        <v>14</v>
      </c>
      <c r="D608" s="214" t="str">
        <f t="shared" ca="1" si="63"/>
        <v>NE</v>
      </c>
      <c r="E608" s="213" t="str">
        <f t="shared" ca="1" si="64"/>
        <v>QB7</v>
      </c>
      <c r="F608" s="158">
        <f ca="1">IF(LeagueInfo!$H$7="Starter/Bench",INDEX(INDIRECT(""&amp;B608&amp;"!T2:T628"),MATCH(A608,INDIRECT(""&amp;B608&amp;"!B2:B628"),0)),INDEX(INDIRECT(""&amp;B608&amp;"!AB2:AB628"),MATCH(A608,INDIRECT(""&amp;B608&amp;"!B2:B628"),0)))</f>
        <v>-28.460622828794719</v>
      </c>
      <c r="G608" s="159">
        <f t="shared" si="65"/>
        <v>0</v>
      </c>
      <c r="H608" s="160"/>
      <c r="I608" s="159">
        <f t="shared" ca="1" si="66"/>
        <v>-28.460622828794719</v>
      </c>
      <c r="J608" s="159" t="s">
        <v>73</v>
      </c>
      <c r="K608" s="159">
        <f>IF(LeagueInfo!$F$7="Yahoo",IFERROR(INDEX(DefaultAuctionValues!$B$2:$B$331,MATCH(A608,DefaultAuctionValues!$A$2:$A$331,0)),0),IF(LeagueInfo!$F$7="ESPN",IFERROR(INDEX(DefaultAuctionValues!$C$2:$C$331,MATCH(A608,DefaultAuctionValues!$A$2:$A$331,0)),0),IF(LeagueInfo!$F$7="Custom",IFERROR(INDEX(DefaultAuctionValues!$D$2:$D$331,MATCH(A608,DefaultAuctionValues!$A$2:$A$331,0)),0))))</f>
        <v>0</v>
      </c>
      <c r="L608" s="159">
        <f t="shared" ca="1" si="67"/>
        <v>-28.460622828794719</v>
      </c>
      <c r="M608" s="171"/>
      <c r="N608" s="166">
        <f t="shared" ca="1" si="68"/>
        <v>-86.254999999999995</v>
      </c>
      <c r="O608" s="157" t="str">
        <f t="shared" ca="1" si="69"/>
        <v/>
      </c>
    </row>
    <row r="609" spans="1:15" x14ac:dyDescent="0.35">
      <c r="A609" s="157" t="s">
        <v>418</v>
      </c>
      <c r="B609" s="157" t="s">
        <v>26</v>
      </c>
      <c r="C609" s="157">
        <f ca="1">IFERROR(INDEX(BYEs!$B$2:$B$33,MATCH(D609,BYEs!$A$2:$A$33,0)),"N/A")</f>
        <v>9</v>
      </c>
      <c r="D609" s="214" t="str">
        <f t="shared" ca="1" si="63"/>
        <v>PIT</v>
      </c>
      <c r="E609" s="213" t="str">
        <f t="shared" ca="1" si="64"/>
        <v>QB7</v>
      </c>
      <c r="F609" s="158">
        <f ca="1">IF(LeagueInfo!$H$7="Starter/Bench",INDEX(INDIRECT(""&amp;B609&amp;"!T2:T628"),MATCH(A609,INDIRECT(""&amp;B609&amp;"!B2:B628"),0)),INDEX(INDIRECT(""&amp;B609&amp;"!AB2:AB628"),MATCH(A609,INDIRECT(""&amp;B609&amp;"!B2:B628"),0)))</f>
        <v>-28.516715877092153</v>
      </c>
      <c r="G609" s="159">
        <f t="shared" si="65"/>
        <v>0</v>
      </c>
      <c r="H609" s="160"/>
      <c r="I609" s="159">
        <f t="shared" ca="1" si="66"/>
        <v>-28.516715877092153</v>
      </c>
      <c r="J609" s="159" t="s">
        <v>73</v>
      </c>
      <c r="K609" s="159">
        <f>IF(LeagueInfo!$F$7="Yahoo",IFERROR(INDEX(DefaultAuctionValues!$B$2:$B$331,MATCH(A609,DefaultAuctionValues!$A$2:$A$331,0)),0),IF(LeagueInfo!$F$7="ESPN",IFERROR(INDEX(DefaultAuctionValues!$C$2:$C$331,MATCH(A609,DefaultAuctionValues!$A$2:$A$331,0)),0),IF(LeagueInfo!$F$7="Custom",IFERROR(INDEX(DefaultAuctionValues!$D$2:$D$331,MATCH(A609,DefaultAuctionValues!$A$2:$A$331,0)),0))))</f>
        <v>0</v>
      </c>
      <c r="L609" s="159">
        <f t="shared" ca="1" si="67"/>
        <v>-28.516715877092153</v>
      </c>
      <c r="M609" s="171"/>
      <c r="N609" s="166">
        <f t="shared" ca="1" si="68"/>
        <v>-86.424999999999997</v>
      </c>
      <c r="O609" s="157" t="str">
        <f t="shared" ca="1" si="69"/>
        <v/>
      </c>
    </row>
    <row r="610" spans="1:15" x14ac:dyDescent="0.35">
      <c r="A610" s="157" t="s">
        <v>726</v>
      </c>
      <c r="B610" s="157" t="s">
        <v>26</v>
      </c>
      <c r="C610" s="157">
        <f ca="1">IFERROR(INDEX(BYEs!$B$2:$B$33,MATCH(D610,BYEs!$A$2:$A$33,0)),"N/A")</f>
        <v>10</v>
      </c>
      <c r="D610" s="214" t="str">
        <f t="shared" ca="1" si="63"/>
        <v>GB</v>
      </c>
      <c r="E610" s="213" t="str">
        <f t="shared" ca="1" si="64"/>
        <v>QB7</v>
      </c>
      <c r="F610" s="158">
        <f ca="1">IF(LeagueInfo!$H$7="Starter/Bench",INDEX(INDIRECT(""&amp;B610&amp;"!T2:T628"),MATCH(A610,INDIRECT(""&amp;B610&amp;"!B2:B628"),0)),INDEX(INDIRECT(""&amp;B610&amp;"!AB2:AB628"),MATCH(A610,INDIRECT(""&amp;B610&amp;"!B2:B628"),0)))</f>
        <v>-28.516715877092153</v>
      </c>
      <c r="G610" s="159">
        <f t="shared" si="65"/>
        <v>0</v>
      </c>
      <c r="H610" s="160"/>
      <c r="I610" s="159">
        <f t="shared" ca="1" si="66"/>
        <v>-28.516715877092153</v>
      </c>
      <c r="J610" s="159" t="s">
        <v>73</v>
      </c>
      <c r="K610" s="159">
        <f>IF(LeagueInfo!$F$7="Yahoo",IFERROR(INDEX(DefaultAuctionValues!$B$2:$B$331,MATCH(A610,DefaultAuctionValues!$A$2:$A$331,0)),0),IF(LeagueInfo!$F$7="ESPN",IFERROR(INDEX(DefaultAuctionValues!$C$2:$C$331,MATCH(A610,DefaultAuctionValues!$A$2:$A$331,0)),0),IF(LeagueInfo!$F$7="Custom",IFERROR(INDEX(DefaultAuctionValues!$D$2:$D$331,MATCH(A610,DefaultAuctionValues!$A$2:$A$331,0)),0))))</f>
        <v>0</v>
      </c>
      <c r="L610" s="159">
        <f t="shared" ca="1" si="67"/>
        <v>-28.516715877092153</v>
      </c>
      <c r="M610" s="171"/>
      <c r="N610" s="166">
        <f t="shared" ca="1" si="68"/>
        <v>-86.424999999999997</v>
      </c>
      <c r="O610" s="157" t="str">
        <f t="shared" ca="1" si="69"/>
        <v/>
      </c>
    </row>
    <row r="611" spans="1:15" x14ac:dyDescent="0.35">
      <c r="A611" s="157" t="s">
        <v>420</v>
      </c>
      <c r="B611" s="157" t="s">
        <v>26</v>
      </c>
      <c r="C611" s="157">
        <f ca="1">IFERROR(INDEX(BYEs!$B$2:$B$33,MATCH(D611,BYEs!$A$2:$A$33,0)),"N/A")</f>
        <v>12</v>
      </c>
      <c r="D611" s="214" t="str">
        <f t="shared" ca="1" si="63"/>
        <v>BUF</v>
      </c>
      <c r="E611" s="213" t="str">
        <f t="shared" ca="1" si="64"/>
        <v>QB7</v>
      </c>
      <c r="F611" s="158">
        <f ca="1">IF(LeagueInfo!$H$7="Starter/Bench",INDEX(INDIRECT(""&amp;B611&amp;"!T2:T628"),MATCH(A611,INDIRECT(""&amp;B611&amp;"!B2:B628"),0)),INDEX(INDIRECT(""&amp;B611&amp;"!AB2:AB628"),MATCH(A611,INDIRECT(""&amp;B611&amp;"!B2:B628"),0)))</f>
        <v>-28.526614650321111</v>
      </c>
      <c r="G611" s="159">
        <f t="shared" si="65"/>
        <v>0</v>
      </c>
      <c r="H611" s="160"/>
      <c r="I611" s="159">
        <f t="shared" ca="1" si="66"/>
        <v>-28.526614650321111</v>
      </c>
      <c r="J611" s="159" t="s">
        <v>73</v>
      </c>
      <c r="K611" s="159">
        <f>IF(LeagueInfo!$F$7="Yahoo",IFERROR(INDEX(DefaultAuctionValues!$B$2:$B$331,MATCH(A611,DefaultAuctionValues!$A$2:$A$331,0)),0),IF(LeagueInfo!$F$7="ESPN",IFERROR(INDEX(DefaultAuctionValues!$C$2:$C$331,MATCH(A611,DefaultAuctionValues!$A$2:$A$331,0)),0),IF(LeagueInfo!$F$7="Custom",IFERROR(INDEX(DefaultAuctionValues!$D$2:$D$331,MATCH(A611,DefaultAuctionValues!$A$2:$A$331,0)),0))))</f>
        <v>0</v>
      </c>
      <c r="L611" s="159">
        <f t="shared" ca="1" si="67"/>
        <v>-28.526614650321111</v>
      </c>
      <c r="M611" s="171"/>
      <c r="N611" s="166">
        <f t="shared" ca="1" si="68"/>
        <v>-86.454999999999998</v>
      </c>
      <c r="O611" s="157" t="str">
        <f t="shared" ca="1" si="69"/>
        <v/>
      </c>
    </row>
    <row r="612" spans="1:15" x14ac:dyDescent="0.35">
      <c r="A612" s="157" t="s">
        <v>754</v>
      </c>
      <c r="B612" s="157" t="s">
        <v>26</v>
      </c>
      <c r="C612" s="157">
        <f ca="1">IFERROR(INDEX(BYEs!$B$2:$B$33,MATCH(D612,BYEs!$A$2:$A$33,0)),"N/A")</f>
        <v>6</v>
      </c>
      <c r="D612" s="214" t="str">
        <f t="shared" ca="1" si="63"/>
        <v>KC</v>
      </c>
      <c r="E612" s="213" t="str">
        <f t="shared" ca="1" si="64"/>
        <v>QB7</v>
      </c>
      <c r="F612" s="158">
        <f ca="1">IF(LeagueInfo!$H$7="Starter/Bench",INDEX(INDIRECT(""&amp;B612&amp;"!T2:T628"),MATCH(A612,INDIRECT(""&amp;B612&amp;"!B2:B628"),0)),INDEX(INDIRECT(""&amp;B612&amp;"!AB2:AB628"),MATCH(A612,INDIRECT(""&amp;B612&amp;"!B2:B628"),0)))</f>
        <v>-28.559610561084313</v>
      </c>
      <c r="G612" s="159">
        <f t="shared" si="65"/>
        <v>0</v>
      </c>
      <c r="H612" s="160"/>
      <c r="I612" s="159">
        <f t="shared" ca="1" si="66"/>
        <v>-28.559610561084313</v>
      </c>
      <c r="J612" s="159" t="s">
        <v>73</v>
      </c>
      <c r="K612" s="159">
        <f>IF(LeagueInfo!$F$7="Yahoo",IFERROR(INDEX(DefaultAuctionValues!$B$2:$B$331,MATCH(A612,DefaultAuctionValues!$A$2:$A$331,0)),0),IF(LeagueInfo!$F$7="ESPN",IFERROR(INDEX(DefaultAuctionValues!$C$2:$C$331,MATCH(A612,DefaultAuctionValues!$A$2:$A$331,0)),0),IF(LeagueInfo!$F$7="Custom",IFERROR(INDEX(DefaultAuctionValues!$D$2:$D$331,MATCH(A612,DefaultAuctionValues!$A$2:$A$331,0)),0))))</f>
        <v>0</v>
      </c>
      <c r="L612" s="159">
        <f t="shared" ca="1" si="67"/>
        <v>-28.559610561084313</v>
      </c>
      <c r="M612" s="171"/>
      <c r="N612" s="166">
        <f t="shared" ca="1" si="68"/>
        <v>-86.555000000000007</v>
      </c>
      <c r="O612" s="157" t="str">
        <f t="shared" ca="1" si="69"/>
        <v/>
      </c>
    </row>
    <row r="613" spans="1:15" x14ac:dyDescent="0.35">
      <c r="A613" s="157" t="s">
        <v>1126</v>
      </c>
      <c r="B613" s="157" t="s">
        <v>26</v>
      </c>
      <c r="C613" s="157">
        <f ca="1">IFERROR(INDEX(BYEs!$B$2:$B$33,MATCH(D613,BYEs!$A$2:$A$33,0)),"N/A")</f>
        <v>12</v>
      </c>
      <c r="D613" s="214" t="str">
        <f t="shared" ca="1" si="63"/>
        <v>NO</v>
      </c>
      <c r="E613" s="213" t="str">
        <f t="shared" ca="1" si="64"/>
        <v>QB7</v>
      </c>
      <c r="F613" s="158">
        <f ca="1">IF(LeagueInfo!$H$7="Starter/Bench",INDEX(INDIRECT(""&amp;B613&amp;"!T2:T628"),MATCH(A613,INDIRECT(""&amp;B613&amp;"!B2:B628"),0)),INDEX(INDIRECT(""&amp;B613&amp;"!AB2:AB628"),MATCH(A613,INDIRECT(""&amp;B613&amp;"!B2:B628"),0)))</f>
        <v>-28.582707698618545</v>
      </c>
      <c r="G613" s="159">
        <f t="shared" si="65"/>
        <v>0</v>
      </c>
      <c r="H613" s="160"/>
      <c r="I613" s="159">
        <f t="shared" ca="1" si="66"/>
        <v>-28.582707698618545</v>
      </c>
      <c r="J613" s="159" t="s">
        <v>73</v>
      </c>
      <c r="K613" s="159">
        <f>IF(LeagueInfo!$F$7="Yahoo",IFERROR(INDEX(DefaultAuctionValues!$B$2:$B$331,MATCH(A613,DefaultAuctionValues!$A$2:$A$331,0)),0),IF(LeagueInfo!$F$7="ESPN",IFERROR(INDEX(DefaultAuctionValues!$C$2:$C$331,MATCH(A613,DefaultAuctionValues!$A$2:$A$331,0)),0),IF(LeagueInfo!$F$7="Custom",IFERROR(INDEX(DefaultAuctionValues!$D$2:$D$331,MATCH(A613,DefaultAuctionValues!$A$2:$A$331,0)),0))))</f>
        <v>0</v>
      </c>
      <c r="L613" s="159">
        <f t="shared" ca="1" si="67"/>
        <v>-28.582707698618545</v>
      </c>
      <c r="M613" s="171"/>
      <c r="N613" s="166">
        <f t="shared" ca="1" si="68"/>
        <v>-86.625</v>
      </c>
      <c r="O613" s="157" t="str">
        <f t="shared" ca="1" si="69"/>
        <v/>
      </c>
    </row>
    <row r="614" spans="1:15" x14ac:dyDescent="0.35">
      <c r="A614" s="157" t="s">
        <v>749</v>
      </c>
      <c r="B614" s="157" t="s">
        <v>26</v>
      </c>
      <c r="C614" s="157">
        <f ca="1">IFERROR(INDEX(BYEs!$B$2:$B$33,MATCH(D614,BYEs!$A$2:$A$33,0)),"N/A")</f>
        <v>6</v>
      </c>
      <c r="D614" s="214" t="str">
        <f t="shared" ca="1" si="63"/>
        <v>LAR</v>
      </c>
      <c r="E614" s="213" t="str">
        <f t="shared" ca="1" si="64"/>
        <v>QB7</v>
      </c>
      <c r="F614" s="158">
        <f ca="1">IF(LeagueInfo!$H$7="Starter/Bench",INDEX(INDIRECT(""&amp;B614&amp;"!T2:T628"),MATCH(A614,INDIRECT(""&amp;B614&amp;"!B2:B628"),0)),INDEX(INDIRECT(""&amp;B614&amp;"!AB2:AB628"),MATCH(A614,INDIRECT(""&amp;B614&amp;"!B2:B628"),0)))</f>
        <v>-28.678395839831815</v>
      </c>
      <c r="G614" s="159">
        <f t="shared" si="65"/>
        <v>0</v>
      </c>
      <c r="H614" s="160"/>
      <c r="I614" s="159">
        <f t="shared" ca="1" si="66"/>
        <v>-28.678395839831815</v>
      </c>
      <c r="J614" s="159" t="s">
        <v>73</v>
      </c>
      <c r="K614" s="159">
        <f>IF(LeagueInfo!$F$7="Yahoo",IFERROR(INDEX(DefaultAuctionValues!$B$2:$B$331,MATCH(A614,DefaultAuctionValues!$A$2:$A$331,0)),0),IF(LeagueInfo!$F$7="ESPN",IFERROR(INDEX(DefaultAuctionValues!$C$2:$C$331,MATCH(A614,DefaultAuctionValues!$A$2:$A$331,0)),0),IF(LeagueInfo!$F$7="Custom",IFERROR(INDEX(DefaultAuctionValues!$D$2:$D$331,MATCH(A614,DefaultAuctionValues!$A$2:$A$331,0)),0))))</f>
        <v>0</v>
      </c>
      <c r="L614" s="159">
        <f t="shared" ca="1" si="67"/>
        <v>-28.678395839831815</v>
      </c>
      <c r="M614" s="171"/>
      <c r="N614" s="166">
        <f t="shared" ca="1" si="68"/>
        <v>-86.915000000000006</v>
      </c>
      <c r="O614" s="157" t="str">
        <f t="shared" ca="1" si="69"/>
        <v/>
      </c>
    </row>
    <row r="615" spans="1:15" x14ac:dyDescent="0.35">
      <c r="A615" s="157" t="s">
        <v>988</v>
      </c>
      <c r="B615" s="157" t="s">
        <v>26</v>
      </c>
      <c r="C615" s="157">
        <f ca="1">IFERROR(INDEX(BYEs!$B$2:$B$33,MATCH(D615,BYEs!$A$2:$A$33,0)),"N/A")</f>
        <v>14</v>
      </c>
      <c r="D615" s="214" t="str">
        <f t="shared" ca="1" si="63"/>
        <v>WAS</v>
      </c>
      <c r="E615" s="213" t="str">
        <f t="shared" ca="1" si="64"/>
        <v>QB7</v>
      </c>
      <c r="F615" s="158">
        <f ca="1">IF(LeagueInfo!$H$7="Starter/Bench",INDEX(INDIRECT(""&amp;B615&amp;"!T2:T628"),MATCH(A615,INDIRECT(""&amp;B615&amp;"!B2:B628"),0)),INDEX(INDIRECT(""&amp;B615&amp;"!AB2:AB628"),MATCH(A615,INDIRECT(""&amp;B615&amp;"!B2:B628"),0)))</f>
        <v>-28.724590114900291</v>
      </c>
      <c r="G615" s="159">
        <f t="shared" si="65"/>
        <v>0</v>
      </c>
      <c r="H615" s="160"/>
      <c r="I615" s="159">
        <f t="shared" ca="1" si="66"/>
        <v>-28.724590114900291</v>
      </c>
      <c r="J615" s="159" t="s">
        <v>73</v>
      </c>
      <c r="K615" s="159">
        <f>IF(LeagueInfo!$F$7="Yahoo",IFERROR(INDEX(DefaultAuctionValues!$B$2:$B$331,MATCH(A615,DefaultAuctionValues!$A$2:$A$331,0)),0),IF(LeagueInfo!$F$7="ESPN",IFERROR(INDEX(DefaultAuctionValues!$C$2:$C$331,MATCH(A615,DefaultAuctionValues!$A$2:$A$331,0)),0),IF(LeagueInfo!$F$7="Custom",IFERROR(INDEX(DefaultAuctionValues!$D$2:$D$331,MATCH(A615,DefaultAuctionValues!$A$2:$A$331,0)),0))))</f>
        <v>0</v>
      </c>
      <c r="L615" s="159">
        <f t="shared" ca="1" si="67"/>
        <v>-28.724590114900291</v>
      </c>
      <c r="M615" s="171"/>
      <c r="N615" s="166">
        <f t="shared" ca="1" si="68"/>
        <v>-87.055000000000007</v>
      </c>
      <c r="O615" s="157" t="str">
        <f t="shared" ca="1" si="69"/>
        <v/>
      </c>
    </row>
    <row r="616" spans="1:15" x14ac:dyDescent="0.35">
      <c r="A616" s="157" t="s">
        <v>991</v>
      </c>
      <c r="B616" s="157" t="s">
        <v>26</v>
      </c>
      <c r="C616" s="157">
        <f ca="1">IFERROR(INDEX(BYEs!$B$2:$B$33,MATCH(D616,BYEs!$A$2:$A$33,0)),"N/A")</f>
        <v>10</v>
      </c>
      <c r="D616" s="214" t="str">
        <f t="shared" ca="1" si="63"/>
        <v>CLE</v>
      </c>
      <c r="E616" s="213" t="str">
        <f t="shared" ca="1" si="64"/>
        <v>QB7</v>
      </c>
      <c r="F616" s="158">
        <f ca="1">IF(LeagueInfo!$H$7="Starter/Bench",INDEX(INDIRECT(""&amp;B616&amp;"!T2:T628"),MATCH(A616,INDIRECT(""&amp;B616&amp;"!B2:B628"),0)),INDEX(INDIRECT(""&amp;B616&amp;"!AB2:AB628"),MATCH(A616,INDIRECT(""&amp;B616&amp;"!B2:B628"),0)))</f>
        <v>-28.764185207816123</v>
      </c>
      <c r="G616" s="159">
        <f t="shared" si="65"/>
        <v>0</v>
      </c>
      <c r="H616" s="160"/>
      <c r="I616" s="159">
        <f t="shared" ca="1" si="66"/>
        <v>-28.764185207816123</v>
      </c>
      <c r="J616" s="159" t="s">
        <v>73</v>
      </c>
      <c r="K616" s="159">
        <f>IF(LeagueInfo!$F$7="Yahoo",IFERROR(INDEX(DefaultAuctionValues!$B$2:$B$331,MATCH(A616,DefaultAuctionValues!$A$2:$A$331,0)),0),IF(LeagueInfo!$F$7="ESPN",IFERROR(INDEX(DefaultAuctionValues!$C$2:$C$331,MATCH(A616,DefaultAuctionValues!$A$2:$A$331,0)),0),IF(LeagueInfo!$F$7="Custom",IFERROR(INDEX(DefaultAuctionValues!$D$2:$D$331,MATCH(A616,DefaultAuctionValues!$A$2:$A$331,0)),0))))</f>
        <v>0</v>
      </c>
      <c r="L616" s="159">
        <f t="shared" ca="1" si="67"/>
        <v>-28.764185207816123</v>
      </c>
      <c r="M616" s="171"/>
      <c r="N616" s="166">
        <f t="shared" ca="1" si="68"/>
        <v>-87.174999999999997</v>
      </c>
      <c r="O616" s="157" t="str">
        <f t="shared" ca="1" si="69"/>
        <v/>
      </c>
    </row>
    <row r="617" spans="1:15" x14ac:dyDescent="0.35">
      <c r="A617" s="157" t="s">
        <v>989</v>
      </c>
      <c r="B617" s="157" t="s">
        <v>26</v>
      </c>
      <c r="C617" s="157">
        <f ca="1">IFERROR(INDEX(BYEs!$B$2:$B$33,MATCH(D617,BYEs!$A$2:$A$33,0)),"N/A")</f>
        <v>5</v>
      </c>
      <c r="D617" s="214" t="str">
        <f t="shared" ca="1" si="63"/>
        <v>PHI</v>
      </c>
      <c r="E617" s="213" t="str">
        <f t="shared" ca="1" si="64"/>
        <v>QB7</v>
      </c>
      <c r="F617" s="158">
        <f ca="1">IF(LeagueInfo!$H$7="Starter/Bench",INDEX(INDIRECT(""&amp;B617&amp;"!T2:T628"),MATCH(A617,INDIRECT(""&amp;B617&amp;"!B2:B628"),0)),INDEX(INDIRECT(""&amp;B617&amp;"!AB2:AB628"),MATCH(A617,INDIRECT(""&amp;B617&amp;"!B2:B628"),0)))</f>
        <v>-28.840075802571477</v>
      </c>
      <c r="G617" s="159">
        <f t="shared" si="65"/>
        <v>0</v>
      </c>
      <c r="H617" s="160"/>
      <c r="I617" s="159">
        <f t="shared" ca="1" si="66"/>
        <v>-28.840075802571477</v>
      </c>
      <c r="J617" s="159" t="s">
        <v>73</v>
      </c>
      <c r="K617" s="159">
        <f>IF(LeagueInfo!$F$7="Yahoo",IFERROR(INDEX(DefaultAuctionValues!$B$2:$B$331,MATCH(A617,DefaultAuctionValues!$A$2:$A$331,0)),0),IF(LeagueInfo!$F$7="ESPN",IFERROR(INDEX(DefaultAuctionValues!$C$2:$C$331,MATCH(A617,DefaultAuctionValues!$A$2:$A$331,0)),0),IF(LeagueInfo!$F$7="Custom",IFERROR(INDEX(DefaultAuctionValues!$D$2:$D$331,MATCH(A617,DefaultAuctionValues!$A$2:$A$331,0)),0))))</f>
        <v>0</v>
      </c>
      <c r="L617" s="159">
        <f t="shared" ca="1" si="67"/>
        <v>-28.840075802571477</v>
      </c>
      <c r="M617" s="171"/>
      <c r="N617" s="166">
        <f t="shared" ca="1" si="68"/>
        <v>-87.405000000000001</v>
      </c>
      <c r="O617" s="157" t="str">
        <f t="shared" ca="1" si="69"/>
        <v/>
      </c>
    </row>
    <row r="618" spans="1:15" x14ac:dyDescent="0.35">
      <c r="A618" s="157" t="s">
        <v>990</v>
      </c>
      <c r="B618" s="157" t="s">
        <v>26</v>
      </c>
      <c r="C618" s="157">
        <f ca="1">IFERROR(INDEX(BYEs!$B$2:$B$33,MATCH(D618,BYEs!$A$2:$A$33,0)),"N/A")</f>
        <v>14</v>
      </c>
      <c r="D618" s="214" t="str">
        <f t="shared" ca="1" si="63"/>
        <v>IND</v>
      </c>
      <c r="E618" s="213" t="str">
        <f t="shared" ca="1" si="64"/>
        <v>QB7</v>
      </c>
      <c r="F618" s="158">
        <f ca="1">IF(LeagueInfo!$H$7="Starter/Bench",INDEX(INDIRECT(""&amp;B618&amp;"!T2:T628"),MATCH(A618,INDIRECT(""&amp;B618&amp;"!B2:B628"),0)),INDEX(INDIRECT(""&amp;B618&amp;"!AB2:AB628"),MATCH(A618,INDIRECT(""&amp;B618&amp;"!B2:B628"),0)))</f>
        <v>-28.86647253118203</v>
      </c>
      <c r="G618" s="159">
        <f t="shared" si="65"/>
        <v>0</v>
      </c>
      <c r="H618" s="160"/>
      <c r="I618" s="159">
        <f t="shared" ca="1" si="66"/>
        <v>-28.86647253118203</v>
      </c>
      <c r="J618" s="159" t="s">
        <v>73</v>
      </c>
      <c r="K618" s="159">
        <f>IF(LeagueInfo!$F$7="Yahoo",IFERROR(INDEX(DefaultAuctionValues!$B$2:$B$331,MATCH(A618,DefaultAuctionValues!$A$2:$A$331,0)),0),IF(LeagueInfo!$F$7="ESPN",IFERROR(INDEX(DefaultAuctionValues!$C$2:$C$331,MATCH(A618,DefaultAuctionValues!$A$2:$A$331,0)),0),IF(LeagueInfo!$F$7="Custom",IFERROR(INDEX(DefaultAuctionValues!$D$2:$D$331,MATCH(A618,DefaultAuctionValues!$A$2:$A$331,0)),0))))</f>
        <v>0</v>
      </c>
      <c r="L618" s="159">
        <f t="shared" ca="1" si="67"/>
        <v>-28.86647253118203</v>
      </c>
      <c r="M618" s="171"/>
      <c r="N618" s="166">
        <f t="shared" ca="1" si="68"/>
        <v>-87.484999999999999</v>
      </c>
      <c r="O618" s="157" t="str">
        <f t="shared" ca="1" si="69"/>
        <v/>
      </c>
    </row>
    <row r="619" spans="1:15" x14ac:dyDescent="0.35">
      <c r="A619" s="157" t="s">
        <v>992</v>
      </c>
      <c r="B619" s="157" t="s">
        <v>26</v>
      </c>
      <c r="C619" s="157">
        <f ca="1">IFERROR(INDEX(BYEs!$B$2:$B$33,MATCH(D619,BYEs!$A$2:$A$33,0)),"N/A")</f>
        <v>14</v>
      </c>
      <c r="D619" s="214" t="str">
        <f t="shared" ca="1" si="63"/>
        <v>BAL</v>
      </c>
      <c r="E619" s="213" t="str">
        <f t="shared" ca="1" si="64"/>
        <v>QB7</v>
      </c>
      <c r="F619" s="158">
        <f ca="1">IF(LeagueInfo!$H$7="Starter/Bench",INDEX(INDIRECT(""&amp;B619&amp;"!T2:T628"),MATCH(A619,INDIRECT(""&amp;B619&amp;"!B2:B628"),0)),INDEX(INDIRECT(""&amp;B619&amp;"!AB2:AB628"),MATCH(A619,INDIRECT(""&amp;B619&amp;"!B2:B628"),0)))</f>
        <v>-29.730965393177769</v>
      </c>
      <c r="G619" s="159">
        <f t="shared" si="65"/>
        <v>0</v>
      </c>
      <c r="H619" s="160"/>
      <c r="I619" s="159">
        <f t="shared" ca="1" si="66"/>
        <v>-29.730965393177769</v>
      </c>
      <c r="J619" s="159" t="s">
        <v>73</v>
      </c>
      <c r="K619" s="159">
        <f>IF(LeagueInfo!$F$7="Yahoo",IFERROR(INDEX(DefaultAuctionValues!$B$2:$B$331,MATCH(A619,DefaultAuctionValues!$A$2:$A$331,0)),0),IF(LeagueInfo!$F$7="ESPN",IFERROR(INDEX(DefaultAuctionValues!$C$2:$C$331,MATCH(A619,DefaultAuctionValues!$A$2:$A$331,0)),0),IF(LeagueInfo!$F$7="Custom",IFERROR(INDEX(DefaultAuctionValues!$D$2:$D$331,MATCH(A619,DefaultAuctionValues!$A$2:$A$331,0)),0))))</f>
        <v>0</v>
      </c>
      <c r="L619" s="159">
        <f t="shared" ca="1" si="67"/>
        <v>-29.730965393177769</v>
      </c>
      <c r="M619" s="171"/>
      <c r="N619" s="166">
        <f t="shared" ca="1" si="68"/>
        <v>-90.105000000000004</v>
      </c>
      <c r="O619" s="157" t="str">
        <f t="shared" ca="1" si="69"/>
        <v/>
      </c>
    </row>
  </sheetData>
  <autoFilter ref="A12:O408" xr:uid="{00000000-0009-0000-0000-000013000000}">
    <sortState xmlns:xlrd2="http://schemas.microsoft.com/office/spreadsheetml/2017/richdata2" ref="A13:O619">
      <sortCondition descending="1" ref="I13:I650"/>
      <sortCondition descending="1" ref="N13:N650"/>
    </sortState>
  </autoFilter>
  <sortState xmlns:xlrd2="http://schemas.microsoft.com/office/spreadsheetml/2017/richdata2" ref="A13:O750">
    <sortCondition descending="1" ref="F13"/>
  </sortState>
  <mergeCells count="4">
    <mergeCell ref="C2:D2"/>
    <mergeCell ref="C4:D4"/>
    <mergeCell ref="C6:D6"/>
    <mergeCell ref="C8:D8"/>
  </mergeCells>
  <conditionalFormatting sqref="G13:G208">
    <cfRule type="expression" dxfId="51" priority="121">
      <formula>$G13&lt;0</formula>
    </cfRule>
    <cfRule type="expression" dxfId="50" priority="123">
      <formula>$G13&gt;0</formula>
    </cfRule>
  </conditionalFormatting>
  <conditionalFormatting sqref="L13:L208">
    <cfRule type="expression" dxfId="49" priority="30">
      <formula>$L13&lt;0</formula>
    </cfRule>
    <cfRule type="expression" dxfId="48" priority="146">
      <formula>$L13&gt;0</formula>
    </cfRule>
  </conditionalFormatting>
  <conditionalFormatting sqref="C13:O208">
    <cfRule type="expression" dxfId="47" priority="274">
      <formula>$H13&gt;0</formula>
    </cfRule>
    <cfRule type="expression" dxfId="46" priority="277">
      <formula>IF($O13="Upside",TRUE,FALSE)</formula>
    </cfRule>
    <cfRule type="expression" dxfId="45" priority="278">
      <formula>IF($O13="Sleeper",TRUE,FALSE)</formula>
    </cfRule>
    <cfRule type="expression" dxfId="44" priority="279">
      <formula>IF($O13="Target",TRUE,FALSE)</formula>
    </cfRule>
    <cfRule type="expression" dxfId="43" priority="280">
      <formula>IF($O13="Avoid",TRUE,FALSE)</formula>
    </cfRule>
  </conditionalFormatting>
  <conditionalFormatting sqref="A13:B407">
    <cfRule type="expression" dxfId="42" priority="35">
      <formula>$H13&gt;0</formula>
    </cfRule>
  </conditionalFormatting>
  <conditionalFormatting sqref="K2:K8">
    <cfRule type="expression" dxfId="41" priority="31">
      <formula>$K2&gt;0.2</formula>
    </cfRule>
  </conditionalFormatting>
  <conditionalFormatting sqref="G209:G619">
    <cfRule type="expression" dxfId="40" priority="4">
      <formula>$G209&lt;0</formula>
    </cfRule>
    <cfRule type="expression" dxfId="39" priority="5">
      <formula>$G209&gt;0</formula>
    </cfRule>
  </conditionalFormatting>
  <conditionalFormatting sqref="L209:L619">
    <cfRule type="expression" dxfId="38" priority="3">
      <formula>$L209&lt;0</formula>
    </cfRule>
    <cfRule type="expression" dxfId="37" priority="6">
      <formula>$L209&gt;0</formula>
    </cfRule>
  </conditionalFormatting>
  <conditionalFormatting sqref="C209:O619">
    <cfRule type="expression" dxfId="36" priority="7">
      <formula>$H209&gt;0</formula>
    </cfRule>
    <cfRule type="expression" dxfId="35" priority="8">
      <formula>IF($O209="Upside",TRUE,FALSE)</formula>
    </cfRule>
    <cfRule type="expression" dxfId="34" priority="9">
      <formula>IF($O209="Sleeper",TRUE,FALSE)</formula>
    </cfRule>
    <cfRule type="expression" dxfId="33" priority="10">
      <formula>IF($O209="Target",TRUE,FALSE)</formula>
    </cfRule>
    <cfRule type="expression" dxfId="32" priority="11">
      <formula>IF($O209="Avoid",TRUE,FALSE)</formula>
    </cfRule>
  </conditionalFormatting>
  <conditionalFormatting sqref="A209:B209">
    <cfRule type="expression" dxfId="31" priority="2">
      <formula>$H209&gt;0</formula>
    </cfRule>
  </conditionalFormatting>
  <conditionalFormatting sqref="A408:B619">
    <cfRule type="expression" dxfId="30" priority="1">
      <formula>$H408&gt;0</formula>
    </cfRule>
  </conditionalFormatting>
  <dataValidations disablePrompts="1" count="1">
    <dataValidation type="list" allowBlank="1" showInputMessage="1" showErrorMessage="1" sqref="M13:M619" xr:uid="{00000000-0002-0000-1300-000000000000}">
      <formula1>TeamList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56" r:id="rId4" name="Button 32">
              <controlPr defaultSize="0" print="0" autoFill="0" autoPict="0" macro="[0]!Clear_AuctionFilter">
                <anchor moveWithCells="1" sizeWithCells="1">
                  <from>
                    <xdr:col>1</xdr:col>
                    <xdr:colOff>6350</xdr:colOff>
                    <xdr:row>8</xdr:row>
                    <xdr:rowOff>184150</xdr:rowOff>
                  </from>
                  <to>
                    <xdr:col>2</xdr:col>
                    <xdr:colOff>31750</xdr:colOff>
                    <xdr:row>9</xdr:row>
                    <xdr:rowOff>184150</xdr:rowOff>
                  </to>
                </anchor>
              </controlPr>
            </control>
          </mc:Choice>
        </mc:AlternateContent>
        <mc:AlternateContent xmlns:mc="http://schemas.openxmlformats.org/markup-compatibility/2006">
          <mc:Choice Requires="x14">
            <control shapeId="26657" r:id="rId5" name="Button 33">
              <controlPr defaultSize="0" print="0" autoFill="0" autoPict="0" macro="[0]!Hide_Drafted">
                <anchor moveWithCells="1" sizeWithCells="1">
                  <from>
                    <xdr:col>5</xdr:col>
                    <xdr:colOff>31750</xdr:colOff>
                    <xdr:row>8</xdr:row>
                    <xdr:rowOff>31750</xdr:rowOff>
                  </from>
                  <to>
                    <xdr:col>6</xdr:col>
                    <xdr:colOff>260350</xdr:colOff>
                    <xdr:row>9</xdr:row>
                    <xdr:rowOff>0</xdr:rowOff>
                  </to>
                </anchor>
              </controlPr>
            </control>
          </mc:Choice>
        </mc:AlternateContent>
        <mc:AlternateContent xmlns:mc="http://schemas.openxmlformats.org/markup-compatibility/2006">
          <mc:Choice Requires="x14">
            <control shapeId="26658" r:id="rId6" name="Button 34">
              <controlPr defaultSize="0" print="0" autoFill="0" autoPict="0" macro="[0]!Show_Drafted">
                <anchor moveWithCells="1" sizeWithCells="1">
                  <from>
                    <xdr:col>5</xdr:col>
                    <xdr:colOff>31750</xdr:colOff>
                    <xdr:row>9</xdr:row>
                    <xdr:rowOff>6350</xdr:rowOff>
                  </from>
                  <to>
                    <xdr:col>6</xdr:col>
                    <xdr:colOff>260350</xdr:colOff>
                    <xdr:row>10</xdr:row>
                    <xdr:rowOff>0</xdr:rowOff>
                  </to>
                </anchor>
              </controlPr>
            </control>
          </mc:Choice>
        </mc:AlternateContent>
        <mc:AlternateContent xmlns:mc="http://schemas.openxmlformats.org/markup-compatibility/2006">
          <mc:Choice Requires="x14">
            <control shapeId="2" r:id="rId7" name="Button 35">
              <controlPr defaultSize="0" print="0" autoFill="0" autoPict="0" macro="[0]!Sort_Auction">
                <anchor moveWithCells="1" sizeWithCells="1">
                  <from>
                    <xdr:col>7</xdr:col>
                    <xdr:colOff>38100</xdr:colOff>
                    <xdr:row>8</xdr:row>
                    <xdr:rowOff>0</xdr:rowOff>
                  </from>
                  <to>
                    <xdr:col>8</xdr:col>
                    <xdr:colOff>31750</xdr:colOff>
                    <xdr:row>10</xdr:row>
                    <xdr:rowOff>0</xdr:rowOff>
                  </to>
                </anchor>
              </controlPr>
            </control>
          </mc:Choice>
        </mc:AlternateContent>
        <mc:AlternateContent xmlns:mc="http://schemas.openxmlformats.org/markup-compatibility/2006">
          <mc:Choice Requires="x14">
            <control shapeId="3" r:id="rId8" name="Button 36">
              <controlPr defaultSize="0" print="0" autoFill="0" autoPict="0" macro="[0]!Hide_Keepers">
                <anchor moveWithCells="1" sizeWithCells="1">
                  <from>
                    <xdr:col>9</xdr:col>
                    <xdr:colOff>69850</xdr:colOff>
                    <xdr:row>8</xdr:row>
                    <xdr:rowOff>0</xdr:rowOff>
                  </from>
                  <to>
                    <xdr:col>10</xdr:col>
                    <xdr:colOff>234950</xdr:colOff>
                    <xdr:row>9</xdr:row>
                    <xdr:rowOff>0</xdr:rowOff>
                  </to>
                </anchor>
              </controlPr>
            </control>
          </mc:Choice>
        </mc:AlternateContent>
        <mc:AlternateContent xmlns:mc="http://schemas.openxmlformats.org/markup-compatibility/2006">
          <mc:Choice Requires="x14">
            <control shapeId="4" r:id="rId9" name="Button 37">
              <controlPr defaultSize="0" print="0" autoFill="0" autoPict="0" macro="[0]!Show_Keepers">
                <anchor moveWithCells="1" sizeWithCells="1">
                  <from>
                    <xdr:col>9</xdr:col>
                    <xdr:colOff>69850</xdr:colOff>
                    <xdr:row>9</xdr:row>
                    <xdr:rowOff>6350</xdr:rowOff>
                  </from>
                  <to>
                    <xdr:col>10</xdr:col>
                    <xdr:colOff>234950</xdr:colOff>
                    <xdr:row>10</xdr:row>
                    <xdr:rowOff>0</xdr:rowOff>
                  </to>
                </anchor>
              </controlPr>
            </control>
          </mc:Choice>
        </mc:AlternateContent>
        <mc:AlternateContent xmlns:mc="http://schemas.openxmlformats.org/markup-compatibility/2006">
          <mc:Choice Requires="x14">
            <control shapeId="5" r:id="rId10" name="Button 38">
              <controlPr defaultSize="0" print="0" autoFill="0" autoPict="0" macro="[0]!Show_All">
                <anchor moveWithCells="1" sizeWithCells="1">
                  <from>
                    <xdr:col>11</xdr:col>
                    <xdr:colOff>488950</xdr:colOff>
                    <xdr:row>8</xdr:row>
                    <xdr:rowOff>0</xdr:rowOff>
                  </from>
                  <to>
                    <xdr:col>15</xdr:col>
                    <xdr:colOff>69850</xdr:colOff>
                    <xdr:row>9</xdr:row>
                    <xdr:rowOff>0</xdr:rowOff>
                  </to>
                </anchor>
              </controlPr>
            </control>
          </mc:Choice>
        </mc:AlternateContent>
        <mc:AlternateContent xmlns:mc="http://schemas.openxmlformats.org/markup-compatibility/2006">
          <mc:Choice Requires="x14">
            <control shapeId="6" r:id="rId11" name="Button 39">
              <controlPr defaultSize="0" print="0" autoFill="0" autoPict="0" macro="[0]!Hide_Avoids">
                <anchor moveWithCells="1" sizeWithCells="1">
                  <from>
                    <xdr:col>11</xdr:col>
                    <xdr:colOff>488950</xdr:colOff>
                    <xdr:row>9</xdr:row>
                    <xdr:rowOff>0</xdr:rowOff>
                  </from>
                  <to>
                    <xdr:col>12</xdr:col>
                    <xdr:colOff>527050</xdr:colOff>
                    <xdr:row>10</xdr:row>
                    <xdr:rowOff>0</xdr:rowOff>
                  </to>
                </anchor>
              </controlPr>
            </control>
          </mc:Choice>
        </mc:AlternateContent>
        <mc:AlternateContent xmlns:mc="http://schemas.openxmlformats.org/markup-compatibility/2006">
          <mc:Choice Requires="x14">
            <control shapeId="7" r:id="rId12" name="Button 40">
              <controlPr defaultSize="0" print="0" autoFill="0" autoPict="0" macro="[0]!Show_Sleepers">
                <anchor moveWithCells="1" sizeWithCells="1">
                  <from>
                    <xdr:col>13</xdr:col>
                    <xdr:colOff>565150</xdr:colOff>
                    <xdr:row>9</xdr:row>
                    <xdr:rowOff>6350</xdr:rowOff>
                  </from>
                  <to>
                    <xdr:col>15</xdr:col>
                    <xdr:colOff>69850</xdr:colOff>
                    <xdr:row>10</xdr:row>
                    <xdr:rowOff>0</xdr:rowOff>
                  </to>
                </anchor>
              </controlPr>
            </control>
          </mc:Choice>
        </mc:AlternateContent>
        <mc:AlternateContent xmlns:mc="http://schemas.openxmlformats.org/markup-compatibility/2006">
          <mc:Choice Requires="x14">
            <control shapeId="8" r:id="rId13" name="Button 41">
              <controlPr defaultSize="0" print="0" autoFill="0" autoPict="0" macro="[0]!Show_Targets">
                <anchor moveWithCells="1" sizeWithCells="1">
                  <from>
                    <xdr:col>12</xdr:col>
                    <xdr:colOff>527050</xdr:colOff>
                    <xdr:row>9</xdr:row>
                    <xdr:rowOff>0</xdr:rowOff>
                  </from>
                  <to>
                    <xdr:col>13</xdr:col>
                    <xdr:colOff>533400</xdr:colOff>
                    <xdr:row>10</xdr:row>
                    <xdr:rowOff>0</xdr:rowOff>
                  </to>
                </anchor>
              </controlPr>
            </control>
          </mc:Choice>
        </mc:AlternateContent>
        <mc:AlternateContent xmlns:mc="http://schemas.openxmlformats.org/markup-compatibility/2006">
          <mc:Choice Requires="x14">
            <control shapeId="9" r:id="rId14" name="Button 42">
              <controlPr defaultSize="0" print="0" autoFill="0" autoPict="0" macro="[0]!Fill_Auction">
                <anchor moveWithCells="1" sizeWithCells="1">
                  <from>
                    <xdr:col>11</xdr:col>
                    <xdr:colOff>444500</xdr:colOff>
                    <xdr:row>0</xdr:row>
                    <xdr:rowOff>0</xdr:rowOff>
                  </from>
                  <to>
                    <xdr:col>15</xdr:col>
                    <xdr:colOff>25400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300-000001000000}">
          <x14:formula1>
            <xm:f>LeagueInfo!$I$89:$I$90</xm:f>
          </x14:formula1>
          <xm:sqref>J13:J619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6"/>
  <dimension ref="A1:Z265"/>
  <sheetViews>
    <sheetView workbookViewId="0">
      <selection activeCell="P50" sqref="P50"/>
    </sheetView>
  </sheetViews>
  <sheetFormatPr defaultColWidth="8.90625" defaultRowHeight="14.5" x14ac:dyDescent="0.35"/>
  <cols>
    <col min="2" max="2" width="27.453125" customWidth="1"/>
    <col min="3" max="3" width="11.08984375" bestFit="1" customWidth="1"/>
    <col min="4" max="4" width="9.08984375" bestFit="1" customWidth="1"/>
    <col min="5" max="5" width="9.08984375" customWidth="1"/>
    <col min="6" max="6" width="1.453125" customWidth="1"/>
    <col min="8" max="8" width="21.453125" customWidth="1"/>
    <col min="9" max="9" width="15.453125" bestFit="1" customWidth="1"/>
    <col min="10" max="10" width="7.08984375" bestFit="1" customWidth="1"/>
    <col min="11" max="11" width="11.453125" bestFit="1" customWidth="1"/>
    <col min="12" max="14" width="4.453125" customWidth="1"/>
    <col min="15" max="15" width="4" customWidth="1"/>
    <col min="16" max="16" width="3.453125" customWidth="1"/>
    <col min="17" max="17" width="3.90625" bestFit="1" customWidth="1"/>
    <col min="18" max="19" width="8.453125" bestFit="1" customWidth="1"/>
    <col min="20" max="20" width="9" bestFit="1" customWidth="1"/>
    <col min="21" max="21" width="7.90625" bestFit="1" customWidth="1"/>
    <col min="22" max="22" width="1.453125" customWidth="1"/>
    <col min="25" max="25" width="11.08984375" bestFit="1" customWidth="1"/>
  </cols>
  <sheetData>
    <row r="1" spans="1:26" x14ac:dyDescent="0.35">
      <c r="A1" s="267" t="str">
        <f>H3</f>
        <v>My Team</v>
      </c>
      <c r="B1" s="268"/>
      <c r="C1" s="268"/>
      <c r="D1" s="268"/>
      <c r="E1" s="269"/>
      <c r="G1" s="267" t="s">
        <v>20</v>
      </c>
      <c r="H1" s="268"/>
      <c r="I1" s="268"/>
      <c r="J1" s="268"/>
      <c r="K1" s="268"/>
      <c r="L1" s="268"/>
      <c r="M1" s="268"/>
      <c r="N1" s="268"/>
      <c r="O1" s="268"/>
      <c r="P1" s="268"/>
      <c r="Q1" s="269"/>
      <c r="R1" s="270" t="s">
        <v>308</v>
      </c>
      <c r="S1" s="271"/>
      <c r="T1" s="271"/>
      <c r="U1" s="272"/>
      <c r="W1" s="267" t="s">
        <v>309</v>
      </c>
      <c r="X1" s="268"/>
      <c r="Y1" s="268"/>
      <c r="Z1" s="269"/>
    </row>
    <row r="2" spans="1:26" x14ac:dyDescent="0.35">
      <c r="A2" s="139" t="s">
        <v>310</v>
      </c>
      <c r="B2" s="147" t="s">
        <v>82</v>
      </c>
      <c r="C2" s="129" t="s">
        <v>311</v>
      </c>
      <c r="D2" s="129" t="s">
        <v>312</v>
      </c>
      <c r="E2" s="140" t="s">
        <v>262</v>
      </c>
      <c r="G2" s="128" t="s">
        <v>313</v>
      </c>
      <c r="H2" s="129" t="s">
        <v>250</v>
      </c>
      <c r="I2" s="130" t="s">
        <v>286</v>
      </c>
      <c r="J2" s="130" t="s">
        <v>314</v>
      </c>
      <c r="K2" s="130" t="s">
        <v>315</v>
      </c>
      <c r="L2" s="130" t="s">
        <v>26</v>
      </c>
      <c r="M2" s="130" t="s">
        <v>25</v>
      </c>
      <c r="N2" s="130" t="s">
        <v>32</v>
      </c>
      <c r="O2" s="130" t="s">
        <v>40</v>
      </c>
      <c r="P2" s="130" t="s">
        <v>45</v>
      </c>
      <c r="Q2" s="131" t="s">
        <v>51</v>
      </c>
      <c r="R2" s="190" t="s">
        <v>316</v>
      </c>
      <c r="S2" s="130" t="s">
        <v>317</v>
      </c>
      <c r="T2" s="130" t="s">
        <v>318</v>
      </c>
      <c r="U2" s="131" t="s">
        <v>319</v>
      </c>
      <c r="W2" s="139" t="s">
        <v>310</v>
      </c>
      <c r="X2" s="129" t="s">
        <v>320</v>
      </c>
      <c r="Y2" s="129" t="s">
        <v>321</v>
      </c>
      <c r="Z2" s="140" t="s">
        <v>322</v>
      </c>
    </row>
    <row r="3" spans="1:26" x14ac:dyDescent="0.35">
      <c r="A3" s="132" t="str">
        <f>IFERROR(INDEX(Auction!$B$13:$B$437,MATCH(B3,Auction!$A$13:$A$437,0)),"")</f>
        <v/>
      </c>
      <c r="B3" s="206" t="str">
        <f t="array" ref="B3">IF($A$1=0,"",IFERROR(INDEX(Auction!$A$13:$M$437,SMALL(IF(Auction!$M$13:$M$437=$A$1,(ROW(Auction!$M$13:$M$437)-MIN(ROW(Auction!$M$13:$M$437))+1),""),ROW(A1)),1),""))</f>
        <v/>
      </c>
      <c r="C3" s="141">
        <f>IF(ISERROR(VLOOKUP(B3,Auction!$A$13:$I$437,7,FALSE)),0,VLOOKUP(B3,Auction!$A$13:$I$437,8,FALSE))</f>
        <v>0</v>
      </c>
      <c r="D3" s="142">
        <f>IFERROR(VLOOKUP(B3,Auction!$A$13:$I$437,9,FALSE)-C3,0)</f>
        <v>0</v>
      </c>
      <c r="E3" s="148" t="str">
        <f>IFERROR(INDEX(Auction!$C$13:$C$437,MATCH(B3,Auction!$A$13:$A$437,0)),"")</f>
        <v/>
      </c>
      <c r="G3" s="132">
        <v>1</v>
      </c>
      <c r="H3" s="221" t="s">
        <v>307</v>
      </c>
      <c r="I3" s="122">
        <f>LeagueInfo!$F$3-SUMIF(Auction!$M$13:$M$437,$H3,Auction!$H$13:$H$437)</f>
        <v>200</v>
      </c>
      <c r="J3" s="123">
        <f>I3-(LeagueInfo!$F$4-COUNTIF(Auction!$M$13:$M$437,$H3))+1</f>
        <v>185</v>
      </c>
      <c r="K3" s="124">
        <f>SUM(L3:Q3)</f>
        <v>0</v>
      </c>
      <c r="L3" s="124">
        <f>COUNTIFS(Auction!$M$13:$M$437,Teams!$H3,Auction!$H$13:$H$437,"&gt;0",Auction!$B$13:$B$437,L$2)</f>
        <v>0</v>
      </c>
      <c r="M3" s="124">
        <f>COUNTIFS(Auction!$M$13:$M$437,Teams!$H3,Auction!$H$13:$H$437,"&gt;0",Auction!$B$13:$B$437,M$2)</f>
        <v>0</v>
      </c>
      <c r="N3" s="124">
        <f>COUNTIFS(Auction!$M$13:$M$437,Teams!$H3,Auction!$H$13:$H$437,"&gt;0",Auction!$B$13:$B$437,N$2)</f>
        <v>0</v>
      </c>
      <c r="O3" s="124">
        <f>COUNTIFS(Auction!$M$13:$M$437,Teams!$H3,Auction!$H$13:$H$437,"&gt;0",Auction!$B$13:$B$437,O$2)</f>
        <v>0</v>
      </c>
      <c r="P3" s="124">
        <f>COUNTIFS(Auction!$M$13:$M$437,Teams!$H3,Auction!$H$13:$H$437,"&gt;0",Auction!$B$13:$B$437,P$2)</f>
        <v>0</v>
      </c>
      <c r="Q3" s="133">
        <f>COUNTIFS(Auction!$M$13:$M$437,Teams!$H3,Auction!$H$13:$H$437,"&gt;0",Auction!$B$13:$B$437,Q$2)</f>
        <v>0</v>
      </c>
      <c r="R3" s="191">
        <f>SUMIFS(Auction!$H$13:$H$437,Auction!$M$13:$M$437,Teams!$H3,Auction!$B$13:$B$437,LEFT(R$2,2))</f>
        <v>0</v>
      </c>
      <c r="S3" s="187">
        <f>SUMIFS(Auction!$H$13:$H$437,Auction!$M$13:$M$437,Teams!$H3,Auction!$B$13:$B$437,LEFT(S$2,2))</f>
        <v>0</v>
      </c>
      <c r="T3" s="187">
        <f>SUMIFS(Auction!$H$13:$H$437,Auction!$M$13:$M$437,Teams!$H3,Auction!$B$13:$B$437,LEFT(T$2,2))</f>
        <v>0</v>
      </c>
      <c r="U3" s="192">
        <f>SUMIFS(Auction!$H$13:$H$437,Auction!$M$13:$M$437,Teams!$H3,Auction!$B$13:$B$437,LEFT(U$2,2))</f>
        <v>0</v>
      </c>
      <c r="W3" s="132" t="s">
        <v>26</v>
      </c>
      <c r="X3" s="185">
        <v>1</v>
      </c>
      <c r="Y3" s="184">
        <f>SUMIF($A$3:$A$22,W3,$C$3:$C$22)</f>
        <v>0</v>
      </c>
      <c r="Z3" s="186">
        <f>X3-Y3</f>
        <v>1</v>
      </c>
    </row>
    <row r="4" spans="1:26" x14ac:dyDescent="0.35">
      <c r="A4" s="132" t="str">
        <f>IFERROR(INDEX(Auction!$B$13:$B$437,MATCH(B4,Auction!$A$13:$A$437,0)),"")</f>
        <v/>
      </c>
      <c r="B4" s="206" t="str">
        <f t="array" ref="B4">IF($A$1=0,"",IFERROR(INDEX(Auction!$A$13:$M$437,SMALL(IF(Auction!$M$13:$M$437=$A$1,(ROW(Auction!$M$13:$M$437)-MIN(ROW(Auction!$M$13:$M$437))+1),""),ROW(A2)),1),""))</f>
        <v/>
      </c>
      <c r="C4" s="141">
        <f>IF(ISERROR(VLOOKUP(B4,Auction!$A$13:$I$437,7,FALSE)),0,VLOOKUP(B4,Auction!$A$13:$I$437,8,FALSE))</f>
        <v>0</v>
      </c>
      <c r="D4" s="142">
        <f>IFERROR(VLOOKUP(B4,Auction!$A$13:$I$437,9,FALSE)-C4,0)</f>
        <v>0</v>
      </c>
      <c r="E4" s="148" t="str">
        <f>IFERROR(INDEX(Auction!$C$13:$C$437,MATCH(B4,Auction!$A$13:$A$437,0)),"")</f>
        <v/>
      </c>
      <c r="G4" s="132">
        <v>2</v>
      </c>
      <c r="H4" s="222" t="s">
        <v>331</v>
      </c>
      <c r="I4" s="118">
        <f>LeagueInfo!$F$3-SUMIF(Auction!$M$13:$M$437,H4,Auction!$H$13:$H$437)</f>
        <v>200</v>
      </c>
      <c r="J4" s="119">
        <f>I4-(LeagueInfo!$F$4-COUNTIF(Auction!$M$13:$M$437,$H4))+1</f>
        <v>185</v>
      </c>
      <c r="K4" s="116">
        <f t="shared" ref="K4:K18" si="0">SUM(L4:Q4)</f>
        <v>0</v>
      </c>
      <c r="L4" s="116">
        <f>COUNTIFS(Auction!$M$13:$M$437,Teams!$H4,Auction!$H$13:$H$437,"&gt;0",Auction!$B$13:$B$437,L$2)</f>
        <v>0</v>
      </c>
      <c r="M4" s="116">
        <f>COUNTIFS(Auction!$M$13:$M$437,Teams!$H4,Auction!$H$13:$H$437,"&gt;0",Auction!$B$13:$B$437,M$2)</f>
        <v>0</v>
      </c>
      <c r="N4" s="116">
        <f>COUNTIFS(Auction!$M$13:$M$437,Teams!$H4,Auction!$H$13:$H$437,"&gt;0",Auction!$B$13:$B$437,N$2)</f>
        <v>0</v>
      </c>
      <c r="O4" s="116">
        <f>COUNTIFS(Auction!$M$13:$M$437,Teams!$H4,Auction!$H$13:$H$437,"&gt;0",Auction!$B$13:$B$437,O$2)</f>
        <v>0</v>
      </c>
      <c r="P4" s="116">
        <f>COUNTIFS(Auction!$M$13:$M$437,Teams!$H4,Auction!$H$13:$H$437,"&gt;0",Auction!$B$13:$B$437,P$2)</f>
        <v>0</v>
      </c>
      <c r="Q4" s="134">
        <f>COUNTIFS(Auction!$M$13:$M$437,Teams!$H4,Auction!$H$13:$H$437,"&gt;0",Auction!$B$13:$B$437,Q$2)</f>
        <v>0</v>
      </c>
      <c r="R4" s="193">
        <f>SUMIFS(Auction!$H$13:$H$437,Auction!$M$13:$M$437,Teams!$H4,Auction!$B$13:$B$437,LEFT(R$2,2))</f>
        <v>0</v>
      </c>
      <c r="S4" s="188">
        <f>SUMIFS(Auction!$H$13:$H$437,Auction!$M$13:$M$437,Teams!$H4,Auction!$B$13:$B$437,LEFT(S$2,2))</f>
        <v>0</v>
      </c>
      <c r="T4" s="188">
        <f>SUMIFS(Auction!$H$13:$H$437,Auction!$M$13:$M$437,Teams!$H4,Auction!$B$13:$B$437,LEFT(T$2,2))</f>
        <v>0</v>
      </c>
      <c r="U4" s="194">
        <f>SUMIFS(Auction!$H$13:$H$437,Auction!$M$13:$M$437,Teams!$H4,Auction!$B$13:$B$437,LEFT(U$2,2))</f>
        <v>0</v>
      </c>
      <c r="W4" s="132" t="s">
        <v>25</v>
      </c>
      <c r="X4" s="185">
        <v>98</v>
      </c>
      <c r="Y4" s="184">
        <f t="shared" ref="Y4:Y8" si="1">SUMIF($A$3:$A$22,W4,$C$3:$C$22)</f>
        <v>0</v>
      </c>
      <c r="Z4" s="186">
        <f t="shared" ref="Z4:Z8" si="2">X4-Y4</f>
        <v>98</v>
      </c>
    </row>
    <row r="5" spans="1:26" x14ac:dyDescent="0.35">
      <c r="A5" s="132" t="str">
        <f>IFERROR(INDEX(Auction!$B$13:$B$437,MATCH(B5,Auction!$A$13:$A$437,0)),"")</f>
        <v/>
      </c>
      <c r="B5" s="206" t="str">
        <f t="array" ref="B5">IF($A$1=0,"",IFERROR(INDEX(Auction!$A$13:$M$437,SMALL(IF(Auction!$M$13:$M$437=$A$1,(ROW(Auction!$M$13:$M$437)-MIN(ROW(Auction!$M$13:$M$437))+1),""),ROW(A3)),1),""))</f>
        <v/>
      </c>
      <c r="C5" s="141">
        <f>IF(ISERROR(VLOOKUP(B5,Auction!$A$13:$I$437,7,FALSE)),0,VLOOKUP(B5,Auction!$A$13:$I$437,8,FALSE))</f>
        <v>0</v>
      </c>
      <c r="D5" s="142">
        <f>IFERROR(VLOOKUP(B5,Auction!$A$13:$I$437,9,FALSE)-C5,0)</f>
        <v>0</v>
      </c>
      <c r="E5" s="148" t="str">
        <f>IFERROR(INDEX(Auction!$C$13:$C$437,MATCH(B5,Auction!$A$13:$A$437,0)),"")</f>
        <v/>
      </c>
      <c r="G5" s="132">
        <v>3</v>
      </c>
      <c r="H5" s="222" t="s">
        <v>334</v>
      </c>
      <c r="I5" s="125">
        <f>LeagueInfo!$F$3-SUMIF(Auction!$M$13:$M$437,H5,Auction!$H$13:$H$437)</f>
        <v>200</v>
      </c>
      <c r="J5" s="126">
        <f>I5-(LeagueInfo!$F$4-COUNTIF(Auction!$M$13:$M$437,$H5))+1</f>
        <v>185</v>
      </c>
      <c r="K5" s="127">
        <f t="shared" si="0"/>
        <v>0</v>
      </c>
      <c r="L5" s="127">
        <f>COUNTIFS(Auction!$M$13:$M$437,Teams!$H5,Auction!$H$13:$H$437,"&gt;0",Auction!$B$13:$B$437,L$2)</f>
        <v>0</v>
      </c>
      <c r="M5" s="127">
        <f>COUNTIFS(Auction!$M$13:$M$437,Teams!$H5,Auction!$H$13:$H$437,"&gt;0",Auction!$B$13:$B$437,M$2)</f>
        <v>0</v>
      </c>
      <c r="N5" s="127">
        <f>COUNTIFS(Auction!$M$13:$M$437,Teams!$H5,Auction!$H$13:$H$437,"&gt;0",Auction!$B$13:$B$437,N$2)</f>
        <v>0</v>
      </c>
      <c r="O5" s="127">
        <f>COUNTIFS(Auction!$M$13:$M$437,Teams!$H5,Auction!$H$13:$H$437,"&gt;0",Auction!$B$13:$B$437,O$2)</f>
        <v>0</v>
      </c>
      <c r="P5" s="127">
        <f>COUNTIFS(Auction!$M$13:$M$437,Teams!$H5,Auction!$H$13:$H$437,"&gt;0",Auction!$B$13:$B$437,P$2)</f>
        <v>0</v>
      </c>
      <c r="Q5" s="135">
        <f>COUNTIFS(Auction!$M$13:$M$437,Teams!$H5,Auction!$H$13:$H$437,"&gt;0",Auction!$B$13:$B$437,Q$2)</f>
        <v>0</v>
      </c>
      <c r="R5" s="191">
        <f>SUMIFS(Auction!$H$13:$H$437,Auction!$M$13:$M$437,Teams!$H5,Auction!$B$13:$B$437,LEFT(R$2,2))</f>
        <v>0</v>
      </c>
      <c r="S5" s="187">
        <f>SUMIFS(Auction!$H$13:$H$437,Auction!$M$13:$M$437,Teams!$H5,Auction!$B$13:$B$437,LEFT(S$2,2))</f>
        <v>0</v>
      </c>
      <c r="T5" s="187">
        <f>SUMIFS(Auction!$H$13:$H$437,Auction!$M$13:$M$437,Teams!$H5,Auction!$B$13:$B$437,LEFT(T$2,2))</f>
        <v>0</v>
      </c>
      <c r="U5" s="192">
        <f>SUMIFS(Auction!$H$13:$H$437,Auction!$M$13:$M$437,Teams!$H5,Auction!$B$13:$B$437,LEFT(U$2,2))</f>
        <v>0</v>
      </c>
      <c r="W5" s="132" t="s">
        <v>32</v>
      </c>
      <c r="X5" s="185">
        <v>90</v>
      </c>
      <c r="Y5" s="184">
        <f t="shared" si="1"/>
        <v>0</v>
      </c>
      <c r="Z5" s="186">
        <f t="shared" si="2"/>
        <v>90</v>
      </c>
    </row>
    <row r="6" spans="1:26" x14ac:dyDescent="0.35">
      <c r="A6" s="132" t="str">
        <f>IFERROR(INDEX(Auction!$B$13:$B$437,MATCH(B6,Auction!$A$13:$A$437,0)),"")</f>
        <v/>
      </c>
      <c r="B6" s="206" t="str">
        <f t="array" ref="B6">IF($A$1=0,"",IFERROR(INDEX(Auction!$A$13:$M$437,SMALL(IF(Auction!$M$13:$M$437=$A$1,(ROW(Auction!$M$13:$M$437)-MIN(ROW(Auction!$M$13:$M$437))+1),""),ROW(A4)),1),""))</f>
        <v/>
      </c>
      <c r="C6" s="141">
        <f>IF(ISERROR(VLOOKUP(B6,Auction!$A$13:$I$437,7,FALSE)),0,VLOOKUP(B6,Auction!$A$13:$I$437,8,FALSE))</f>
        <v>0</v>
      </c>
      <c r="D6" s="142">
        <f>IFERROR(VLOOKUP(B6,Auction!$A$13:$I$437,9,FALSE)-C6,0)</f>
        <v>0</v>
      </c>
      <c r="E6" s="148" t="str">
        <f>IFERROR(INDEX(Auction!$C$13:$C$437,MATCH(B6,Auction!$A$13:$A$437,0)),"")</f>
        <v/>
      </c>
      <c r="G6" s="132">
        <v>4</v>
      </c>
      <c r="H6" s="222" t="s">
        <v>335</v>
      </c>
      <c r="I6" s="118">
        <f>LeagueInfo!$F$3-SUMIF(Auction!$M$13:$M$437,H6,Auction!$H$13:$H$437)</f>
        <v>200</v>
      </c>
      <c r="J6" s="119">
        <f>I6-(LeagueInfo!$F$4-COUNTIF(Auction!$M$13:$M$437,$H6))+1</f>
        <v>185</v>
      </c>
      <c r="K6" s="116">
        <f t="shared" si="0"/>
        <v>0</v>
      </c>
      <c r="L6" s="116">
        <f>COUNTIFS(Auction!$M$13:$M$437,Teams!$H6,Auction!$H$13:$H$437,"&gt;0",Auction!$B$13:$B$437,L$2)</f>
        <v>0</v>
      </c>
      <c r="M6" s="116">
        <f>COUNTIFS(Auction!$M$13:$M$437,Teams!$H6,Auction!$H$13:$H$437,"&gt;0",Auction!$B$13:$B$437,M$2)</f>
        <v>0</v>
      </c>
      <c r="N6" s="116">
        <f>COUNTIFS(Auction!$M$13:$M$437,Teams!$H6,Auction!$H$13:$H$437,"&gt;0",Auction!$B$13:$B$437,N$2)</f>
        <v>0</v>
      </c>
      <c r="O6" s="116">
        <f>COUNTIFS(Auction!$M$13:$M$437,Teams!$H6,Auction!$H$13:$H$437,"&gt;0",Auction!$B$13:$B$437,O$2)</f>
        <v>0</v>
      </c>
      <c r="P6" s="116">
        <f>COUNTIFS(Auction!$M$13:$M$437,Teams!$H6,Auction!$H$13:$H$437,"&gt;0",Auction!$B$13:$B$437,P$2)</f>
        <v>0</v>
      </c>
      <c r="Q6" s="134">
        <f>COUNTIFS(Auction!$M$13:$M$437,Teams!$H6,Auction!$H$13:$H$437,"&gt;0",Auction!$B$13:$B$437,Q$2)</f>
        <v>0</v>
      </c>
      <c r="R6" s="193">
        <f>SUMIFS(Auction!$H$13:$H$437,Auction!$M$13:$M$437,Teams!$H6,Auction!$B$13:$B$437,LEFT(R$2,2))</f>
        <v>0</v>
      </c>
      <c r="S6" s="188">
        <f>SUMIFS(Auction!$H$13:$H$437,Auction!$M$13:$M$437,Teams!$H6,Auction!$B$13:$B$437,LEFT(S$2,2))</f>
        <v>0</v>
      </c>
      <c r="T6" s="188">
        <f>SUMIFS(Auction!$H$13:$H$437,Auction!$M$13:$M$437,Teams!$H6,Auction!$B$13:$B$437,LEFT(T$2,2))</f>
        <v>0</v>
      </c>
      <c r="U6" s="194">
        <f>SUMIFS(Auction!$H$13:$H$437,Auction!$M$13:$M$437,Teams!$H6,Auction!$B$13:$B$437,LEFT(U$2,2))</f>
        <v>0</v>
      </c>
      <c r="W6" s="132" t="s">
        <v>40</v>
      </c>
      <c r="X6" s="185">
        <v>9</v>
      </c>
      <c r="Y6" s="184">
        <f t="shared" si="1"/>
        <v>0</v>
      </c>
      <c r="Z6" s="186">
        <f t="shared" si="2"/>
        <v>9</v>
      </c>
    </row>
    <row r="7" spans="1:26" x14ac:dyDescent="0.35">
      <c r="A7" s="132" t="str">
        <f>IFERROR(INDEX(Auction!$B$13:$B$437,MATCH(B7,Auction!$A$13:$A$437,0)),"")</f>
        <v/>
      </c>
      <c r="B7" s="206" t="str">
        <f t="array" ref="B7">IF($A$1=0,"",IFERROR(INDEX(Auction!$A$13:$M$437,SMALL(IF(Auction!$M$13:$M$437=$A$1,(ROW(Auction!$M$13:$M$437)-MIN(ROW(Auction!$M$13:$M$437))+1),""),ROW(A5)),1),""))</f>
        <v/>
      </c>
      <c r="C7" s="141">
        <f>IF(ISERROR(VLOOKUP(B7,Auction!$A$13:$I$437,7,FALSE)),0,VLOOKUP(B7,Auction!$A$13:$I$437,8,FALSE))</f>
        <v>0</v>
      </c>
      <c r="D7" s="142">
        <f>IFERROR(VLOOKUP(B7,Auction!$A$13:$I$437,9,FALSE)-C7,0)</f>
        <v>0</v>
      </c>
      <c r="E7" s="148" t="str">
        <f>IFERROR(INDEX(Auction!$C$13:$C$437,MATCH(B7,Auction!$A$13:$A$437,0)),"")</f>
        <v/>
      </c>
      <c r="G7" s="132">
        <v>5</v>
      </c>
      <c r="H7" s="222" t="s">
        <v>337</v>
      </c>
      <c r="I7" s="125">
        <f>LeagueInfo!$F$3-SUMIF(Auction!$M$13:$M$437,H7,Auction!$H$13:$H$437)</f>
        <v>200</v>
      </c>
      <c r="J7" s="126">
        <f>I7-(LeagueInfo!$F$4-COUNTIF(Auction!$M$13:$M$437,$H7))+1</f>
        <v>185</v>
      </c>
      <c r="K7" s="127">
        <f t="shared" si="0"/>
        <v>0</v>
      </c>
      <c r="L7" s="127">
        <f>COUNTIFS(Auction!$M$13:$M$437,Teams!$H7,Auction!$H$13:$H$437,"&gt;0",Auction!$B$13:$B$437,L$2)</f>
        <v>0</v>
      </c>
      <c r="M7" s="127">
        <f>COUNTIFS(Auction!$M$13:$M$437,Teams!$H7,Auction!$H$13:$H$437,"&gt;0",Auction!$B$13:$B$437,M$2)</f>
        <v>0</v>
      </c>
      <c r="N7" s="127">
        <f>COUNTIFS(Auction!$M$13:$M$437,Teams!$H7,Auction!$H$13:$H$437,"&gt;0",Auction!$B$13:$B$437,N$2)</f>
        <v>0</v>
      </c>
      <c r="O7" s="127">
        <f>COUNTIFS(Auction!$M$13:$M$437,Teams!$H7,Auction!$H$13:$H$437,"&gt;0",Auction!$B$13:$B$437,O$2)</f>
        <v>0</v>
      </c>
      <c r="P7" s="127">
        <f>COUNTIFS(Auction!$M$13:$M$437,Teams!$H7,Auction!$H$13:$H$437,"&gt;0",Auction!$B$13:$B$437,P$2)</f>
        <v>0</v>
      </c>
      <c r="Q7" s="135">
        <f>COUNTIFS(Auction!$M$13:$M$437,Teams!$H7,Auction!$H$13:$H$437,"&gt;0",Auction!$B$13:$B$437,Q$2)</f>
        <v>0</v>
      </c>
      <c r="R7" s="191">
        <f>SUMIFS(Auction!$H$13:$H$437,Auction!$M$13:$M$437,Teams!$H7,Auction!$B$13:$B$437,LEFT(R$2,2))</f>
        <v>0</v>
      </c>
      <c r="S7" s="187">
        <f>SUMIFS(Auction!$H$13:$H$437,Auction!$M$13:$M$437,Teams!$H7,Auction!$B$13:$B$437,LEFT(S$2,2))</f>
        <v>0</v>
      </c>
      <c r="T7" s="187">
        <f>SUMIFS(Auction!$H$13:$H$437,Auction!$M$13:$M$437,Teams!$H7,Auction!$B$13:$B$437,LEFT(T$2,2))</f>
        <v>0</v>
      </c>
      <c r="U7" s="192">
        <f>SUMIFS(Auction!$H$13:$H$437,Auction!$M$13:$M$437,Teams!$H7,Auction!$B$13:$B$437,LEFT(U$2,2))</f>
        <v>0</v>
      </c>
      <c r="W7" s="132" t="s">
        <v>45</v>
      </c>
      <c r="X7" s="185">
        <v>1</v>
      </c>
      <c r="Y7" s="184">
        <f t="shared" si="1"/>
        <v>0</v>
      </c>
      <c r="Z7" s="186">
        <f t="shared" si="2"/>
        <v>1</v>
      </c>
    </row>
    <row r="8" spans="1:26" x14ac:dyDescent="0.35">
      <c r="A8" s="132" t="str">
        <f>IFERROR(INDEX(Auction!$B$13:$B$437,MATCH(B8,Auction!$A$13:$A$437,0)),"")</f>
        <v/>
      </c>
      <c r="B8" s="206" t="str">
        <f t="array" ref="B8">IF($A$1=0,"",IFERROR(INDEX(Auction!$A$13:$M$437,SMALL(IF(Auction!$M$13:$M$437=$A$1,(ROW(Auction!$M$13:$M$437)-MIN(ROW(Auction!$M$13:$M$437))+1),""),ROW(A6)),1),""))</f>
        <v/>
      </c>
      <c r="C8" s="141">
        <f>IF(ISERROR(VLOOKUP(B8,Auction!$A$13:$I$437,7,FALSE)),0,VLOOKUP(B8,Auction!$A$13:$I$437,8,FALSE))</f>
        <v>0</v>
      </c>
      <c r="D8" s="142">
        <f>IFERROR(VLOOKUP(B8,Auction!$A$13:$I$437,9,FALSE)-C8,0)</f>
        <v>0</v>
      </c>
      <c r="E8" s="148" t="str">
        <f>IFERROR(INDEX(Auction!$C$13:$C$437,MATCH(B8,Auction!$A$13:$A$437,0)),"")</f>
        <v/>
      </c>
      <c r="G8" s="132">
        <v>6</v>
      </c>
      <c r="H8" s="222" t="s">
        <v>336</v>
      </c>
      <c r="I8" s="118">
        <f>LeagueInfo!$F$3-SUMIF(Auction!$M$13:$M$437,H8,Auction!$H$13:$H$437)</f>
        <v>200</v>
      </c>
      <c r="J8" s="119">
        <f>I8-(LeagueInfo!$F$4-COUNTIF(Auction!$M$13:$M$437,$H8))+1</f>
        <v>185</v>
      </c>
      <c r="K8" s="116">
        <f t="shared" si="0"/>
        <v>0</v>
      </c>
      <c r="L8" s="116">
        <f>COUNTIFS(Auction!$M$13:$M$437,Teams!$H8,Auction!$H$13:$H$437,"&gt;0",Auction!$B$13:$B$437,L$2)</f>
        <v>0</v>
      </c>
      <c r="M8" s="116">
        <f>COUNTIFS(Auction!$M$13:$M$437,Teams!$H8,Auction!$H$13:$H$437,"&gt;0",Auction!$B$13:$B$437,M$2)</f>
        <v>0</v>
      </c>
      <c r="N8" s="116">
        <f>COUNTIFS(Auction!$M$13:$M$437,Teams!$H8,Auction!$H$13:$H$437,"&gt;0",Auction!$B$13:$B$437,N$2)</f>
        <v>0</v>
      </c>
      <c r="O8" s="116">
        <f>COUNTIFS(Auction!$M$13:$M$437,Teams!$H8,Auction!$H$13:$H$437,"&gt;0",Auction!$B$13:$B$437,O$2)</f>
        <v>0</v>
      </c>
      <c r="P8" s="116">
        <f>COUNTIFS(Auction!$M$13:$M$437,Teams!$H8,Auction!$H$13:$H$437,"&gt;0",Auction!$B$13:$B$437,P$2)</f>
        <v>0</v>
      </c>
      <c r="Q8" s="134">
        <f>COUNTIFS(Auction!$M$13:$M$437,Teams!$H8,Auction!$H$13:$H$437,"&gt;0",Auction!$B$13:$B$437,Q$2)</f>
        <v>0</v>
      </c>
      <c r="R8" s="193">
        <f>SUMIFS(Auction!$H$13:$H$437,Auction!$M$13:$M$437,Teams!$H8,Auction!$B$13:$B$437,LEFT(R$2,2))</f>
        <v>0</v>
      </c>
      <c r="S8" s="188">
        <f>SUMIFS(Auction!$H$13:$H$437,Auction!$M$13:$M$437,Teams!$H8,Auction!$B$13:$B$437,LEFT(S$2,2))</f>
        <v>0</v>
      </c>
      <c r="T8" s="188">
        <f>SUMIFS(Auction!$H$13:$H$437,Auction!$M$13:$M$437,Teams!$H8,Auction!$B$13:$B$437,LEFT(T$2,2))</f>
        <v>0</v>
      </c>
      <c r="U8" s="194">
        <f>SUMIFS(Auction!$H$13:$H$437,Auction!$M$13:$M$437,Teams!$H8,Auction!$B$13:$B$437,LEFT(U$2,2))</f>
        <v>0</v>
      </c>
      <c r="W8" s="132" t="s">
        <v>51</v>
      </c>
      <c r="X8" s="185">
        <v>1</v>
      </c>
      <c r="Y8" s="184">
        <f t="shared" si="1"/>
        <v>0</v>
      </c>
      <c r="Z8" s="186">
        <f t="shared" si="2"/>
        <v>1</v>
      </c>
    </row>
    <row r="9" spans="1:26" x14ac:dyDescent="0.35">
      <c r="A9" s="132" t="str">
        <f>IFERROR(INDEX(Auction!$B$13:$B$437,MATCH(B9,Auction!$A$13:$A$437,0)),"")</f>
        <v/>
      </c>
      <c r="B9" s="206" t="str">
        <f t="array" ref="B9">IF($A$1=0,"",IFERROR(INDEX(Auction!$A$13:$M$437,SMALL(IF(Auction!$M$13:$M$437=$A$1,(ROW(Auction!$M$13:$M$437)-MIN(ROW(Auction!$M$13:$M$437))+1),""),ROW(A7)),1),""))</f>
        <v/>
      </c>
      <c r="C9" s="141">
        <f>IF(ISERROR(VLOOKUP(B9,Auction!$A$13:$I$437,7,FALSE)),0,VLOOKUP(B9,Auction!$A$13:$I$437,8,FALSE))</f>
        <v>0</v>
      </c>
      <c r="D9" s="142">
        <f>IFERROR(VLOOKUP(B9,Auction!$A$13:$I$437,9,FALSE)-C9,0)</f>
        <v>0</v>
      </c>
      <c r="E9" s="148" t="str">
        <f>IFERROR(INDEX(Auction!$C$13:$C$437,MATCH(B9,Auction!$A$13:$A$437,0)),"")</f>
        <v/>
      </c>
      <c r="G9" s="132">
        <v>7</v>
      </c>
      <c r="H9" s="222" t="s">
        <v>338</v>
      </c>
      <c r="I9" s="125">
        <f>LeagueInfo!$F$3-SUMIF(Auction!$M$13:$M$437,H9,Auction!$H$13:$H$437)</f>
        <v>200</v>
      </c>
      <c r="J9" s="126">
        <f>I9-(LeagueInfo!$F$4-COUNTIF(Auction!$M$13:$M$437,$H9))+1</f>
        <v>185</v>
      </c>
      <c r="K9" s="127">
        <f t="shared" si="0"/>
        <v>0</v>
      </c>
      <c r="L9" s="127">
        <f>COUNTIFS(Auction!$M$13:$M$437,Teams!$H9,Auction!$H$13:$H$437,"&gt;0",Auction!$B$13:$B$437,L$2)</f>
        <v>0</v>
      </c>
      <c r="M9" s="127">
        <f>COUNTIFS(Auction!$M$13:$M$437,Teams!$H9,Auction!$H$13:$H$437,"&gt;0",Auction!$B$13:$B$437,M$2)</f>
        <v>0</v>
      </c>
      <c r="N9" s="127">
        <f>COUNTIFS(Auction!$M$13:$M$437,Teams!$H9,Auction!$H$13:$H$437,"&gt;0",Auction!$B$13:$B$437,N$2)</f>
        <v>0</v>
      </c>
      <c r="O9" s="127">
        <f>COUNTIFS(Auction!$M$13:$M$437,Teams!$H9,Auction!$H$13:$H$437,"&gt;0",Auction!$B$13:$B$437,O$2)</f>
        <v>0</v>
      </c>
      <c r="P9" s="127">
        <f>COUNTIFS(Auction!$M$13:$M$437,Teams!$H9,Auction!$H$13:$H$437,"&gt;0",Auction!$B$13:$B$437,P$2)</f>
        <v>0</v>
      </c>
      <c r="Q9" s="135">
        <f>COUNTIFS(Auction!$M$13:$M$437,Teams!$H9,Auction!$H$13:$H$437,"&gt;0",Auction!$B$13:$B$437,Q$2)</f>
        <v>0</v>
      </c>
      <c r="R9" s="191">
        <f>SUMIFS(Auction!$H$13:$H$437,Auction!$M$13:$M$437,Teams!$H9,Auction!$B$13:$B$437,LEFT(R$2,2))</f>
        <v>0</v>
      </c>
      <c r="S9" s="187">
        <f>SUMIFS(Auction!$H$13:$H$437,Auction!$M$13:$M$437,Teams!$H9,Auction!$B$13:$B$437,LEFT(S$2,2))</f>
        <v>0</v>
      </c>
      <c r="T9" s="187">
        <f>SUMIFS(Auction!$H$13:$H$437,Auction!$M$13:$M$437,Teams!$H9,Auction!$B$13:$B$437,LEFT(T$2,2))</f>
        <v>0</v>
      </c>
      <c r="U9" s="192">
        <f>SUMIFS(Auction!$H$13:$H$437,Auction!$M$13:$M$437,Teams!$H9,Auction!$B$13:$B$437,LEFT(U$2,2))</f>
        <v>0</v>
      </c>
      <c r="W9" s="143"/>
      <c r="X9" s="144">
        <f>SUM(X3:X8)</f>
        <v>200</v>
      </c>
      <c r="Y9" s="144">
        <f>SUM(Y3:Y8)</f>
        <v>0</v>
      </c>
      <c r="Z9" s="145">
        <f>SUM(Z3:Z8)</f>
        <v>200</v>
      </c>
    </row>
    <row r="10" spans="1:26" x14ac:dyDescent="0.35">
      <c r="A10" s="132" t="str">
        <f>IFERROR(INDEX(Auction!$B$13:$B$437,MATCH(B10,Auction!$A$13:$A$437,0)),"")</f>
        <v/>
      </c>
      <c r="B10" s="206" t="str">
        <f t="array" ref="B10">IF($A$1=0,"",IFERROR(INDEX(Auction!$A$13:$M$437,SMALL(IF(Auction!$M$13:$M$437=$A$1,(ROW(Auction!$M$13:$M$437)-MIN(ROW(Auction!$M$13:$M$437))+1),""),ROW(A8)),1),""))</f>
        <v/>
      </c>
      <c r="C10" s="141">
        <f>IF(ISERROR(VLOOKUP(B10,Auction!$A$13:$I$437,7,FALSE)),0,VLOOKUP(B10,Auction!$A$13:$I$437,8,FALSE))</f>
        <v>0</v>
      </c>
      <c r="D10" s="142">
        <f>IFERROR(VLOOKUP(B10,Auction!$A$13:$I$437,9,FALSE)-C10,0)</f>
        <v>0</v>
      </c>
      <c r="E10" s="148" t="str">
        <f>IFERROR(INDEX(Auction!$C$13:$C$437,MATCH(B10,Auction!$A$13:$A$437,0)),"")</f>
        <v/>
      </c>
      <c r="G10" s="132">
        <v>8</v>
      </c>
      <c r="H10" s="222" t="s">
        <v>339</v>
      </c>
      <c r="I10" s="118">
        <f>LeagueInfo!$F$3-SUMIF(Auction!$M$13:$M$437,H10,Auction!$H$13:$H$437)</f>
        <v>200</v>
      </c>
      <c r="J10" s="119">
        <f>I10-(LeagueInfo!$F$4-COUNTIF(Auction!$M$13:$M$437,$H10))+1</f>
        <v>185</v>
      </c>
      <c r="K10" s="116">
        <f t="shared" si="0"/>
        <v>0</v>
      </c>
      <c r="L10" s="116">
        <f>COUNTIFS(Auction!$M$13:$M$437,Teams!$H10,Auction!$H$13:$H$437,"&gt;0",Auction!$B$13:$B$437,L$2)</f>
        <v>0</v>
      </c>
      <c r="M10" s="116">
        <f>COUNTIFS(Auction!$M$13:$M$437,Teams!$H10,Auction!$H$13:$H$437,"&gt;0",Auction!$B$13:$B$437,M$2)</f>
        <v>0</v>
      </c>
      <c r="N10" s="116">
        <f>COUNTIFS(Auction!$M$13:$M$437,Teams!$H10,Auction!$H$13:$H$437,"&gt;0",Auction!$B$13:$B$437,N$2)</f>
        <v>0</v>
      </c>
      <c r="O10" s="116">
        <f>COUNTIFS(Auction!$M$13:$M$437,Teams!$H10,Auction!$H$13:$H$437,"&gt;0",Auction!$B$13:$B$437,O$2)</f>
        <v>0</v>
      </c>
      <c r="P10" s="116">
        <f>COUNTIFS(Auction!$M$13:$M$437,Teams!$H10,Auction!$H$13:$H$437,"&gt;0",Auction!$B$13:$B$437,P$2)</f>
        <v>0</v>
      </c>
      <c r="Q10" s="134">
        <f>COUNTIFS(Auction!$M$13:$M$437,Teams!$H10,Auction!$H$13:$H$437,"&gt;0",Auction!$B$13:$B$437,Q$2)</f>
        <v>0</v>
      </c>
      <c r="R10" s="193">
        <f>SUMIFS(Auction!$H$13:$H$437,Auction!$M$13:$M$437,Teams!$H10,Auction!$B$13:$B$437,LEFT(R$2,2))</f>
        <v>0</v>
      </c>
      <c r="S10" s="188">
        <f>SUMIFS(Auction!$H$13:$H$437,Auction!$M$13:$M$437,Teams!$H10,Auction!$B$13:$B$437,LEFT(S$2,2))</f>
        <v>0</v>
      </c>
      <c r="T10" s="188">
        <f>SUMIFS(Auction!$H$13:$H$437,Auction!$M$13:$M$437,Teams!$H10,Auction!$B$13:$B$437,LEFT(T$2,2))</f>
        <v>0</v>
      </c>
      <c r="U10" s="194">
        <f>SUMIFS(Auction!$H$13:$H$437,Auction!$M$13:$M$437,Teams!$H10,Auction!$B$13:$B$437,LEFT(U$2,2))</f>
        <v>0</v>
      </c>
      <c r="W10" s="146"/>
      <c r="X10" s="13" t="str">
        <f>IF(X9=LeagueInfo!$F$3,"Goal OK",IF(X9&gt;LeagueInfo!$F$3,"Goal over budget","Goal under budget"))</f>
        <v>Goal OK</v>
      </c>
      <c r="Y10" s="13"/>
      <c r="Z10" s="14"/>
    </row>
    <row r="11" spans="1:26" x14ac:dyDescent="0.35">
      <c r="A11" s="132" t="str">
        <f>IFERROR(INDEX(Auction!$B$13:$B$437,MATCH(B11,Auction!$A$13:$A$437,0)),"")</f>
        <v/>
      </c>
      <c r="B11" s="206" t="str">
        <f t="array" ref="B11">IF($A$1=0,"",IFERROR(INDEX(Auction!$A$13:$M$437,SMALL(IF(Auction!$M$13:$M$437=$A$1,(ROW(Auction!$M$13:$M$437)-MIN(ROW(Auction!$M$13:$M$437))+1),""),ROW(A9)),1),""))</f>
        <v/>
      </c>
      <c r="C11" s="141">
        <f>IF(ISERROR(VLOOKUP(B11,Auction!$A$13:$I$437,7,FALSE)),0,VLOOKUP(B11,Auction!$A$13:$I$437,8,FALSE))</f>
        <v>0</v>
      </c>
      <c r="D11" s="142">
        <f>IFERROR(VLOOKUP(B11,Auction!$A$13:$I$437,9,FALSE)-C11,0)</f>
        <v>0</v>
      </c>
      <c r="E11" s="149" t="str">
        <f>IFERROR(INDEX(Auction!$C$13:$C$437,MATCH(B11,Auction!$A$13:$A$437,0)),"")</f>
        <v/>
      </c>
      <c r="G11" s="132">
        <v>9</v>
      </c>
      <c r="H11" s="222" t="s">
        <v>340</v>
      </c>
      <c r="I11" s="125">
        <f>LeagueInfo!$F$3-SUMIF(Auction!$M$13:$M$437,H11,Auction!$H$13:$H$437)</f>
        <v>200</v>
      </c>
      <c r="J11" s="126">
        <f>I11-(LeagueInfo!$F$4-COUNTIF(Auction!$M$13:$M$437,$H11))+1</f>
        <v>185</v>
      </c>
      <c r="K11" s="127">
        <f t="shared" si="0"/>
        <v>0</v>
      </c>
      <c r="L11" s="127">
        <f>COUNTIFS(Auction!$M$13:$M$437,Teams!$H11,Auction!$H$13:$H$437,"&gt;0",Auction!$B$13:$B$437,L$2)</f>
        <v>0</v>
      </c>
      <c r="M11" s="127">
        <f>COUNTIFS(Auction!$M$13:$M$437,Teams!$H11,Auction!$H$13:$H$437,"&gt;0",Auction!$B$13:$B$437,M$2)</f>
        <v>0</v>
      </c>
      <c r="N11" s="127">
        <f>COUNTIFS(Auction!$M$13:$M$437,Teams!$H11,Auction!$H$13:$H$437,"&gt;0",Auction!$B$13:$B$437,N$2)</f>
        <v>0</v>
      </c>
      <c r="O11" s="127">
        <f>COUNTIFS(Auction!$M$13:$M$437,Teams!$H11,Auction!$H$13:$H$437,"&gt;0",Auction!$B$13:$B$437,O$2)</f>
        <v>0</v>
      </c>
      <c r="P11" s="127">
        <f>COUNTIFS(Auction!$M$13:$M$437,Teams!$H11,Auction!$H$13:$H$437,"&gt;0",Auction!$B$13:$B$437,P$2)</f>
        <v>0</v>
      </c>
      <c r="Q11" s="135">
        <f>COUNTIFS(Auction!$M$13:$M$437,Teams!$H11,Auction!$H$13:$H$437,"&gt;0",Auction!$B$13:$B$437,Q$2)</f>
        <v>0</v>
      </c>
      <c r="R11" s="191">
        <f>SUMIFS(Auction!$H$13:$H$437,Auction!$M$13:$M$437,Teams!$H11,Auction!$B$13:$B$437,LEFT(R$2,2))</f>
        <v>0</v>
      </c>
      <c r="S11" s="187">
        <f>SUMIFS(Auction!$H$13:$H$437,Auction!$M$13:$M$437,Teams!$H11,Auction!$B$13:$B$437,LEFT(S$2,2))</f>
        <v>0</v>
      </c>
      <c r="T11" s="187">
        <f>SUMIFS(Auction!$H$13:$H$437,Auction!$M$13:$M$437,Teams!$H11,Auction!$B$13:$B$437,LEFT(T$2,2))</f>
        <v>0</v>
      </c>
      <c r="U11" s="192">
        <f>SUMIFS(Auction!$H$13:$H$437,Auction!$M$13:$M$437,Teams!$H11,Auction!$B$13:$B$437,LEFT(U$2,2))</f>
        <v>0</v>
      </c>
    </row>
    <row r="12" spans="1:26" x14ac:dyDescent="0.35">
      <c r="A12" s="132" t="str">
        <f>IFERROR(INDEX(Auction!$B$13:$B$437,MATCH(B12,Auction!$A$13:$A$437,0)),"")</f>
        <v/>
      </c>
      <c r="B12" s="206" t="str">
        <f t="array" ref="B12">IF($A$1=0,"",IFERROR(INDEX(Auction!$A$13:$M$437,SMALL(IF(Auction!$M$13:$M$437=$A$1,(ROW(Auction!$M$13:$M$437)-MIN(ROW(Auction!$M$13:$M$437))+1),""),ROW(A10)),1),""))</f>
        <v/>
      </c>
      <c r="C12" s="141">
        <f>IF(ISERROR(VLOOKUP(B12,Auction!$A$13:$I$437,7,FALSE)),0,VLOOKUP(B12,Auction!$A$13:$I$437,8,FALSE))</f>
        <v>0</v>
      </c>
      <c r="D12" s="142">
        <f>IFERROR(VLOOKUP(B12,Auction!$A$13:$I$437,9,FALSE)-C12,0)</f>
        <v>0</v>
      </c>
      <c r="E12" s="149" t="str">
        <f>IFERROR(INDEX(Auction!$C$13:$C$437,MATCH(B12,Auction!$A$13:$A$437,0)),"")</f>
        <v/>
      </c>
      <c r="G12" s="132">
        <v>10</v>
      </c>
      <c r="H12" s="222" t="s">
        <v>341</v>
      </c>
      <c r="I12" s="118">
        <f>LeagueInfo!$F$3-SUMIF(Auction!$M$13:$M$437,H12,Auction!$H$13:$H$437)</f>
        <v>200</v>
      </c>
      <c r="J12" s="119">
        <f>I12-(LeagueInfo!$F$4-COUNTIF(Auction!$M$13:$M$437,$H12))+1</f>
        <v>185</v>
      </c>
      <c r="K12" s="116">
        <f t="shared" si="0"/>
        <v>0</v>
      </c>
      <c r="L12" s="116">
        <f>COUNTIFS(Auction!$M$13:$M$437,Teams!$H12,Auction!$H$13:$H$437,"&gt;0",Auction!$B$13:$B$437,L$2)</f>
        <v>0</v>
      </c>
      <c r="M12" s="116">
        <f>COUNTIFS(Auction!$M$13:$M$437,Teams!$H12,Auction!$H$13:$H$437,"&gt;0",Auction!$B$13:$B$437,M$2)</f>
        <v>0</v>
      </c>
      <c r="N12" s="116">
        <f>COUNTIFS(Auction!$M$13:$M$437,Teams!$H12,Auction!$H$13:$H$437,"&gt;0",Auction!$B$13:$B$437,N$2)</f>
        <v>0</v>
      </c>
      <c r="O12" s="116">
        <f>COUNTIFS(Auction!$M$13:$M$437,Teams!$H12,Auction!$H$13:$H$437,"&gt;0",Auction!$B$13:$B$437,O$2)</f>
        <v>0</v>
      </c>
      <c r="P12" s="116">
        <f>COUNTIFS(Auction!$M$13:$M$437,Teams!$H12,Auction!$H$13:$H$437,"&gt;0",Auction!$B$13:$B$437,P$2)</f>
        <v>0</v>
      </c>
      <c r="Q12" s="134">
        <f>COUNTIFS(Auction!$M$13:$M$437,Teams!$H12,Auction!$H$13:$H$437,"&gt;0",Auction!$B$13:$B$437,Q$2)</f>
        <v>0</v>
      </c>
      <c r="R12" s="193">
        <f>SUMIFS(Auction!$H$13:$H$437,Auction!$M$13:$M$437,Teams!$H12,Auction!$B$13:$B$437,LEFT(R$2,2))</f>
        <v>0</v>
      </c>
      <c r="S12" s="188">
        <f>SUMIFS(Auction!$H$13:$H$437,Auction!$M$13:$M$437,Teams!$H12,Auction!$B$13:$B$437,LEFT(S$2,2))</f>
        <v>0</v>
      </c>
      <c r="T12" s="188">
        <f>SUMIFS(Auction!$H$13:$H$437,Auction!$M$13:$M$437,Teams!$H12,Auction!$B$13:$B$437,LEFT(T$2,2))</f>
        <v>0</v>
      </c>
      <c r="U12" s="194">
        <f>SUMIFS(Auction!$H$13:$H$437,Auction!$M$13:$M$437,Teams!$H12,Auction!$B$13:$B$437,LEFT(U$2,2))</f>
        <v>0</v>
      </c>
    </row>
    <row r="13" spans="1:26" x14ac:dyDescent="0.35">
      <c r="A13" s="132" t="str">
        <f>IFERROR(INDEX(Auction!$B$13:$B$437,MATCH(B13,Auction!$A$13:$A$437,0)),"")</f>
        <v/>
      </c>
      <c r="B13" s="206" t="str">
        <f t="array" ref="B13">IF($A$1=0,"",IFERROR(INDEX(Auction!$A$13:$M$437,SMALL(IF(Auction!$M$13:$M$437=$A$1,(ROW(Auction!$M$13:$M$437)-MIN(ROW(Auction!$M$13:$M$437))+1),""),ROW(A11)),1),""))</f>
        <v/>
      </c>
      <c r="C13" s="141">
        <f>IF(ISERROR(VLOOKUP(B13,Auction!$A$13:$I$437,7,FALSE)),0,VLOOKUP(B13,Auction!$A$13:$I$437,8,FALSE))</f>
        <v>0</v>
      </c>
      <c r="D13" s="142">
        <f>IFERROR(VLOOKUP(B13,Auction!$A$13:$I$437,9,FALSE)-C13,0)</f>
        <v>0</v>
      </c>
      <c r="E13" s="149" t="str">
        <f>IFERROR(INDEX(Auction!$C$13:$C$437,MATCH(B13,Auction!$A$13:$A$437,0)),"")</f>
        <v/>
      </c>
      <c r="G13" s="132">
        <v>11</v>
      </c>
      <c r="H13" s="222" t="s">
        <v>332</v>
      </c>
      <c r="I13" s="125">
        <f>LeagueInfo!$F$3-SUMIF(Auction!$M$13:$M$437,H13,Auction!$H$13:$H$437)</f>
        <v>200</v>
      </c>
      <c r="J13" s="126">
        <f>I13-(LeagueInfo!$F$4-COUNTIF(Auction!$M$13:$M$437,$H13))+1</f>
        <v>185</v>
      </c>
      <c r="K13" s="127">
        <f t="shared" si="0"/>
        <v>0</v>
      </c>
      <c r="L13" s="127">
        <f>COUNTIFS(Auction!$M$13:$M$437,Teams!$H13,Auction!$H$13:$H$437,"&gt;0",Auction!$B$13:$B$437,L$2)</f>
        <v>0</v>
      </c>
      <c r="M13" s="127">
        <f>COUNTIFS(Auction!$M$13:$M$437,Teams!$H13,Auction!$H$13:$H$437,"&gt;0",Auction!$B$13:$B$437,M$2)</f>
        <v>0</v>
      </c>
      <c r="N13" s="127">
        <f>COUNTIFS(Auction!$M$13:$M$437,Teams!$H13,Auction!$H$13:$H$437,"&gt;0",Auction!$B$13:$B$437,N$2)</f>
        <v>0</v>
      </c>
      <c r="O13" s="127">
        <f>COUNTIFS(Auction!$M$13:$M$437,Teams!$H13,Auction!$H$13:$H$437,"&gt;0",Auction!$B$13:$B$437,O$2)</f>
        <v>0</v>
      </c>
      <c r="P13" s="127">
        <f>COUNTIFS(Auction!$M$13:$M$437,Teams!$H13,Auction!$H$13:$H$437,"&gt;0",Auction!$B$13:$B$437,P$2)</f>
        <v>0</v>
      </c>
      <c r="Q13" s="135">
        <f>COUNTIFS(Auction!$M$13:$M$437,Teams!$H13,Auction!$H$13:$H$437,"&gt;0",Auction!$B$13:$B$437,Q$2)</f>
        <v>0</v>
      </c>
      <c r="R13" s="191">
        <f>SUMIFS(Auction!$H$13:$H$437,Auction!$M$13:$M$437,Teams!$H13,Auction!$B$13:$B$437,LEFT(R$2,2))</f>
        <v>0</v>
      </c>
      <c r="S13" s="187">
        <f>SUMIFS(Auction!$H$13:$H$437,Auction!$M$13:$M$437,Teams!$H13,Auction!$B$13:$B$437,LEFT(S$2,2))</f>
        <v>0</v>
      </c>
      <c r="T13" s="187">
        <f>SUMIFS(Auction!$H$13:$H$437,Auction!$M$13:$M$437,Teams!$H13,Auction!$B$13:$B$437,LEFT(T$2,2))</f>
        <v>0</v>
      </c>
      <c r="U13" s="192">
        <f>SUMIFS(Auction!$H$13:$H$437,Auction!$M$13:$M$437,Teams!$H13,Auction!$B$13:$B$437,LEFT(U$2,2))</f>
        <v>0</v>
      </c>
    </row>
    <row r="14" spans="1:26" x14ac:dyDescent="0.35">
      <c r="A14" s="132" t="str">
        <f>IFERROR(INDEX(Auction!$B$13:$B$437,MATCH(B14,Auction!$A$13:$A$437,0)),"")</f>
        <v/>
      </c>
      <c r="B14" s="206" t="str">
        <f t="array" ref="B14">IF($A$1=0,"",IFERROR(INDEX(Auction!$A$13:$M$437,SMALL(IF(Auction!$M$13:$M$437=$A$1,(ROW(Auction!$M$13:$M$437)-MIN(ROW(Auction!$M$13:$M$437))+1),""),ROW(A12)),1),""))</f>
        <v/>
      </c>
      <c r="C14" s="141">
        <f>IF(ISERROR(VLOOKUP(B14,Auction!$A$13:$I$437,7,FALSE)),0,VLOOKUP(B14,Auction!$A$13:$I$437,8,FALSE))</f>
        <v>0</v>
      </c>
      <c r="D14" s="142">
        <f>IFERROR(VLOOKUP(B14,Auction!$A$13:$I$437,9,FALSE)-C14,0)</f>
        <v>0</v>
      </c>
      <c r="E14" s="149" t="str">
        <f>IFERROR(INDEX(Auction!$C$13:$C$437,MATCH(B14,Auction!$A$13:$A$437,0)),"")</f>
        <v/>
      </c>
      <c r="G14" s="132">
        <v>12</v>
      </c>
      <c r="H14" s="222" t="s">
        <v>333</v>
      </c>
      <c r="I14" s="118">
        <f>LeagueInfo!$F$3-SUMIF(Auction!$M$13:$M$437,H14,Auction!$H$13:$H$437)</f>
        <v>200</v>
      </c>
      <c r="J14" s="119">
        <f>I14-(LeagueInfo!$F$4-COUNTIF(Auction!$M$13:$M$437,$H14))+1</f>
        <v>185</v>
      </c>
      <c r="K14" s="116">
        <f t="shared" si="0"/>
        <v>0</v>
      </c>
      <c r="L14" s="116">
        <f>COUNTIFS(Auction!$M$13:$M$437,Teams!$H14,Auction!$H$13:$H$437,"&gt;0",Auction!$B$13:$B$437,L$2)</f>
        <v>0</v>
      </c>
      <c r="M14" s="116">
        <f>COUNTIFS(Auction!$M$13:$M$437,Teams!$H14,Auction!$H$13:$H$437,"&gt;0",Auction!$B$13:$B$437,M$2)</f>
        <v>0</v>
      </c>
      <c r="N14" s="116">
        <f>COUNTIFS(Auction!$M$13:$M$437,Teams!$H14,Auction!$H$13:$H$437,"&gt;0",Auction!$B$13:$B$437,N$2)</f>
        <v>0</v>
      </c>
      <c r="O14" s="116">
        <f>COUNTIFS(Auction!$M$13:$M$437,Teams!$H14,Auction!$H$13:$H$437,"&gt;0",Auction!$B$13:$B$437,O$2)</f>
        <v>0</v>
      </c>
      <c r="P14" s="116">
        <f>COUNTIFS(Auction!$M$13:$M$437,Teams!$H14,Auction!$H$13:$H$437,"&gt;0",Auction!$B$13:$B$437,P$2)</f>
        <v>0</v>
      </c>
      <c r="Q14" s="134">
        <f>COUNTIFS(Auction!$M$13:$M$437,Teams!$H14,Auction!$H$13:$H$437,"&gt;0",Auction!$B$13:$B$437,Q$2)</f>
        <v>0</v>
      </c>
      <c r="R14" s="193">
        <f>SUMIFS(Auction!$H$13:$H$437,Auction!$M$13:$M$437,Teams!$H14,Auction!$B$13:$B$437,LEFT(R$2,2))</f>
        <v>0</v>
      </c>
      <c r="S14" s="188">
        <f>SUMIFS(Auction!$H$13:$H$437,Auction!$M$13:$M$437,Teams!$H14,Auction!$B$13:$B$437,LEFT(S$2,2))</f>
        <v>0</v>
      </c>
      <c r="T14" s="188">
        <f>SUMIFS(Auction!$H$13:$H$437,Auction!$M$13:$M$437,Teams!$H14,Auction!$B$13:$B$437,LEFT(T$2,2))</f>
        <v>0</v>
      </c>
      <c r="U14" s="194">
        <f>SUMIFS(Auction!$H$13:$H$437,Auction!$M$13:$M$437,Teams!$H14,Auction!$B$13:$B$437,LEFT(U$2,2))</f>
        <v>0</v>
      </c>
    </row>
    <row r="15" spans="1:26" x14ac:dyDescent="0.35">
      <c r="A15" s="132" t="str">
        <f>IFERROR(INDEX(Auction!$B$13:$B$437,MATCH(B15,Auction!$A$13:$A$437,0)),"")</f>
        <v/>
      </c>
      <c r="B15" s="206" t="str">
        <f t="array" ref="B15">IF($A$1=0,"",IFERROR(INDEX(Auction!$A$13:$M$437,SMALL(IF(Auction!$M$13:$M$437=$A$1,(ROW(Auction!$M$13:$M$437)-MIN(ROW(Auction!$M$13:$M$437))+1),""),ROW(A13)),1),""))</f>
        <v/>
      </c>
      <c r="C15" s="141">
        <f>IF(ISERROR(VLOOKUP(B15,Auction!$A$13:$I$437,7,FALSE)),0,VLOOKUP(B15,Auction!$A$13:$I$437,8,FALSE))</f>
        <v>0</v>
      </c>
      <c r="D15" s="142">
        <f>IFERROR(VLOOKUP(B15,Auction!$A$13:$I$437,9,FALSE)-C15,0)</f>
        <v>0</v>
      </c>
      <c r="E15" s="149" t="str">
        <f>IFERROR(INDEX(Auction!$C$13:$C$437,MATCH(B15,Auction!$A$13:$A$437,0)),"")</f>
        <v/>
      </c>
      <c r="G15" s="132">
        <v>13</v>
      </c>
      <c r="H15" s="222"/>
      <c r="I15" s="125">
        <f>LeagueInfo!$F$3-SUMIF(Auction!$M$13:$M$437,H15,Auction!$H$13:$H$437)</f>
        <v>200</v>
      </c>
      <c r="J15" s="126">
        <f>I15-(LeagueInfo!$F$4-COUNTIF(Auction!$M$13:$M$437,$H15))+1</f>
        <v>185</v>
      </c>
      <c r="K15" s="127">
        <f t="shared" si="0"/>
        <v>0</v>
      </c>
      <c r="L15" s="127">
        <f>COUNTIFS(Auction!$M$13:$M$437,Teams!$H15,Auction!$H$13:$H$437,"&gt;0",Auction!$B$13:$B$437,L$2)</f>
        <v>0</v>
      </c>
      <c r="M15" s="127">
        <f>COUNTIFS(Auction!$M$13:$M$437,Teams!$H15,Auction!$H$13:$H$437,"&gt;0",Auction!$B$13:$B$437,M$2)</f>
        <v>0</v>
      </c>
      <c r="N15" s="127">
        <f>COUNTIFS(Auction!$M$13:$M$437,Teams!$H15,Auction!$H$13:$H$437,"&gt;0",Auction!$B$13:$B$437,N$2)</f>
        <v>0</v>
      </c>
      <c r="O15" s="127">
        <f>COUNTIFS(Auction!$M$13:$M$437,Teams!$H15,Auction!$H$13:$H$437,"&gt;0",Auction!$B$13:$B$437,O$2)</f>
        <v>0</v>
      </c>
      <c r="P15" s="127">
        <f>COUNTIFS(Auction!$M$13:$M$437,Teams!$H15,Auction!$H$13:$H$437,"&gt;0",Auction!$B$13:$B$437,P$2)</f>
        <v>0</v>
      </c>
      <c r="Q15" s="135">
        <f>COUNTIFS(Auction!$M$13:$M$437,Teams!$H15,Auction!$H$13:$H$437,"&gt;0",Auction!$B$13:$B$437,Q$2)</f>
        <v>0</v>
      </c>
      <c r="R15" s="191">
        <f>SUMIFS(Auction!$H$13:$H$437,Auction!$M$13:$M$437,Teams!$H15,Auction!$B$13:$B$437,LEFT(R$2,2))</f>
        <v>0</v>
      </c>
      <c r="S15" s="187">
        <f>SUMIFS(Auction!$H$13:$H$437,Auction!$M$13:$M$437,Teams!$H15,Auction!$B$13:$B$437,LEFT(S$2,2))</f>
        <v>0</v>
      </c>
      <c r="T15" s="187">
        <f>SUMIFS(Auction!$H$13:$H$437,Auction!$M$13:$M$437,Teams!$H15,Auction!$B$13:$B$437,LEFT(T$2,2))</f>
        <v>0</v>
      </c>
      <c r="U15" s="192">
        <f>SUMIFS(Auction!$H$13:$H$437,Auction!$M$13:$M$437,Teams!$H15,Auction!$B$13:$B$437,LEFT(U$2,2))</f>
        <v>0</v>
      </c>
    </row>
    <row r="16" spans="1:26" x14ac:dyDescent="0.35">
      <c r="A16" s="132" t="str">
        <f>IFERROR(INDEX(Auction!$B$13:$B$437,MATCH(B16,Auction!$A$13:$A$437,0)),"")</f>
        <v/>
      </c>
      <c r="B16" s="206" t="str">
        <f t="array" ref="B16">IF($A$1=0,"",IFERROR(INDEX(Auction!$A$13:$M$437,SMALL(IF(Auction!$M$13:$M$437=$A$1,(ROW(Auction!$M$13:$M$437)-MIN(ROW(Auction!$M$13:$M$437))+1),""),ROW(A14)),1),""))</f>
        <v/>
      </c>
      <c r="C16" s="141">
        <f>IF(ISERROR(VLOOKUP(B16,Auction!$A$13:$I$437,7,FALSE)),0,VLOOKUP(B16,Auction!$A$13:$I$437,8,FALSE))</f>
        <v>0</v>
      </c>
      <c r="D16" s="142">
        <f>IFERROR(VLOOKUP(B16,Auction!$A$13:$I$437,9,FALSE)-C16,0)</f>
        <v>0</v>
      </c>
      <c r="E16" s="149" t="str">
        <f>IFERROR(INDEX(Auction!$C$13:$C$437,MATCH(B16,Auction!$A$13:$A$437,0)),"")</f>
        <v/>
      </c>
      <c r="G16" s="132">
        <v>14</v>
      </c>
      <c r="H16" s="222"/>
      <c r="I16" s="118">
        <f>LeagueInfo!$F$3-SUMIF(Auction!$M$13:$M$437,H16,Auction!$H$13:$H$437)</f>
        <v>200</v>
      </c>
      <c r="J16" s="119">
        <f>I16-(LeagueInfo!$F$4-COUNTIF(Auction!$M$13:$M$437,$H16))+1</f>
        <v>185</v>
      </c>
      <c r="K16" s="116">
        <f t="shared" si="0"/>
        <v>0</v>
      </c>
      <c r="L16" s="116">
        <f>COUNTIFS(Auction!$M$13:$M$437,Teams!$H16,Auction!$H$13:$H$437,"&gt;0",Auction!$B$13:$B$437,L$2)</f>
        <v>0</v>
      </c>
      <c r="M16" s="116">
        <f>COUNTIFS(Auction!$M$13:$M$437,Teams!$H16,Auction!$H$13:$H$437,"&gt;0",Auction!$B$13:$B$437,M$2)</f>
        <v>0</v>
      </c>
      <c r="N16" s="116">
        <f>COUNTIFS(Auction!$M$13:$M$437,Teams!$H16,Auction!$H$13:$H$437,"&gt;0",Auction!$B$13:$B$437,N$2)</f>
        <v>0</v>
      </c>
      <c r="O16" s="116">
        <f>COUNTIFS(Auction!$M$13:$M$437,Teams!$H16,Auction!$H$13:$H$437,"&gt;0",Auction!$B$13:$B$437,O$2)</f>
        <v>0</v>
      </c>
      <c r="P16" s="116">
        <f>COUNTIFS(Auction!$M$13:$M$437,Teams!$H16,Auction!$H$13:$H$437,"&gt;0",Auction!$B$13:$B$437,P$2)</f>
        <v>0</v>
      </c>
      <c r="Q16" s="134">
        <f>COUNTIFS(Auction!$M$13:$M$437,Teams!$H16,Auction!$H$13:$H$437,"&gt;0",Auction!$B$13:$B$437,Q$2)</f>
        <v>0</v>
      </c>
      <c r="R16" s="193">
        <f>SUMIFS(Auction!$H$13:$H$437,Auction!$M$13:$M$437,Teams!$H16,Auction!$B$13:$B$437,LEFT(R$2,2))</f>
        <v>0</v>
      </c>
      <c r="S16" s="188">
        <f>SUMIFS(Auction!$H$13:$H$437,Auction!$M$13:$M$437,Teams!$H16,Auction!$B$13:$B$437,LEFT(S$2,2))</f>
        <v>0</v>
      </c>
      <c r="T16" s="188">
        <f>SUMIFS(Auction!$H$13:$H$437,Auction!$M$13:$M$437,Teams!$H16,Auction!$B$13:$B$437,LEFT(T$2,2))</f>
        <v>0</v>
      </c>
      <c r="U16" s="194">
        <f>SUMIFS(Auction!$H$13:$H$437,Auction!$M$13:$M$437,Teams!$H16,Auction!$B$13:$B$437,LEFT(U$2,2))</f>
        <v>0</v>
      </c>
    </row>
    <row r="17" spans="1:21" x14ac:dyDescent="0.35">
      <c r="A17" s="132" t="str">
        <f>IFERROR(INDEX(Auction!$B$13:$B$437,MATCH(B17,Auction!$A$13:$A$437,0)),"")</f>
        <v/>
      </c>
      <c r="B17" s="206" t="str">
        <f t="array" ref="B17">IF($A$1=0,"",IFERROR(INDEX(Auction!$A$13:$M$437,SMALL(IF(Auction!$M$13:$M$437=$A$1,(ROW(Auction!$M$13:$M$437)-MIN(ROW(Auction!$M$13:$M$437))+1),""),ROW(A15)),1),""))</f>
        <v/>
      </c>
      <c r="C17" s="141">
        <f>IF(ISERROR(VLOOKUP(B17,Auction!$A$13:$I$437,7,FALSE)),0,VLOOKUP(B17,Auction!$A$13:$I$437,8,FALSE))</f>
        <v>0</v>
      </c>
      <c r="D17" s="142">
        <f>IFERROR(VLOOKUP(B17,Auction!$A$13:$I$437,9,FALSE)-C17,0)</f>
        <v>0</v>
      </c>
      <c r="E17" s="149" t="str">
        <f>IFERROR(INDEX(Auction!$C$13:$C$437,MATCH(B17,Auction!$A$13:$A$437,0)),"")</f>
        <v/>
      </c>
      <c r="G17" s="132">
        <v>15</v>
      </c>
      <c r="H17" s="222"/>
      <c r="I17" s="125">
        <f>LeagueInfo!$F$3-SUMIF(Auction!$M$13:$M$437,H17,Auction!$H$13:$H$437)</f>
        <v>200</v>
      </c>
      <c r="J17" s="126">
        <f>I17-(LeagueInfo!$F$4-COUNTIF(Auction!$M$13:$M$437,$H17))+1</f>
        <v>185</v>
      </c>
      <c r="K17" s="127">
        <f t="shared" si="0"/>
        <v>0</v>
      </c>
      <c r="L17" s="127">
        <f>COUNTIFS(Auction!$M$13:$M$437,Teams!$H17,Auction!$H$13:$H$437,"&gt;0",Auction!$B$13:$B$437,L$2)</f>
        <v>0</v>
      </c>
      <c r="M17" s="127">
        <f>COUNTIFS(Auction!$M$13:$M$437,Teams!$H17,Auction!$H$13:$H$437,"&gt;0",Auction!$B$13:$B$437,M$2)</f>
        <v>0</v>
      </c>
      <c r="N17" s="127">
        <f>COUNTIFS(Auction!$M$13:$M$437,Teams!$H17,Auction!$H$13:$H$437,"&gt;0",Auction!$B$13:$B$437,N$2)</f>
        <v>0</v>
      </c>
      <c r="O17" s="127">
        <f>COUNTIFS(Auction!$M$13:$M$437,Teams!$H17,Auction!$H$13:$H$437,"&gt;0",Auction!$B$13:$B$437,O$2)</f>
        <v>0</v>
      </c>
      <c r="P17" s="127">
        <f>COUNTIFS(Auction!$M$13:$M$437,Teams!$H17,Auction!$H$13:$H$437,"&gt;0",Auction!$B$13:$B$437,P$2)</f>
        <v>0</v>
      </c>
      <c r="Q17" s="135">
        <f>COUNTIFS(Auction!$M$13:$M$437,Teams!$H17,Auction!$H$13:$H$437,"&gt;0",Auction!$B$13:$B$437,Q$2)</f>
        <v>0</v>
      </c>
      <c r="R17" s="191">
        <f>SUMIFS(Auction!$H$13:$H$437,Auction!$M$13:$M$437,Teams!$H17,Auction!$B$13:$B$437,LEFT(R$2,2))</f>
        <v>0</v>
      </c>
      <c r="S17" s="187">
        <f>SUMIFS(Auction!$H$13:$H$437,Auction!$M$13:$M$437,Teams!$H17,Auction!$B$13:$B$437,LEFT(S$2,2))</f>
        <v>0</v>
      </c>
      <c r="T17" s="187">
        <f>SUMIFS(Auction!$H$13:$H$437,Auction!$M$13:$M$437,Teams!$H17,Auction!$B$13:$B$437,LEFT(T$2,2))</f>
        <v>0</v>
      </c>
      <c r="U17" s="192">
        <f>SUMIFS(Auction!$H$13:$H$437,Auction!$M$13:$M$437,Teams!$H17,Auction!$B$13:$B$437,LEFT(U$2,2))</f>
        <v>0</v>
      </c>
    </row>
    <row r="18" spans="1:21" x14ac:dyDescent="0.35">
      <c r="A18" s="132" t="str">
        <f>IFERROR(INDEX(Auction!$B$13:$B$437,MATCH(B18,Auction!$A$13:$A$437,0)),"")</f>
        <v/>
      </c>
      <c r="B18" s="206" t="str">
        <f t="array" ref="B18">IF($A$1=0,"",IFERROR(INDEX(Auction!$A$13:$M$437,SMALL(IF(Auction!$M$13:$M$437=$A$1,(ROW(Auction!$M$13:$M$437)-MIN(ROW(Auction!$M$13:$M$437))+1),""),ROW(A16)),1),""))</f>
        <v/>
      </c>
      <c r="C18" s="141">
        <f>IF(ISERROR(VLOOKUP(B18,Auction!$A$13:$I$437,7,FALSE)),0,VLOOKUP(B18,Auction!$A$13:$I$437,8,FALSE))</f>
        <v>0</v>
      </c>
      <c r="D18" s="142">
        <f>IFERROR(VLOOKUP(B18,Auction!$A$13:$I$437,9,FALSE)-C18,0)</f>
        <v>0</v>
      </c>
      <c r="E18" s="149" t="str">
        <f>IFERROR(INDEX(Auction!$C$13:$C$437,MATCH(B18,Auction!$A$13:$A$437,0)),"")</f>
        <v/>
      </c>
      <c r="G18" s="132">
        <v>16</v>
      </c>
      <c r="H18" s="222"/>
      <c r="I18" s="118">
        <f>LeagueInfo!$F$3-SUMIF(Auction!$M$13:$M$437,H18,Auction!$H$13:$H$437)</f>
        <v>200</v>
      </c>
      <c r="J18" s="119">
        <f>I18-(LeagueInfo!$F$4-COUNTIF(Auction!$M$13:$M$437,$H18))+1</f>
        <v>185</v>
      </c>
      <c r="K18" s="116">
        <f t="shared" si="0"/>
        <v>0</v>
      </c>
      <c r="L18" s="116">
        <f>COUNTIFS(Auction!$M$13:$M$437,Teams!$H18,Auction!$H$13:$H$437,"&gt;0",Auction!$B$13:$B$437,L$2)</f>
        <v>0</v>
      </c>
      <c r="M18" s="116">
        <f>COUNTIFS(Auction!$M$13:$M$437,Teams!$H18,Auction!$H$13:$H$437,"&gt;0",Auction!$B$13:$B$437,M$2)</f>
        <v>0</v>
      </c>
      <c r="N18" s="116">
        <f>COUNTIFS(Auction!$M$13:$M$437,Teams!$H18,Auction!$H$13:$H$437,"&gt;0",Auction!$B$13:$B$437,N$2)</f>
        <v>0</v>
      </c>
      <c r="O18" s="116">
        <f>COUNTIFS(Auction!$M$13:$M$437,Teams!$H18,Auction!$H$13:$H$437,"&gt;0",Auction!$B$13:$B$437,O$2)</f>
        <v>0</v>
      </c>
      <c r="P18" s="116">
        <f>COUNTIFS(Auction!$M$13:$M$437,Teams!$H18,Auction!$H$13:$H$437,"&gt;0",Auction!$B$13:$B$437,P$2)</f>
        <v>0</v>
      </c>
      <c r="Q18" s="134">
        <f>COUNTIFS(Auction!$M$13:$M$437,Teams!$H18,Auction!$H$13:$H$437,"&gt;0",Auction!$B$13:$B$437,Q$2)</f>
        <v>0</v>
      </c>
      <c r="R18" s="193">
        <f>SUMIFS(Auction!$H$13:$H$437,Auction!$M$13:$M$437,Teams!$H18,Auction!$B$13:$B$437,LEFT(R$2,2))</f>
        <v>0</v>
      </c>
      <c r="S18" s="188">
        <f>SUMIFS(Auction!$H$13:$H$437,Auction!$M$13:$M$437,Teams!$H18,Auction!$B$13:$B$437,LEFT(S$2,2))</f>
        <v>0</v>
      </c>
      <c r="T18" s="188">
        <f>SUMIFS(Auction!$H$13:$H$437,Auction!$M$13:$M$437,Teams!$H18,Auction!$B$13:$B$437,LEFT(T$2,2))</f>
        <v>0</v>
      </c>
      <c r="U18" s="194">
        <f>SUMIFS(Auction!$H$13:$H$437,Auction!$M$13:$M$437,Teams!$H18,Auction!$B$13:$B$437,LEFT(U$2,2))</f>
        <v>0</v>
      </c>
    </row>
    <row r="19" spans="1:21" x14ac:dyDescent="0.35">
      <c r="A19" s="132" t="str">
        <f>IFERROR(INDEX(Auction!$B$13:$B$437,MATCH(B19,Auction!$A$13:$A$437,0)),"")</f>
        <v/>
      </c>
      <c r="B19" s="206" t="str">
        <f t="array" ref="B19">IF($A$1=0,"",IFERROR(INDEX(Auction!$A$13:$M$437,SMALL(IF(Auction!$M$13:$M$437=$A$1,(ROW(Auction!$M$13:$M$437)-MIN(ROW(Auction!$M$13:$M$437))+1),""),ROW(A17)),1),""))</f>
        <v/>
      </c>
      <c r="C19" s="141">
        <f>IF(ISERROR(VLOOKUP(B19,Auction!$A$13:$I$437,7,FALSE)),0,VLOOKUP(B19,Auction!$A$13:$I$437,8,FALSE))</f>
        <v>0</v>
      </c>
      <c r="D19" s="142">
        <f>IFERROR(VLOOKUP(B19,Auction!$A$13:$I$437,9,FALSE)-C19,0)</f>
        <v>0</v>
      </c>
      <c r="E19" s="149" t="str">
        <f>IFERROR(INDEX(Auction!$C$13:$C$437,MATCH(B19,Auction!$A$13:$A$437,0)),"")</f>
        <v/>
      </c>
      <c r="G19" s="132">
        <v>17</v>
      </c>
      <c r="H19" s="222"/>
      <c r="I19" s="125">
        <f>LeagueInfo!$F$3-SUMIF(Auction!$M$13:$M$437,H19,Auction!$H$13:$H$437)</f>
        <v>200</v>
      </c>
      <c r="J19" s="126">
        <f>I19-(LeagueInfo!$F$4-COUNTIF(Auction!$M$13:$M$437,$H19))+1</f>
        <v>185</v>
      </c>
      <c r="K19" s="127">
        <f t="shared" ref="K19:K22" si="3">SUM(L19:Q19)</f>
        <v>0</v>
      </c>
      <c r="L19" s="127">
        <f>COUNTIFS(Auction!$M$13:$M$437,Teams!$H19,Auction!$H$13:$H$437,"&gt;0",Auction!$B$13:$B$437,L$2)</f>
        <v>0</v>
      </c>
      <c r="M19" s="127">
        <f>COUNTIFS(Auction!$M$13:$M$437,Teams!$H19,Auction!$H$13:$H$437,"&gt;0",Auction!$B$13:$B$437,M$2)</f>
        <v>0</v>
      </c>
      <c r="N19" s="127">
        <f>COUNTIFS(Auction!$M$13:$M$437,Teams!$H19,Auction!$H$13:$H$437,"&gt;0",Auction!$B$13:$B$437,N$2)</f>
        <v>0</v>
      </c>
      <c r="O19" s="127">
        <f>COUNTIFS(Auction!$M$13:$M$437,Teams!$H19,Auction!$H$13:$H$437,"&gt;0",Auction!$B$13:$B$437,O$2)</f>
        <v>0</v>
      </c>
      <c r="P19" s="127">
        <f>COUNTIFS(Auction!$M$13:$M$437,Teams!$H19,Auction!$H$13:$H$437,"&gt;0",Auction!$B$13:$B$437,P$2)</f>
        <v>0</v>
      </c>
      <c r="Q19" s="135">
        <f>COUNTIFS(Auction!$M$13:$M$437,Teams!$H19,Auction!$H$13:$H$437,"&gt;0",Auction!$B$13:$B$437,Q$2)</f>
        <v>0</v>
      </c>
      <c r="R19" s="191">
        <f>SUMIFS(Auction!$H$13:$H$437,Auction!$M$13:$M$437,Teams!$H19,Auction!$B$13:$B$437,LEFT(R$2,2))</f>
        <v>0</v>
      </c>
      <c r="S19" s="187">
        <f>SUMIFS(Auction!$H$13:$H$437,Auction!$M$13:$M$437,Teams!$H19,Auction!$B$13:$B$437,LEFT(S$2,2))</f>
        <v>0</v>
      </c>
      <c r="T19" s="187">
        <f>SUMIFS(Auction!$H$13:$H$437,Auction!$M$13:$M$437,Teams!$H19,Auction!$B$13:$B$437,LEFT(T$2,2))</f>
        <v>0</v>
      </c>
      <c r="U19" s="192">
        <f>SUMIFS(Auction!$H$13:$H$437,Auction!$M$13:$M$437,Teams!$H19,Auction!$B$13:$B$437,LEFT(U$2,2))</f>
        <v>0</v>
      </c>
    </row>
    <row r="20" spans="1:21" x14ac:dyDescent="0.35">
      <c r="A20" s="132" t="str">
        <f>IFERROR(INDEX(Auction!$B$13:$B$437,MATCH(B20,Auction!$A$13:$A$437,0)),"")</f>
        <v/>
      </c>
      <c r="B20" s="206" t="str">
        <f t="array" ref="B20">IF($A$1=0,"",IFERROR(INDEX(Auction!$A$13:$M$437,SMALL(IF(Auction!$M$13:$M$437=$A$1,(ROW(Auction!$M$13:$M$437)-MIN(ROW(Auction!$M$13:$M$437))+1),""),ROW(A18)),1),""))</f>
        <v/>
      </c>
      <c r="C20" s="141">
        <f>IF(ISERROR(VLOOKUP(B20,Auction!$A$13:$I$437,7,FALSE)),0,VLOOKUP(B20,Auction!$A$13:$I$437,8,FALSE))</f>
        <v>0</v>
      </c>
      <c r="D20" s="142">
        <f>IFERROR(VLOOKUP(B20,Auction!$A$13:$I$437,9,FALSE)-C20,0)</f>
        <v>0</v>
      </c>
      <c r="E20" s="149" t="str">
        <f>IFERROR(INDEX(Auction!$C$13:$C$437,MATCH(B20,Auction!$A$13:$A$437,0)),"")</f>
        <v/>
      </c>
      <c r="G20" s="132">
        <v>18</v>
      </c>
      <c r="H20" s="222"/>
      <c r="I20" s="118">
        <f>LeagueInfo!$F$3-SUMIF(Auction!$M$13:$M$437,H20,Auction!$H$13:$H$437)</f>
        <v>200</v>
      </c>
      <c r="J20" s="119">
        <f>I20-(LeagueInfo!$F$4-COUNTIF(Auction!$M$13:$M$437,$H20))+1</f>
        <v>185</v>
      </c>
      <c r="K20" s="116">
        <f t="shared" si="3"/>
        <v>0</v>
      </c>
      <c r="L20" s="116">
        <f>COUNTIFS(Auction!$M$13:$M$437,Teams!$H20,Auction!$H$13:$H$437,"&gt;0",Auction!$B$13:$B$437,L$2)</f>
        <v>0</v>
      </c>
      <c r="M20" s="116">
        <f>COUNTIFS(Auction!$M$13:$M$437,Teams!$H20,Auction!$H$13:$H$437,"&gt;0",Auction!$B$13:$B$437,M$2)</f>
        <v>0</v>
      </c>
      <c r="N20" s="116">
        <f>COUNTIFS(Auction!$M$13:$M$437,Teams!$H20,Auction!$H$13:$H$437,"&gt;0",Auction!$B$13:$B$437,N$2)</f>
        <v>0</v>
      </c>
      <c r="O20" s="116">
        <f>COUNTIFS(Auction!$M$13:$M$437,Teams!$H20,Auction!$H$13:$H$437,"&gt;0",Auction!$B$13:$B$437,O$2)</f>
        <v>0</v>
      </c>
      <c r="P20" s="116">
        <f>COUNTIFS(Auction!$M$13:$M$437,Teams!$H20,Auction!$H$13:$H$437,"&gt;0",Auction!$B$13:$B$437,P$2)</f>
        <v>0</v>
      </c>
      <c r="Q20" s="134">
        <f>COUNTIFS(Auction!$M$13:$M$437,Teams!$H20,Auction!$H$13:$H$437,"&gt;0",Auction!$B$13:$B$437,Q$2)</f>
        <v>0</v>
      </c>
      <c r="R20" s="193">
        <f>SUMIFS(Auction!$H$13:$H$437,Auction!$M$13:$M$437,Teams!$H20,Auction!$B$13:$B$437,LEFT(R$2,2))</f>
        <v>0</v>
      </c>
      <c r="S20" s="188">
        <f>SUMIFS(Auction!$H$13:$H$437,Auction!$M$13:$M$437,Teams!$H20,Auction!$B$13:$B$437,LEFT(S$2,2))</f>
        <v>0</v>
      </c>
      <c r="T20" s="188">
        <f>SUMIFS(Auction!$H$13:$H$437,Auction!$M$13:$M$437,Teams!$H20,Auction!$B$13:$B$437,LEFT(T$2,2))</f>
        <v>0</v>
      </c>
      <c r="U20" s="194">
        <f>SUMIFS(Auction!$H$13:$H$437,Auction!$M$13:$M$437,Teams!$H20,Auction!$B$13:$B$437,LEFT(U$2,2))</f>
        <v>0</v>
      </c>
    </row>
    <row r="21" spans="1:21" x14ac:dyDescent="0.35">
      <c r="A21" s="132" t="str">
        <f>IFERROR(INDEX(Auction!$B$13:$B$437,MATCH(B21,Auction!$A$13:$A$437,0)),"")</f>
        <v/>
      </c>
      <c r="B21" s="206" t="str">
        <f t="array" ref="B21">IF($A$1=0,"",IFERROR(INDEX(Auction!$A$13:$M$437,SMALL(IF(Auction!$M$13:$M$437=$A$1,(ROW(Auction!$M$13:$M$437)-MIN(ROW(Auction!$M$13:$M$437))+1),""),ROW(A19)),1),""))</f>
        <v/>
      </c>
      <c r="C21" s="141">
        <f>IF(ISERROR(VLOOKUP(B21,Auction!$A$13:$I$437,7,FALSE)),0,VLOOKUP(B21,Auction!$A$13:$I$437,8,FALSE))</f>
        <v>0</v>
      </c>
      <c r="D21" s="142">
        <f>IFERROR(VLOOKUP(B21,Auction!$A$13:$I$437,9,FALSE)-C21,0)</f>
        <v>0</v>
      </c>
      <c r="E21" s="149" t="str">
        <f>IFERROR(INDEX(Auction!$C$13:$C$437,MATCH(B21,Auction!$A$13:$A$437,0)),"")</f>
        <v/>
      </c>
      <c r="G21" s="132">
        <v>19</v>
      </c>
      <c r="H21" s="222"/>
      <c r="I21" s="125">
        <f>LeagueInfo!$F$3-SUMIF(Auction!$M$13:$M$437,H21,Auction!$H$13:$H$437)</f>
        <v>200</v>
      </c>
      <c r="J21" s="126">
        <f>I21-(LeagueInfo!$F$4-COUNTIF(Auction!$M$13:$M$437,$H21))+1</f>
        <v>185</v>
      </c>
      <c r="K21" s="127">
        <f t="shared" si="3"/>
        <v>0</v>
      </c>
      <c r="L21" s="127">
        <f>COUNTIFS(Auction!$M$13:$M$437,Teams!$H21,Auction!$H$13:$H$437,"&gt;0",Auction!$B$13:$B$437,L$2)</f>
        <v>0</v>
      </c>
      <c r="M21" s="127">
        <f>COUNTIFS(Auction!$M$13:$M$437,Teams!$H21,Auction!$H$13:$H$437,"&gt;0",Auction!$B$13:$B$437,M$2)</f>
        <v>0</v>
      </c>
      <c r="N21" s="127">
        <f>COUNTIFS(Auction!$M$13:$M$437,Teams!$H21,Auction!$H$13:$H$437,"&gt;0",Auction!$B$13:$B$437,N$2)</f>
        <v>0</v>
      </c>
      <c r="O21" s="127">
        <f>COUNTIFS(Auction!$M$13:$M$437,Teams!$H21,Auction!$H$13:$H$437,"&gt;0",Auction!$B$13:$B$437,O$2)</f>
        <v>0</v>
      </c>
      <c r="P21" s="127">
        <f>COUNTIFS(Auction!$M$13:$M$437,Teams!$H21,Auction!$H$13:$H$437,"&gt;0",Auction!$B$13:$B$437,P$2)</f>
        <v>0</v>
      </c>
      <c r="Q21" s="135">
        <f>COUNTIFS(Auction!$M$13:$M$437,Teams!$H21,Auction!$H$13:$H$437,"&gt;0",Auction!$B$13:$B$437,Q$2)</f>
        <v>0</v>
      </c>
      <c r="R21" s="191">
        <f>SUMIFS(Auction!$H$13:$H$437,Auction!$M$13:$M$437,Teams!$H21,Auction!$B$13:$B$437,LEFT(R$2,2))</f>
        <v>0</v>
      </c>
      <c r="S21" s="187">
        <f>SUMIFS(Auction!$H$13:$H$437,Auction!$M$13:$M$437,Teams!$H21,Auction!$B$13:$B$437,LEFT(S$2,2))</f>
        <v>0</v>
      </c>
      <c r="T21" s="187">
        <f>SUMIFS(Auction!$H$13:$H$437,Auction!$M$13:$M$437,Teams!$H21,Auction!$B$13:$B$437,LEFT(T$2,2))</f>
        <v>0</v>
      </c>
      <c r="U21" s="192">
        <f>SUMIFS(Auction!$H$13:$H$437,Auction!$M$13:$M$437,Teams!$H21,Auction!$B$13:$B$437,LEFT(U$2,2))</f>
        <v>0</v>
      </c>
    </row>
    <row r="22" spans="1:21" x14ac:dyDescent="0.35">
      <c r="A22" s="132" t="str">
        <f>IFERROR(INDEX(Auction!$B$13:$B$437,MATCH(B22,Auction!$A$13:$A$437,0)),"")</f>
        <v/>
      </c>
      <c r="B22" s="206" t="str">
        <f t="array" ref="B22">IF($A$1=0,"",IFERROR(INDEX(Auction!$A$13:$M$437,SMALL(IF(Auction!$M$13:$M$437=$A$1,(ROW(Auction!$M$13:$M$437)-MIN(ROW(Auction!$M$13:$M$437))+1),""),ROW(A20)),1),""))</f>
        <v/>
      </c>
      <c r="C22" s="141">
        <f>IF(ISERROR(VLOOKUP(B22,Auction!$A$13:$I$437,7,FALSE)),0,VLOOKUP(B22,Auction!$A$13:$I$437,8,FALSE))</f>
        <v>0</v>
      </c>
      <c r="D22" s="142">
        <f>IFERROR(VLOOKUP(B22,Auction!$A$13:$I$437,9,FALSE)-C22,0)</f>
        <v>0</v>
      </c>
      <c r="E22" s="149" t="str">
        <f>IFERROR(INDEX(Auction!$C$13:$C$437,MATCH(B22,Auction!$A$13:$A$437,0)),"")</f>
        <v/>
      </c>
      <c r="G22" s="132">
        <v>20</v>
      </c>
      <c r="H22" s="223"/>
      <c r="I22" s="120">
        <f>LeagueInfo!$F$3-SUMIF(Auction!$M$13:$M$437,H22,Auction!$H$13:$H$437)</f>
        <v>200</v>
      </c>
      <c r="J22" s="121">
        <f>I22-(LeagueInfo!$F$4-COUNTIF(Auction!$M$13:$M$437,$H22))+1</f>
        <v>185</v>
      </c>
      <c r="K22" s="117">
        <f t="shared" si="3"/>
        <v>0</v>
      </c>
      <c r="L22" s="117">
        <f>COUNTIFS(Auction!$M$13:$M$437,Teams!$H22,Auction!$H$13:$H$437,"&gt;0",Auction!$B$13:$B$437,L$2)</f>
        <v>0</v>
      </c>
      <c r="M22" s="117">
        <f>COUNTIFS(Auction!$M$13:$M$437,Teams!$H22,Auction!$H$13:$H$437,"&gt;0",Auction!$B$13:$B$437,M$2)</f>
        <v>0</v>
      </c>
      <c r="N22" s="117">
        <f>COUNTIFS(Auction!$M$13:$M$437,Teams!$H22,Auction!$H$13:$H$437,"&gt;0",Auction!$B$13:$B$437,N$2)</f>
        <v>0</v>
      </c>
      <c r="O22" s="117">
        <f>COUNTIFS(Auction!$M$13:$M$437,Teams!$H22,Auction!$H$13:$H$437,"&gt;0",Auction!$B$13:$B$437,O$2)</f>
        <v>0</v>
      </c>
      <c r="P22" s="117">
        <f>COUNTIFS(Auction!$M$13:$M$437,Teams!$H22,Auction!$H$13:$H$437,"&gt;0",Auction!$B$13:$B$437,P$2)</f>
        <v>0</v>
      </c>
      <c r="Q22" s="136">
        <f>COUNTIFS(Auction!$M$13:$M$437,Teams!$H22,Auction!$H$13:$H$437,"&gt;0",Auction!$B$13:$B$437,Q$2)</f>
        <v>0</v>
      </c>
      <c r="R22" s="193">
        <f>SUMIFS(Auction!$H$13:$H$437,Auction!$M$13:$M$437,Teams!$H22,Auction!$B$13:$B$437,LEFT(R$2,2))</f>
        <v>0</v>
      </c>
      <c r="S22" s="188">
        <f>SUMIFS(Auction!$H$13:$H$437,Auction!$M$13:$M$437,Teams!$H22,Auction!$B$13:$B$437,LEFT(S$2,2))</f>
        <v>0</v>
      </c>
      <c r="T22" s="188">
        <f>SUMIFS(Auction!$H$13:$H$437,Auction!$M$13:$M$437,Teams!$H22,Auction!$B$13:$B$437,LEFT(T$2,2))</f>
        <v>0</v>
      </c>
      <c r="U22" s="194">
        <f>SUMIFS(Auction!$H$13:$H$437,Auction!$M$13:$M$437,Teams!$H22,Auction!$B$13:$B$437,LEFT(U$2,2))</f>
        <v>0</v>
      </c>
    </row>
    <row r="23" spans="1:21" x14ac:dyDescent="0.35">
      <c r="A23" s="150"/>
      <c r="B23" s="151"/>
      <c r="C23" s="152">
        <f>SUM(C3:C22)</f>
        <v>0</v>
      </c>
      <c r="D23" s="152">
        <f>SUM(D3:D22)</f>
        <v>0</v>
      </c>
      <c r="E23" s="153"/>
      <c r="G23" s="137" t="s">
        <v>55</v>
      </c>
      <c r="H23" s="138"/>
      <c r="I23" s="138"/>
      <c r="J23" s="138"/>
      <c r="K23" s="170">
        <f>SUM(K3:K22)</f>
        <v>0</v>
      </c>
      <c r="L23" s="170">
        <f t="shared" ref="L23:Q23" si="4">SUM(L3:L22)</f>
        <v>0</v>
      </c>
      <c r="M23" s="170">
        <f t="shared" si="4"/>
        <v>0</v>
      </c>
      <c r="N23" s="170">
        <f t="shared" si="4"/>
        <v>0</v>
      </c>
      <c r="O23" s="170">
        <f t="shared" si="4"/>
        <v>0</v>
      </c>
      <c r="P23" s="170">
        <f t="shared" si="4"/>
        <v>0</v>
      </c>
      <c r="Q23" s="170">
        <f t="shared" si="4"/>
        <v>0</v>
      </c>
      <c r="R23" s="189">
        <f>SUM(R3:R22)</f>
        <v>0</v>
      </c>
      <c r="S23" s="189">
        <f>SUM(S3:S22)</f>
        <v>0</v>
      </c>
      <c r="T23" s="189">
        <f>SUM(T3:T22)</f>
        <v>0</v>
      </c>
      <c r="U23" s="189">
        <f>SUM(U3:U22)</f>
        <v>0</v>
      </c>
    </row>
    <row r="24" spans="1:21" x14ac:dyDescent="0.35">
      <c r="A24" s="273" t="str">
        <f>CONCATENATE("This column will fill in when 'Drafted By' column in Auction sheet is set to '",H3,"'")</f>
        <v>This column will fill in when 'Drafted By' column in Auction sheet is set to 'My Team'</v>
      </c>
      <c r="B24" s="273"/>
      <c r="C24" s="273"/>
      <c r="D24" s="273"/>
      <c r="E24" s="273"/>
      <c r="G24" s="274" t="s">
        <v>323</v>
      </c>
      <c r="H24" s="274"/>
      <c r="I24" s="274"/>
      <c r="J24" s="274"/>
      <c r="K24" s="274"/>
      <c r="L24" s="274"/>
    </row>
    <row r="25" spans="1:21" x14ac:dyDescent="0.35">
      <c r="E25" s="4"/>
      <c r="G25" s="275" t="s">
        <v>324</v>
      </c>
      <c r="H25" s="275"/>
      <c r="I25" s="275"/>
      <c r="J25" s="275"/>
      <c r="K25" s="275"/>
      <c r="L25" s="275"/>
    </row>
    <row r="27" spans="1:21" x14ac:dyDescent="0.35">
      <c r="A27" s="267" t="str">
        <f>H4</f>
        <v>Team 2</v>
      </c>
      <c r="B27" s="268"/>
      <c r="C27" s="268"/>
      <c r="D27" s="268"/>
      <c r="E27" s="269"/>
      <c r="G27" s="267" t="str">
        <f>H5</f>
        <v>Team 3</v>
      </c>
      <c r="H27" s="268"/>
      <c r="I27" s="268"/>
      <c r="J27" s="268"/>
      <c r="K27" s="269"/>
    </row>
    <row r="28" spans="1:21" x14ac:dyDescent="0.35">
      <c r="A28" s="139" t="s">
        <v>310</v>
      </c>
      <c r="B28" s="147" t="s">
        <v>82</v>
      </c>
      <c r="C28" s="129" t="s">
        <v>311</v>
      </c>
      <c r="D28" s="129" t="s">
        <v>312</v>
      </c>
      <c r="E28" s="140" t="s">
        <v>262</v>
      </c>
      <c r="G28" s="139" t="s">
        <v>310</v>
      </c>
      <c r="H28" s="147" t="s">
        <v>82</v>
      </c>
      <c r="I28" s="129" t="s">
        <v>311</v>
      </c>
      <c r="J28" s="129" t="s">
        <v>312</v>
      </c>
      <c r="K28" s="140" t="s">
        <v>262</v>
      </c>
    </row>
    <row r="29" spans="1:21" x14ac:dyDescent="0.35">
      <c r="A29" s="132" t="str">
        <f>IFERROR(INDEX(Auction!$B$13:$B$437,MATCH(B29,Auction!$A$13:$A$437,0)),"")</f>
        <v/>
      </c>
      <c r="B29" s="206" t="str">
        <f t="array" ref="B29">IF($A$27=0,"",IFERROR(INDEX(Auction!$A$13:$M$437,SMALL(IF(Auction!$M$13:$M$437=$A$27,(ROW(Auction!$M$13:$M$437)-MIN(ROW(Auction!$M$13:$M$437))+1),""),ROW(A1)),1),""))</f>
        <v/>
      </c>
      <c r="C29" s="141">
        <f>IF(ISERROR(VLOOKUP(B29,Auction!$A$13:$I$437,7,FALSE)),0,VLOOKUP(B29,Auction!$A$13:$I$437,8,FALSE))</f>
        <v>0</v>
      </c>
      <c r="D29" s="142">
        <f>IFERROR(VLOOKUP(B29,Auction!$A$13:$I$437,9,FALSE)-C29,0)</f>
        <v>0</v>
      </c>
      <c r="E29" s="148" t="str">
        <f>IFERROR(INDEX(Auction!$C$13:$C$437,MATCH(B29,Auction!$A$13:$A$437,0)),"")</f>
        <v/>
      </c>
      <c r="G29" s="132" t="str">
        <f>IFERROR(INDEX(Auction!$B$13:$B$437,MATCH(H29,Auction!$A$13:$A$437,0)),"")</f>
        <v/>
      </c>
      <c r="H29" s="206" t="str">
        <f t="array" ref="H29">IF($G$27=0,"",IFERROR(INDEX(Auction!$A$13:$M$437,SMALL(IF(Auction!$M$13:$M$437=$G$27,(ROW(Auction!$M$13:$M$437)-MIN(ROW(Auction!$M$13:$M$437))+1),""),ROW(G1)),1),""))</f>
        <v/>
      </c>
      <c r="I29" s="141">
        <f>IF(ISERROR(VLOOKUP(H29,Auction!$A$13:$I$437,7,FALSE)),0,VLOOKUP(H29,Auction!$A$13:$I$437,8,FALSE))</f>
        <v>0</v>
      </c>
      <c r="J29" s="142">
        <f>IFERROR(VLOOKUP(H29,Auction!$A$13:$I$437,9,FALSE)-I29,0)</f>
        <v>0</v>
      </c>
      <c r="K29" s="148" t="str">
        <f>IFERROR(INDEX(Auction!$C$13:$C$437,MATCH(H29,Auction!$A$13:$A$437,0)),"")</f>
        <v/>
      </c>
    </row>
    <row r="30" spans="1:21" x14ac:dyDescent="0.35">
      <c r="A30" s="132" t="str">
        <f>IFERROR(INDEX(Auction!$B$13:$B$437,MATCH(B30,Auction!$A$13:$A$437,0)),"")</f>
        <v/>
      </c>
      <c r="B30" s="206" t="str">
        <f t="array" ref="B30">IF($A$27=0,"",IFERROR(INDEX(Auction!$A$13:$M$437,SMALL(IF(Auction!$M$13:$M$437=$A$27,(ROW(Auction!$M$13:$M$437)-MIN(ROW(Auction!$M$13:$M$437))+1),""),ROW(A2)),1),""))</f>
        <v/>
      </c>
      <c r="C30" s="141">
        <f>IF(ISERROR(VLOOKUP(B30,Auction!$A$13:$I$437,7,FALSE)),0,VLOOKUP(B30,Auction!$A$13:$I$437,8,FALSE))</f>
        <v>0</v>
      </c>
      <c r="D30" s="142">
        <f>IFERROR(VLOOKUP(B30,Auction!$A$13:$I$437,9,FALSE)-C30,0)</f>
        <v>0</v>
      </c>
      <c r="E30" s="148" t="str">
        <f>IFERROR(INDEX(Auction!$C$13:$C$437,MATCH(B30,Auction!$A$13:$A$437,0)),"")</f>
        <v/>
      </c>
      <c r="G30" s="132" t="str">
        <f>IFERROR(INDEX(Auction!$B$13:$B$437,MATCH(H30,Auction!$A$13:$A$437,0)),"")</f>
        <v/>
      </c>
      <c r="H30" s="206" t="str">
        <f t="array" ref="H30">IF($G$27=0,"",IFERROR(INDEX(Auction!$A$13:$M$437,SMALL(IF(Auction!$M$13:$M$437=$G$27,(ROW(Auction!$M$13:$M$437)-MIN(ROW(Auction!$M$13:$M$437))+1),""),ROW(G2)),1),""))</f>
        <v/>
      </c>
      <c r="I30" s="141">
        <f>IF(ISERROR(VLOOKUP(H30,Auction!$A$13:$I$437,7,FALSE)),0,VLOOKUP(H30,Auction!$A$13:$I$437,8,FALSE))</f>
        <v>0</v>
      </c>
      <c r="J30" s="142">
        <f>IFERROR(VLOOKUP(H30,Auction!$A$13:$I$437,9,FALSE)-I30,0)</f>
        <v>0</v>
      </c>
      <c r="K30" s="148" t="str">
        <f>IFERROR(INDEX(Auction!$C$13:$C$437,MATCH(H30,Auction!$A$13:$A$437,0)),"")</f>
        <v/>
      </c>
    </row>
    <row r="31" spans="1:21" x14ac:dyDescent="0.35">
      <c r="A31" s="132" t="str">
        <f>IFERROR(INDEX(Auction!$B$13:$B$437,MATCH(B31,Auction!$A$13:$A$437,0)),"")</f>
        <v/>
      </c>
      <c r="B31" s="206" t="str">
        <f t="array" ref="B31">IF($A$27=0,"",IFERROR(INDEX(Auction!$A$13:$M$437,SMALL(IF(Auction!$M$13:$M$437=$A$27,(ROW(Auction!$M$13:$M$437)-MIN(ROW(Auction!$M$13:$M$437))+1),""),ROW(A3)),1),""))</f>
        <v/>
      </c>
      <c r="C31" s="141">
        <f>IF(ISERROR(VLOOKUP(B31,Auction!$A$13:$I$437,7,FALSE)),0,VLOOKUP(B31,Auction!$A$13:$I$437,8,FALSE))</f>
        <v>0</v>
      </c>
      <c r="D31" s="142">
        <f>IFERROR(VLOOKUP(B31,Auction!$A$13:$I$437,9,FALSE)-C31,0)</f>
        <v>0</v>
      </c>
      <c r="E31" s="148" t="str">
        <f>IFERROR(INDEX(Auction!$C$13:$C$437,MATCH(B31,Auction!$A$13:$A$437,0)),"")</f>
        <v/>
      </c>
      <c r="G31" s="132" t="str">
        <f>IFERROR(INDEX(Auction!$B$13:$B$437,MATCH(H31,Auction!$A$13:$A$437,0)),"")</f>
        <v/>
      </c>
      <c r="H31" s="206" t="str">
        <f t="array" ref="H31">IF($G$27=0,"",IFERROR(INDEX(Auction!$A$13:$M$437,SMALL(IF(Auction!$M$13:$M$437=$G$27,(ROW(Auction!$M$13:$M$437)-MIN(ROW(Auction!$M$13:$M$437))+1),""),ROW(G3)),1),""))</f>
        <v/>
      </c>
      <c r="I31" s="141">
        <f>IF(ISERROR(VLOOKUP(H31,Auction!$A$13:$I$437,7,FALSE)),0,VLOOKUP(H31,Auction!$A$13:$I$437,8,FALSE))</f>
        <v>0</v>
      </c>
      <c r="J31" s="142">
        <f>IFERROR(VLOOKUP(H31,Auction!$A$13:$I$437,9,FALSE)-I31,0)</f>
        <v>0</v>
      </c>
      <c r="K31" s="148" t="str">
        <f>IFERROR(INDEX(Auction!$C$13:$C$437,MATCH(H31,Auction!$A$13:$A$437,0)),"")</f>
        <v/>
      </c>
    </row>
    <row r="32" spans="1:21" x14ac:dyDescent="0.35">
      <c r="A32" s="132" t="str">
        <f>IFERROR(INDEX(Auction!$B$13:$B$437,MATCH(B32,Auction!$A$13:$A$437,0)),"")</f>
        <v/>
      </c>
      <c r="B32" s="206" t="str">
        <f t="array" ref="B32">IF($A$27=0,"",IFERROR(INDEX(Auction!$A$13:$M$437,SMALL(IF(Auction!$M$13:$M$437=$A$27,(ROW(Auction!$M$13:$M$437)-MIN(ROW(Auction!$M$13:$M$437))+1),""),ROW(A4)),1),""))</f>
        <v/>
      </c>
      <c r="C32" s="141">
        <f>IF(ISERROR(VLOOKUP(B32,Auction!$A$13:$I$437,7,FALSE)),0,VLOOKUP(B32,Auction!$A$13:$I$437,8,FALSE))</f>
        <v>0</v>
      </c>
      <c r="D32" s="142">
        <f>IFERROR(VLOOKUP(B32,Auction!$A$13:$I$437,9,FALSE)-C32,0)</f>
        <v>0</v>
      </c>
      <c r="E32" s="148" t="str">
        <f>IFERROR(INDEX(Auction!$C$13:$C$437,MATCH(B32,Auction!$A$13:$A$437,0)),"")</f>
        <v/>
      </c>
      <c r="G32" s="132" t="str">
        <f>IFERROR(INDEX(Auction!$B$13:$B$437,MATCH(H32,Auction!$A$13:$A$437,0)),"")</f>
        <v/>
      </c>
      <c r="H32" s="206" t="str">
        <f t="array" ref="H32">IF($G$27=0,"",IFERROR(INDEX(Auction!$A$13:$M$437,SMALL(IF(Auction!$M$13:$M$437=$G$27,(ROW(Auction!$M$13:$M$437)-MIN(ROW(Auction!$M$13:$M$437))+1),""),ROW(G4)),1),""))</f>
        <v/>
      </c>
      <c r="I32" s="141">
        <f>IF(ISERROR(VLOOKUP(H32,Auction!$A$13:$I$437,7,FALSE)),0,VLOOKUP(H32,Auction!$A$13:$I$437,8,FALSE))</f>
        <v>0</v>
      </c>
      <c r="J32" s="142">
        <f>IFERROR(VLOOKUP(H32,Auction!$A$13:$I$437,9,FALSE)-I32,0)</f>
        <v>0</v>
      </c>
      <c r="K32" s="148" t="str">
        <f>IFERROR(INDEX(Auction!$C$13:$C$437,MATCH(H32,Auction!$A$13:$A$437,0)),"")</f>
        <v/>
      </c>
    </row>
    <row r="33" spans="1:11" x14ac:dyDescent="0.35">
      <c r="A33" s="132" t="str">
        <f>IFERROR(INDEX(Auction!$B$13:$B$437,MATCH(B33,Auction!$A$13:$A$437,0)),"")</f>
        <v/>
      </c>
      <c r="B33" s="206" t="str">
        <f t="array" ref="B33">IF($A$27=0,"",IFERROR(INDEX(Auction!$A$13:$M$437,SMALL(IF(Auction!$M$13:$M$437=$A$27,(ROW(Auction!$M$13:$M$437)-MIN(ROW(Auction!$M$13:$M$437))+1),""),ROW(A5)),1),""))</f>
        <v/>
      </c>
      <c r="C33" s="141">
        <f>IF(ISERROR(VLOOKUP(B33,Auction!$A$13:$I$437,7,FALSE)),0,VLOOKUP(B33,Auction!$A$13:$I$437,8,FALSE))</f>
        <v>0</v>
      </c>
      <c r="D33" s="142">
        <f>IFERROR(VLOOKUP(B33,Auction!$A$13:$I$437,9,FALSE)-C33,0)</f>
        <v>0</v>
      </c>
      <c r="E33" s="148" t="str">
        <f>IFERROR(INDEX(Auction!$C$13:$C$437,MATCH(B33,Auction!$A$13:$A$437,0)),"")</f>
        <v/>
      </c>
      <c r="G33" s="132" t="str">
        <f>IFERROR(INDEX(Auction!$B$13:$B$437,MATCH(H33,Auction!$A$13:$A$437,0)),"")</f>
        <v/>
      </c>
      <c r="H33" s="206" t="str">
        <f t="array" ref="H33">IF($G$27=0,"",IFERROR(INDEX(Auction!$A$13:$M$437,SMALL(IF(Auction!$M$13:$M$437=$G$27,(ROW(Auction!$M$13:$M$437)-MIN(ROW(Auction!$M$13:$M$437))+1),""),ROW(G5)),1),""))</f>
        <v/>
      </c>
      <c r="I33" s="141">
        <f>IF(ISERROR(VLOOKUP(H33,Auction!$A$13:$I$437,7,FALSE)),0,VLOOKUP(H33,Auction!$A$13:$I$437,8,FALSE))</f>
        <v>0</v>
      </c>
      <c r="J33" s="142">
        <f>IFERROR(VLOOKUP(H33,Auction!$A$13:$I$437,9,FALSE)-I33,0)</f>
        <v>0</v>
      </c>
      <c r="K33" s="148" t="str">
        <f>IFERROR(INDEX(Auction!$C$13:$C$437,MATCH(H33,Auction!$A$13:$A$437,0)),"")</f>
        <v/>
      </c>
    </row>
    <row r="34" spans="1:11" x14ac:dyDescent="0.35">
      <c r="A34" s="132" t="str">
        <f>IFERROR(INDEX(Auction!$B$13:$B$437,MATCH(B34,Auction!$A$13:$A$437,0)),"")</f>
        <v/>
      </c>
      <c r="B34" s="206" t="str">
        <f t="array" ref="B34">IF($A$27=0,"",IFERROR(INDEX(Auction!$A$13:$M$437,SMALL(IF(Auction!$M$13:$M$437=$A$27,(ROW(Auction!$M$13:$M$437)-MIN(ROW(Auction!$M$13:$M$437))+1),""),ROW(A6)),1),""))</f>
        <v/>
      </c>
      <c r="C34" s="141">
        <f>IF(ISERROR(VLOOKUP(B34,Auction!$A$13:$I$437,7,FALSE)),0,VLOOKUP(B34,Auction!$A$13:$I$437,8,FALSE))</f>
        <v>0</v>
      </c>
      <c r="D34" s="142">
        <f>IFERROR(VLOOKUP(B34,Auction!$A$13:$I$437,9,FALSE)-C34,0)</f>
        <v>0</v>
      </c>
      <c r="E34" s="148" t="str">
        <f>IFERROR(INDEX(Auction!$C$13:$C$437,MATCH(B34,Auction!$A$13:$A$437,0)),"")</f>
        <v/>
      </c>
      <c r="G34" s="132" t="str">
        <f>IFERROR(INDEX(Auction!$B$13:$B$437,MATCH(H34,Auction!$A$13:$A$437,0)),"")</f>
        <v/>
      </c>
      <c r="H34" s="206" t="str">
        <f t="array" ref="H34">IF($G$27=0,"",IFERROR(INDEX(Auction!$A$13:$M$437,SMALL(IF(Auction!$M$13:$M$437=$G$27,(ROW(Auction!$M$13:$M$437)-MIN(ROW(Auction!$M$13:$M$437))+1),""),ROW(G6)),1),""))</f>
        <v/>
      </c>
      <c r="I34" s="141">
        <f>IF(ISERROR(VLOOKUP(H34,Auction!$A$13:$I$437,7,FALSE)),0,VLOOKUP(H34,Auction!$A$13:$I$437,8,FALSE))</f>
        <v>0</v>
      </c>
      <c r="J34" s="142">
        <f>IFERROR(VLOOKUP(H34,Auction!$A$13:$I$437,9,FALSE)-I34,0)</f>
        <v>0</v>
      </c>
      <c r="K34" s="148" t="str">
        <f>IFERROR(INDEX(Auction!$C$13:$C$437,MATCH(H34,Auction!$A$13:$A$437,0)),"")</f>
        <v/>
      </c>
    </row>
    <row r="35" spans="1:11" x14ac:dyDescent="0.35">
      <c r="A35" s="132" t="str">
        <f>IFERROR(INDEX(Auction!$B$13:$B$437,MATCH(B35,Auction!$A$13:$A$437,0)),"")</f>
        <v/>
      </c>
      <c r="B35" s="206" t="str">
        <f t="array" ref="B35">IF($A$27=0,"",IFERROR(INDEX(Auction!$A$13:$M$437,SMALL(IF(Auction!$M$13:$M$437=$A$27,(ROW(Auction!$M$13:$M$437)-MIN(ROW(Auction!$M$13:$M$437))+1),""),ROW(A7)),1),""))</f>
        <v/>
      </c>
      <c r="C35" s="141">
        <f>IF(ISERROR(VLOOKUP(B35,Auction!$A$13:$I$437,7,FALSE)),0,VLOOKUP(B35,Auction!$A$13:$I$437,8,FALSE))</f>
        <v>0</v>
      </c>
      <c r="D35" s="142">
        <f>IFERROR(VLOOKUP(B35,Auction!$A$13:$I$437,9,FALSE)-C35,0)</f>
        <v>0</v>
      </c>
      <c r="E35" s="148" t="str">
        <f>IFERROR(INDEX(Auction!$C$13:$C$437,MATCH(B35,Auction!$A$13:$A$437,0)),"")</f>
        <v/>
      </c>
      <c r="G35" s="132" t="str">
        <f>IFERROR(INDEX(Auction!$B$13:$B$437,MATCH(H35,Auction!$A$13:$A$437,0)),"")</f>
        <v/>
      </c>
      <c r="H35" s="206" t="str">
        <f t="array" ref="H35">IF($G$27=0,"",IFERROR(INDEX(Auction!$A$13:$M$437,SMALL(IF(Auction!$M$13:$M$437=$G$27,(ROW(Auction!$M$13:$M$437)-MIN(ROW(Auction!$M$13:$M$437))+1),""),ROW(G7)),1),""))</f>
        <v/>
      </c>
      <c r="I35" s="141">
        <f>IF(ISERROR(VLOOKUP(H35,Auction!$A$13:$I$437,7,FALSE)),0,VLOOKUP(H35,Auction!$A$13:$I$437,8,FALSE))</f>
        <v>0</v>
      </c>
      <c r="J35" s="142">
        <f>IFERROR(VLOOKUP(H35,Auction!$A$13:$I$437,9,FALSE)-I35,0)</f>
        <v>0</v>
      </c>
      <c r="K35" s="148" t="str">
        <f>IFERROR(INDEX(Auction!$C$13:$C$437,MATCH(H35,Auction!$A$13:$A$437,0)),"")</f>
        <v/>
      </c>
    </row>
    <row r="36" spans="1:11" x14ac:dyDescent="0.35">
      <c r="A36" s="132" t="str">
        <f>IFERROR(INDEX(Auction!$B$13:$B$437,MATCH(B36,Auction!$A$13:$A$437,0)),"")</f>
        <v/>
      </c>
      <c r="B36" s="206" t="str">
        <f t="array" ref="B36">IF($A$27=0,"",IFERROR(INDEX(Auction!$A$13:$M$437,SMALL(IF(Auction!$M$13:$M$437=$A$27,(ROW(Auction!$M$13:$M$437)-MIN(ROW(Auction!$M$13:$M$437))+1),""),ROW(A8)),1),""))</f>
        <v/>
      </c>
      <c r="C36" s="141">
        <f>IF(ISERROR(VLOOKUP(B36,Auction!$A$13:$I$437,7,FALSE)),0,VLOOKUP(B36,Auction!$A$13:$I$437,8,FALSE))</f>
        <v>0</v>
      </c>
      <c r="D36" s="142">
        <f>IFERROR(VLOOKUP(B36,Auction!$A$13:$I$437,9,FALSE)-C36,0)</f>
        <v>0</v>
      </c>
      <c r="E36" s="148" t="str">
        <f>IFERROR(INDEX(Auction!$C$13:$C$437,MATCH(B36,Auction!$A$13:$A$437,0)),"")</f>
        <v/>
      </c>
      <c r="G36" s="132" t="str">
        <f>IFERROR(INDEX(Auction!$B$13:$B$437,MATCH(H36,Auction!$A$13:$A$437,0)),"")</f>
        <v/>
      </c>
      <c r="H36" s="206" t="str">
        <f t="array" ref="H36">IF($G$27=0,"",IFERROR(INDEX(Auction!$A$13:$M$437,SMALL(IF(Auction!$M$13:$M$437=$G$27,(ROW(Auction!$M$13:$M$437)-MIN(ROW(Auction!$M$13:$M$437))+1),""),ROW(G8)),1),""))</f>
        <v/>
      </c>
      <c r="I36" s="141">
        <f>IF(ISERROR(VLOOKUP(H36,Auction!$A$13:$I$437,7,FALSE)),0,VLOOKUP(H36,Auction!$A$13:$I$437,8,FALSE))</f>
        <v>0</v>
      </c>
      <c r="J36" s="142">
        <f>IFERROR(VLOOKUP(H36,Auction!$A$13:$I$437,9,FALSE)-I36,0)</f>
        <v>0</v>
      </c>
      <c r="K36" s="148" t="str">
        <f>IFERROR(INDEX(Auction!$C$13:$C$437,MATCH(H36,Auction!$A$13:$A$437,0)),"")</f>
        <v/>
      </c>
    </row>
    <row r="37" spans="1:11" x14ac:dyDescent="0.35">
      <c r="A37" s="132" t="str">
        <f>IFERROR(INDEX(Auction!$B$13:$B$437,MATCH(B37,Auction!$A$13:$A$437,0)),"")</f>
        <v/>
      </c>
      <c r="B37" s="206" t="str">
        <f t="array" ref="B37">IF($A$27=0,"",IFERROR(INDEX(Auction!$A$13:$M$437,SMALL(IF(Auction!$M$13:$M$437=$A$27,(ROW(Auction!$M$13:$M$437)-MIN(ROW(Auction!$M$13:$M$437))+1),""),ROW(A9)),1),""))</f>
        <v/>
      </c>
      <c r="C37" s="141">
        <f>IF(ISERROR(VLOOKUP(B37,Auction!$A$13:$I$437,7,FALSE)),0,VLOOKUP(B37,Auction!$A$13:$I$437,8,FALSE))</f>
        <v>0</v>
      </c>
      <c r="D37" s="142">
        <f>IFERROR(VLOOKUP(B37,Auction!$A$13:$I$437,9,FALSE)-C37,0)</f>
        <v>0</v>
      </c>
      <c r="E37" s="149" t="str">
        <f>IFERROR(INDEX(Auction!$C$13:$C$437,MATCH(B37,Auction!$A$13:$A$437,0)),"")</f>
        <v/>
      </c>
      <c r="G37" s="132" t="str">
        <f>IFERROR(INDEX(Auction!$B$13:$B$437,MATCH(H37,Auction!$A$13:$A$437,0)),"")</f>
        <v/>
      </c>
      <c r="H37" s="206" t="str">
        <f t="array" ref="H37">IF($G$27=0,"",IFERROR(INDEX(Auction!$A$13:$M$437,SMALL(IF(Auction!$M$13:$M$437=$G$27,(ROW(Auction!$M$13:$M$437)-MIN(ROW(Auction!$M$13:$M$437))+1),""),ROW(G9)),1),""))</f>
        <v/>
      </c>
      <c r="I37" s="141">
        <f>IF(ISERROR(VLOOKUP(H37,Auction!$A$13:$I$437,7,FALSE)),0,VLOOKUP(H37,Auction!$A$13:$I$437,8,FALSE))</f>
        <v>0</v>
      </c>
      <c r="J37" s="142">
        <f>IFERROR(VLOOKUP(H37,Auction!$A$13:$I$437,9,FALSE)-I37,0)</f>
        <v>0</v>
      </c>
      <c r="K37" s="149" t="str">
        <f>IFERROR(INDEX(Auction!$C$13:$C$437,MATCH(H37,Auction!$A$13:$A$437,0)),"")</f>
        <v/>
      </c>
    </row>
    <row r="38" spans="1:11" x14ac:dyDescent="0.35">
      <c r="A38" s="132" t="str">
        <f>IFERROR(INDEX(Auction!$B$13:$B$437,MATCH(B38,Auction!$A$13:$A$437,0)),"")</f>
        <v/>
      </c>
      <c r="B38" s="206" t="str">
        <f t="array" ref="B38">IF($A$27=0,"",IFERROR(INDEX(Auction!$A$13:$M$437,SMALL(IF(Auction!$M$13:$M$437=$A$27,(ROW(Auction!$M$13:$M$437)-MIN(ROW(Auction!$M$13:$M$437))+1),""),ROW(A10)),1),""))</f>
        <v/>
      </c>
      <c r="C38" s="141">
        <f>IF(ISERROR(VLOOKUP(B38,Auction!$A$13:$I$437,7,FALSE)),0,VLOOKUP(B38,Auction!$A$13:$I$437,8,FALSE))</f>
        <v>0</v>
      </c>
      <c r="D38" s="142">
        <f>IFERROR(VLOOKUP(B38,Auction!$A$13:$I$437,9,FALSE)-C38,0)</f>
        <v>0</v>
      </c>
      <c r="E38" s="149" t="str">
        <f>IFERROR(INDEX(Auction!$C$13:$C$437,MATCH(B38,Auction!$A$13:$A$437,0)),"")</f>
        <v/>
      </c>
      <c r="G38" s="132" t="str">
        <f>IFERROR(INDEX(Auction!$B$13:$B$437,MATCH(H38,Auction!$A$13:$A$437,0)),"")</f>
        <v/>
      </c>
      <c r="H38" s="206" t="str">
        <f t="array" ref="H38">IF($G$27=0,"",IFERROR(INDEX(Auction!$A$13:$M$437,SMALL(IF(Auction!$M$13:$M$437=$G$27,(ROW(Auction!$M$13:$M$437)-MIN(ROW(Auction!$M$13:$M$437))+1),""),ROW(G10)),1),""))</f>
        <v/>
      </c>
      <c r="I38" s="141">
        <f>IF(ISERROR(VLOOKUP(H38,Auction!$A$13:$I$437,7,FALSE)),0,VLOOKUP(H38,Auction!$A$13:$I$437,8,FALSE))</f>
        <v>0</v>
      </c>
      <c r="J38" s="142">
        <f>IFERROR(VLOOKUP(H38,Auction!$A$13:$I$437,9,FALSE)-I38,0)</f>
        <v>0</v>
      </c>
      <c r="K38" s="149" t="str">
        <f>IFERROR(INDEX(Auction!$C$13:$C$437,MATCH(H38,Auction!$A$13:$A$437,0)),"")</f>
        <v/>
      </c>
    </row>
    <row r="39" spans="1:11" x14ac:dyDescent="0.35">
      <c r="A39" s="132" t="str">
        <f>IFERROR(INDEX(Auction!$B$13:$B$437,MATCH(B39,Auction!$A$13:$A$437,0)),"")</f>
        <v/>
      </c>
      <c r="B39" s="206" t="str">
        <f t="array" ref="B39">IF($A$27=0,"",IFERROR(INDEX(Auction!$A$13:$M$437,SMALL(IF(Auction!$M$13:$M$437=$A$27,(ROW(Auction!$M$13:$M$437)-MIN(ROW(Auction!$M$13:$M$437))+1),""),ROW(A11)),1),""))</f>
        <v/>
      </c>
      <c r="C39" s="141">
        <f>IF(ISERROR(VLOOKUP(B39,Auction!$A$13:$I$437,7,FALSE)),0,VLOOKUP(B39,Auction!$A$13:$I$437,8,FALSE))</f>
        <v>0</v>
      </c>
      <c r="D39" s="142">
        <f>IFERROR(VLOOKUP(B39,Auction!$A$13:$I$437,9,FALSE)-C39,0)</f>
        <v>0</v>
      </c>
      <c r="E39" s="149" t="str">
        <f>IFERROR(INDEX(Auction!$C$13:$C$437,MATCH(B39,Auction!$A$13:$A$437,0)),"")</f>
        <v/>
      </c>
      <c r="G39" s="132" t="str">
        <f>IFERROR(INDEX(Auction!$B$13:$B$437,MATCH(H39,Auction!$A$13:$A$437,0)),"")</f>
        <v/>
      </c>
      <c r="H39" s="206" t="str">
        <f t="array" ref="H39">IF($G$27=0,"",IFERROR(INDEX(Auction!$A$13:$M$437,SMALL(IF(Auction!$M$13:$M$437=$G$27,(ROW(Auction!$M$13:$M$437)-MIN(ROW(Auction!$M$13:$M$437))+1),""),ROW(G11)),1),""))</f>
        <v/>
      </c>
      <c r="I39" s="141">
        <f>IF(ISERROR(VLOOKUP(H39,Auction!$A$13:$I$437,7,FALSE)),0,VLOOKUP(H39,Auction!$A$13:$I$437,8,FALSE))</f>
        <v>0</v>
      </c>
      <c r="J39" s="142">
        <f>IFERROR(VLOOKUP(H39,Auction!$A$13:$I$437,9,FALSE)-I39,0)</f>
        <v>0</v>
      </c>
      <c r="K39" s="149" t="str">
        <f>IFERROR(INDEX(Auction!$C$13:$C$437,MATCH(H39,Auction!$A$13:$A$437,0)),"")</f>
        <v/>
      </c>
    </row>
    <row r="40" spans="1:11" x14ac:dyDescent="0.35">
      <c r="A40" s="132" t="str">
        <f>IFERROR(INDEX(Auction!$B$13:$B$437,MATCH(B40,Auction!$A$13:$A$437,0)),"")</f>
        <v/>
      </c>
      <c r="B40" s="206" t="str">
        <f t="array" ref="B40">IF($A$27=0,"",IFERROR(INDEX(Auction!$A$13:$M$437,SMALL(IF(Auction!$M$13:$M$437=$A$27,(ROW(Auction!$M$13:$M$437)-MIN(ROW(Auction!$M$13:$M$437))+1),""),ROW(A12)),1),""))</f>
        <v/>
      </c>
      <c r="C40" s="141">
        <f>IF(ISERROR(VLOOKUP(B40,Auction!$A$13:$I$437,7,FALSE)),0,VLOOKUP(B40,Auction!$A$13:$I$437,8,FALSE))</f>
        <v>0</v>
      </c>
      <c r="D40" s="142">
        <f>IFERROR(VLOOKUP(B40,Auction!$A$13:$I$437,9,FALSE)-C40,0)</f>
        <v>0</v>
      </c>
      <c r="E40" s="149" t="str">
        <f>IFERROR(INDEX(Auction!$C$13:$C$437,MATCH(B40,Auction!$A$13:$A$437,0)),"")</f>
        <v/>
      </c>
      <c r="G40" s="132" t="str">
        <f>IFERROR(INDEX(Auction!$B$13:$B$437,MATCH(H40,Auction!$A$13:$A$437,0)),"")</f>
        <v/>
      </c>
      <c r="H40" s="206" t="str">
        <f t="array" ref="H40">IF($G$27=0,"",IFERROR(INDEX(Auction!$A$13:$M$437,SMALL(IF(Auction!$M$13:$M$437=$G$27,(ROW(Auction!$M$13:$M$437)-MIN(ROW(Auction!$M$13:$M$437))+1),""),ROW(G12)),1),""))</f>
        <v/>
      </c>
      <c r="I40" s="141">
        <f>IF(ISERROR(VLOOKUP(H40,Auction!$A$13:$I$437,7,FALSE)),0,VLOOKUP(H40,Auction!$A$13:$I$437,8,FALSE))</f>
        <v>0</v>
      </c>
      <c r="J40" s="142">
        <f>IFERROR(VLOOKUP(H40,Auction!$A$13:$I$437,9,FALSE)-I40,0)</f>
        <v>0</v>
      </c>
      <c r="K40" s="149" t="str">
        <f>IFERROR(INDEX(Auction!$C$13:$C$437,MATCH(H40,Auction!$A$13:$A$437,0)),"")</f>
        <v/>
      </c>
    </row>
    <row r="41" spans="1:11" x14ac:dyDescent="0.35">
      <c r="A41" s="132" t="str">
        <f>IFERROR(INDEX(Auction!$B$13:$B$437,MATCH(B41,Auction!$A$13:$A$437,0)),"")</f>
        <v/>
      </c>
      <c r="B41" s="206" t="str">
        <f t="array" ref="B41">IF($A$27=0,"",IFERROR(INDEX(Auction!$A$13:$M$437,SMALL(IF(Auction!$M$13:$M$437=$A$27,(ROW(Auction!$M$13:$M$437)-MIN(ROW(Auction!$M$13:$M$437))+1),""),ROW(A13)),1),""))</f>
        <v/>
      </c>
      <c r="C41" s="141">
        <f>IF(ISERROR(VLOOKUP(B41,Auction!$A$13:$I$437,7,FALSE)),0,VLOOKUP(B41,Auction!$A$13:$I$437,8,FALSE))</f>
        <v>0</v>
      </c>
      <c r="D41" s="142">
        <f>IFERROR(VLOOKUP(B41,Auction!$A$13:$I$437,9,FALSE)-C41,0)</f>
        <v>0</v>
      </c>
      <c r="E41" s="149" t="str">
        <f>IFERROR(INDEX(Auction!$C$13:$C$437,MATCH(B41,Auction!$A$13:$A$437,0)),"")</f>
        <v/>
      </c>
      <c r="G41" s="132" t="str">
        <f>IFERROR(INDEX(Auction!$B$13:$B$437,MATCH(H41,Auction!$A$13:$A$437,0)),"")</f>
        <v/>
      </c>
      <c r="H41" s="206" t="str">
        <f t="array" ref="H41">IF($G$27=0,"",IFERROR(INDEX(Auction!$A$13:$M$437,SMALL(IF(Auction!$M$13:$M$437=$G$27,(ROW(Auction!$M$13:$M$437)-MIN(ROW(Auction!$M$13:$M$437))+1),""),ROW(G13)),1),""))</f>
        <v/>
      </c>
      <c r="I41" s="141">
        <f>IF(ISERROR(VLOOKUP(H41,Auction!$A$13:$I$437,7,FALSE)),0,VLOOKUP(H41,Auction!$A$13:$I$437,8,FALSE))</f>
        <v>0</v>
      </c>
      <c r="J41" s="142">
        <f>IFERROR(VLOOKUP(H41,Auction!$A$13:$I$437,9,FALSE)-I41,0)</f>
        <v>0</v>
      </c>
      <c r="K41" s="149" t="str">
        <f>IFERROR(INDEX(Auction!$C$13:$C$437,MATCH(H41,Auction!$A$13:$A$437,0)),"")</f>
        <v/>
      </c>
    </row>
    <row r="42" spans="1:11" x14ac:dyDescent="0.35">
      <c r="A42" s="132" t="str">
        <f>IFERROR(INDEX(Auction!$B$13:$B$437,MATCH(B42,Auction!$A$13:$A$437,0)),"")</f>
        <v/>
      </c>
      <c r="B42" s="206" t="str">
        <f t="array" ref="B42">IF($A$27=0,"",IFERROR(INDEX(Auction!$A$13:$M$437,SMALL(IF(Auction!$M$13:$M$437=$A$27,(ROW(Auction!$M$13:$M$437)-MIN(ROW(Auction!$M$13:$M$437))+1),""),ROW(A14)),1),""))</f>
        <v/>
      </c>
      <c r="C42" s="141">
        <f>IF(ISERROR(VLOOKUP(B42,Auction!$A$13:$I$437,7,FALSE)),0,VLOOKUP(B42,Auction!$A$13:$I$437,8,FALSE))</f>
        <v>0</v>
      </c>
      <c r="D42" s="142">
        <f>IFERROR(VLOOKUP(B42,Auction!$A$13:$I$437,9,FALSE)-C42,0)</f>
        <v>0</v>
      </c>
      <c r="E42" s="149" t="str">
        <f>IFERROR(INDEX(Auction!$C$13:$C$437,MATCH(B42,Auction!$A$13:$A$437,0)),"")</f>
        <v/>
      </c>
      <c r="G42" s="132" t="str">
        <f>IFERROR(INDEX(Auction!$B$13:$B$437,MATCH(H42,Auction!$A$13:$A$437,0)),"")</f>
        <v/>
      </c>
      <c r="H42" s="206" t="str">
        <f t="array" ref="H42">IF($G$27=0,"",IFERROR(INDEX(Auction!$A$13:$M$437,SMALL(IF(Auction!$M$13:$M$437=$G$27,(ROW(Auction!$M$13:$M$437)-MIN(ROW(Auction!$M$13:$M$437))+1),""),ROW(G14)),1),""))</f>
        <v/>
      </c>
      <c r="I42" s="141">
        <f>IF(ISERROR(VLOOKUP(H42,Auction!$A$13:$I$437,7,FALSE)),0,VLOOKUP(H42,Auction!$A$13:$I$437,8,FALSE))</f>
        <v>0</v>
      </c>
      <c r="J42" s="142">
        <f>IFERROR(VLOOKUP(H42,Auction!$A$13:$I$437,9,FALSE)-I42,0)</f>
        <v>0</v>
      </c>
      <c r="K42" s="149" t="str">
        <f>IFERROR(INDEX(Auction!$C$13:$C$437,MATCH(H42,Auction!$A$13:$A$437,0)),"")</f>
        <v/>
      </c>
    </row>
    <row r="43" spans="1:11" x14ac:dyDescent="0.35">
      <c r="A43" s="132" t="str">
        <f>IFERROR(INDEX(Auction!$B$13:$B$437,MATCH(B43,Auction!$A$13:$A$437,0)),"")</f>
        <v/>
      </c>
      <c r="B43" s="206" t="str">
        <f t="array" ref="B43">IF($A$27=0,"",IFERROR(INDEX(Auction!$A$13:$M$437,SMALL(IF(Auction!$M$13:$M$437=$A$27,(ROW(Auction!$M$13:$M$437)-MIN(ROW(Auction!$M$13:$M$437))+1),""),ROW(A15)),1),""))</f>
        <v/>
      </c>
      <c r="C43" s="141">
        <f>IF(ISERROR(VLOOKUP(B43,Auction!$A$13:$I$437,7,FALSE)),0,VLOOKUP(B43,Auction!$A$13:$I$437,8,FALSE))</f>
        <v>0</v>
      </c>
      <c r="D43" s="142">
        <f>IFERROR(VLOOKUP(B43,Auction!$A$13:$I$437,9,FALSE)-C43,0)</f>
        <v>0</v>
      </c>
      <c r="E43" s="149" t="str">
        <f>IFERROR(INDEX(Auction!$C$13:$C$437,MATCH(B43,Auction!$A$13:$A$437,0)),"")</f>
        <v/>
      </c>
      <c r="G43" s="132" t="str">
        <f>IFERROR(INDEX(Auction!$B$13:$B$437,MATCH(H43,Auction!$A$13:$A$437,0)),"")</f>
        <v/>
      </c>
      <c r="H43" s="206" t="str">
        <f t="array" ref="H43">IF($G$27=0,"",IFERROR(INDEX(Auction!$A$13:$M$437,SMALL(IF(Auction!$M$13:$M$437=$G$27,(ROW(Auction!$M$13:$M$437)-MIN(ROW(Auction!$M$13:$M$437))+1),""),ROW(G15)),1),""))</f>
        <v/>
      </c>
      <c r="I43" s="141">
        <f>IF(ISERROR(VLOOKUP(H43,Auction!$A$13:$I$437,7,FALSE)),0,VLOOKUP(H43,Auction!$A$13:$I$437,8,FALSE))</f>
        <v>0</v>
      </c>
      <c r="J43" s="142">
        <f>IFERROR(VLOOKUP(H43,Auction!$A$13:$I$437,9,FALSE)-I43,0)</f>
        <v>0</v>
      </c>
      <c r="K43" s="149" t="str">
        <f>IFERROR(INDEX(Auction!$C$13:$C$437,MATCH(H43,Auction!$A$13:$A$437,0)),"")</f>
        <v/>
      </c>
    </row>
    <row r="44" spans="1:11" x14ac:dyDescent="0.35">
      <c r="A44" s="132" t="str">
        <f>IFERROR(INDEX(Auction!$B$13:$B$437,MATCH(B44,Auction!$A$13:$A$437,0)),"")</f>
        <v/>
      </c>
      <c r="B44" s="206" t="str">
        <f t="array" ref="B44">IF($A$27=0,"",IFERROR(INDEX(Auction!$A$13:$M$437,SMALL(IF(Auction!$M$13:$M$437=$A$27,(ROW(Auction!$M$13:$M$437)-MIN(ROW(Auction!$M$13:$M$437))+1),""),ROW(A16)),1),""))</f>
        <v/>
      </c>
      <c r="C44" s="141">
        <f>IF(ISERROR(VLOOKUP(B44,Auction!$A$13:$I$437,7,FALSE)),0,VLOOKUP(B44,Auction!$A$13:$I$437,8,FALSE))</f>
        <v>0</v>
      </c>
      <c r="D44" s="142">
        <f>IFERROR(VLOOKUP(B44,Auction!$A$13:$I$437,9,FALSE)-C44,0)</f>
        <v>0</v>
      </c>
      <c r="E44" s="149" t="str">
        <f>IFERROR(INDEX(Auction!$C$13:$C$437,MATCH(B44,Auction!$A$13:$A$437,0)),"")</f>
        <v/>
      </c>
      <c r="G44" s="132" t="str">
        <f>IFERROR(INDEX(Auction!$B$13:$B$437,MATCH(H44,Auction!$A$13:$A$437,0)),"")</f>
        <v/>
      </c>
      <c r="H44" s="206" t="str">
        <f t="array" ref="H44">IF($G$27=0,"",IFERROR(INDEX(Auction!$A$13:$M$437,SMALL(IF(Auction!$M$13:$M$437=$G$27,(ROW(Auction!$M$13:$M$437)-MIN(ROW(Auction!$M$13:$M$437))+1),""),ROW(G16)),1),""))</f>
        <v/>
      </c>
      <c r="I44" s="141">
        <f>IF(ISERROR(VLOOKUP(H44,Auction!$A$13:$I$437,7,FALSE)),0,VLOOKUP(H44,Auction!$A$13:$I$437,8,FALSE))</f>
        <v>0</v>
      </c>
      <c r="J44" s="142">
        <f>IFERROR(VLOOKUP(H44,Auction!$A$13:$I$437,9,FALSE)-I44,0)</f>
        <v>0</v>
      </c>
      <c r="K44" s="149" t="str">
        <f>IFERROR(INDEX(Auction!$C$13:$C$437,MATCH(H44,Auction!$A$13:$A$437,0)),"")</f>
        <v/>
      </c>
    </row>
    <row r="45" spans="1:11" x14ac:dyDescent="0.35">
      <c r="A45" s="132" t="str">
        <f>IFERROR(INDEX(Auction!$B$13:$B$437,MATCH(B45,Auction!$A$13:$A$437,0)),"")</f>
        <v/>
      </c>
      <c r="B45" s="206" t="str">
        <f t="array" ref="B45">IF($A$27=0,"",IFERROR(INDEX(Auction!$A$13:$M$437,SMALL(IF(Auction!$M$13:$M$437=$A$27,(ROW(Auction!$M$13:$M$437)-MIN(ROW(Auction!$M$13:$M$437))+1),""),ROW(A17)),1),""))</f>
        <v/>
      </c>
      <c r="C45" s="141">
        <f>IF(ISERROR(VLOOKUP(B45,Auction!$A$13:$I$437,7,FALSE)),0,VLOOKUP(B45,Auction!$A$13:$I$437,8,FALSE))</f>
        <v>0</v>
      </c>
      <c r="D45" s="142">
        <f>IFERROR(VLOOKUP(B45,Auction!$A$13:$I$437,9,FALSE)-C45,0)</f>
        <v>0</v>
      </c>
      <c r="E45" s="149" t="str">
        <f>IFERROR(INDEX(Auction!$C$13:$C$437,MATCH(B45,Auction!$A$13:$A$437,0)),"")</f>
        <v/>
      </c>
      <c r="G45" s="132" t="str">
        <f>IFERROR(INDEX(Auction!$B$13:$B$437,MATCH(H45,Auction!$A$13:$A$437,0)),"")</f>
        <v/>
      </c>
      <c r="H45" s="206" t="str">
        <f t="array" ref="H45">IF($G$27=0,"",IFERROR(INDEX(Auction!$A$13:$M$437,SMALL(IF(Auction!$M$13:$M$437=$G$27,(ROW(Auction!$M$13:$M$437)-MIN(ROW(Auction!$M$13:$M$437))+1),""),ROW(G17)),1),""))</f>
        <v/>
      </c>
      <c r="I45" s="141">
        <f>IF(ISERROR(VLOOKUP(H45,Auction!$A$13:$I$437,7,FALSE)),0,VLOOKUP(H45,Auction!$A$13:$I$437,8,FALSE))</f>
        <v>0</v>
      </c>
      <c r="J45" s="142">
        <f>IFERROR(VLOOKUP(H45,Auction!$A$13:$I$437,9,FALSE)-I45,0)</f>
        <v>0</v>
      </c>
      <c r="K45" s="149" t="str">
        <f>IFERROR(INDEX(Auction!$C$13:$C$437,MATCH(H45,Auction!$A$13:$A$437,0)),"")</f>
        <v/>
      </c>
    </row>
    <row r="46" spans="1:11" x14ac:dyDescent="0.35">
      <c r="A46" s="132" t="str">
        <f>IFERROR(INDEX(Auction!$B$13:$B$437,MATCH(B46,Auction!$A$13:$A$437,0)),"")</f>
        <v/>
      </c>
      <c r="B46" s="206" t="str">
        <f t="array" ref="B46">IF($A$27=0,"",IFERROR(INDEX(Auction!$A$13:$M$437,SMALL(IF(Auction!$M$13:$M$437=$A$27,(ROW(Auction!$M$13:$M$437)-MIN(ROW(Auction!$M$13:$M$437))+1),""),ROW(A18)),1),""))</f>
        <v/>
      </c>
      <c r="C46" s="141">
        <f>IF(ISERROR(VLOOKUP(B46,Auction!$A$13:$I$437,7,FALSE)),0,VLOOKUP(B46,Auction!$A$13:$I$437,8,FALSE))</f>
        <v>0</v>
      </c>
      <c r="D46" s="142">
        <f>IFERROR(VLOOKUP(B46,Auction!$A$13:$I$437,9,FALSE)-C46,0)</f>
        <v>0</v>
      </c>
      <c r="E46" s="149" t="str">
        <f>IFERROR(INDEX(Auction!$C$13:$C$437,MATCH(B46,Auction!$A$13:$A$437,0)),"")</f>
        <v/>
      </c>
      <c r="G46" s="132" t="str">
        <f>IFERROR(INDEX(Auction!$B$13:$B$437,MATCH(H46,Auction!$A$13:$A$437,0)),"")</f>
        <v/>
      </c>
      <c r="H46" s="206" t="str">
        <f t="array" ref="H46">IF($G$27=0,"",IFERROR(INDEX(Auction!$A$13:$M$437,SMALL(IF(Auction!$M$13:$M$437=$G$27,(ROW(Auction!$M$13:$M$437)-MIN(ROW(Auction!$M$13:$M$437))+1),""),ROW(G18)),1),""))</f>
        <v/>
      </c>
      <c r="I46" s="141">
        <f>IF(ISERROR(VLOOKUP(H46,Auction!$A$13:$I$437,7,FALSE)),0,VLOOKUP(H46,Auction!$A$13:$I$437,8,FALSE))</f>
        <v>0</v>
      </c>
      <c r="J46" s="142">
        <f>IFERROR(VLOOKUP(H46,Auction!$A$13:$I$437,9,FALSE)-I46,0)</f>
        <v>0</v>
      </c>
      <c r="K46" s="149" t="str">
        <f>IFERROR(INDEX(Auction!$C$13:$C$437,MATCH(H46,Auction!$A$13:$A$437,0)),"")</f>
        <v/>
      </c>
    </row>
    <row r="47" spans="1:11" x14ac:dyDescent="0.35">
      <c r="A47" s="132" t="str">
        <f>IFERROR(INDEX(Auction!$B$13:$B$437,MATCH(B47,Auction!$A$13:$A$437,0)),"")</f>
        <v/>
      </c>
      <c r="B47" s="206" t="str">
        <f t="array" ref="B47">IF($A$27=0,"",IFERROR(INDEX(Auction!$A$13:$M$437,SMALL(IF(Auction!$M$13:$M$437=$A$27,(ROW(Auction!$M$13:$M$437)-MIN(ROW(Auction!$M$13:$M$437))+1),""),ROW(A19)),1),""))</f>
        <v/>
      </c>
      <c r="C47" s="141">
        <f>IF(ISERROR(VLOOKUP(B47,Auction!$A$13:$I$437,7,FALSE)),0,VLOOKUP(B47,Auction!$A$13:$I$437,8,FALSE))</f>
        <v>0</v>
      </c>
      <c r="D47" s="142">
        <f>IFERROR(VLOOKUP(B47,Auction!$A$13:$I$437,9,FALSE)-C47,0)</f>
        <v>0</v>
      </c>
      <c r="E47" s="149" t="str">
        <f>IFERROR(INDEX(Auction!$C$13:$C$437,MATCH(B47,Auction!$A$13:$A$437,0)),"")</f>
        <v/>
      </c>
      <c r="G47" s="132" t="str">
        <f>IFERROR(INDEX(Auction!$B$13:$B$437,MATCH(H47,Auction!$A$13:$A$437,0)),"")</f>
        <v/>
      </c>
      <c r="H47" s="206" t="str">
        <f t="array" ref="H47">IF($G$27=0,"",IFERROR(INDEX(Auction!$A$13:$M$437,SMALL(IF(Auction!$M$13:$M$437=$G$27,(ROW(Auction!$M$13:$M$437)-MIN(ROW(Auction!$M$13:$M$437))+1),""),ROW(G19)),1),""))</f>
        <v/>
      </c>
      <c r="I47" s="141">
        <f>IF(ISERROR(VLOOKUP(H47,Auction!$A$13:$I$437,7,FALSE)),0,VLOOKUP(H47,Auction!$A$13:$I$437,8,FALSE))</f>
        <v>0</v>
      </c>
      <c r="J47" s="142">
        <f>IFERROR(VLOOKUP(H47,Auction!$A$13:$I$437,9,FALSE)-I47,0)</f>
        <v>0</v>
      </c>
      <c r="K47" s="149" t="str">
        <f>IFERROR(INDEX(Auction!$C$13:$C$437,MATCH(H47,Auction!$A$13:$A$437,0)),"")</f>
        <v/>
      </c>
    </row>
    <row r="48" spans="1:11" x14ac:dyDescent="0.35">
      <c r="A48" s="132" t="str">
        <f>IFERROR(INDEX(Auction!$B$13:$B$437,MATCH(B48,Auction!$A$13:$A$437,0)),"")</f>
        <v/>
      </c>
      <c r="B48" s="206" t="str">
        <f t="array" ref="B48">IF($A$27=0,"",IFERROR(INDEX(Auction!$A$13:$M$437,SMALL(IF(Auction!$M$13:$M$437=$A$27,(ROW(Auction!$M$13:$M$437)-MIN(ROW(Auction!$M$13:$M$437))+1),""),ROW(A20)),1),""))</f>
        <v/>
      </c>
      <c r="C48" s="141">
        <f>IF(ISERROR(VLOOKUP(B48,Auction!$A$13:$I$437,7,FALSE)),0,VLOOKUP(B48,Auction!$A$13:$I$437,8,FALSE))</f>
        <v>0</v>
      </c>
      <c r="D48" s="142">
        <f>IFERROR(VLOOKUP(B48,Auction!$A$13:$I$437,9,FALSE)-C48,0)</f>
        <v>0</v>
      </c>
      <c r="E48" s="149" t="str">
        <f>IFERROR(INDEX(Auction!$C$13:$C$437,MATCH(B48,Auction!$A$13:$A$437,0)),"")</f>
        <v/>
      </c>
      <c r="G48" s="132" t="str">
        <f>IFERROR(INDEX(Auction!$B$13:$B$437,MATCH(H48,Auction!$A$13:$A$437,0)),"")</f>
        <v/>
      </c>
      <c r="H48" s="206" t="str">
        <f t="array" ref="H48">IF($G$27=0,"",IFERROR(INDEX(Auction!$A$13:$M$437,SMALL(IF(Auction!$M$13:$M$437=$G$27,(ROW(Auction!$M$13:$M$437)-MIN(ROW(Auction!$M$13:$M$437))+1),""),ROW(G20)),1),""))</f>
        <v/>
      </c>
      <c r="I48" s="141">
        <f>IF(ISERROR(VLOOKUP(H48,Auction!$A$13:$I$437,7,FALSE)),0,VLOOKUP(H48,Auction!$A$13:$I$437,8,FALSE))</f>
        <v>0</v>
      </c>
      <c r="J48" s="142">
        <f>IFERROR(VLOOKUP(H48,Auction!$A$13:$I$437,9,FALSE)-I48,0)</f>
        <v>0</v>
      </c>
      <c r="K48" s="149" t="str">
        <f>IFERROR(INDEX(Auction!$C$13:$C$437,MATCH(H48,Auction!$A$13:$A$437,0)),"")</f>
        <v/>
      </c>
    </row>
    <row r="49" spans="1:11" x14ac:dyDescent="0.35">
      <c r="A49" s="150"/>
      <c r="B49" s="151"/>
      <c r="C49" s="152">
        <f>SUM(C29:C48)</f>
        <v>0</v>
      </c>
      <c r="D49" s="152">
        <f>SUM(D29:D48)</f>
        <v>0</v>
      </c>
      <c r="E49" s="153"/>
      <c r="G49" s="150"/>
      <c r="H49" s="151"/>
      <c r="I49" s="152">
        <f>SUM(I29:I48)</f>
        <v>0</v>
      </c>
      <c r="J49" s="152">
        <f>SUM(J29:J48)</f>
        <v>0</v>
      </c>
      <c r="K49" s="153"/>
    </row>
    <row r="51" spans="1:11" x14ac:dyDescent="0.35">
      <c r="A51" s="267" t="str">
        <f>H6</f>
        <v>Team 4</v>
      </c>
      <c r="B51" s="268"/>
      <c r="C51" s="268"/>
      <c r="D51" s="268"/>
      <c r="E51" s="269"/>
      <c r="G51" s="267" t="str">
        <f>H7</f>
        <v>Team 5</v>
      </c>
      <c r="H51" s="268"/>
      <c r="I51" s="268"/>
      <c r="J51" s="268"/>
      <c r="K51" s="269"/>
    </row>
    <row r="52" spans="1:11" x14ac:dyDescent="0.35">
      <c r="A52" s="139" t="s">
        <v>310</v>
      </c>
      <c r="B52" s="147" t="s">
        <v>82</v>
      </c>
      <c r="C52" s="129" t="s">
        <v>311</v>
      </c>
      <c r="D52" s="129" t="s">
        <v>312</v>
      </c>
      <c r="E52" s="140" t="s">
        <v>262</v>
      </c>
      <c r="G52" s="139" t="s">
        <v>310</v>
      </c>
      <c r="H52" s="147" t="s">
        <v>82</v>
      </c>
      <c r="I52" s="129" t="s">
        <v>311</v>
      </c>
      <c r="J52" s="129" t="s">
        <v>312</v>
      </c>
      <c r="K52" s="140" t="s">
        <v>262</v>
      </c>
    </row>
    <row r="53" spans="1:11" x14ac:dyDescent="0.35">
      <c r="A53" s="132" t="str">
        <f>IFERROR(INDEX(Auction!$B$13:$B$437,MATCH(B53,Auction!$A$13:$A$437,0)),"")</f>
        <v/>
      </c>
      <c r="B53" s="206" t="str">
        <f t="array" ref="B53">IF($A$51=0,"",IFERROR(INDEX(Auction!$A$13:$M$437,SMALL(IF(Auction!$M$13:$M$437=$A$51,(ROW(Auction!$M$13:$M$437)-MIN(ROW(Auction!$M$13:$M$437))+1),""),ROW(A1)),1),""))</f>
        <v/>
      </c>
      <c r="C53" s="141">
        <f>IF(ISERROR(VLOOKUP(B53,Auction!$A$13:$I$437,7,FALSE)),0,VLOOKUP(B53,Auction!$A$13:$I$437,8,FALSE))</f>
        <v>0</v>
      </c>
      <c r="D53" s="142">
        <f>IFERROR(VLOOKUP(B53,Auction!$A$13:$I$437,9,FALSE)-C53,0)</f>
        <v>0</v>
      </c>
      <c r="E53" s="148" t="str">
        <f>IFERROR(INDEX(Auction!$C$13:$C$437,MATCH(B53,Auction!$A$13:$A$437,0)),"")</f>
        <v/>
      </c>
      <c r="G53" s="132" t="str">
        <f>IFERROR(INDEX(Auction!$B$13:$B$437,MATCH(H53,Auction!$A$13:$A$437,0)),"")</f>
        <v/>
      </c>
      <c r="H53" s="206" t="str">
        <f t="array" ref="H53">IF($G$51=0,"",IFERROR(INDEX(Auction!$A$13:$M$437,SMALL(IF(Auction!$M$13:$M$437=$G$51,(ROW(Auction!$M$13:$M$437)-MIN(ROW(Auction!$M$13:$M$437))+1),""),ROW(G1)),1),""))</f>
        <v/>
      </c>
      <c r="I53" s="141">
        <f>IF(ISERROR(VLOOKUP(H53,Auction!$A$13:$I$437,7,FALSE)),0,VLOOKUP(H53,Auction!$A$13:$I$437,8,FALSE))</f>
        <v>0</v>
      </c>
      <c r="J53" s="142">
        <f>IFERROR(VLOOKUP(H53,Auction!$A$13:$I$437,9,FALSE)-I53,0)</f>
        <v>0</v>
      </c>
      <c r="K53" s="148" t="str">
        <f>IFERROR(INDEX(Auction!$C$13:$C$437,MATCH(H53,Auction!$A$13:$A$437,0)),"")</f>
        <v/>
      </c>
    </row>
    <row r="54" spans="1:11" x14ac:dyDescent="0.35">
      <c r="A54" s="132" t="str">
        <f>IFERROR(INDEX(Auction!$B$13:$B$437,MATCH(B54,Auction!$A$13:$A$437,0)),"")</f>
        <v/>
      </c>
      <c r="B54" s="206" t="str">
        <f t="array" ref="B54">IF($A$51=0,"",IFERROR(INDEX(Auction!$A$13:$M$437,SMALL(IF(Auction!$M$13:$M$437=$A$51,(ROW(Auction!$M$13:$M$437)-MIN(ROW(Auction!$M$13:$M$437))+1),""),ROW(A2)),1),""))</f>
        <v/>
      </c>
      <c r="C54" s="141">
        <f>IF(ISERROR(VLOOKUP(B54,Auction!$A$13:$I$437,7,FALSE)),0,VLOOKUP(B54,Auction!$A$13:$I$437,8,FALSE))</f>
        <v>0</v>
      </c>
      <c r="D54" s="142">
        <f>IFERROR(VLOOKUP(B54,Auction!$A$13:$I$437,9,FALSE)-C54,0)</f>
        <v>0</v>
      </c>
      <c r="E54" s="148" t="str">
        <f>IFERROR(INDEX(Auction!$C$13:$C$437,MATCH(B54,Auction!$A$13:$A$437,0)),"")</f>
        <v/>
      </c>
      <c r="G54" s="132" t="str">
        <f>IFERROR(INDEX(Auction!$B$13:$B$437,MATCH(H54,Auction!$A$13:$A$437,0)),"")</f>
        <v/>
      </c>
      <c r="H54" s="206" t="str">
        <f t="array" ref="H54">IF($G$51=0,"",IFERROR(INDEX(Auction!$A$13:$M$437,SMALL(IF(Auction!$M$13:$M$437=$G$51,(ROW(Auction!$M$13:$M$437)-MIN(ROW(Auction!$M$13:$M$437))+1),""),ROW(G2)),1),""))</f>
        <v/>
      </c>
      <c r="I54" s="141">
        <f>IF(ISERROR(VLOOKUP(H54,Auction!$A$13:$I$437,7,FALSE)),0,VLOOKUP(H54,Auction!$A$13:$I$437,8,FALSE))</f>
        <v>0</v>
      </c>
      <c r="J54" s="142">
        <f>IFERROR(VLOOKUP(H54,Auction!$A$13:$I$437,9,FALSE)-I54,0)</f>
        <v>0</v>
      </c>
      <c r="K54" s="148" t="str">
        <f>IFERROR(INDEX(Auction!$C$13:$C$437,MATCH(H54,Auction!$A$13:$A$437,0)),"")</f>
        <v/>
      </c>
    </row>
    <row r="55" spans="1:11" x14ac:dyDescent="0.35">
      <c r="A55" s="132" t="str">
        <f>IFERROR(INDEX(Auction!$B$13:$B$437,MATCH(B55,Auction!$A$13:$A$437,0)),"")</f>
        <v/>
      </c>
      <c r="B55" s="206" t="str">
        <f t="array" ref="B55">IF($A$51=0,"",IFERROR(INDEX(Auction!$A$13:$M$437,SMALL(IF(Auction!$M$13:$M$437=$A$51,(ROW(Auction!$M$13:$M$437)-MIN(ROW(Auction!$M$13:$M$437))+1),""),ROW(A3)),1),""))</f>
        <v/>
      </c>
      <c r="C55" s="141">
        <f>IF(ISERROR(VLOOKUP(B55,Auction!$A$13:$I$437,7,FALSE)),0,VLOOKUP(B55,Auction!$A$13:$I$437,8,FALSE))</f>
        <v>0</v>
      </c>
      <c r="D55" s="142">
        <f>IFERROR(VLOOKUP(B55,Auction!$A$13:$I$437,9,FALSE)-C55,0)</f>
        <v>0</v>
      </c>
      <c r="E55" s="148" t="str">
        <f>IFERROR(INDEX(Auction!$C$13:$C$437,MATCH(B55,Auction!$A$13:$A$437,0)),"")</f>
        <v/>
      </c>
      <c r="G55" s="132" t="str">
        <f>IFERROR(INDEX(Auction!$B$13:$B$437,MATCH(H55,Auction!$A$13:$A$437,0)),"")</f>
        <v/>
      </c>
      <c r="H55" s="206" t="str">
        <f t="array" ref="H55">IF($G$51=0,"",IFERROR(INDEX(Auction!$A$13:$M$437,SMALL(IF(Auction!$M$13:$M$437=$G$51,(ROW(Auction!$M$13:$M$437)-MIN(ROW(Auction!$M$13:$M$437))+1),""),ROW(G3)),1),""))</f>
        <v/>
      </c>
      <c r="I55" s="141">
        <f>IF(ISERROR(VLOOKUP(H55,Auction!$A$13:$I$437,7,FALSE)),0,VLOOKUP(H55,Auction!$A$13:$I$437,8,FALSE))</f>
        <v>0</v>
      </c>
      <c r="J55" s="142">
        <f>IFERROR(VLOOKUP(H55,Auction!$A$13:$I$437,9,FALSE)-I55,0)</f>
        <v>0</v>
      </c>
      <c r="K55" s="148" t="str">
        <f>IFERROR(INDEX(Auction!$C$13:$C$437,MATCH(H55,Auction!$A$13:$A$437,0)),"")</f>
        <v/>
      </c>
    </row>
    <row r="56" spans="1:11" x14ac:dyDescent="0.35">
      <c r="A56" s="132" t="str">
        <f>IFERROR(INDEX(Auction!$B$13:$B$437,MATCH(B56,Auction!$A$13:$A$437,0)),"")</f>
        <v/>
      </c>
      <c r="B56" s="206" t="str">
        <f t="array" ref="B56">IF($A$51=0,"",IFERROR(INDEX(Auction!$A$13:$M$437,SMALL(IF(Auction!$M$13:$M$437=$A$51,(ROW(Auction!$M$13:$M$437)-MIN(ROW(Auction!$M$13:$M$437))+1),""),ROW(A4)),1),""))</f>
        <v/>
      </c>
      <c r="C56" s="141">
        <f>IF(ISERROR(VLOOKUP(B56,Auction!$A$13:$I$437,7,FALSE)),0,VLOOKUP(B56,Auction!$A$13:$I$437,8,FALSE))</f>
        <v>0</v>
      </c>
      <c r="D56" s="142">
        <f>IFERROR(VLOOKUP(B56,Auction!$A$13:$I$437,9,FALSE)-C56,0)</f>
        <v>0</v>
      </c>
      <c r="E56" s="148" t="str">
        <f>IFERROR(INDEX(Auction!$C$13:$C$437,MATCH(B56,Auction!$A$13:$A$437,0)),"")</f>
        <v/>
      </c>
      <c r="G56" s="132" t="str">
        <f>IFERROR(INDEX(Auction!$B$13:$B$437,MATCH(H56,Auction!$A$13:$A$437,0)),"")</f>
        <v/>
      </c>
      <c r="H56" s="206" t="str">
        <f t="array" ref="H56">IF($G$51=0,"",IFERROR(INDEX(Auction!$A$13:$M$437,SMALL(IF(Auction!$M$13:$M$437=$G$51,(ROW(Auction!$M$13:$M$437)-MIN(ROW(Auction!$M$13:$M$437))+1),""),ROW(G4)),1),""))</f>
        <v/>
      </c>
      <c r="I56" s="141">
        <f>IF(ISERROR(VLOOKUP(H56,Auction!$A$13:$I$437,7,FALSE)),0,VLOOKUP(H56,Auction!$A$13:$I$437,8,FALSE))</f>
        <v>0</v>
      </c>
      <c r="J56" s="142">
        <f>IFERROR(VLOOKUP(H56,Auction!$A$13:$I$437,9,FALSE)-I56,0)</f>
        <v>0</v>
      </c>
      <c r="K56" s="148" t="str">
        <f>IFERROR(INDEX(Auction!$C$13:$C$437,MATCH(H56,Auction!$A$13:$A$437,0)),"")</f>
        <v/>
      </c>
    </row>
    <row r="57" spans="1:11" x14ac:dyDescent="0.35">
      <c r="A57" s="132" t="str">
        <f>IFERROR(INDEX(Auction!$B$13:$B$437,MATCH(B57,Auction!$A$13:$A$437,0)),"")</f>
        <v/>
      </c>
      <c r="B57" s="206" t="str">
        <f t="array" ref="B57">IF($A$51=0,"",IFERROR(INDEX(Auction!$A$13:$M$437,SMALL(IF(Auction!$M$13:$M$437=$A$51,(ROW(Auction!$M$13:$M$437)-MIN(ROW(Auction!$M$13:$M$437))+1),""),ROW(A5)),1),""))</f>
        <v/>
      </c>
      <c r="C57" s="141">
        <f>IF(ISERROR(VLOOKUP(B57,Auction!$A$13:$I$437,7,FALSE)),0,VLOOKUP(B57,Auction!$A$13:$I$437,8,FALSE))</f>
        <v>0</v>
      </c>
      <c r="D57" s="142">
        <f>IFERROR(VLOOKUP(B57,Auction!$A$13:$I$437,9,FALSE)-C57,0)</f>
        <v>0</v>
      </c>
      <c r="E57" s="148" t="str">
        <f>IFERROR(INDEX(Auction!$C$13:$C$437,MATCH(B57,Auction!$A$13:$A$437,0)),"")</f>
        <v/>
      </c>
      <c r="G57" s="132" t="str">
        <f>IFERROR(INDEX(Auction!$B$13:$B$437,MATCH(H57,Auction!$A$13:$A$437,0)),"")</f>
        <v/>
      </c>
      <c r="H57" s="206" t="str">
        <f t="array" ref="H57">IF($G$51=0,"",IFERROR(INDEX(Auction!$A$13:$M$437,SMALL(IF(Auction!$M$13:$M$437=$G$51,(ROW(Auction!$M$13:$M$437)-MIN(ROW(Auction!$M$13:$M$437))+1),""),ROW(G5)),1),""))</f>
        <v/>
      </c>
      <c r="I57" s="141">
        <f>IF(ISERROR(VLOOKUP(H57,Auction!$A$13:$I$437,7,FALSE)),0,VLOOKUP(H57,Auction!$A$13:$I$437,8,FALSE))</f>
        <v>0</v>
      </c>
      <c r="J57" s="142">
        <f>IFERROR(VLOOKUP(H57,Auction!$A$13:$I$437,9,FALSE)-I57,0)</f>
        <v>0</v>
      </c>
      <c r="K57" s="148" t="str">
        <f>IFERROR(INDEX(Auction!$C$13:$C$437,MATCH(H57,Auction!$A$13:$A$437,0)),"")</f>
        <v/>
      </c>
    </row>
    <row r="58" spans="1:11" x14ac:dyDescent="0.35">
      <c r="A58" s="132" t="str">
        <f>IFERROR(INDEX(Auction!$B$13:$B$437,MATCH(B58,Auction!$A$13:$A$437,0)),"")</f>
        <v/>
      </c>
      <c r="B58" s="206" t="str">
        <f t="array" ref="B58">IF($A$51=0,"",IFERROR(INDEX(Auction!$A$13:$M$437,SMALL(IF(Auction!$M$13:$M$437=$A$51,(ROW(Auction!$M$13:$M$437)-MIN(ROW(Auction!$M$13:$M$437))+1),""),ROW(A6)),1),""))</f>
        <v/>
      </c>
      <c r="C58" s="141">
        <f>IF(ISERROR(VLOOKUP(B58,Auction!$A$13:$I$437,7,FALSE)),0,VLOOKUP(B58,Auction!$A$13:$I$437,8,FALSE))</f>
        <v>0</v>
      </c>
      <c r="D58" s="142">
        <f>IFERROR(VLOOKUP(B58,Auction!$A$13:$I$437,9,FALSE)-C58,0)</f>
        <v>0</v>
      </c>
      <c r="E58" s="148" t="str">
        <f>IFERROR(INDEX(Auction!$C$13:$C$437,MATCH(B58,Auction!$A$13:$A$437,0)),"")</f>
        <v/>
      </c>
      <c r="G58" s="132" t="str">
        <f>IFERROR(INDEX(Auction!$B$13:$B$437,MATCH(H58,Auction!$A$13:$A$437,0)),"")</f>
        <v/>
      </c>
      <c r="H58" s="206" t="str">
        <f t="array" ref="H58">IF($G$51=0,"",IFERROR(INDEX(Auction!$A$13:$M$437,SMALL(IF(Auction!$M$13:$M$437=$G$51,(ROW(Auction!$M$13:$M$437)-MIN(ROW(Auction!$M$13:$M$437))+1),""),ROW(G6)),1),""))</f>
        <v/>
      </c>
      <c r="I58" s="141">
        <f>IF(ISERROR(VLOOKUP(H58,Auction!$A$13:$I$437,7,FALSE)),0,VLOOKUP(H58,Auction!$A$13:$I$437,8,FALSE))</f>
        <v>0</v>
      </c>
      <c r="J58" s="142">
        <f>IFERROR(VLOOKUP(H58,Auction!$A$13:$I$437,9,FALSE)-I58,0)</f>
        <v>0</v>
      </c>
      <c r="K58" s="148" t="str">
        <f>IFERROR(INDEX(Auction!$C$13:$C$437,MATCH(H58,Auction!$A$13:$A$437,0)),"")</f>
        <v/>
      </c>
    </row>
    <row r="59" spans="1:11" x14ac:dyDescent="0.35">
      <c r="A59" s="132" t="str">
        <f>IFERROR(INDEX(Auction!$B$13:$B$437,MATCH(B59,Auction!$A$13:$A$437,0)),"")</f>
        <v/>
      </c>
      <c r="B59" s="206" t="str">
        <f t="array" ref="B59">IF($A$51=0,"",IFERROR(INDEX(Auction!$A$13:$M$437,SMALL(IF(Auction!$M$13:$M$437=$A$51,(ROW(Auction!$M$13:$M$437)-MIN(ROW(Auction!$M$13:$M$437))+1),""),ROW(A7)),1),""))</f>
        <v/>
      </c>
      <c r="C59" s="141">
        <f>IF(ISERROR(VLOOKUP(B59,Auction!$A$13:$I$437,7,FALSE)),0,VLOOKUP(B59,Auction!$A$13:$I$437,8,FALSE))</f>
        <v>0</v>
      </c>
      <c r="D59" s="142">
        <f>IFERROR(VLOOKUP(B59,Auction!$A$13:$I$437,9,FALSE)-C59,0)</f>
        <v>0</v>
      </c>
      <c r="E59" s="148" t="str">
        <f>IFERROR(INDEX(Auction!$C$13:$C$437,MATCH(B59,Auction!$A$13:$A$437,0)),"")</f>
        <v/>
      </c>
      <c r="G59" s="132" t="str">
        <f>IFERROR(INDEX(Auction!$B$13:$B$437,MATCH(H59,Auction!$A$13:$A$437,0)),"")</f>
        <v/>
      </c>
      <c r="H59" s="206" t="str">
        <f t="array" ref="H59">IF($G$51=0,"",IFERROR(INDEX(Auction!$A$13:$M$437,SMALL(IF(Auction!$M$13:$M$437=$G$51,(ROW(Auction!$M$13:$M$437)-MIN(ROW(Auction!$M$13:$M$437))+1),""),ROW(G7)),1),""))</f>
        <v/>
      </c>
      <c r="I59" s="141">
        <f>IF(ISERROR(VLOOKUP(H59,Auction!$A$13:$I$437,7,FALSE)),0,VLOOKUP(H59,Auction!$A$13:$I$437,8,FALSE))</f>
        <v>0</v>
      </c>
      <c r="J59" s="142">
        <f>IFERROR(VLOOKUP(H59,Auction!$A$13:$I$437,9,FALSE)-I59,0)</f>
        <v>0</v>
      </c>
      <c r="K59" s="148" t="str">
        <f>IFERROR(INDEX(Auction!$C$13:$C$437,MATCH(H59,Auction!$A$13:$A$437,0)),"")</f>
        <v/>
      </c>
    </row>
    <row r="60" spans="1:11" x14ac:dyDescent="0.35">
      <c r="A60" s="132" t="str">
        <f>IFERROR(INDEX(Auction!$B$13:$B$437,MATCH(B60,Auction!$A$13:$A$437,0)),"")</f>
        <v/>
      </c>
      <c r="B60" s="206" t="str">
        <f t="array" ref="B60">IF($A$51=0,"",IFERROR(INDEX(Auction!$A$13:$M$437,SMALL(IF(Auction!$M$13:$M$437=$A$51,(ROW(Auction!$M$13:$M$437)-MIN(ROW(Auction!$M$13:$M$437))+1),""),ROW(A8)),1),""))</f>
        <v/>
      </c>
      <c r="C60" s="141">
        <f>IF(ISERROR(VLOOKUP(B60,Auction!$A$13:$I$437,7,FALSE)),0,VLOOKUP(B60,Auction!$A$13:$I$437,8,FALSE))</f>
        <v>0</v>
      </c>
      <c r="D60" s="142">
        <f>IFERROR(VLOOKUP(B60,Auction!$A$13:$I$437,9,FALSE)-C60,0)</f>
        <v>0</v>
      </c>
      <c r="E60" s="148" t="str">
        <f>IFERROR(INDEX(Auction!$C$13:$C$437,MATCH(B60,Auction!$A$13:$A$437,0)),"")</f>
        <v/>
      </c>
      <c r="G60" s="132" t="str">
        <f>IFERROR(INDEX(Auction!$B$13:$B$437,MATCH(H60,Auction!$A$13:$A$437,0)),"")</f>
        <v/>
      </c>
      <c r="H60" s="206" t="str">
        <f t="array" ref="H60">IF($G$51=0,"",IFERROR(INDEX(Auction!$A$13:$M$437,SMALL(IF(Auction!$M$13:$M$437=$G$51,(ROW(Auction!$M$13:$M$437)-MIN(ROW(Auction!$M$13:$M$437))+1),""),ROW(G8)),1),""))</f>
        <v/>
      </c>
      <c r="I60" s="141">
        <f>IF(ISERROR(VLOOKUP(H60,Auction!$A$13:$I$437,7,FALSE)),0,VLOOKUP(H60,Auction!$A$13:$I$437,8,FALSE))</f>
        <v>0</v>
      </c>
      <c r="J60" s="142">
        <f>IFERROR(VLOOKUP(H60,Auction!$A$13:$I$437,9,FALSE)-I60,0)</f>
        <v>0</v>
      </c>
      <c r="K60" s="148" t="str">
        <f>IFERROR(INDEX(Auction!$C$13:$C$437,MATCH(H60,Auction!$A$13:$A$437,0)),"")</f>
        <v/>
      </c>
    </row>
    <row r="61" spans="1:11" x14ac:dyDescent="0.35">
      <c r="A61" s="132" t="str">
        <f>IFERROR(INDEX(Auction!$B$13:$B$437,MATCH(B61,Auction!$A$13:$A$437,0)),"")</f>
        <v/>
      </c>
      <c r="B61" s="206" t="str">
        <f t="array" ref="B61">IF($A$51=0,"",IFERROR(INDEX(Auction!$A$13:$M$437,SMALL(IF(Auction!$M$13:$M$437=$A$51,(ROW(Auction!$M$13:$M$437)-MIN(ROW(Auction!$M$13:$M$437))+1),""),ROW(A9)),1),""))</f>
        <v/>
      </c>
      <c r="C61" s="141">
        <f>IF(ISERROR(VLOOKUP(B61,Auction!$A$13:$I$437,7,FALSE)),0,VLOOKUP(B61,Auction!$A$13:$I$437,8,FALSE))</f>
        <v>0</v>
      </c>
      <c r="D61" s="142">
        <f>IFERROR(VLOOKUP(B61,Auction!$A$13:$I$437,9,FALSE)-C61,0)</f>
        <v>0</v>
      </c>
      <c r="E61" s="149" t="str">
        <f>IFERROR(INDEX(Auction!$C$13:$C$437,MATCH(B61,Auction!$A$13:$A$437,0)),"")</f>
        <v/>
      </c>
      <c r="G61" s="132" t="str">
        <f>IFERROR(INDEX(Auction!$B$13:$B$437,MATCH(H61,Auction!$A$13:$A$437,0)),"")</f>
        <v/>
      </c>
      <c r="H61" s="206" t="str">
        <f t="array" ref="H61">IF($G$51=0,"",IFERROR(INDEX(Auction!$A$13:$M$437,SMALL(IF(Auction!$M$13:$M$437=$G$51,(ROW(Auction!$M$13:$M$437)-MIN(ROW(Auction!$M$13:$M$437))+1),""),ROW(G9)),1),""))</f>
        <v/>
      </c>
      <c r="I61" s="141">
        <f>IF(ISERROR(VLOOKUP(H61,Auction!$A$13:$I$437,7,FALSE)),0,VLOOKUP(H61,Auction!$A$13:$I$437,8,FALSE))</f>
        <v>0</v>
      </c>
      <c r="J61" s="142">
        <f>IFERROR(VLOOKUP(H61,Auction!$A$13:$I$437,9,FALSE)-I61,0)</f>
        <v>0</v>
      </c>
      <c r="K61" s="149" t="str">
        <f>IFERROR(INDEX(Auction!$C$13:$C$437,MATCH(H61,Auction!$A$13:$A$437,0)),"")</f>
        <v/>
      </c>
    </row>
    <row r="62" spans="1:11" x14ac:dyDescent="0.35">
      <c r="A62" s="132" t="str">
        <f>IFERROR(INDEX(Auction!$B$13:$B$437,MATCH(B62,Auction!$A$13:$A$437,0)),"")</f>
        <v/>
      </c>
      <c r="B62" s="206" t="str">
        <f t="array" ref="B62">IF($A$51=0,"",IFERROR(INDEX(Auction!$A$13:$M$437,SMALL(IF(Auction!$M$13:$M$437=$A$51,(ROW(Auction!$M$13:$M$437)-MIN(ROW(Auction!$M$13:$M$437))+1),""),ROW(A10)),1),""))</f>
        <v/>
      </c>
      <c r="C62" s="141">
        <f>IF(ISERROR(VLOOKUP(B62,Auction!$A$13:$I$437,7,FALSE)),0,VLOOKUP(B62,Auction!$A$13:$I$437,8,FALSE))</f>
        <v>0</v>
      </c>
      <c r="D62" s="142">
        <f>IFERROR(VLOOKUP(B62,Auction!$A$13:$I$437,9,FALSE)-C62,0)</f>
        <v>0</v>
      </c>
      <c r="E62" s="149" t="str">
        <f>IFERROR(INDEX(Auction!$C$13:$C$437,MATCH(B62,Auction!$A$13:$A$437,0)),"")</f>
        <v/>
      </c>
      <c r="G62" s="132" t="str">
        <f>IFERROR(INDEX(Auction!$B$13:$B$437,MATCH(H62,Auction!$A$13:$A$437,0)),"")</f>
        <v/>
      </c>
      <c r="H62" s="206" t="str">
        <f t="array" ref="H62">IF($G$51=0,"",IFERROR(INDEX(Auction!$A$13:$M$437,SMALL(IF(Auction!$M$13:$M$437=$G$51,(ROW(Auction!$M$13:$M$437)-MIN(ROW(Auction!$M$13:$M$437))+1),""),ROW(G10)),1),""))</f>
        <v/>
      </c>
      <c r="I62" s="141">
        <f>IF(ISERROR(VLOOKUP(H62,Auction!$A$13:$I$437,7,FALSE)),0,VLOOKUP(H62,Auction!$A$13:$I$437,8,FALSE))</f>
        <v>0</v>
      </c>
      <c r="J62" s="142">
        <f>IFERROR(VLOOKUP(H62,Auction!$A$13:$I$437,9,FALSE)-I62,0)</f>
        <v>0</v>
      </c>
      <c r="K62" s="149" t="str">
        <f>IFERROR(INDEX(Auction!$C$13:$C$437,MATCH(H62,Auction!$A$13:$A$437,0)),"")</f>
        <v/>
      </c>
    </row>
    <row r="63" spans="1:11" x14ac:dyDescent="0.35">
      <c r="A63" s="132" t="str">
        <f>IFERROR(INDEX(Auction!$B$13:$B$437,MATCH(B63,Auction!$A$13:$A$437,0)),"")</f>
        <v/>
      </c>
      <c r="B63" s="206" t="str">
        <f t="array" ref="B63">IF($A$51=0,"",IFERROR(INDEX(Auction!$A$13:$M$437,SMALL(IF(Auction!$M$13:$M$437=$A$51,(ROW(Auction!$M$13:$M$437)-MIN(ROW(Auction!$M$13:$M$437))+1),""),ROW(A11)),1),""))</f>
        <v/>
      </c>
      <c r="C63" s="141">
        <f>IF(ISERROR(VLOOKUP(B63,Auction!$A$13:$I$437,7,FALSE)),0,VLOOKUP(B63,Auction!$A$13:$I$437,8,FALSE))</f>
        <v>0</v>
      </c>
      <c r="D63" s="142">
        <f>IFERROR(VLOOKUP(B63,Auction!$A$13:$I$437,9,FALSE)-C63,0)</f>
        <v>0</v>
      </c>
      <c r="E63" s="149" t="str">
        <f>IFERROR(INDEX(Auction!$C$13:$C$437,MATCH(B63,Auction!$A$13:$A$437,0)),"")</f>
        <v/>
      </c>
      <c r="G63" s="132" t="str">
        <f>IFERROR(INDEX(Auction!$B$13:$B$437,MATCH(H63,Auction!$A$13:$A$437,0)),"")</f>
        <v/>
      </c>
      <c r="H63" s="206" t="str">
        <f t="array" ref="H63">IF($G$51=0,"",IFERROR(INDEX(Auction!$A$13:$M$437,SMALL(IF(Auction!$M$13:$M$437=$G$51,(ROW(Auction!$M$13:$M$437)-MIN(ROW(Auction!$M$13:$M$437))+1),""),ROW(G11)),1),""))</f>
        <v/>
      </c>
      <c r="I63" s="141">
        <f>IF(ISERROR(VLOOKUP(H63,Auction!$A$13:$I$437,7,FALSE)),0,VLOOKUP(H63,Auction!$A$13:$I$437,8,FALSE))</f>
        <v>0</v>
      </c>
      <c r="J63" s="142">
        <f>IFERROR(VLOOKUP(H63,Auction!$A$13:$I$437,9,FALSE)-I63,0)</f>
        <v>0</v>
      </c>
      <c r="K63" s="149" t="str">
        <f>IFERROR(INDEX(Auction!$C$13:$C$437,MATCH(H63,Auction!$A$13:$A$437,0)),"")</f>
        <v/>
      </c>
    </row>
    <row r="64" spans="1:11" x14ac:dyDescent="0.35">
      <c r="A64" s="132" t="str">
        <f>IFERROR(INDEX(Auction!$B$13:$B$437,MATCH(B64,Auction!$A$13:$A$437,0)),"")</f>
        <v/>
      </c>
      <c r="B64" s="206" t="str">
        <f t="array" ref="B64">IF($A$51=0,"",IFERROR(INDEX(Auction!$A$13:$M$437,SMALL(IF(Auction!$M$13:$M$437=$A$51,(ROW(Auction!$M$13:$M$437)-MIN(ROW(Auction!$M$13:$M$437))+1),""),ROW(A12)),1),""))</f>
        <v/>
      </c>
      <c r="C64" s="141">
        <f>IF(ISERROR(VLOOKUP(B64,Auction!$A$13:$I$437,7,FALSE)),0,VLOOKUP(B64,Auction!$A$13:$I$437,8,FALSE))</f>
        <v>0</v>
      </c>
      <c r="D64" s="142">
        <f>IFERROR(VLOOKUP(B64,Auction!$A$13:$I$437,9,FALSE)-C64,0)</f>
        <v>0</v>
      </c>
      <c r="E64" s="149" t="str">
        <f>IFERROR(INDEX(Auction!$C$13:$C$437,MATCH(B64,Auction!$A$13:$A$437,0)),"")</f>
        <v/>
      </c>
      <c r="G64" s="132" t="str">
        <f>IFERROR(INDEX(Auction!$B$13:$B$437,MATCH(H64,Auction!$A$13:$A$437,0)),"")</f>
        <v/>
      </c>
      <c r="H64" s="206" t="str">
        <f t="array" ref="H64">IF($G$51=0,"",IFERROR(INDEX(Auction!$A$13:$M$437,SMALL(IF(Auction!$M$13:$M$437=$G$51,(ROW(Auction!$M$13:$M$437)-MIN(ROW(Auction!$M$13:$M$437))+1),""),ROW(G12)),1),""))</f>
        <v/>
      </c>
      <c r="I64" s="141">
        <f>IF(ISERROR(VLOOKUP(H64,Auction!$A$13:$I$437,7,FALSE)),0,VLOOKUP(H64,Auction!$A$13:$I$437,8,FALSE))</f>
        <v>0</v>
      </c>
      <c r="J64" s="142">
        <f>IFERROR(VLOOKUP(H64,Auction!$A$13:$I$437,9,FALSE)-I64,0)</f>
        <v>0</v>
      </c>
      <c r="K64" s="149" t="str">
        <f>IFERROR(INDEX(Auction!$C$13:$C$437,MATCH(H64,Auction!$A$13:$A$437,0)),"")</f>
        <v/>
      </c>
    </row>
    <row r="65" spans="1:11" x14ac:dyDescent="0.35">
      <c r="A65" s="132" t="str">
        <f>IFERROR(INDEX(Auction!$B$13:$B$437,MATCH(B65,Auction!$A$13:$A$437,0)),"")</f>
        <v/>
      </c>
      <c r="B65" s="206" t="str">
        <f t="array" ref="B65">IF($A$51=0,"",IFERROR(INDEX(Auction!$A$13:$M$437,SMALL(IF(Auction!$M$13:$M$437=$A$51,(ROW(Auction!$M$13:$M$437)-MIN(ROW(Auction!$M$13:$M$437))+1),""),ROW(A13)),1),""))</f>
        <v/>
      </c>
      <c r="C65" s="141">
        <f>IF(ISERROR(VLOOKUP(B65,Auction!$A$13:$I$437,7,FALSE)),0,VLOOKUP(B65,Auction!$A$13:$I$437,8,FALSE))</f>
        <v>0</v>
      </c>
      <c r="D65" s="142">
        <f>IFERROR(VLOOKUP(B65,Auction!$A$13:$I$437,9,FALSE)-C65,0)</f>
        <v>0</v>
      </c>
      <c r="E65" s="149" t="str">
        <f>IFERROR(INDEX(Auction!$C$13:$C$437,MATCH(B65,Auction!$A$13:$A$437,0)),"")</f>
        <v/>
      </c>
      <c r="G65" s="132" t="str">
        <f>IFERROR(INDEX(Auction!$B$13:$B$437,MATCH(H65,Auction!$A$13:$A$437,0)),"")</f>
        <v/>
      </c>
      <c r="H65" s="206" t="str">
        <f t="array" ref="H65">IF($G$51=0,"",IFERROR(INDEX(Auction!$A$13:$M$437,SMALL(IF(Auction!$M$13:$M$437=$G$51,(ROW(Auction!$M$13:$M$437)-MIN(ROW(Auction!$M$13:$M$437))+1),""),ROW(G13)),1),""))</f>
        <v/>
      </c>
      <c r="I65" s="141">
        <f>IF(ISERROR(VLOOKUP(H65,Auction!$A$13:$I$437,7,FALSE)),0,VLOOKUP(H65,Auction!$A$13:$I$437,8,FALSE))</f>
        <v>0</v>
      </c>
      <c r="J65" s="142">
        <f>IFERROR(VLOOKUP(H65,Auction!$A$13:$I$437,9,FALSE)-I65,0)</f>
        <v>0</v>
      </c>
      <c r="K65" s="149" t="str">
        <f>IFERROR(INDEX(Auction!$C$13:$C$437,MATCH(H65,Auction!$A$13:$A$437,0)),"")</f>
        <v/>
      </c>
    </row>
    <row r="66" spans="1:11" x14ac:dyDescent="0.35">
      <c r="A66" s="132" t="str">
        <f>IFERROR(INDEX(Auction!$B$13:$B$437,MATCH(B66,Auction!$A$13:$A$437,0)),"")</f>
        <v/>
      </c>
      <c r="B66" s="206" t="str">
        <f t="array" ref="B66">IF($A$51=0,"",IFERROR(INDEX(Auction!$A$13:$M$437,SMALL(IF(Auction!$M$13:$M$437=$A$51,(ROW(Auction!$M$13:$M$437)-MIN(ROW(Auction!$M$13:$M$437))+1),""),ROW(A14)),1),""))</f>
        <v/>
      </c>
      <c r="C66" s="141">
        <f>IF(ISERROR(VLOOKUP(B66,Auction!$A$13:$I$437,7,FALSE)),0,VLOOKUP(B66,Auction!$A$13:$I$437,8,FALSE))</f>
        <v>0</v>
      </c>
      <c r="D66" s="142">
        <f>IFERROR(VLOOKUP(B66,Auction!$A$13:$I$437,9,FALSE)-C66,0)</f>
        <v>0</v>
      </c>
      <c r="E66" s="149" t="str">
        <f>IFERROR(INDEX(Auction!$C$13:$C$437,MATCH(B66,Auction!$A$13:$A$437,0)),"")</f>
        <v/>
      </c>
      <c r="G66" s="132" t="str">
        <f>IFERROR(INDEX(Auction!$B$13:$B$437,MATCH(H66,Auction!$A$13:$A$437,0)),"")</f>
        <v/>
      </c>
      <c r="H66" s="206" t="str">
        <f t="array" ref="H66">IF($G$51=0,"",IFERROR(INDEX(Auction!$A$13:$M$437,SMALL(IF(Auction!$M$13:$M$437=$G$51,(ROW(Auction!$M$13:$M$437)-MIN(ROW(Auction!$M$13:$M$437))+1),""),ROW(G14)),1),""))</f>
        <v/>
      </c>
      <c r="I66" s="141">
        <f>IF(ISERROR(VLOOKUP(H66,Auction!$A$13:$I$437,7,FALSE)),0,VLOOKUP(H66,Auction!$A$13:$I$437,8,FALSE))</f>
        <v>0</v>
      </c>
      <c r="J66" s="142">
        <f>IFERROR(VLOOKUP(H66,Auction!$A$13:$I$437,9,FALSE)-I66,0)</f>
        <v>0</v>
      </c>
      <c r="K66" s="149" t="str">
        <f>IFERROR(INDEX(Auction!$C$13:$C$437,MATCH(H66,Auction!$A$13:$A$437,0)),"")</f>
        <v/>
      </c>
    </row>
    <row r="67" spans="1:11" x14ac:dyDescent="0.35">
      <c r="A67" s="132" t="str">
        <f>IFERROR(INDEX(Auction!$B$13:$B$437,MATCH(B67,Auction!$A$13:$A$437,0)),"")</f>
        <v/>
      </c>
      <c r="B67" s="206" t="str">
        <f t="array" ref="B67">IF($A$51=0,"",IFERROR(INDEX(Auction!$A$13:$M$437,SMALL(IF(Auction!$M$13:$M$437=$A$51,(ROW(Auction!$M$13:$M$437)-MIN(ROW(Auction!$M$13:$M$437))+1),""),ROW(A15)),1),""))</f>
        <v/>
      </c>
      <c r="C67" s="141">
        <f>IF(ISERROR(VLOOKUP(B67,Auction!$A$13:$I$437,7,FALSE)),0,VLOOKUP(B67,Auction!$A$13:$I$437,8,FALSE))</f>
        <v>0</v>
      </c>
      <c r="D67" s="142">
        <f>IFERROR(VLOOKUP(B67,Auction!$A$13:$I$437,9,FALSE)-C67,0)</f>
        <v>0</v>
      </c>
      <c r="E67" s="149" t="str">
        <f>IFERROR(INDEX(Auction!$C$13:$C$437,MATCH(B67,Auction!$A$13:$A$437,0)),"")</f>
        <v/>
      </c>
      <c r="G67" s="132" t="str">
        <f>IFERROR(INDEX(Auction!$B$13:$B$437,MATCH(H67,Auction!$A$13:$A$437,0)),"")</f>
        <v/>
      </c>
      <c r="H67" s="206" t="str">
        <f t="array" ref="H67">IF($G$51=0,"",IFERROR(INDEX(Auction!$A$13:$M$437,SMALL(IF(Auction!$M$13:$M$437=$G$51,(ROW(Auction!$M$13:$M$437)-MIN(ROW(Auction!$M$13:$M$437))+1),""),ROW(G15)),1),""))</f>
        <v/>
      </c>
      <c r="I67" s="141">
        <f>IF(ISERROR(VLOOKUP(H67,Auction!$A$13:$I$437,7,FALSE)),0,VLOOKUP(H67,Auction!$A$13:$I$437,8,FALSE))</f>
        <v>0</v>
      </c>
      <c r="J67" s="142">
        <f>IFERROR(VLOOKUP(H67,Auction!$A$13:$I$437,9,FALSE)-I67,0)</f>
        <v>0</v>
      </c>
      <c r="K67" s="149" t="str">
        <f>IFERROR(INDEX(Auction!$C$13:$C$437,MATCH(H67,Auction!$A$13:$A$437,0)),"")</f>
        <v/>
      </c>
    </row>
    <row r="68" spans="1:11" x14ac:dyDescent="0.35">
      <c r="A68" s="132" t="str">
        <f>IFERROR(INDEX(Auction!$B$13:$B$437,MATCH(B68,Auction!$A$13:$A$437,0)),"")</f>
        <v/>
      </c>
      <c r="B68" s="206" t="str">
        <f t="array" ref="B68">IF($A$51=0,"",IFERROR(INDEX(Auction!$A$13:$M$437,SMALL(IF(Auction!$M$13:$M$437=$A$51,(ROW(Auction!$M$13:$M$437)-MIN(ROW(Auction!$M$13:$M$437))+1),""),ROW(A16)),1),""))</f>
        <v/>
      </c>
      <c r="C68" s="141">
        <f>IF(ISERROR(VLOOKUP(B68,Auction!$A$13:$I$437,7,FALSE)),0,VLOOKUP(B68,Auction!$A$13:$I$437,8,FALSE))</f>
        <v>0</v>
      </c>
      <c r="D68" s="142">
        <f>IFERROR(VLOOKUP(B68,Auction!$A$13:$I$437,9,FALSE)-C68,0)</f>
        <v>0</v>
      </c>
      <c r="E68" s="149" t="str">
        <f>IFERROR(INDEX(Auction!$C$13:$C$437,MATCH(B68,Auction!$A$13:$A$437,0)),"")</f>
        <v/>
      </c>
      <c r="G68" s="132" t="str">
        <f>IFERROR(INDEX(Auction!$B$13:$B$437,MATCH(H68,Auction!$A$13:$A$437,0)),"")</f>
        <v/>
      </c>
      <c r="H68" s="206" t="str">
        <f t="array" ref="H68">IF($G$51=0,"",IFERROR(INDEX(Auction!$A$13:$M$437,SMALL(IF(Auction!$M$13:$M$437=$G$51,(ROW(Auction!$M$13:$M$437)-MIN(ROW(Auction!$M$13:$M$437))+1),""),ROW(G16)),1),""))</f>
        <v/>
      </c>
      <c r="I68" s="141">
        <f>IF(ISERROR(VLOOKUP(H68,Auction!$A$13:$I$437,7,FALSE)),0,VLOOKUP(H68,Auction!$A$13:$I$437,8,FALSE))</f>
        <v>0</v>
      </c>
      <c r="J68" s="142">
        <f>IFERROR(VLOOKUP(H68,Auction!$A$13:$I$437,9,FALSE)-I68,0)</f>
        <v>0</v>
      </c>
      <c r="K68" s="149" t="str">
        <f>IFERROR(INDEX(Auction!$C$13:$C$437,MATCH(H68,Auction!$A$13:$A$437,0)),"")</f>
        <v/>
      </c>
    </row>
    <row r="69" spans="1:11" x14ac:dyDescent="0.35">
      <c r="A69" s="132" t="str">
        <f>IFERROR(INDEX(Auction!$B$13:$B$437,MATCH(B69,Auction!$A$13:$A$437,0)),"")</f>
        <v/>
      </c>
      <c r="B69" s="206" t="str">
        <f t="array" ref="B69">IF($A$51=0,"",IFERROR(INDEX(Auction!$A$13:$M$437,SMALL(IF(Auction!$M$13:$M$437=$A$51,(ROW(Auction!$M$13:$M$437)-MIN(ROW(Auction!$M$13:$M$437))+1),""),ROW(A17)),1),""))</f>
        <v/>
      </c>
      <c r="C69" s="141">
        <f>IF(ISERROR(VLOOKUP(B69,Auction!$A$13:$I$437,7,FALSE)),0,VLOOKUP(B69,Auction!$A$13:$I$437,8,FALSE))</f>
        <v>0</v>
      </c>
      <c r="D69" s="142">
        <f>IFERROR(VLOOKUP(B69,Auction!$A$13:$I$437,9,FALSE)-C69,0)</f>
        <v>0</v>
      </c>
      <c r="E69" s="149" t="str">
        <f>IFERROR(INDEX(Auction!$C$13:$C$437,MATCH(B69,Auction!$A$13:$A$437,0)),"")</f>
        <v/>
      </c>
      <c r="G69" s="132" t="str">
        <f>IFERROR(INDEX(Auction!$B$13:$B$437,MATCH(H69,Auction!$A$13:$A$437,0)),"")</f>
        <v/>
      </c>
      <c r="H69" s="206" t="str">
        <f t="array" ref="H69">IF($G$51=0,"",IFERROR(INDEX(Auction!$A$13:$M$437,SMALL(IF(Auction!$M$13:$M$437=$G$51,(ROW(Auction!$M$13:$M$437)-MIN(ROW(Auction!$M$13:$M$437))+1),""),ROW(G17)),1),""))</f>
        <v/>
      </c>
      <c r="I69" s="141">
        <f>IF(ISERROR(VLOOKUP(H69,Auction!$A$13:$I$437,7,FALSE)),0,VLOOKUP(H69,Auction!$A$13:$I$437,8,FALSE))</f>
        <v>0</v>
      </c>
      <c r="J69" s="142">
        <f>IFERROR(VLOOKUP(H69,Auction!$A$13:$I$437,9,FALSE)-I69,0)</f>
        <v>0</v>
      </c>
      <c r="K69" s="149" t="str">
        <f>IFERROR(INDEX(Auction!$C$13:$C$437,MATCH(H69,Auction!$A$13:$A$437,0)),"")</f>
        <v/>
      </c>
    </row>
    <row r="70" spans="1:11" x14ac:dyDescent="0.35">
      <c r="A70" s="132" t="str">
        <f>IFERROR(INDEX(Auction!$B$13:$B$437,MATCH(B70,Auction!$A$13:$A$437,0)),"")</f>
        <v/>
      </c>
      <c r="B70" s="206" t="str">
        <f t="array" ref="B70">IF($A$51=0,"",IFERROR(INDEX(Auction!$A$13:$M$437,SMALL(IF(Auction!$M$13:$M$437=$A$51,(ROW(Auction!$M$13:$M$437)-MIN(ROW(Auction!$M$13:$M$437))+1),""),ROW(A18)),1),""))</f>
        <v/>
      </c>
      <c r="C70" s="141">
        <f>IF(ISERROR(VLOOKUP(B70,Auction!$A$13:$I$437,7,FALSE)),0,VLOOKUP(B70,Auction!$A$13:$I$437,8,FALSE))</f>
        <v>0</v>
      </c>
      <c r="D70" s="142">
        <f>IFERROR(VLOOKUP(B70,Auction!$A$13:$I$437,9,FALSE)-C70,0)</f>
        <v>0</v>
      </c>
      <c r="E70" s="149" t="str">
        <f>IFERROR(INDEX(Auction!$C$13:$C$437,MATCH(B70,Auction!$A$13:$A$437,0)),"")</f>
        <v/>
      </c>
      <c r="G70" s="132" t="str">
        <f>IFERROR(INDEX(Auction!$B$13:$B$437,MATCH(H70,Auction!$A$13:$A$437,0)),"")</f>
        <v/>
      </c>
      <c r="H70" s="206" t="str">
        <f t="array" ref="H70">IF($G$51=0,"",IFERROR(INDEX(Auction!$A$13:$M$437,SMALL(IF(Auction!$M$13:$M$437=$G$51,(ROW(Auction!$M$13:$M$437)-MIN(ROW(Auction!$M$13:$M$437))+1),""),ROW(G18)),1),""))</f>
        <v/>
      </c>
      <c r="I70" s="141">
        <f>IF(ISERROR(VLOOKUP(H70,Auction!$A$13:$I$437,7,FALSE)),0,VLOOKUP(H70,Auction!$A$13:$I$437,8,FALSE))</f>
        <v>0</v>
      </c>
      <c r="J70" s="142">
        <f>IFERROR(VLOOKUP(H70,Auction!$A$13:$I$437,9,FALSE)-I70,0)</f>
        <v>0</v>
      </c>
      <c r="K70" s="149" t="str">
        <f>IFERROR(INDEX(Auction!$C$13:$C$437,MATCH(H70,Auction!$A$13:$A$437,0)),"")</f>
        <v/>
      </c>
    </row>
    <row r="71" spans="1:11" x14ac:dyDescent="0.35">
      <c r="A71" s="132" t="str">
        <f>IFERROR(INDEX(Auction!$B$13:$B$437,MATCH(B71,Auction!$A$13:$A$437,0)),"")</f>
        <v/>
      </c>
      <c r="B71" s="206" t="str">
        <f t="array" ref="B71">IF($A$51=0,"",IFERROR(INDEX(Auction!$A$13:$M$437,SMALL(IF(Auction!$M$13:$M$437=$A$51,(ROW(Auction!$M$13:$M$437)-MIN(ROW(Auction!$M$13:$M$437))+1),""),ROW(A19)),1),""))</f>
        <v/>
      </c>
      <c r="C71" s="141">
        <f>IF(ISERROR(VLOOKUP(B71,Auction!$A$13:$I$437,7,FALSE)),0,VLOOKUP(B71,Auction!$A$13:$I$437,8,FALSE))</f>
        <v>0</v>
      </c>
      <c r="D71" s="142">
        <f>IFERROR(VLOOKUP(B71,Auction!$A$13:$I$437,9,FALSE)-C71,0)</f>
        <v>0</v>
      </c>
      <c r="E71" s="149" t="str">
        <f>IFERROR(INDEX(Auction!$C$13:$C$437,MATCH(B71,Auction!$A$13:$A$437,0)),"")</f>
        <v/>
      </c>
      <c r="G71" s="132" t="str">
        <f>IFERROR(INDEX(Auction!$B$13:$B$437,MATCH(H71,Auction!$A$13:$A$437,0)),"")</f>
        <v/>
      </c>
      <c r="H71" s="206" t="str">
        <f t="array" ref="H71">IF($G$51=0,"",IFERROR(INDEX(Auction!$A$13:$M$437,SMALL(IF(Auction!$M$13:$M$437=$G$51,(ROW(Auction!$M$13:$M$437)-MIN(ROW(Auction!$M$13:$M$437))+1),""),ROW(G19)),1),""))</f>
        <v/>
      </c>
      <c r="I71" s="141">
        <f>IF(ISERROR(VLOOKUP(H71,Auction!$A$13:$I$437,7,FALSE)),0,VLOOKUP(H71,Auction!$A$13:$I$437,8,FALSE))</f>
        <v>0</v>
      </c>
      <c r="J71" s="142">
        <f>IFERROR(VLOOKUP(H71,Auction!$A$13:$I$437,9,FALSE)-I71,0)</f>
        <v>0</v>
      </c>
      <c r="K71" s="149" t="str">
        <f>IFERROR(INDEX(Auction!$C$13:$C$437,MATCH(H71,Auction!$A$13:$A$437,0)),"")</f>
        <v/>
      </c>
    </row>
    <row r="72" spans="1:11" x14ac:dyDescent="0.35">
      <c r="A72" s="132" t="str">
        <f>IFERROR(INDEX(Auction!$B$13:$B$437,MATCH(B72,Auction!$A$13:$A$437,0)),"")</f>
        <v/>
      </c>
      <c r="B72" s="206" t="str">
        <f t="array" ref="B72">IF($A$51=0,"",IFERROR(INDEX(Auction!$A$13:$M$437,SMALL(IF(Auction!$M$13:$M$437=$A$51,(ROW(Auction!$M$13:$M$437)-MIN(ROW(Auction!$M$13:$M$437))+1),""),ROW(A20)),1),""))</f>
        <v/>
      </c>
      <c r="C72" s="141">
        <f>IF(ISERROR(VLOOKUP(B72,Auction!$A$13:$I$437,7,FALSE)),0,VLOOKUP(B72,Auction!$A$13:$I$437,8,FALSE))</f>
        <v>0</v>
      </c>
      <c r="D72" s="142">
        <f>IFERROR(VLOOKUP(B72,Auction!$A$13:$I$437,9,FALSE)-C72,0)</f>
        <v>0</v>
      </c>
      <c r="E72" s="149" t="str">
        <f>IFERROR(INDEX(Auction!$C$13:$C$437,MATCH(B72,Auction!$A$13:$A$437,0)),"")</f>
        <v/>
      </c>
      <c r="G72" s="132" t="str">
        <f>IFERROR(INDEX(Auction!$B$13:$B$437,MATCH(H72,Auction!$A$13:$A$437,0)),"")</f>
        <v/>
      </c>
      <c r="H72" s="206" t="str">
        <f t="array" ref="H72">IF($G$51=0,"",IFERROR(INDEX(Auction!$A$13:$M$437,SMALL(IF(Auction!$M$13:$M$437=$G$51,(ROW(Auction!$M$13:$M$437)-MIN(ROW(Auction!$M$13:$M$437))+1),""),ROW(G20)),1),""))</f>
        <v/>
      </c>
      <c r="I72" s="141">
        <f>IF(ISERROR(VLOOKUP(H72,Auction!$A$13:$I$437,7,FALSE)),0,VLOOKUP(H72,Auction!$A$13:$I$437,8,FALSE))</f>
        <v>0</v>
      </c>
      <c r="J72" s="142">
        <f>IFERROR(VLOOKUP(H72,Auction!$A$13:$I$437,9,FALSE)-I72,0)</f>
        <v>0</v>
      </c>
      <c r="K72" s="149" t="str">
        <f>IFERROR(INDEX(Auction!$C$13:$C$437,MATCH(H72,Auction!$A$13:$A$437,0)),"")</f>
        <v/>
      </c>
    </row>
    <row r="73" spans="1:11" x14ac:dyDescent="0.35">
      <c r="A73" s="150"/>
      <c r="B73" s="151"/>
      <c r="C73" s="152">
        <f>SUM(C53:C72)</f>
        <v>0</v>
      </c>
      <c r="D73" s="152">
        <f>SUM(D53:D72)</f>
        <v>0</v>
      </c>
      <c r="E73" s="153"/>
      <c r="G73" s="150"/>
      <c r="H73" s="151"/>
      <c r="I73" s="152">
        <f>SUM(I53:I72)</f>
        <v>0</v>
      </c>
      <c r="J73" s="152">
        <f>SUM(J53:J72)</f>
        <v>0</v>
      </c>
      <c r="K73" s="153"/>
    </row>
    <row r="75" spans="1:11" x14ac:dyDescent="0.35">
      <c r="A75" s="267" t="str">
        <f>H8</f>
        <v>Team 6</v>
      </c>
      <c r="B75" s="268"/>
      <c r="C75" s="268"/>
      <c r="D75" s="268"/>
      <c r="E75" s="269"/>
      <c r="G75" s="267" t="str">
        <f>H9</f>
        <v>Team 7</v>
      </c>
      <c r="H75" s="268"/>
      <c r="I75" s="268"/>
      <c r="J75" s="268"/>
      <c r="K75" s="269"/>
    </row>
    <row r="76" spans="1:11" x14ac:dyDescent="0.35">
      <c r="A76" s="139" t="s">
        <v>310</v>
      </c>
      <c r="B76" s="147" t="s">
        <v>82</v>
      </c>
      <c r="C76" s="129" t="s">
        <v>311</v>
      </c>
      <c r="D76" s="129" t="s">
        <v>312</v>
      </c>
      <c r="E76" s="140" t="s">
        <v>262</v>
      </c>
      <c r="G76" s="139" t="s">
        <v>310</v>
      </c>
      <c r="H76" s="147" t="s">
        <v>82</v>
      </c>
      <c r="I76" s="129" t="s">
        <v>311</v>
      </c>
      <c r="J76" s="129" t="s">
        <v>312</v>
      </c>
      <c r="K76" s="140" t="s">
        <v>262</v>
      </c>
    </row>
    <row r="77" spans="1:11" x14ac:dyDescent="0.35">
      <c r="A77" s="132" t="str">
        <f>IFERROR(INDEX(Auction!$B$13:$B$437,MATCH(B77,Auction!$A$13:$A$437,0)),"")</f>
        <v/>
      </c>
      <c r="B77" s="206" t="str">
        <f t="array" ref="B77">IF($A$75=0,"",IFERROR(INDEX(Auction!$A$13:$M$437,SMALL(IF(Auction!$M$13:$M$437=$A$75,(ROW(Auction!$M$13:$M$437)-MIN(ROW(Auction!$M$13:$M$437))+1),""),ROW(A1)),1),""))</f>
        <v/>
      </c>
      <c r="C77" s="141">
        <f>IF(ISERROR(VLOOKUP(B77,Auction!$A$13:$I$437,7,FALSE)),0,VLOOKUP(B77,Auction!$A$13:$I$437,8,FALSE))</f>
        <v>0</v>
      </c>
      <c r="D77" s="142">
        <f>IFERROR(VLOOKUP(B77,Auction!$A$13:$I$437,9,FALSE)-C77,0)</f>
        <v>0</v>
      </c>
      <c r="E77" s="148" t="str">
        <f>IFERROR(INDEX(Auction!$C$13:$C$437,MATCH(B77,Auction!$A$13:$A$437,0)),"")</f>
        <v/>
      </c>
      <c r="G77" s="132" t="str">
        <f>IFERROR(INDEX(Auction!$B$13:$B$437,MATCH(H77,Auction!$A$13:$A$437,0)),"")</f>
        <v/>
      </c>
      <c r="H77" s="206" t="str">
        <f t="array" ref="H77">IF($G$75=0,"",IFERROR(INDEX(Auction!$A$13:$M$437,SMALL(IF(Auction!$M$13:$M$437=$G$75,(ROW(Auction!$M$13:$M$437)-MIN(ROW(Auction!$M$13:$M$437))+1),""),ROW(G1)),1),""))</f>
        <v/>
      </c>
      <c r="I77" s="141">
        <f>IF(ISERROR(VLOOKUP(H77,Auction!$A$13:$I$437,7,FALSE)),0,VLOOKUP(H77,Auction!$A$13:$I$437,8,FALSE))</f>
        <v>0</v>
      </c>
      <c r="J77" s="142">
        <f>IFERROR(VLOOKUP(H77,Auction!$A$13:$I$437,9,FALSE)-I77,0)</f>
        <v>0</v>
      </c>
      <c r="K77" s="148" t="str">
        <f>IFERROR(INDEX(Auction!$C$13:$C$437,MATCH(H77,Auction!$A$13:$A$437,0)),"")</f>
        <v/>
      </c>
    </row>
    <row r="78" spans="1:11" x14ac:dyDescent="0.35">
      <c r="A78" s="132" t="str">
        <f>IFERROR(INDEX(Auction!$B$13:$B$437,MATCH(B78,Auction!$A$13:$A$437,0)),"")</f>
        <v/>
      </c>
      <c r="B78" s="206" t="str">
        <f t="array" ref="B78">IF($A$75=0,"",IFERROR(INDEX(Auction!$A$13:$M$437,SMALL(IF(Auction!$M$13:$M$437=$A$75,(ROW(Auction!$M$13:$M$437)-MIN(ROW(Auction!$M$13:$M$437))+1),""),ROW(A2)),1),""))</f>
        <v/>
      </c>
      <c r="C78" s="141">
        <f>IF(ISERROR(VLOOKUP(B78,Auction!$A$13:$I$437,7,FALSE)),0,VLOOKUP(B78,Auction!$A$13:$I$437,8,FALSE))</f>
        <v>0</v>
      </c>
      <c r="D78" s="142">
        <f>IFERROR(VLOOKUP(B78,Auction!$A$13:$I$437,9,FALSE)-C78,0)</f>
        <v>0</v>
      </c>
      <c r="E78" s="148" t="str">
        <f>IFERROR(INDEX(Auction!$C$13:$C$437,MATCH(B78,Auction!$A$13:$A$437,0)),"")</f>
        <v/>
      </c>
      <c r="G78" s="132" t="str">
        <f>IFERROR(INDEX(Auction!$B$13:$B$437,MATCH(H78,Auction!$A$13:$A$437,0)),"")</f>
        <v/>
      </c>
      <c r="H78" s="206" t="str">
        <f t="array" ref="H78">IF($G$75=0,"",IFERROR(INDEX(Auction!$A$13:$M$437,SMALL(IF(Auction!$M$13:$M$437=$G$75,(ROW(Auction!$M$13:$M$437)-MIN(ROW(Auction!$M$13:$M$437))+1),""),ROW(G2)),1),""))</f>
        <v/>
      </c>
      <c r="I78" s="141">
        <f>IF(ISERROR(VLOOKUP(H78,Auction!$A$13:$I$437,7,FALSE)),0,VLOOKUP(H78,Auction!$A$13:$I$437,8,FALSE))</f>
        <v>0</v>
      </c>
      <c r="J78" s="142">
        <f>IFERROR(VLOOKUP(H78,Auction!$A$13:$I$437,9,FALSE)-I78,0)</f>
        <v>0</v>
      </c>
      <c r="K78" s="148" t="str">
        <f>IFERROR(INDEX(Auction!$C$13:$C$437,MATCH(H78,Auction!$A$13:$A$437,0)),"")</f>
        <v/>
      </c>
    </row>
    <row r="79" spans="1:11" x14ac:dyDescent="0.35">
      <c r="A79" s="132" t="str">
        <f>IFERROR(INDEX(Auction!$B$13:$B$437,MATCH(B79,Auction!$A$13:$A$437,0)),"")</f>
        <v/>
      </c>
      <c r="B79" s="206" t="str">
        <f t="array" ref="B79">IF($A$75=0,"",IFERROR(INDEX(Auction!$A$13:$M$437,SMALL(IF(Auction!$M$13:$M$437=$A$75,(ROW(Auction!$M$13:$M$437)-MIN(ROW(Auction!$M$13:$M$437))+1),""),ROW(A3)),1),""))</f>
        <v/>
      </c>
      <c r="C79" s="141">
        <f>IF(ISERROR(VLOOKUP(B79,Auction!$A$13:$I$437,7,FALSE)),0,VLOOKUP(B79,Auction!$A$13:$I$437,8,FALSE))</f>
        <v>0</v>
      </c>
      <c r="D79" s="142">
        <f>IFERROR(VLOOKUP(B79,Auction!$A$13:$I$437,9,FALSE)-C79,0)</f>
        <v>0</v>
      </c>
      <c r="E79" s="148" t="str">
        <f>IFERROR(INDEX(Auction!$C$13:$C$437,MATCH(B79,Auction!$A$13:$A$437,0)),"")</f>
        <v/>
      </c>
      <c r="G79" s="132" t="str">
        <f>IFERROR(INDEX(Auction!$B$13:$B$437,MATCH(H79,Auction!$A$13:$A$437,0)),"")</f>
        <v/>
      </c>
      <c r="H79" s="206" t="str">
        <f t="array" ref="H79">IF($G$75=0,"",IFERROR(INDEX(Auction!$A$13:$M$437,SMALL(IF(Auction!$M$13:$M$437=$G$75,(ROW(Auction!$M$13:$M$437)-MIN(ROW(Auction!$M$13:$M$437))+1),""),ROW(G3)),1),""))</f>
        <v/>
      </c>
      <c r="I79" s="141">
        <f>IF(ISERROR(VLOOKUP(H79,Auction!$A$13:$I$437,7,FALSE)),0,VLOOKUP(H79,Auction!$A$13:$I$437,8,FALSE))</f>
        <v>0</v>
      </c>
      <c r="J79" s="142">
        <f>IFERROR(VLOOKUP(H79,Auction!$A$13:$I$437,9,FALSE)-I79,0)</f>
        <v>0</v>
      </c>
      <c r="K79" s="148" t="str">
        <f>IFERROR(INDEX(Auction!$C$13:$C$437,MATCH(H79,Auction!$A$13:$A$437,0)),"")</f>
        <v/>
      </c>
    </row>
    <row r="80" spans="1:11" x14ac:dyDescent="0.35">
      <c r="A80" s="132" t="str">
        <f>IFERROR(INDEX(Auction!$B$13:$B$437,MATCH(B80,Auction!$A$13:$A$437,0)),"")</f>
        <v/>
      </c>
      <c r="B80" s="206" t="str">
        <f t="array" ref="B80">IF($A$75=0,"",IFERROR(INDEX(Auction!$A$13:$M$437,SMALL(IF(Auction!$M$13:$M$437=$A$75,(ROW(Auction!$M$13:$M$437)-MIN(ROW(Auction!$M$13:$M$437))+1),""),ROW(A4)),1),""))</f>
        <v/>
      </c>
      <c r="C80" s="141">
        <f>IF(ISERROR(VLOOKUP(B80,Auction!$A$13:$I$437,7,FALSE)),0,VLOOKUP(B80,Auction!$A$13:$I$437,8,FALSE))</f>
        <v>0</v>
      </c>
      <c r="D80" s="142">
        <f>IFERROR(VLOOKUP(B80,Auction!$A$13:$I$437,9,FALSE)-C80,0)</f>
        <v>0</v>
      </c>
      <c r="E80" s="148" t="str">
        <f>IFERROR(INDEX(Auction!$C$13:$C$437,MATCH(B80,Auction!$A$13:$A$437,0)),"")</f>
        <v/>
      </c>
      <c r="G80" s="132" t="str">
        <f>IFERROR(INDEX(Auction!$B$13:$B$437,MATCH(H80,Auction!$A$13:$A$437,0)),"")</f>
        <v/>
      </c>
      <c r="H80" s="206" t="str">
        <f t="array" ref="H80">IF($G$75=0,"",IFERROR(INDEX(Auction!$A$13:$M$437,SMALL(IF(Auction!$M$13:$M$437=$G$75,(ROW(Auction!$M$13:$M$437)-MIN(ROW(Auction!$M$13:$M$437))+1),""),ROW(G4)),1),""))</f>
        <v/>
      </c>
      <c r="I80" s="141">
        <f>IF(ISERROR(VLOOKUP(H80,Auction!$A$13:$I$437,7,FALSE)),0,VLOOKUP(H80,Auction!$A$13:$I$437,8,FALSE))</f>
        <v>0</v>
      </c>
      <c r="J80" s="142">
        <f>IFERROR(VLOOKUP(H80,Auction!$A$13:$I$437,9,FALSE)-I80,0)</f>
        <v>0</v>
      </c>
      <c r="K80" s="148" t="str">
        <f>IFERROR(INDEX(Auction!$C$13:$C$437,MATCH(H80,Auction!$A$13:$A$437,0)),"")</f>
        <v/>
      </c>
    </row>
    <row r="81" spans="1:11" x14ac:dyDescent="0.35">
      <c r="A81" s="132" t="str">
        <f>IFERROR(INDEX(Auction!$B$13:$B$437,MATCH(B81,Auction!$A$13:$A$437,0)),"")</f>
        <v/>
      </c>
      <c r="B81" s="206" t="str">
        <f t="array" ref="B81">IF($A$75=0,"",IFERROR(INDEX(Auction!$A$13:$M$437,SMALL(IF(Auction!$M$13:$M$437=$A$75,(ROW(Auction!$M$13:$M$437)-MIN(ROW(Auction!$M$13:$M$437))+1),""),ROW(A5)),1),""))</f>
        <v/>
      </c>
      <c r="C81" s="141">
        <f>IF(ISERROR(VLOOKUP(B81,Auction!$A$13:$I$437,7,FALSE)),0,VLOOKUP(B81,Auction!$A$13:$I$437,8,FALSE))</f>
        <v>0</v>
      </c>
      <c r="D81" s="142">
        <f>IFERROR(VLOOKUP(B81,Auction!$A$13:$I$437,9,FALSE)-C81,0)</f>
        <v>0</v>
      </c>
      <c r="E81" s="148" t="str">
        <f>IFERROR(INDEX(Auction!$C$13:$C$437,MATCH(B81,Auction!$A$13:$A$437,0)),"")</f>
        <v/>
      </c>
      <c r="G81" s="132" t="str">
        <f>IFERROR(INDEX(Auction!$B$13:$B$437,MATCH(H81,Auction!$A$13:$A$437,0)),"")</f>
        <v/>
      </c>
      <c r="H81" s="206" t="str">
        <f t="array" ref="H81">IF($G$75=0,"",IFERROR(INDEX(Auction!$A$13:$M$437,SMALL(IF(Auction!$M$13:$M$437=$G$75,(ROW(Auction!$M$13:$M$437)-MIN(ROW(Auction!$M$13:$M$437))+1),""),ROW(G5)),1),""))</f>
        <v/>
      </c>
      <c r="I81" s="141">
        <f>IF(ISERROR(VLOOKUP(H81,Auction!$A$13:$I$437,7,FALSE)),0,VLOOKUP(H81,Auction!$A$13:$I$437,8,FALSE))</f>
        <v>0</v>
      </c>
      <c r="J81" s="142">
        <f>IFERROR(VLOOKUP(H81,Auction!$A$13:$I$437,9,FALSE)-I81,0)</f>
        <v>0</v>
      </c>
      <c r="K81" s="148" t="str">
        <f>IFERROR(INDEX(Auction!$C$13:$C$437,MATCH(H81,Auction!$A$13:$A$437,0)),"")</f>
        <v/>
      </c>
    </row>
    <row r="82" spans="1:11" x14ac:dyDescent="0.35">
      <c r="A82" s="132" t="str">
        <f>IFERROR(INDEX(Auction!$B$13:$B$437,MATCH(B82,Auction!$A$13:$A$437,0)),"")</f>
        <v/>
      </c>
      <c r="B82" s="206" t="str">
        <f t="array" ref="B82">IF($A$75=0,"",IFERROR(INDEX(Auction!$A$13:$M$437,SMALL(IF(Auction!$M$13:$M$437=$A$75,(ROW(Auction!$M$13:$M$437)-MIN(ROW(Auction!$M$13:$M$437))+1),""),ROW(A6)),1),""))</f>
        <v/>
      </c>
      <c r="C82" s="141">
        <f>IF(ISERROR(VLOOKUP(B82,Auction!$A$13:$I$437,7,FALSE)),0,VLOOKUP(B82,Auction!$A$13:$I$437,8,FALSE))</f>
        <v>0</v>
      </c>
      <c r="D82" s="142">
        <f>IFERROR(VLOOKUP(B82,Auction!$A$13:$I$437,9,FALSE)-C82,0)</f>
        <v>0</v>
      </c>
      <c r="E82" s="148" t="str">
        <f>IFERROR(INDEX(Auction!$C$13:$C$437,MATCH(B82,Auction!$A$13:$A$437,0)),"")</f>
        <v/>
      </c>
      <c r="G82" s="132" t="str">
        <f>IFERROR(INDEX(Auction!$B$13:$B$437,MATCH(H82,Auction!$A$13:$A$437,0)),"")</f>
        <v/>
      </c>
      <c r="H82" s="206" t="str">
        <f t="array" ref="H82">IF($G$75=0,"",IFERROR(INDEX(Auction!$A$13:$M$437,SMALL(IF(Auction!$M$13:$M$437=$G$75,(ROW(Auction!$M$13:$M$437)-MIN(ROW(Auction!$M$13:$M$437))+1),""),ROW(G6)),1),""))</f>
        <v/>
      </c>
      <c r="I82" s="141">
        <f>IF(ISERROR(VLOOKUP(H82,Auction!$A$13:$I$437,7,FALSE)),0,VLOOKUP(H82,Auction!$A$13:$I$437,8,FALSE))</f>
        <v>0</v>
      </c>
      <c r="J82" s="142">
        <f>IFERROR(VLOOKUP(H82,Auction!$A$13:$I$437,9,FALSE)-I82,0)</f>
        <v>0</v>
      </c>
      <c r="K82" s="148" t="str">
        <f>IFERROR(INDEX(Auction!$C$13:$C$437,MATCH(H82,Auction!$A$13:$A$437,0)),"")</f>
        <v/>
      </c>
    </row>
    <row r="83" spans="1:11" x14ac:dyDescent="0.35">
      <c r="A83" s="132" t="str">
        <f>IFERROR(INDEX(Auction!$B$13:$B$437,MATCH(B83,Auction!$A$13:$A$437,0)),"")</f>
        <v/>
      </c>
      <c r="B83" s="206" t="str">
        <f t="array" ref="B83">IF($A$75=0,"",IFERROR(INDEX(Auction!$A$13:$M$437,SMALL(IF(Auction!$M$13:$M$437=$A$75,(ROW(Auction!$M$13:$M$437)-MIN(ROW(Auction!$M$13:$M$437))+1),""),ROW(A7)),1),""))</f>
        <v/>
      </c>
      <c r="C83" s="141">
        <f>IF(ISERROR(VLOOKUP(B83,Auction!$A$13:$I$437,7,FALSE)),0,VLOOKUP(B83,Auction!$A$13:$I$437,8,FALSE))</f>
        <v>0</v>
      </c>
      <c r="D83" s="142">
        <f>IFERROR(VLOOKUP(B83,Auction!$A$13:$I$437,9,FALSE)-C83,0)</f>
        <v>0</v>
      </c>
      <c r="E83" s="148" t="str">
        <f>IFERROR(INDEX(Auction!$C$13:$C$437,MATCH(B83,Auction!$A$13:$A$437,0)),"")</f>
        <v/>
      </c>
      <c r="G83" s="132" t="str">
        <f>IFERROR(INDEX(Auction!$B$13:$B$437,MATCH(H83,Auction!$A$13:$A$437,0)),"")</f>
        <v/>
      </c>
      <c r="H83" s="206" t="str">
        <f t="array" ref="H83">IF($G$75=0,"",IFERROR(INDEX(Auction!$A$13:$M$437,SMALL(IF(Auction!$M$13:$M$437=$G$75,(ROW(Auction!$M$13:$M$437)-MIN(ROW(Auction!$M$13:$M$437))+1),""),ROW(G7)),1),""))</f>
        <v/>
      </c>
      <c r="I83" s="141">
        <f>IF(ISERROR(VLOOKUP(H83,Auction!$A$13:$I$437,7,FALSE)),0,VLOOKUP(H83,Auction!$A$13:$I$437,8,FALSE))</f>
        <v>0</v>
      </c>
      <c r="J83" s="142">
        <f>IFERROR(VLOOKUP(H83,Auction!$A$13:$I$437,9,FALSE)-I83,0)</f>
        <v>0</v>
      </c>
      <c r="K83" s="148" t="str">
        <f>IFERROR(INDEX(Auction!$C$13:$C$437,MATCH(H83,Auction!$A$13:$A$437,0)),"")</f>
        <v/>
      </c>
    </row>
    <row r="84" spans="1:11" x14ac:dyDescent="0.35">
      <c r="A84" s="132" t="str">
        <f>IFERROR(INDEX(Auction!$B$13:$B$437,MATCH(B84,Auction!$A$13:$A$437,0)),"")</f>
        <v/>
      </c>
      <c r="B84" s="206" t="str">
        <f t="array" ref="B84">IF($A$75=0,"",IFERROR(INDEX(Auction!$A$13:$M$437,SMALL(IF(Auction!$M$13:$M$437=$A$75,(ROW(Auction!$M$13:$M$437)-MIN(ROW(Auction!$M$13:$M$437))+1),""),ROW(A8)),1),""))</f>
        <v/>
      </c>
      <c r="C84" s="141">
        <f>IF(ISERROR(VLOOKUP(B84,Auction!$A$13:$I$437,7,FALSE)),0,VLOOKUP(B84,Auction!$A$13:$I$437,8,FALSE))</f>
        <v>0</v>
      </c>
      <c r="D84" s="142">
        <f>IFERROR(VLOOKUP(B84,Auction!$A$13:$I$437,9,FALSE)-C84,0)</f>
        <v>0</v>
      </c>
      <c r="E84" s="148" t="str">
        <f>IFERROR(INDEX(Auction!$C$13:$C$437,MATCH(B84,Auction!$A$13:$A$437,0)),"")</f>
        <v/>
      </c>
      <c r="G84" s="132" t="str">
        <f>IFERROR(INDEX(Auction!$B$13:$B$437,MATCH(H84,Auction!$A$13:$A$437,0)),"")</f>
        <v/>
      </c>
      <c r="H84" s="206" t="str">
        <f t="array" ref="H84">IF($G$75=0,"",IFERROR(INDEX(Auction!$A$13:$M$437,SMALL(IF(Auction!$M$13:$M$437=$G$75,(ROW(Auction!$M$13:$M$437)-MIN(ROW(Auction!$M$13:$M$437))+1),""),ROW(G8)),1),""))</f>
        <v/>
      </c>
      <c r="I84" s="141">
        <f>IF(ISERROR(VLOOKUP(H84,Auction!$A$13:$I$437,7,FALSE)),0,VLOOKUP(H84,Auction!$A$13:$I$437,8,FALSE))</f>
        <v>0</v>
      </c>
      <c r="J84" s="142">
        <f>IFERROR(VLOOKUP(H84,Auction!$A$13:$I$437,9,FALSE)-I84,0)</f>
        <v>0</v>
      </c>
      <c r="K84" s="148" t="str">
        <f>IFERROR(INDEX(Auction!$C$13:$C$437,MATCH(H84,Auction!$A$13:$A$437,0)),"")</f>
        <v/>
      </c>
    </row>
    <row r="85" spans="1:11" x14ac:dyDescent="0.35">
      <c r="A85" s="132" t="str">
        <f>IFERROR(INDEX(Auction!$B$13:$B$437,MATCH(B85,Auction!$A$13:$A$437,0)),"")</f>
        <v/>
      </c>
      <c r="B85" s="206" t="str">
        <f t="array" ref="B85">IF($A$75=0,"",IFERROR(INDEX(Auction!$A$13:$M$437,SMALL(IF(Auction!$M$13:$M$437=$A$75,(ROW(Auction!$M$13:$M$437)-MIN(ROW(Auction!$M$13:$M$437))+1),""),ROW(A9)),1),""))</f>
        <v/>
      </c>
      <c r="C85" s="141">
        <f>IF(ISERROR(VLOOKUP(B85,Auction!$A$13:$I$437,7,FALSE)),0,VLOOKUP(B85,Auction!$A$13:$I$437,8,FALSE))</f>
        <v>0</v>
      </c>
      <c r="D85" s="142">
        <f>IFERROR(VLOOKUP(B85,Auction!$A$13:$I$437,9,FALSE)-C85,0)</f>
        <v>0</v>
      </c>
      <c r="E85" s="149" t="str">
        <f>IFERROR(INDEX(Auction!$C$13:$C$437,MATCH(B85,Auction!$A$13:$A$437,0)),"")</f>
        <v/>
      </c>
      <c r="G85" s="132" t="str">
        <f>IFERROR(INDEX(Auction!$B$13:$B$437,MATCH(H85,Auction!$A$13:$A$437,0)),"")</f>
        <v/>
      </c>
      <c r="H85" s="206" t="str">
        <f t="array" ref="H85">IF($G$75=0,"",IFERROR(INDEX(Auction!$A$13:$M$437,SMALL(IF(Auction!$M$13:$M$437=$G$75,(ROW(Auction!$M$13:$M$437)-MIN(ROW(Auction!$M$13:$M$437))+1),""),ROW(G9)),1),""))</f>
        <v/>
      </c>
      <c r="I85" s="141">
        <f>IF(ISERROR(VLOOKUP(H85,Auction!$A$13:$I$437,7,FALSE)),0,VLOOKUP(H85,Auction!$A$13:$I$437,8,FALSE))</f>
        <v>0</v>
      </c>
      <c r="J85" s="142">
        <f>IFERROR(VLOOKUP(H85,Auction!$A$13:$I$437,9,FALSE)-I85,0)</f>
        <v>0</v>
      </c>
      <c r="K85" s="149" t="str">
        <f>IFERROR(INDEX(Auction!$C$13:$C$437,MATCH(H85,Auction!$A$13:$A$437,0)),"")</f>
        <v/>
      </c>
    </row>
    <row r="86" spans="1:11" x14ac:dyDescent="0.35">
      <c r="A86" s="132" t="str">
        <f>IFERROR(INDEX(Auction!$B$13:$B$437,MATCH(B86,Auction!$A$13:$A$437,0)),"")</f>
        <v/>
      </c>
      <c r="B86" s="206" t="str">
        <f t="array" ref="B86">IF($A$75=0,"",IFERROR(INDEX(Auction!$A$13:$M$437,SMALL(IF(Auction!$M$13:$M$437=$A$75,(ROW(Auction!$M$13:$M$437)-MIN(ROW(Auction!$M$13:$M$437))+1),""),ROW(A10)),1),""))</f>
        <v/>
      </c>
      <c r="C86" s="141">
        <f>IF(ISERROR(VLOOKUP(B86,Auction!$A$13:$I$437,7,FALSE)),0,VLOOKUP(B86,Auction!$A$13:$I$437,8,FALSE))</f>
        <v>0</v>
      </c>
      <c r="D86" s="142">
        <f>IFERROR(VLOOKUP(B86,Auction!$A$13:$I$437,9,FALSE)-C86,0)</f>
        <v>0</v>
      </c>
      <c r="E86" s="149" t="str">
        <f>IFERROR(INDEX(Auction!$C$13:$C$437,MATCH(B86,Auction!$A$13:$A$437,0)),"")</f>
        <v/>
      </c>
      <c r="G86" s="132" t="str">
        <f>IFERROR(INDEX(Auction!$B$13:$B$437,MATCH(H86,Auction!$A$13:$A$437,0)),"")</f>
        <v/>
      </c>
      <c r="H86" s="206" t="str">
        <f t="array" ref="H86">IF($G$75=0,"",IFERROR(INDEX(Auction!$A$13:$M$437,SMALL(IF(Auction!$M$13:$M$437=$G$75,(ROW(Auction!$M$13:$M$437)-MIN(ROW(Auction!$M$13:$M$437))+1),""),ROW(G10)),1),""))</f>
        <v/>
      </c>
      <c r="I86" s="141">
        <f>IF(ISERROR(VLOOKUP(H86,Auction!$A$13:$I$437,7,FALSE)),0,VLOOKUP(H86,Auction!$A$13:$I$437,8,FALSE))</f>
        <v>0</v>
      </c>
      <c r="J86" s="142">
        <f>IFERROR(VLOOKUP(H86,Auction!$A$13:$I$437,9,FALSE)-I86,0)</f>
        <v>0</v>
      </c>
      <c r="K86" s="149" t="str">
        <f>IFERROR(INDEX(Auction!$C$13:$C$437,MATCH(H86,Auction!$A$13:$A$437,0)),"")</f>
        <v/>
      </c>
    </row>
    <row r="87" spans="1:11" x14ac:dyDescent="0.35">
      <c r="A87" s="132" t="str">
        <f>IFERROR(INDEX(Auction!$B$13:$B$437,MATCH(B87,Auction!$A$13:$A$437,0)),"")</f>
        <v/>
      </c>
      <c r="B87" s="206" t="str">
        <f t="array" ref="B87">IF($A$75=0,"",IFERROR(INDEX(Auction!$A$13:$M$437,SMALL(IF(Auction!$M$13:$M$437=$A$75,(ROW(Auction!$M$13:$M$437)-MIN(ROW(Auction!$M$13:$M$437))+1),""),ROW(A11)),1),""))</f>
        <v/>
      </c>
      <c r="C87" s="141">
        <f>IF(ISERROR(VLOOKUP(B87,Auction!$A$13:$I$437,7,FALSE)),0,VLOOKUP(B87,Auction!$A$13:$I$437,8,FALSE))</f>
        <v>0</v>
      </c>
      <c r="D87" s="142">
        <f>IFERROR(VLOOKUP(B87,Auction!$A$13:$I$437,9,FALSE)-C87,0)</f>
        <v>0</v>
      </c>
      <c r="E87" s="149" t="str">
        <f>IFERROR(INDEX(Auction!$C$13:$C$437,MATCH(B87,Auction!$A$13:$A$437,0)),"")</f>
        <v/>
      </c>
      <c r="G87" s="132" t="str">
        <f>IFERROR(INDEX(Auction!$B$13:$B$437,MATCH(H87,Auction!$A$13:$A$437,0)),"")</f>
        <v/>
      </c>
      <c r="H87" s="206" t="str">
        <f t="array" ref="H87">IF($G$75=0,"",IFERROR(INDEX(Auction!$A$13:$M$437,SMALL(IF(Auction!$M$13:$M$437=$G$75,(ROW(Auction!$M$13:$M$437)-MIN(ROW(Auction!$M$13:$M$437))+1),""),ROW(G11)),1),""))</f>
        <v/>
      </c>
      <c r="I87" s="141">
        <f>IF(ISERROR(VLOOKUP(H87,Auction!$A$13:$I$437,7,FALSE)),0,VLOOKUP(H87,Auction!$A$13:$I$437,8,FALSE))</f>
        <v>0</v>
      </c>
      <c r="J87" s="142">
        <f>IFERROR(VLOOKUP(H87,Auction!$A$13:$I$437,9,FALSE)-I87,0)</f>
        <v>0</v>
      </c>
      <c r="K87" s="149" t="str">
        <f>IFERROR(INDEX(Auction!$C$13:$C$437,MATCH(H87,Auction!$A$13:$A$437,0)),"")</f>
        <v/>
      </c>
    </row>
    <row r="88" spans="1:11" x14ac:dyDescent="0.35">
      <c r="A88" s="132" t="str">
        <f>IFERROR(INDEX(Auction!$B$13:$B$437,MATCH(B88,Auction!$A$13:$A$437,0)),"")</f>
        <v/>
      </c>
      <c r="B88" s="206" t="str">
        <f t="array" ref="B88">IF($A$75=0,"",IFERROR(INDEX(Auction!$A$13:$M$437,SMALL(IF(Auction!$M$13:$M$437=$A$75,(ROW(Auction!$M$13:$M$437)-MIN(ROW(Auction!$M$13:$M$437))+1),""),ROW(A12)),1),""))</f>
        <v/>
      </c>
      <c r="C88" s="141">
        <f>IF(ISERROR(VLOOKUP(B88,Auction!$A$13:$I$437,7,FALSE)),0,VLOOKUP(B88,Auction!$A$13:$I$437,8,FALSE))</f>
        <v>0</v>
      </c>
      <c r="D88" s="142">
        <f>IFERROR(VLOOKUP(B88,Auction!$A$13:$I$437,9,FALSE)-C88,0)</f>
        <v>0</v>
      </c>
      <c r="E88" s="149" t="str">
        <f>IFERROR(INDEX(Auction!$C$13:$C$437,MATCH(B88,Auction!$A$13:$A$437,0)),"")</f>
        <v/>
      </c>
      <c r="G88" s="132" t="str">
        <f>IFERROR(INDEX(Auction!$B$13:$B$437,MATCH(H88,Auction!$A$13:$A$437,0)),"")</f>
        <v/>
      </c>
      <c r="H88" s="206" t="str">
        <f t="array" ref="H88">IF($G$75=0,"",IFERROR(INDEX(Auction!$A$13:$M$437,SMALL(IF(Auction!$M$13:$M$437=$G$75,(ROW(Auction!$M$13:$M$437)-MIN(ROW(Auction!$M$13:$M$437))+1),""),ROW(G12)),1),""))</f>
        <v/>
      </c>
      <c r="I88" s="141">
        <f>IF(ISERROR(VLOOKUP(H88,Auction!$A$13:$I$437,7,FALSE)),0,VLOOKUP(H88,Auction!$A$13:$I$437,8,FALSE))</f>
        <v>0</v>
      </c>
      <c r="J88" s="142">
        <f>IFERROR(VLOOKUP(H88,Auction!$A$13:$I$437,9,FALSE)-I88,0)</f>
        <v>0</v>
      </c>
      <c r="K88" s="149" t="str">
        <f>IFERROR(INDEX(Auction!$C$13:$C$437,MATCH(H88,Auction!$A$13:$A$437,0)),"")</f>
        <v/>
      </c>
    </row>
    <row r="89" spans="1:11" x14ac:dyDescent="0.35">
      <c r="A89" s="132" t="str">
        <f>IFERROR(INDEX(Auction!$B$13:$B$437,MATCH(B89,Auction!$A$13:$A$437,0)),"")</f>
        <v/>
      </c>
      <c r="B89" s="206" t="str">
        <f t="array" ref="B89">IF($A$75=0,"",IFERROR(INDEX(Auction!$A$13:$M$437,SMALL(IF(Auction!$M$13:$M$437=$A$75,(ROW(Auction!$M$13:$M$437)-MIN(ROW(Auction!$M$13:$M$437))+1),""),ROW(A13)),1),""))</f>
        <v/>
      </c>
      <c r="C89" s="141">
        <f>IF(ISERROR(VLOOKUP(B89,Auction!$A$13:$I$437,7,FALSE)),0,VLOOKUP(B89,Auction!$A$13:$I$437,8,FALSE))</f>
        <v>0</v>
      </c>
      <c r="D89" s="142">
        <f>IFERROR(VLOOKUP(B89,Auction!$A$13:$I$437,9,FALSE)-C89,0)</f>
        <v>0</v>
      </c>
      <c r="E89" s="149" t="str">
        <f>IFERROR(INDEX(Auction!$C$13:$C$437,MATCH(B89,Auction!$A$13:$A$437,0)),"")</f>
        <v/>
      </c>
      <c r="G89" s="132" t="str">
        <f>IFERROR(INDEX(Auction!$B$13:$B$437,MATCH(H89,Auction!$A$13:$A$437,0)),"")</f>
        <v/>
      </c>
      <c r="H89" s="206" t="str">
        <f t="array" ref="H89">IF($G$75=0,"",IFERROR(INDEX(Auction!$A$13:$M$437,SMALL(IF(Auction!$M$13:$M$437=$G$75,(ROW(Auction!$M$13:$M$437)-MIN(ROW(Auction!$M$13:$M$437))+1),""),ROW(G13)),1),""))</f>
        <v/>
      </c>
      <c r="I89" s="141">
        <f>IF(ISERROR(VLOOKUP(H89,Auction!$A$13:$I$437,7,FALSE)),0,VLOOKUP(H89,Auction!$A$13:$I$437,8,FALSE))</f>
        <v>0</v>
      </c>
      <c r="J89" s="142">
        <f>IFERROR(VLOOKUP(H89,Auction!$A$13:$I$437,9,FALSE)-I89,0)</f>
        <v>0</v>
      </c>
      <c r="K89" s="149" t="str">
        <f>IFERROR(INDEX(Auction!$C$13:$C$437,MATCH(H89,Auction!$A$13:$A$437,0)),"")</f>
        <v/>
      </c>
    </row>
    <row r="90" spans="1:11" x14ac:dyDescent="0.35">
      <c r="A90" s="132" t="str">
        <f>IFERROR(INDEX(Auction!$B$13:$B$437,MATCH(B90,Auction!$A$13:$A$437,0)),"")</f>
        <v/>
      </c>
      <c r="B90" s="206" t="str">
        <f t="array" ref="B90">IF($A$75=0,"",IFERROR(INDEX(Auction!$A$13:$M$437,SMALL(IF(Auction!$M$13:$M$437=$A$75,(ROW(Auction!$M$13:$M$437)-MIN(ROW(Auction!$M$13:$M$437))+1),""),ROW(A14)),1),""))</f>
        <v/>
      </c>
      <c r="C90" s="141">
        <f>IF(ISERROR(VLOOKUP(B90,Auction!$A$13:$I$437,7,FALSE)),0,VLOOKUP(B90,Auction!$A$13:$I$437,8,FALSE))</f>
        <v>0</v>
      </c>
      <c r="D90" s="142">
        <f>IFERROR(VLOOKUP(B90,Auction!$A$13:$I$437,9,FALSE)-C90,0)</f>
        <v>0</v>
      </c>
      <c r="E90" s="149" t="str">
        <f>IFERROR(INDEX(Auction!$C$13:$C$437,MATCH(B90,Auction!$A$13:$A$437,0)),"")</f>
        <v/>
      </c>
      <c r="G90" s="132" t="str">
        <f>IFERROR(INDEX(Auction!$B$13:$B$437,MATCH(H90,Auction!$A$13:$A$437,0)),"")</f>
        <v/>
      </c>
      <c r="H90" s="206" t="str">
        <f t="array" ref="H90">IF($G$75=0,"",IFERROR(INDEX(Auction!$A$13:$M$437,SMALL(IF(Auction!$M$13:$M$437=$G$75,(ROW(Auction!$M$13:$M$437)-MIN(ROW(Auction!$M$13:$M$437))+1),""),ROW(G14)),1),""))</f>
        <v/>
      </c>
      <c r="I90" s="141">
        <f>IF(ISERROR(VLOOKUP(H90,Auction!$A$13:$I$437,7,FALSE)),0,VLOOKUP(H90,Auction!$A$13:$I$437,8,FALSE))</f>
        <v>0</v>
      </c>
      <c r="J90" s="142">
        <f>IFERROR(VLOOKUP(H90,Auction!$A$13:$I$437,9,FALSE)-I90,0)</f>
        <v>0</v>
      </c>
      <c r="K90" s="149" t="str">
        <f>IFERROR(INDEX(Auction!$C$13:$C$437,MATCH(H90,Auction!$A$13:$A$437,0)),"")</f>
        <v/>
      </c>
    </row>
    <row r="91" spans="1:11" x14ac:dyDescent="0.35">
      <c r="A91" s="132" t="str">
        <f>IFERROR(INDEX(Auction!$B$13:$B$437,MATCH(B91,Auction!$A$13:$A$437,0)),"")</f>
        <v/>
      </c>
      <c r="B91" s="206" t="str">
        <f t="array" ref="B91">IF($A$75=0,"",IFERROR(INDEX(Auction!$A$13:$M$437,SMALL(IF(Auction!$M$13:$M$437=$A$75,(ROW(Auction!$M$13:$M$437)-MIN(ROW(Auction!$M$13:$M$437))+1),""),ROW(A15)),1),""))</f>
        <v/>
      </c>
      <c r="C91" s="141">
        <f>IF(ISERROR(VLOOKUP(B91,Auction!$A$13:$I$437,7,FALSE)),0,VLOOKUP(B91,Auction!$A$13:$I$437,8,FALSE))</f>
        <v>0</v>
      </c>
      <c r="D91" s="142">
        <f>IFERROR(VLOOKUP(B91,Auction!$A$13:$I$437,9,FALSE)-C91,0)</f>
        <v>0</v>
      </c>
      <c r="E91" s="149" t="str">
        <f>IFERROR(INDEX(Auction!$C$13:$C$437,MATCH(B91,Auction!$A$13:$A$437,0)),"")</f>
        <v/>
      </c>
      <c r="G91" s="132" t="str">
        <f>IFERROR(INDEX(Auction!$B$13:$B$437,MATCH(H91,Auction!$A$13:$A$437,0)),"")</f>
        <v/>
      </c>
      <c r="H91" s="206" t="str">
        <f t="array" ref="H91">IF($G$75=0,"",IFERROR(INDEX(Auction!$A$13:$M$437,SMALL(IF(Auction!$M$13:$M$437=$G$75,(ROW(Auction!$M$13:$M$437)-MIN(ROW(Auction!$M$13:$M$437))+1),""),ROW(G15)),1),""))</f>
        <v/>
      </c>
      <c r="I91" s="141">
        <f>IF(ISERROR(VLOOKUP(H91,Auction!$A$13:$I$437,7,FALSE)),0,VLOOKUP(H91,Auction!$A$13:$I$437,8,FALSE))</f>
        <v>0</v>
      </c>
      <c r="J91" s="142">
        <f>IFERROR(VLOOKUP(H91,Auction!$A$13:$I$437,9,FALSE)-I91,0)</f>
        <v>0</v>
      </c>
      <c r="K91" s="149" t="str">
        <f>IFERROR(INDEX(Auction!$C$13:$C$437,MATCH(H91,Auction!$A$13:$A$437,0)),"")</f>
        <v/>
      </c>
    </row>
    <row r="92" spans="1:11" x14ac:dyDescent="0.35">
      <c r="A92" s="132" t="str">
        <f>IFERROR(INDEX(Auction!$B$13:$B$437,MATCH(B92,Auction!$A$13:$A$437,0)),"")</f>
        <v/>
      </c>
      <c r="B92" s="206" t="str">
        <f t="array" ref="B92">IF($A$75=0,"",IFERROR(INDEX(Auction!$A$13:$M$437,SMALL(IF(Auction!$M$13:$M$437=$A$75,(ROW(Auction!$M$13:$M$437)-MIN(ROW(Auction!$M$13:$M$437))+1),""),ROW(A16)),1),""))</f>
        <v/>
      </c>
      <c r="C92" s="141">
        <f>IF(ISERROR(VLOOKUP(B92,Auction!$A$13:$I$437,7,FALSE)),0,VLOOKUP(B92,Auction!$A$13:$I$437,8,FALSE))</f>
        <v>0</v>
      </c>
      <c r="D92" s="142">
        <f>IFERROR(VLOOKUP(B92,Auction!$A$13:$I$437,9,FALSE)-C92,0)</f>
        <v>0</v>
      </c>
      <c r="E92" s="149" t="str">
        <f>IFERROR(INDEX(Auction!$C$13:$C$437,MATCH(B92,Auction!$A$13:$A$437,0)),"")</f>
        <v/>
      </c>
      <c r="G92" s="132" t="str">
        <f>IFERROR(INDEX(Auction!$B$13:$B$437,MATCH(H92,Auction!$A$13:$A$437,0)),"")</f>
        <v/>
      </c>
      <c r="H92" s="206" t="str">
        <f t="array" ref="H92">IF($G$75=0,"",IFERROR(INDEX(Auction!$A$13:$M$437,SMALL(IF(Auction!$M$13:$M$437=$G$75,(ROW(Auction!$M$13:$M$437)-MIN(ROW(Auction!$M$13:$M$437))+1),""),ROW(G16)),1),""))</f>
        <v/>
      </c>
      <c r="I92" s="141">
        <f>IF(ISERROR(VLOOKUP(H92,Auction!$A$13:$I$437,7,FALSE)),0,VLOOKUP(H92,Auction!$A$13:$I$437,8,FALSE))</f>
        <v>0</v>
      </c>
      <c r="J92" s="142">
        <f>IFERROR(VLOOKUP(H92,Auction!$A$13:$I$437,9,FALSE)-I92,0)</f>
        <v>0</v>
      </c>
      <c r="K92" s="149" t="str">
        <f>IFERROR(INDEX(Auction!$C$13:$C$437,MATCH(H92,Auction!$A$13:$A$437,0)),"")</f>
        <v/>
      </c>
    </row>
    <row r="93" spans="1:11" x14ac:dyDescent="0.35">
      <c r="A93" s="132" t="str">
        <f>IFERROR(INDEX(Auction!$B$13:$B$437,MATCH(B93,Auction!$A$13:$A$437,0)),"")</f>
        <v/>
      </c>
      <c r="B93" s="206" t="str">
        <f t="array" ref="B93">IF($A$75=0,"",IFERROR(INDEX(Auction!$A$13:$M$437,SMALL(IF(Auction!$M$13:$M$437=$A$75,(ROW(Auction!$M$13:$M$437)-MIN(ROW(Auction!$M$13:$M$437))+1),""),ROW(A17)),1),""))</f>
        <v/>
      </c>
      <c r="C93" s="141">
        <f>IF(ISERROR(VLOOKUP(B93,Auction!$A$13:$I$437,7,FALSE)),0,VLOOKUP(B93,Auction!$A$13:$I$437,8,FALSE))</f>
        <v>0</v>
      </c>
      <c r="D93" s="142">
        <f>IFERROR(VLOOKUP(B93,Auction!$A$13:$I$437,9,FALSE)-C93,0)</f>
        <v>0</v>
      </c>
      <c r="E93" s="149" t="str">
        <f>IFERROR(INDEX(Auction!$C$13:$C$437,MATCH(B93,Auction!$A$13:$A$437,0)),"")</f>
        <v/>
      </c>
      <c r="G93" s="132" t="str">
        <f>IFERROR(INDEX(Auction!$B$13:$B$437,MATCH(H93,Auction!$A$13:$A$437,0)),"")</f>
        <v/>
      </c>
      <c r="H93" s="206" t="str">
        <f t="array" ref="H93">IF($G$75=0,"",IFERROR(INDEX(Auction!$A$13:$M$437,SMALL(IF(Auction!$M$13:$M$437=$G$75,(ROW(Auction!$M$13:$M$437)-MIN(ROW(Auction!$M$13:$M$437))+1),""),ROW(G17)),1),""))</f>
        <v/>
      </c>
      <c r="I93" s="141">
        <f>IF(ISERROR(VLOOKUP(H93,Auction!$A$13:$I$437,7,FALSE)),0,VLOOKUP(H93,Auction!$A$13:$I$437,8,FALSE))</f>
        <v>0</v>
      </c>
      <c r="J93" s="142">
        <f>IFERROR(VLOOKUP(H93,Auction!$A$13:$I$437,9,FALSE)-I93,0)</f>
        <v>0</v>
      </c>
      <c r="K93" s="149" t="str">
        <f>IFERROR(INDEX(Auction!$C$13:$C$437,MATCH(H93,Auction!$A$13:$A$437,0)),"")</f>
        <v/>
      </c>
    </row>
    <row r="94" spans="1:11" x14ac:dyDescent="0.35">
      <c r="A94" s="132" t="str">
        <f>IFERROR(INDEX(Auction!$B$13:$B$437,MATCH(B94,Auction!$A$13:$A$437,0)),"")</f>
        <v/>
      </c>
      <c r="B94" s="206" t="str">
        <f t="array" ref="B94">IF($A$75=0,"",IFERROR(INDEX(Auction!$A$13:$M$437,SMALL(IF(Auction!$M$13:$M$437=$A$75,(ROW(Auction!$M$13:$M$437)-MIN(ROW(Auction!$M$13:$M$437))+1),""),ROW(A18)),1),""))</f>
        <v/>
      </c>
      <c r="C94" s="141">
        <f>IF(ISERROR(VLOOKUP(B94,Auction!$A$13:$I$437,7,FALSE)),0,VLOOKUP(B94,Auction!$A$13:$I$437,8,FALSE))</f>
        <v>0</v>
      </c>
      <c r="D94" s="142">
        <f>IFERROR(VLOOKUP(B94,Auction!$A$13:$I$437,9,FALSE)-C94,0)</f>
        <v>0</v>
      </c>
      <c r="E94" s="149" t="str">
        <f>IFERROR(INDEX(Auction!$C$13:$C$437,MATCH(B94,Auction!$A$13:$A$437,0)),"")</f>
        <v/>
      </c>
      <c r="G94" s="132" t="str">
        <f>IFERROR(INDEX(Auction!$B$13:$B$437,MATCH(H94,Auction!$A$13:$A$437,0)),"")</f>
        <v/>
      </c>
      <c r="H94" s="206" t="str">
        <f t="array" ref="H94">IF($G$75=0,"",IFERROR(INDEX(Auction!$A$13:$M$437,SMALL(IF(Auction!$M$13:$M$437=$G$75,(ROW(Auction!$M$13:$M$437)-MIN(ROW(Auction!$M$13:$M$437))+1),""),ROW(G18)),1),""))</f>
        <v/>
      </c>
      <c r="I94" s="141">
        <f>IF(ISERROR(VLOOKUP(H94,Auction!$A$13:$I$437,7,FALSE)),0,VLOOKUP(H94,Auction!$A$13:$I$437,8,FALSE))</f>
        <v>0</v>
      </c>
      <c r="J94" s="142">
        <f>IFERROR(VLOOKUP(H94,Auction!$A$13:$I$437,9,FALSE)-I94,0)</f>
        <v>0</v>
      </c>
      <c r="K94" s="149" t="str">
        <f>IFERROR(INDEX(Auction!$C$13:$C$437,MATCH(H94,Auction!$A$13:$A$437,0)),"")</f>
        <v/>
      </c>
    </row>
    <row r="95" spans="1:11" x14ac:dyDescent="0.35">
      <c r="A95" s="132" t="str">
        <f>IFERROR(INDEX(Auction!$B$13:$B$437,MATCH(B95,Auction!$A$13:$A$437,0)),"")</f>
        <v/>
      </c>
      <c r="B95" s="206" t="str">
        <f t="array" ref="B95">IF($A$75=0,"",IFERROR(INDEX(Auction!$A$13:$M$437,SMALL(IF(Auction!$M$13:$M$437=$A$75,(ROW(Auction!$M$13:$M$437)-MIN(ROW(Auction!$M$13:$M$437))+1),""),ROW(A19)),1),""))</f>
        <v/>
      </c>
      <c r="C95" s="141">
        <f>IF(ISERROR(VLOOKUP(B95,Auction!$A$13:$I$437,7,FALSE)),0,VLOOKUP(B95,Auction!$A$13:$I$437,8,FALSE))</f>
        <v>0</v>
      </c>
      <c r="D95" s="142">
        <f>IFERROR(VLOOKUP(B95,Auction!$A$13:$I$437,9,FALSE)-C95,0)</f>
        <v>0</v>
      </c>
      <c r="E95" s="149" t="str">
        <f>IFERROR(INDEX(Auction!$C$13:$C$437,MATCH(B95,Auction!$A$13:$A$437,0)),"")</f>
        <v/>
      </c>
      <c r="G95" s="132" t="str">
        <f>IFERROR(INDEX(Auction!$B$13:$B$437,MATCH(H95,Auction!$A$13:$A$437,0)),"")</f>
        <v/>
      </c>
      <c r="H95" s="206" t="str">
        <f t="array" ref="H95">IF($G$75=0,"",IFERROR(INDEX(Auction!$A$13:$M$437,SMALL(IF(Auction!$M$13:$M$437=$G$75,(ROW(Auction!$M$13:$M$437)-MIN(ROW(Auction!$M$13:$M$437))+1),""),ROW(G19)),1),""))</f>
        <v/>
      </c>
      <c r="I95" s="141">
        <f>IF(ISERROR(VLOOKUP(H95,Auction!$A$13:$I$437,7,FALSE)),0,VLOOKUP(H95,Auction!$A$13:$I$437,8,FALSE))</f>
        <v>0</v>
      </c>
      <c r="J95" s="142">
        <f>IFERROR(VLOOKUP(H95,Auction!$A$13:$I$437,9,FALSE)-I95,0)</f>
        <v>0</v>
      </c>
      <c r="K95" s="149" t="str">
        <f>IFERROR(INDEX(Auction!$C$13:$C$437,MATCH(H95,Auction!$A$13:$A$437,0)),"")</f>
        <v/>
      </c>
    </row>
    <row r="96" spans="1:11" x14ac:dyDescent="0.35">
      <c r="A96" s="132" t="str">
        <f>IFERROR(INDEX(Auction!$B$13:$B$437,MATCH(B96,Auction!$A$13:$A$437,0)),"")</f>
        <v/>
      </c>
      <c r="B96" s="206" t="str">
        <f t="array" ref="B96">IF($A$75=0,"",IFERROR(INDEX(Auction!$A$13:$M$437,SMALL(IF(Auction!$M$13:$M$437=$A$75,(ROW(Auction!$M$13:$M$437)-MIN(ROW(Auction!$M$13:$M$437))+1),""),ROW(A20)),1),""))</f>
        <v/>
      </c>
      <c r="C96" s="141">
        <f>IF(ISERROR(VLOOKUP(B96,Auction!$A$13:$I$437,7,FALSE)),0,VLOOKUP(B96,Auction!$A$13:$I$437,8,FALSE))</f>
        <v>0</v>
      </c>
      <c r="D96" s="142">
        <f>IFERROR(VLOOKUP(B96,Auction!$A$13:$I$437,9,FALSE)-C96,0)</f>
        <v>0</v>
      </c>
      <c r="E96" s="149" t="str">
        <f>IFERROR(INDEX(Auction!$C$13:$C$437,MATCH(B96,Auction!$A$13:$A$437,0)),"")</f>
        <v/>
      </c>
      <c r="G96" s="132" t="str">
        <f>IFERROR(INDEX(Auction!$B$13:$B$437,MATCH(H96,Auction!$A$13:$A$437,0)),"")</f>
        <v/>
      </c>
      <c r="H96" s="206" t="str">
        <f t="array" ref="H96">IF($G$75=0,"",IFERROR(INDEX(Auction!$A$13:$M$437,SMALL(IF(Auction!$M$13:$M$437=$G$75,(ROW(Auction!$M$13:$M$437)-MIN(ROW(Auction!$M$13:$M$437))+1),""),ROW(G20)),1),""))</f>
        <v/>
      </c>
      <c r="I96" s="141">
        <f>IF(ISERROR(VLOOKUP(H96,Auction!$A$13:$I$437,7,FALSE)),0,VLOOKUP(H96,Auction!$A$13:$I$437,8,FALSE))</f>
        <v>0</v>
      </c>
      <c r="J96" s="142">
        <f>IFERROR(VLOOKUP(H96,Auction!$A$13:$I$437,9,FALSE)-I96,0)</f>
        <v>0</v>
      </c>
      <c r="K96" s="149" t="str">
        <f>IFERROR(INDEX(Auction!$C$13:$C$437,MATCH(H96,Auction!$A$13:$A$437,0)),"")</f>
        <v/>
      </c>
    </row>
    <row r="97" spans="1:11" x14ac:dyDescent="0.35">
      <c r="A97" s="150"/>
      <c r="B97" s="151"/>
      <c r="C97" s="152">
        <f>SUM(C77:C96)</f>
        <v>0</v>
      </c>
      <c r="D97" s="152">
        <f>SUM(D77:D96)</f>
        <v>0</v>
      </c>
      <c r="E97" s="153"/>
      <c r="G97" s="150"/>
      <c r="H97" s="151"/>
      <c r="I97" s="152">
        <f>SUM(I77:I96)</f>
        <v>0</v>
      </c>
      <c r="J97" s="152">
        <f>SUM(J77:J96)</f>
        <v>0</v>
      </c>
      <c r="K97" s="153"/>
    </row>
    <row r="99" spans="1:11" x14ac:dyDescent="0.35">
      <c r="A99" s="267" t="str">
        <f>H10</f>
        <v>Team 8</v>
      </c>
      <c r="B99" s="268"/>
      <c r="C99" s="268"/>
      <c r="D99" s="268"/>
      <c r="E99" s="269"/>
      <c r="G99" s="267" t="str">
        <f>H11</f>
        <v>Team 9</v>
      </c>
      <c r="H99" s="268"/>
      <c r="I99" s="268"/>
      <c r="J99" s="268"/>
      <c r="K99" s="269"/>
    </row>
    <row r="100" spans="1:11" x14ac:dyDescent="0.35">
      <c r="A100" s="139" t="s">
        <v>310</v>
      </c>
      <c r="B100" s="147" t="s">
        <v>82</v>
      </c>
      <c r="C100" s="129" t="s">
        <v>311</v>
      </c>
      <c r="D100" s="129" t="s">
        <v>312</v>
      </c>
      <c r="E100" s="140" t="s">
        <v>262</v>
      </c>
      <c r="G100" s="139" t="s">
        <v>310</v>
      </c>
      <c r="H100" s="147" t="s">
        <v>82</v>
      </c>
      <c r="I100" s="129" t="s">
        <v>311</v>
      </c>
      <c r="J100" s="129" t="s">
        <v>312</v>
      </c>
      <c r="K100" s="140" t="s">
        <v>262</v>
      </c>
    </row>
    <row r="101" spans="1:11" x14ac:dyDescent="0.35">
      <c r="A101" s="132" t="str">
        <f>IFERROR(INDEX(Auction!$B$13:$B$437,MATCH(B101,Auction!$A$13:$A$437,0)),"")</f>
        <v/>
      </c>
      <c r="B101" s="206" t="str">
        <f t="array" ref="B101">IF($A$99=0,"",IFERROR(INDEX(Auction!$A$13:$M$437,SMALL(IF(Auction!$M$13:$M$437=$A$99,(ROW(Auction!$M$13:$M$437)-MIN(ROW(Auction!$M$13:$M$437))+1),""),ROW(A1)),1),""))</f>
        <v/>
      </c>
      <c r="C101" s="141">
        <f>IF(ISERROR(VLOOKUP(B101,Auction!$A$13:$I$437,7,FALSE)),0,VLOOKUP(B101,Auction!$A$13:$I$437,8,FALSE))</f>
        <v>0</v>
      </c>
      <c r="D101" s="142">
        <f>IFERROR(VLOOKUP(B101,Auction!$A$13:$I$437,9,FALSE)-C101,0)</f>
        <v>0</v>
      </c>
      <c r="E101" s="148" t="str">
        <f>IFERROR(INDEX(Auction!$C$13:$C$437,MATCH(B101,Auction!$A$13:$A$437,0)),"")</f>
        <v/>
      </c>
      <c r="G101" s="132" t="str">
        <f>IFERROR(INDEX(Auction!$B$13:$B$437,MATCH(H101,Auction!$A$13:$A$437,0)),"")</f>
        <v/>
      </c>
      <c r="H101" s="206" t="str">
        <f t="array" ref="H101">IF($G$99=0,"",IFERROR(INDEX(Auction!$A$13:$M$437,SMALL(IF(Auction!$M$13:$M$437=$G$99,(ROW(Auction!$M$13:$M$437)-MIN(ROW(Auction!$M$13:$M$437))+1),""),ROW(G1)),1),""))</f>
        <v/>
      </c>
      <c r="I101" s="141">
        <f>IF(ISERROR(VLOOKUP(H101,Auction!$A$13:$I$437,7,FALSE)),0,VLOOKUP(H101,Auction!$A$13:$I$437,8,FALSE))</f>
        <v>0</v>
      </c>
      <c r="J101" s="142">
        <f>IFERROR(VLOOKUP(H101,Auction!$A$13:$I$437,9,FALSE)-I101,0)</f>
        <v>0</v>
      </c>
      <c r="K101" s="148" t="str">
        <f>IFERROR(INDEX(Auction!$C$13:$C$437,MATCH(H101,Auction!$A$13:$A$437,0)),"")</f>
        <v/>
      </c>
    </row>
    <row r="102" spans="1:11" x14ac:dyDescent="0.35">
      <c r="A102" s="132" t="str">
        <f>IFERROR(INDEX(Auction!$B$13:$B$437,MATCH(B102,Auction!$A$13:$A$437,0)),"")</f>
        <v/>
      </c>
      <c r="B102" s="206" t="str">
        <f t="array" ref="B102">IF($A$99=0,"",IFERROR(INDEX(Auction!$A$13:$M$437,SMALL(IF(Auction!$M$13:$M$437=$A$99,(ROW(Auction!$M$13:$M$437)-MIN(ROW(Auction!$M$13:$M$437))+1),""),ROW(A2)),1),""))</f>
        <v/>
      </c>
      <c r="C102" s="141">
        <f>IF(ISERROR(VLOOKUP(B102,Auction!$A$13:$I$437,7,FALSE)),0,VLOOKUP(B102,Auction!$A$13:$I$437,8,FALSE))</f>
        <v>0</v>
      </c>
      <c r="D102" s="142">
        <f>IFERROR(VLOOKUP(B102,Auction!$A$13:$I$437,9,FALSE)-C102,0)</f>
        <v>0</v>
      </c>
      <c r="E102" s="148" t="str">
        <f>IFERROR(INDEX(Auction!$C$13:$C$437,MATCH(B102,Auction!$A$13:$A$437,0)),"")</f>
        <v/>
      </c>
      <c r="G102" s="132" t="str">
        <f>IFERROR(INDEX(Auction!$B$13:$B$437,MATCH(H102,Auction!$A$13:$A$437,0)),"")</f>
        <v/>
      </c>
      <c r="H102" s="206" t="str">
        <f t="array" ref="H102">IF($G$99=0,"",IFERROR(INDEX(Auction!$A$13:$M$437,SMALL(IF(Auction!$M$13:$M$437=$G$99,(ROW(Auction!$M$13:$M$437)-MIN(ROW(Auction!$M$13:$M$437))+1),""),ROW(G2)),1),""))</f>
        <v/>
      </c>
      <c r="I102" s="141">
        <f>IF(ISERROR(VLOOKUP(H102,Auction!$A$13:$I$437,7,FALSE)),0,VLOOKUP(H102,Auction!$A$13:$I$437,8,FALSE))</f>
        <v>0</v>
      </c>
      <c r="J102" s="142">
        <f>IFERROR(VLOOKUP(H102,Auction!$A$13:$I$437,9,FALSE)-I102,0)</f>
        <v>0</v>
      </c>
      <c r="K102" s="148" t="str">
        <f>IFERROR(INDEX(Auction!$C$13:$C$437,MATCH(H102,Auction!$A$13:$A$437,0)),"")</f>
        <v/>
      </c>
    </row>
    <row r="103" spans="1:11" x14ac:dyDescent="0.35">
      <c r="A103" s="132" t="str">
        <f>IFERROR(INDEX(Auction!$B$13:$B$437,MATCH(B103,Auction!$A$13:$A$437,0)),"")</f>
        <v/>
      </c>
      <c r="B103" s="206" t="str">
        <f t="array" ref="B103">IF($A$99=0,"",IFERROR(INDEX(Auction!$A$13:$M$437,SMALL(IF(Auction!$M$13:$M$437=$A$99,(ROW(Auction!$M$13:$M$437)-MIN(ROW(Auction!$M$13:$M$437))+1),""),ROW(A3)),1),""))</f>
        <v/>
      </c>
      <c r="C103" s="141">
        <f>IF(ISERROR(VLOOKUP(B103,Auction!$A$13:$I$437,7,FALSE)),0,VLOOKUP(B103,Auction!$A$13:$I$437,8,FALSE))</f>
        <v>0</v>
      </c>
      <c r="D103" s="142">
        <f>IFERROR(VLOOKUP(B103,Auction!$A$13:$I$437,9,FALSE)-C103,0)</f>
        <v>0</v>
      </c>
      <c r="E103" s="148" t="str">
        <f>IFERROR(INDEX(Auction!$C$13:$C$437,MATCH(B103,Auction!$A$13:$A$437,0)),"")</f>
        <v/>
      </c>
      <c r="G103" s="132" t="str">
        <f>IFERROR(INDEX(Auction!$B$13:$B$437,MATCH(H103,Auction!$A$13:$A$437,0)),"")</f>
        <v/>
      </c>
      <c r="H103" s="206" t="str">
        <f t="array" ref="H103">IF($G$99=0,"",IFERROR(INDEX(Auction!$A$13:$M$437,SMALL(IF(Auction!$M$13:$M$437=$G$99,(ROW(Auction!$M$13:$M$437)-MIN(ROW(Auction!$M$13:$M$437))+1),""),ROW(G3)),1),""))</f>
        <v/>
      </c>
      <c r="I103" s="141">
        <f>IF(ISERROR(VLOOKUP(H103,Auction!$A$13:$I$437,7,FALSE)),0,VLOOKUP(H103,Auction!$A$13:$I$437,8,FALSE))</f>
        <v>0</v>
      </c>
      <c r="J103" s="142">
        <f>IFERROR(VLOOKUP(H103,Auction!$A$13:$I$437,9,FALSE)-I103,0)</f>
        <v>0</v>
      </c>
      <c r="K103" s="148" t="str">
        <f>IFERROR(INDEX(Auction!$C$13:$C$437,MATCH(H103,Auction!$A$13:$A$437,0)),"")</f>
        <v/>
      </c>
    </row>
    <row r="104" spans="1:11" x14ac:dyDescent="0.35">
      <c r="A104" s="132" t="str">
        <f>IFERROR(INDEX(Auction!$B$13:$B$437,MATCH(B104,Auction!$A$13:$A$437,0)),"")</f>
        <v/>
      </c>
      <c r="B104" s="206" t="str">
        <f t="array" ref="B104">IF($A$99=0,"",IFERROR(INDEX(Auction!$A$13:$M$437,SMALL(IF(Auction!$M$13:$M$437=$A$99,(ROW(Auction!$M$13:$M$437)-MIN(ROW(Auction!$M$13:$M$437))+1),""),ROW(A4)),1),""))</f>
        <v/>
      </c>
      <c r="C104" s="141">
        <f>IF(ISERROR(VLOOKUP(B104,Auction!$A$13:$I$437,7,FALSE)),0,VLOOKUP(B104,Auction!$A$13:$I$437,8,FALSE))</f>
        <v>0</v>
      </c>
      <c r="D104" s="142">
        <f>IFERROR(VLOOKUP(B104,Auction!$A$13:$I$437,9,FALSE)-C104,0)</f>
        <v>0</v>
      </c>
      <c r="E104" s="148" t="str">
        <f>IFERROR(INDEX(Auction!$C$13:$C$437,MATCH(B104,Auction!$A$13:$A$437,0)),"")</f>
        <v/>
      </c>
      <c r="G104" s="132" t="str">
        <f>IFERROR(INDEX(Auction!$B$13:$B$437,MATCH(H104,Auction!$A$13:$A$437,0)),"")</f>
        <v/>
      </c>
      <c r="H104" s="206" t="str">
        <f t="array" ref="H104">IF($G$99=0,"",IFERROR(INDEX(Auction!$A$13:$M$437,SMALL(IF(Auction!$M$13:$M$437=$G$99,(ROW(Auction!$M$13:$M$437)-MIN(ROW(Auction!$M$13:$M$437))+1),""),ROW(G4)),1),""))</f>
        <v/>
      </c>
      <c r="I104" s="141">
        <f>IF(ISERROR(VLOOKUP(H104,Auction!$A$13:$I$437,7,FALSE)),0,VLOOKUP(H104,Auction!$A$13:$I$437,8,FALSE))</f>
        <v>0</v>
      </c>
      <c r="J104" s="142">
        <f>IFERROR(VLOOKUP(H104,Auction!$A$13:$I$437,9,FALSE)-I104,0)</f>
        <v>0</v>
      </c>
      <c r="K104" s="148" t="str">
        <f>IFERROR(INDEX(Auction!$C$13:$C$437,MATCH(H104,Auction!$A$13:$A$437,0)),"")</f>
        <v/>
      </c>
    </row>
    <row r="105" spans="1:11" x14ac:dyDescent="0.35">
      <c r="A105" s="132" t="str">
        <f>IFERROR(INDEX(Auction!$B$13:$B$437,MATCH(B105,Auction!$A$13:$A$437,0)),"")</f>
        <v/>
      </c>
      <c r="B105" s="206" t="str">
        <f t="array" ref="B105">IF($A$99=0,"",IFERROR(INDEX(Auction!$A$13:$M$437,SMALL(IF(Auction!$M$13:$M$437=$A$99,(ROW(Auction!$M$13:$M$437)-MIN(ROW(Auction!$M$13:$M$437))+1),""),ROW(A5)),1),""))</f>
        <v/>
      </c>
      <c r="C105" s="141">
        <f>IF(ISERROR(VLOOKUP(B105,Auction!$A$13:$I$437,7,FALSE)),0,VLOOKUP(B105,Auction!$A$13:$I$437,8,FALSE))</f>
        <v>0</v>
      </c>
      <c r="D105" s="142">
        <f>IFERROR(VLOOKUP(B105,Auction!$A$13:$I$437,9,FALSE)-C105,0)</f>
        <v>0</v>
      </c>
      <c r="E105" s="148" t="str">
        <f>IFERROR(INDEX(Auction!$C$13:$C$437,MATCH(B105,Auction!$A$13:$A$437,0)),"")</f>
        <v/>
      </c>
      <c r="G105" s="132" t="str">
        <f>IFERROR(INDEX(Auction!$B$13:$B$437,MATCH(H105,Auction!$A$13:$A$437,0)),"")</f>
        <v/>
      </c>
      <c r="H105" s="206" t="str">
        <f t="array" ref="H105">IF($G$99=0,"",IFERROR(INDEX(Auction!$A$13:$M$437,SMALL(IF(Auction!$M$13:$M$437=$G$99,(ROW(Auction!$M$13:$M$437)-MIN(ROW(Auction!$M$13:$M$437))+1),""),ROW(G5)),1),""))</f>
        <v/>
      </c>
      <c r="I105" s="141">
        <f>IF(ISERROR(VLOOKUP(H105,Auction!$A$13:$I$437,7,FALSE)),0,VLOOKUP(H105,Auction!$A$13:$I$437,8,FALSE))</f>
        <v>0</v>
      </c>
      <c r="J105" s="142">
        <f>IFERROR(VLOOKUP(H105,Auction!$A$13:$I$437,9,FALSE)-I105,0)</f>
        <v>0</v>
      </c>
      <c r="K105" s="148" t="str">
        <f>IFERROR(INDEX(Auction!$C$13:$C$437,MATCH(H105,Auction!$A$13:$A$437,0)),"")</f>
        <v/>
      </c>
    </row>
    <row r="106" spans="1:11" x14ac:dyDescent="0.35">
      <c r="A106" s="132" t="str">
        <f>IFERROR(INDEX(Auction!$B$13:$B$437,MATCH(B106,Auction!$A$13:$A$437,0)),"")</f>
        <v/>
      </c>
      <c r="B106" s="206" t="str">
        <f t="array" ref="B106">IF($A$99=0,"",IFERROR(INDEX(Auction!$A$13:$M$437,SMALL(IF(Auction!$M$13:$M$437=$A$99,(ROW(Auction!$M$13:$M$437)-MIN(ROW(Auction!$M$13:$M$437))+1),""),ROW(A6)),1),""))</f>
        <v/>
      </c>
      <c r="C106" s="141">
        <f>IF(ISERROR(VLOOKUP(B106,Auction!$A$13:$I$437,7,FALSE)),0,VLOOKUP(B106,Auction!$A$13:$I$437,8,FALSE))</f>
        <v>0</v>
      </c>
      <c r="D106" s="142">
        <f>IFERROR(VLOOKUP(B106,Auction!$A$13:$I$437,9,FALSE)-C106,0)</f>
        <v>0</v>
      </c>
      <c r="E106" s="148" t="str">
        <f>IFERROR(INDEX(Auction!$C$13:$C$437,MATCH(B106,Auction!$A$13:$A$437,0)),"")</f>
        <v/>
      </c>
      <c r="G106" s="132" t="str">
        <f>IFERROR(INDEX(Auction!$B$13:$B$437,MATCH(H106,Auction!$A$13:$A$437,0)),"")</f>
        <v/>
      </c>
      <c r="H106" s="206" t="str">
        <f t="array" ref="H106">IF($G$99=0,"",IFERROR(INDEX(Auction!$A$13:$M$437,SMALL(IF(Auction!$M$13:$M$437=$G$99,(ROW(Auction!$M$13:$M$437)-MIN(ROW(Auction!$M$13:$M$437))+1),""),ROW(G6)),1),""))</f>
        <v/>
      </c>
      <c r="I106" s="141">
        <f>IF(ISERROR(VLOOKUP(H106,Auction!$A$13:$I$437,7,FALSE)),0,VLOOKUP(H106,Auction!$A$13:$I$437,8,FALSE))</f>
        <v>0</v>
      </c>
      <c r="J106" s="142">
        <f>IFERROR(VLOOKUP(H106,Auction!$A$13:$I$437,9,FALSE)-I106,0)</f>
        <v>0</v>
      </c>
      <c r="K106" s="148" t="str">
        <f>IFERROR(INDEX(Auction!$C$13:$C$437,MATCH(H106,Auction!$A$13:$A$437,0)),"")</f>
        <v/>
      </c>
    </row>
    <row r="107" spans="1:11" x14ac:dyDescent="0.35">
      <c r="A107" s="132" t="str">
        <f>IFERROR(INDEX(Auction!$B$13:$B$437,MATCH(B107,Auction!$A$13:$A$437,0)),"")</f>
        <v/>
      </c>
      <c r="B107" s="206" t="str">
        <f t="array" ref="B107">IF($A$99=0,"",IFERROR(INDEX(Auction!$A$13:$M$437,SMALL(IF(Auction!$M$13:$M$437=$A$99,(ROW(Auction!$M$13:$M$437)-MIN(ROW(Auction!$M$13:$M$437))+1),""),ROW(A7)),1),""))</f>
        <v/>
      </c>
      <c r="C107" s="141">
        <f>IF(ISERROR(VLOOKUP(B107,Auction!$A$13:$I$437,7,FALSE)),0,VLOOKUP(B107,Auction!$A$13:$I$437,8,FALSE))</f>
        <v>0</v>
      </c>
      <c r="D107" s="142">
        <f>IFERROR(VLOOKUP(B107,Auction!$A$13:$I$437,9,FALSE)-C107,0)</f>
        <v>0</v>
      </c>
      <c r="E107" s="148" t="str">
        <f>IFERROR(INDEX(Auction!$C$13:$C$437,MATCH(B107,Auction!$A$13:$A$437,0)),"")</f>
        <v/>
      </c>
      <c r="G107" s="132" t="str">
        <f>IFERROR(INDEX(Auction!$B$13:$B$437,MATCH(H107,Auction!$A$13:$A$437,0)),"")</f>
        <v/>
      </c>
      <c r="H107" s="206" t="str">
        <f t="array" ref="H107">IF($G$99=0,"",IFERROR(INDEX(Auction!$A$13:$M$437,SMALL(IF(Auction!$M$13:$M$437=$G$99,(ROW(Auction!$M$13:$M$437)-MIN(ROW(Auction!$M$13:$M$437))+1),""),ROW(G7)),1),""))</f>
        <v/>
      </c>
      <c r="I107" s="141">
        <f>IF(ISERROR(VLOOKUP(H107,Auction!$A$13:$I$437,7,FALSE)),0,VLOOKUP(H107,Auction!$A$13:$I$437,8,FALSE))</f>
        <v>0</v>
      </c>
      <c r="J107" s="142">
        <f>IFERROR(VLOOKUP(H107,Auction!$A$13:$I$437,9,FALSE)-I107,0)</f>
        <v>0</v>
      </c>
      <c r="K107" s="148" t="str">
        <f>IFERROR(INDEX(Auction!$C$13:$C$437,MATCH(H107,Auction!$A$13:$A$437,0)),"")</f>
        <v/>
      </c>
    </row>
    <row r="108" spans="1:11" x14ac:dyDescent="0.35">
      <c r="A108" s="132" t="str">
        <f>IFERROR(INDEX(Auction!$B$13:$B$437,MATCH(B108,Auction!$A$13:$A$437,0)),"")</f>
        <v/>
      </c>
      <c r="B108" s="206" t="str">
        <f t="array" ref="B108">IF($A$99=0,"",IFERROR(INDEX(Auction!$A$13:$M$437,SMALL(IF(Auction!$M$13:$M$437=$A$99,(ROW(Auction!$M$13:$M$437)-MIN(ROW(Auction!$M$13:$M$437))+1),""),ROW(A8)),1),""))</f>
        <v/>
      </c>
      <c r="C108" s="141">
        <f>IF(ISERROR(VLOOKUP(B108,Auction!$A$13:$I$437,7,FALSE)),0,VLOOKUP(B108,Auction!$A$13:$I$437,8,FALSE))</f>
        <v>0</v>
      </c>
      <c r="D108" s="142">
        <f>IFERROR(VLOOKUP(B108,Auction!$A$13:$I$437,9,FALSE)-C108,0)</f>
        <v>0</v>
      </c>
      <c r="E108" s="148" t="str">
        <f>IFERROR(INDEX(Auction!$C$13:$C$437,MATCH(B108,Auction!$A$13:$A$437,0)),"")</f>
        <v/>
      </c>
      <c r="G108" s="132" t="str">
        <f>IFERROR(INDEX(Auction!$B$13:$B$437,MATCH(H108,Auction!$A$13:$A$437,0)),"")</f>
        <v/>
      </c>
      <c r="H108" s="206" t="str">
        <f t="array" ref="H108">IF($G$99=0,"",IFERROR(INDEX(Auction!$A$13:$M$437,SMALL(IF(Auction!$M$13:$M$437=$G$99,(ROW(Auction!$M$13:$M$437)-MIN(ROW(Auction!$M$13:$M$437))+1),""),ROW(G8)),1),""))</f>
        <v/>
      </c>
      <c r="I108" s="141">
        <f>IF(ISERROR(VLOOKUP(H108,Auction!$A$13:$I$437,7,FALSE)),0,VLOOKUP(H108,Auction!$A$13:$I$437,8,FALSE))</f>
        <v>0</v>
      </c>
      <c r="J108" s="142">
        <f>IFERROR(VLOOKUP(H108,Auction!$A$13:$I$437,9,FALSE)-I108,0)</f>
        <v>0</v>
      </c>
      <c r="K108" s="148" t="str">
        <f>IFERROR(INDEX(Auction!$C$13:$C$437,MATCH(H108,Auction!$A$13:$A$437,0)),"")</f>
        <v/>
      </c>
    </row>
    <row r="109" spans="1:11" x14ac:dyDescent="0.35">
      <c r="A109" s="132" t="str">
        <f>IFERROR(INDEX(Auction!$B$13:$B$437,MATCH(B109,Auction!$A$13:$A$437,0)),"")</f>
        <v/>
      </c>
      <c r="B109" s="206" t="str">
        <f t="array" ref="B109">IF($A$99=0,"",IFERROR(INDEX(Auction!$A$13:$M$437,SMALL(IF(Auction!$M$13:$M$437=$A$99,(ROW(Auction!$M$13:$M$437)-MIN(ROW(Auction!$M$13:$M$437))+1),""),ROW(A9)),1),""))</f>
        <v/>
      </c>
      <c r="C109" s="141">
        <f>IF(ISERROR(VLOOKUP(B109,Auction!$A$13:$I$437,7,FALSE)),0,VLOOKUP(B109,Auction!$A$13:$I$437,8,FALSE))</f>
        <v>0</v>
      </c>
      <c r="D109" s="142">
        <f>IFERROR(VLOOKUP(B109,Auction!$A$13:$I$437,9,FALSE)-C109,0)</f>
        <v>0</v>
      </c>
      <c r="E109" s="149" t="str">
        <f>IFERROR(INDEX(Auction!$C$13:$C$437,MATCH(B109,Auction!$A$13:$A$437,0)),"")</f>
        <v/>
      </c>
      <c r="G109" s="132" t="str">
        <f>IFERROR(INDEX(Auction!$B$13:$B$437,MATCH(H109,Auction!$A$13:$A$437,0)),"")</f>
        <v/>
      </c>
      <c r="H109" s="206" t="str">
        <f t="array" ref="H109">IF($G$99=0,"",IFERROR(INDEX(Auction!$A$13:$M$437,SMALL(IF(Auction!$M$13:$M$437=$G$99,(ROW(Auction!$M$13:$M$437)-MIN(ROW(Auction!$M$13:$M$437))+1),""),ROW(G9)),1),""))</f>
        <v/>
      </c>
      <c r="I109" s="141">
        <f>IF(ISERROR(VLOOKUP(H109,Auction!$A$13:$I$437,7,FALSE)),0,VLOOKUP(H109,Auction!$A$13:$I$437,8,FALSE))</f>
        <v>0</v>
      </c>
      <c r="J109" s="142">
        <f>IFERROR(VLOOKUP(H109,Auction!$A$13:$I$437,9,FALSE)-I109,0)</f>
        <v>0</v>
      </c>
      <c r="K109" s="149" t="str">
        <f>IFERROR(INDEX(Auction!$C$13:$C$437,MATCH(H109,Auction!$A$13:$A$437,0)),"")</f>
        <v/>
      </c>
    </row>
    <row r="110" spans="1:11" x14ac:dyDescent="0.35">
      <c r="A110" s="132" t="str">
        <f>IFERROR(INDEX(Auction!$B$13:$B$437,MATCH(B110,Auction!$A$13:$A$437,0)),"")</f>
        <v/>
      </c>
      <c r="B110" s="206" t="str">
        <f t="array" ref="B110">IF($A$99=0,"",IFERROR(INDEX(Auction!$A$13:$M$437,SMALL(IF(Auction!$M$13:$M$437=$A$99,(ROW(Auction!$M$13:$M$437)-MIN(ROW(Auction!$M$13:$M$437))+1),""),ROW(A10)),1),""))</f>
        <v/>
      </c>
      <c r="C110" s="141">
        <f>IF(ISERROR(VLOOKUP(B110,Auction!$A$13:$I$437,7,FALSE)),0,VLOOKUP(B110,Auction!$A$13:$I$437,8,FALSE))</f>
        <v>0</v>
      </c>
      <c r="D110" s="142">
        <f>IFERROR(VLOOKUP(B110,Auction!$A$13:$I$437,9,FALSE)-C110,0)</f>
        <v>0</v>
      </c>
      <c r="E110" s="149" t="str">
        <f>IFERROR(INDEX(Auction!$C$13:$C$437,MATCH(B110,Auction!$A$13:$A$437,0)),"")</f>
        <v/>
      </c>
      <c r="G110" s="132" t="str">
        <f>IFERROR(INDEX(Auction!$B$13:$B$437,MATCH(H110,Auction!$A$13:$A$437,0)),"")</f>
        <v/>
      </c>
      <c r="H110" s="206" t="str">
        <f t="array" ref="H110">IF($G$99=0,"",IFERROR(INDEX(Auction!$A$13:$M$437,SMALL(IF(Auction!$M$13:$M$437=$G$99,(ROW(Auction!$M$13:$M$437)-MIN(ROW(Auction!$M$13:$M$437))+1),""),ROW(G10)),1),""))</f>
        <v/>
      </c>
      <c r="I110" s="141">
        <f>IF(ISERROR(VLOOKUP(H110,Auction!$A$13:$I$437,7,FALSE)),0,VLOOKUP(H110,Auction!$A$13:$I$437,8,FALSE))</f>
        <v>0</v>
      </c>
      <c r="J110" s="142">
        <f>IFERROR(VLOOKUP(H110,Auction!$A$13:$I$437,9,FALSE)-I110,0)</f>
        <v>0</v>
      </c>
      <c r="K110" s="149" t="str">
        <f>IFERROR(INDEX(Auction!$C$13:$C$437,MATCH(H110,Auction!$A$13:$A$437,0)),"")</f>
        <v/>
      </c>
    </row>
    <row r="111" spans="1:11" x14ac:dyDescent="0.35">
      <c r="A111" s="132" t="str">
        <f>IFERROR(INDEX(Auction!$B$13:$B$437,MATCH(B111,Auction!$A$13:$A$437,0)),"")</f>
        <v/>
      </c>
      <c r="B111" s="206" t="str">
        <f t="array" ref="B111">IF($A$99=0,"",IFERROR(INDEX(Auction!$A$13:$M$437,SMALL(IF(Auction!$M$13:$M$437=$A$99,(ROW(Auction!$M$13:$M$437)-MIN(ROW(Auction!$M$13:$M$437))+1),""),ROW(A11)),1),""))</f>
        <v/>
      </c>
      <c r="C111" s="141">
        <f>IF(ISERROR(VLOOKUP(B111,Auction!$A$13:$I$437,7,FALSE)),0,VLOOKUP(B111,Auction!$A$13:$I$437,8,FALSE))</f>
        <v>0</v>
      </c>
      <c r="D111" s="142">
        <f>IFERROR(VLOOKUP(B111,Auction!$A$13:$I$437,9,FALSE)-C111,0)</f>
        <v>0</v>
      </c>
      <c r="E111" s="149" t="str">
        <f>IFERROR(INDEX(Auction!$C$13:$C$437,MATCH(B111,Auction!$A$13:$A$437,0)),"")</f>
        <v/>
      </c>
      <c r="G111" s="132" t="str">
        <f>IFERROR(INDEX(Auction!$B$13:$B$437,MATCH(H111,Auction!$A$13:$A$437,0)),"")</f>
        <v/>
      </c>
      <c r="H111" s="206" t="str">
        <f t="array" ref="H111">IF($G$99=0,"",IFERROR(INDEX(Auction!$A$13:$M$437,SMALL(IF(Auction!$M$13:$M$437=$G$99,(ROW(Auction!$M$13:$M$437)-MIN(ROW(Auction!$M$13:$M$437))+1),""),ROW(G11)),1),""))</f>
        <v/>
      </c>
      <c r="I111" s="141">
        <f>IF(ISERROR(VLOOKUP(H111,Auction!$A$13:$I$437,7,FALSE)),0,VLOOKUP(H111,Auction!$A$13:$I$437,8,FALSE))</f>
        <v>0</v>
      </c>
      <c r="J111" s="142">
        <f>IFERROR(VLOOKUP(H111,Auction!$A$13:$I$437,9,FALSE)-I111,0)</f>
        <v>0</v>
      </c>
      <c r="K111" s="149" t="str">
        <f>IFERROR(INDEX(Auction!$C$13:$C$437,MATCH(H111,Auction!$A$13:$A$437,0)),"")</f>
        <v/>
      </c>
    </row>
    <row r="112" spans="1:11" x14ac:dyDescent="0.35">
      <c r="A112" s="132" t="str">
        <f>IFERROR(INDEX(Auction!$B$13:$B$437,MATCH(B112,Auction!$A$13:$A$437,0)),"")</f>
        <v/>
      </c>
      <c r="B112" s="206" t="str">
        <f t="array" ref="B112">IF($A$99=0,"",IFERROR(INDEX(Auction!$A$13:$M$437,SMALL(IF(Auction!$M$13:$M$437=$A$99,(ROW(Auction!$M$13:$M$437)-MIN(ROW(Auction!$M$13:$M$437))+1),""),ROW(A12)),1),""))</f>
        <v/>
      </c>
      <c r="C112" s="141">
        <f>IF(ISERROR(VLOOKUP(B112,Auction!$A$13:$I$437,7,FALSE)),0,VLOOKUP(B112,Auction!$A$13:$I$437,8,FALSE))</f>
        <v>0</v>
      </c>
      <c r="D112" s="142">
        <f>IFERROR(VLOOKUP(B112,Auction!$A$13:$I$437,9,FALSE)-C112,0)</f>
        <v>0</v>
      </c>
      <c r="E112" s="149" t="str">
        <f>IFERROR(INDEX(Auction!$C$13:$C$437,MATCH(B112,Auction!$A$13:$A$437,0)),"")</f>
        <v/>
      </c>
      <c r="G112" s="132" t="str">
        <f>IFERROR(INDEX(Auction!$B$13:$B$437,MATCH(H112,Auction!$A$13:$A$437,0)),"")</f>
        <v/>
      </c>
      <c r="H112" s="206" t="str">
        <f t="array" ref="H112">IF($G$99=0,"",IFERROR(INDEX(Auction!$A$13:$M$437,SMALL(IF(Auction!$M$13:$M$437=$G$99,(ROW(Auction!$M$13:$M$437)-MIN(ROW(Auction!$M$13:$M$437))+1),""),ROW(G12)),1),""))</f>
        <v/>
      </c>
      <c r="I112" s="141">
        <f>IF(ISERROR(VLOOKUP(H112,Auction!$A$13:$I$437,7,FALSE)),0,VLOOKUP(H112,Auction!$A$13:$I$437,8,FALSE))</f>
        <v>0</v>
      </c>
      <c r="J112" s="142">
        <f>IFERROR(VLOOKUP(H112,Auction!$A$13:$I$437,9,FALSE)-I112,0)</f>
        <v>0</v>
      </c>
      <c r="K112" s="149" t="str">
        <f>IFERROR(INDEX(Auction!$C$13:$C$437,MATCH(H112,Auction!$A$13:$A$437,0)),"")</f>
        <v/>
      </c>
    </row>
    <row r="113" spans="1:11" x14ac:dyDescent="0.35">
      <c r="A113" s="132" t="str">
        <f>IFERROR(INDEX(Auction!$B$13:$B$437,MATCH(B113,Auction!$A$13:$A$437,0)),"")</f>
        <v/>
      </c>
      <c r="B113" s="206" t="str">
        <f t="array" ref="B113">IF($A$99=0,"",IFERROR(INDEX(Auction!$A$13:$M$437,SMALL(IF(Auction!$M$13:$M$437=$A$99,(ROW(Auction!$M$13:$M$437)-MIN(ROW(Auction!$M$13:$M$437))+1),""),ROW(A13)),1),""))</f>
        <v/>
      </c>
      <c r="C113" s="141">
        <f>IF(ISERROR(VLOOKUP(B113,Auction!$A$13:$I$437,7,FALSE)),0,VLOOKUP(B113,Auction!$A$13:$I$437,8,FALSE))</f>
        <v>0</v>
      </c>
      <c r="D113" s="142">
        <f>IFERROR(VLOOKUP(B113,Auction!$A$13:$I$437,9,FALSE)-C113,0)</f>
        <v>0</v>
      </c>
      <c r="E113" s="149" t="str">
        <f>IFERROR(INDEX(Auction!$C$13:$C$437,MATCH(B113,Auction!$A$13:$A$437,0)),"")</f>
        <v/>
      </c>
      <c r="G113" s="132" t="str">
        <f>IFERROR(INDEX(Auction!$B$13:$B$437,MATCH(H113,Auction!$A$13:$A$437,0)),"")</f>
        <v/>
      </c>
      <c r="H113" s="206" t="str">
        <f t="array" ref="H113">IF($G$99=0,"",IFERROR(INDEX(Auction!$A$13:$M$437,SMALL(IF(Auction!$M$13:$M$437=$G$99,(ROW(Auction!$M$13:$M$437)-MIN(ROW(Auction!$M$13:$M$437))+1),""),ROW(G13)),1),""))</f>
        <v/>
      </c>
      <c r="I113" s="141">
        <f>IF(ISERROR(VLOOKUP(H113,Auction!$A$13:$I$437,7,FALSE)),0,VLOOKUP(H113,Auction!$A$13:$I$437,8,FALSE))</f>
        <v>0</v>
      </c>
      <c r="J113" s="142">
        <f>IFERROR(VLOOKUP(H113,Auction!$A$13:$I$437,9,FALSE)-I113,0)</f>
        <v>0</v>
      </c>
      <c r="K113" s="149" t="str">
        <f>IFERROR(INDEX(Auction!$C$13:$C$437,MATCH(H113,Auction!$A$13:$A$437,0)),"")</f>
        <v/>
      </c>
    </row>
    <row r="114" spans="1:11" x14ac:dyDescent="0.35">
      <c r="A114" s="132" t="str">
        <f>IFERROR(INDEX(Auction!$B$13:$B$437,MATCH(B114,Auction!$A$13:$A$437,0)),"")</f>
        <v/>
      </c>
      <c r="B114" s="206" t="str">
        <f t="array" ref="B114">IF($A$99=0,"",IFERROR(INDEX(Auction!$A$13:$M$437,SMALL(IF(Auction!$M$13:$M$437=$A$99,(ROW(Auction!$M$13:$M$437)-MIN(ROW(Auction!$M$13:$M$437))+1),""),ROW(A14)),1),""))</f>
        <v/>
      </c>
      <c r="C114" s="141">
        <f>IF(ISERROR(VLOOKUP(B114,Auction!$A$13:$I$437,7,FALSE)),0,VLOOKUP(B114,Auction!$A$13:$I$437,8,FALSE))</f>
        <v>0</v>
      </c>
      <c r="D114" s="142">
        <f>IFERROR(VLOOKUP(B114,Auction!$A$13:$I$437,9,FALSE)-C114,0)</f>
        <v>0</v>
      </c>
      <c r="E114" s="149" t="str">
        <f>IFERROR(INDEX(Auction!$C$13:$C$437,MATCH(B114,Auction!$A$13:$A$437,0)),"")</f>
        <v/>
      </c>
      <c r="G114" s="132" t="str">
        <f>IFERROR(INDEX(Auction!$B$13:$B$437,MATCH(H114,Auction!$A$13:$A$437,0)),"")</f>
        <v/>
      </c>
      <c r="H114" s="206" t="str">
        <f t="array" ref="H114">IF($G$99=0,"",IFERROR(INDEX(Auction!$A$13:$M$437,SMALL(IF(Auction!$M$13:$M$437=$G$99,(ROW(Auction!$M$13:$M$437)-MIN(ROW(Auction!$M$13:$M$437))+1),""),ROW(G14)),1),""))</f>
        <v/>
      </c>
      <c r="I114" s="141">
        <f>IF(ISERROR(VLOOKUP(H114,Auction!$A$13:$I$437,7,FALSE)),0,VLOOKUP(H114,Auction!$A$13:$I$437,8,FALSE))</f>
        <v>0</v>
      </c>
      <c r="J114" s="142">
        <f>IFERROR(VLOOKUP(H114,Auction!$A$13:$I$437,9,FALSE)-I114,0)</f>
        <v>0</v>
      </c>
      <c r="K114" s="149" t="str">
        <f>IFERROR(INDEX(Auction!$C$13:$C$437,MATCH(H114,Auction!$A$13:$A$437,0)),"")</f>
        <v/>
      </c>
    </row>
    <row r="115" spans="1:11" x14ac:dyDescent="0.35">
      <c r="A115" s="132" t="str">
        <f>IFERROR(INDEX(Auction!$B$13:$B$437,MATCH(B115,Auction!$A$13:$A$437,0)),"")</f>
        <v/>
      </c>
      <c r="B115" s="206" t="str">
        <f t="array" ref="B115">IF($A$99=0,"",IFERROR(INDEX(Auction!$A$13:$M$437,SMALL(IF(Auction!$M$13:$M$437=$A$99,(ROW(Auction!$M$13:$M$437)-MIN(ROW(Auction!$M$13:$M$437))+1),""),ROW(A15)),1),""))</f>
        <v/>
      </c>
      <c r="C115" s="141">
        <f>IF(ISERROR(VLOOKUP(B115,Auction!$A$13:$I$437,7,FALSE)),0,VLOOKUP(B115,Auction!$A$13:$I$437,8,FALSE))</f>
        <v>0</v>
      </c>
      <c r="D115" s="142">
        <f>IFERROR(VLOOKUP(B115,Auction!$A$13:$I$437,9,FALSE)-C115,0)</f>
        <v>0</v>
      </c>
      <c r="E115" s="149" t="str">
        <f>IFERROR(INDEX(Auction!$C$13:$C$437,MATCH(B115,Auction!$A$13:$A$437,0)),"")</f>
        <v/>
      </c>
      <c r="G115" s="132" t="str">
        <f>IFERROR(INDEX(Auction!$B$13:$B$437,MATCH(H115,Auction!$A$13:$A$437,0)),"")</f>
        <v/>
      </c>
      <c r="H115" s="206" t="str">
        <f t="array" ref="H115">IF($G$99=0,"",IFERROR(INDEX(Auction!$A$13:$M$437,SMALL(IF(Auction!$M$13:$M$437=$G$99,(ROW(Auction!$M$13:$M$437)-MIN(ROW(Auction!$M$13:$M$437))+1),""),ROW(G15)),1),""))</f>
        <v/>
      </c>
      <c r="I115" s="141">
        <f>IF(ISERROR(VLOOKUP(H115,Auction!$A$13:$I$437,7,FALSE)),0,VLOOKUP(H115,Auction!$A$13:$I$437,8,FALSE))</f>
        <v>0</v>
      </c>
      <c r="J115" s="142">
        <f>IFERROR(VLOOKUP(H115,Auction!$A$13:$I$437,9,FALSE)-I115,0)</f>
        <v>0</v>
      </c>
      <c r="K115" s="149" t="str">
        <f>IFERROR(INDEX(Auction!$C$13:$C$437,MATCH(H115,Auction!$A$13:$A$437,0)),"")</f>
        <v/>
      </c>
    </row>
    <row r="116" spans="1:11" x14ac:dyDescent="0.35">
      <c r="A116" s="132" t="str">
        <f>IFERROR(INDEX(Auction!$B$13:$B$437,MATCH(B116,Auction!$A$13:$A$437,0)),"")</f>
        <v/>
      </c>
      <c r="B116" s="206" t="str">
        <f t="array" ref="B116">IF($A$99=0,"",IFERROR(INDEX(Auction!$A$13:$M$437,SMALL(IF(Auction!$M$13:$M$437=$A$99,(ROW(Auction!$M$13:$M$437)-MIN(ROW(Auction!$M$13:$M$437))+1),""),ROW(A16)),1),""))</f>
        <v/>
      </c>
      <c r="C116" s="141">
        <f>IF(ISERROR(VLOOKUP(B116,Auction!$A$13:$I$437,7,FALSE)),0,VLOOKUP(B116,Auction!$A$13:$I$437,8,FALSE))</f>
        <v>0</v>
      </c>
      <c r="D116" s="142">
        <f>IFERROR(VLOOKUP(B116,Auction!$A$13:$I$437,9,FALSE)-C116,0)</f>
        <v>0</v>
      </c>
      <c r="E116" s="149" t="str">
        <f>IFERROR(INDEX(Auction!$C$13:$C$437,MATCH(B116,Auction!$A$13:$A$437,0)),"")</f>
        <v/>
      </c>
      <c r="G116" s="132" t="str">
        <f>IFERROR(INDEX(Auction!$B$13:$B$437,MATCH(H116,Auction!$A$13:$A$437,0)),"")</f>
        <v/>
      </c>
      <c r="H116" s="206" t="str">
        <f t="array" ref="H116">IF($G$99=0,"",IFERROR(INDEX(Auction!$A$13:$M$437,SMALL(IF(Auction!$M$13:$M$437=$G$99,(ROW(Auction!$M$13:$M$437)-MIN(ROW(Auction!$M$13:$M$437))+1),""),ROW(G16)),1),""))</f>
        <v/>
      </c>
      <c r="I116" s="141">
        <f>IF(ISERROR(VLOOKUP(H116,Auction!$A$13:$I$437,7,FALSE)),0,VLOOKUP(H116,Auction!$A$13:$I$437,8,FALSE))</f>
        <v>0</v>
      </c>
      <c r="J116" s="142">
        <f>IFERROR(VLOOKUP(H116,Auction!$A$13:$I$437,9,FALSE)-I116,0)</f>
        <v>0</v>
      </c>
      <c r="K116" s="149" t="str">
        <f>IFERROR(INDEX(Auction!$C$13:$C$437,MATCH(H116,Auction!$A$13:$A$437,0)),"")</f>
        <v/>
      </c>
    </row>
    <row r="117" spans="1:11" x14ac:dyDescent="0.35">
      <c r="A117" s="132" t="str">
        <f>IFERROR(INDEX(Auction!$B$13:$B$437,MATCH(B117,Auction!$A$13:$A$437,0)),"")</f>
        <v/>
      </c>
      <c r="B117" s="206" t="str">
        <f t="array" ref="B117">IF($A$99=0,"",IFERROR(INDEX(Auction!$A$13:$M$437,SMALL(IF(Auction!$M$13:$M$437=$A$99,(ROW(Auction!$M$13:$M$437)-MIN(ROW(Auction!$M$13:$M$437))+1),""),ROW(A17)),1),""))</f>
        <v/>
      </c>
      <c r="C117" s="141">
        <f>IF(ISERROR(VLOOKUP(B117,Auction!$A$13:$I$437,7,FALSE)),0,VLOOKUP(B117,Auction!$A$13:$I$437,8,FALSE))</f>
        <v>0</v>
      </c>
      <c r="D117" s="142">
        <f>IFERROR(VLOOKUP(B117,Auction!$A$13:$I$437,9,FALSE)-C117,0)</f>
        <v>0</v>
      </c>
      <c r="E117" s="149" t="str">
        <f>IFERROR(INDEX(Auction!$C$13:$C$437,MATCH(B117,Auction!$A$13:$A$437,0)),"")</f>
        <v/>
      </c>
      <c r="G117" s="132" t="str">
        <f>IFERROR(INDEX(Auction!$B$13:$B$437,MATCH(H117,Auction!$A$13:$A$437,0)),"")</f>
        <v/>
      </c>
      <c r="H117" s="206" t="str">
        <f t="array" ref="H117">IF($G$99=0,"",IFERROR(INDEX(Auction!$A$13:$M$437,SMALL(IF(Auction!$M$13:$M$437=$G$99,(ROW(Auction!$M$13:$M$437)-MIN(ROW(Auction!$M$13:$M$437))+1),""),ROW(G17)),1),""))</f>
        <v/>
      </c>
      <c r="I117" s="141">
        <f>IF(ISERROR(VLOOKUP(H117,Auction!$A$13:$I$437,7,FALSE)),0,VLOOKUP(H117,Auction!$A$13:$I$437,8,FALSE))</f>
        <v>0</v>
      </c>
      <c r="J117" s="142">
        <f>IFERROR(VLOOKUP(H117,Auction!$A$13:$I$437,9,FALSE)-I117,0)</f>
        <v>0</v>
      </c>
      <c r="K117" s="149" t="str">
        <f>IFERROR(INDEX(Auction!$C$13:$C$437,MATCH(H117,Auction!$A$13:$A$437,0)),"")</f>
        <v/>
      </c>
    </row>
    <row r="118" spans="1:11" x14ac:dyDescent="0.35">
      <c r="A118" s="132" t="str">
        <f>IFERROR(INDEX(Auction!$B$13:$B$437,MATCH(B118,Auction!$A$13:$A$437,0)),"")</f>
        <v/>
      </c>
      <c r="B118" s="206" t="str">
        <f t="array" ref="B118">IF($A$99=0,"",IFERROR(INDEX(Auction!$A$13:$M$437,SMALL(IF(Auction!$M$13:$M$437=$A$99,(ROW(Auction!$M$13:$M$437)-MIN(ROW(Auction!$M$13:$M$437))+1),""),ROW(A18)),1),""))</f>
        <v/>
      </c>
      <c r="C118" s="141">
        <f>IF(ISERROR(VLOOKUP(B118,Auction!$A$13:$I$437,7,FALSE)),0,VLOOKUP(B118,Auction!$A$13:$I$437,8,FALSE))</f>
        <v>0</v>
      </c>
      <c r="D118" s="142">
        <f>IFERROR(VLOOKUP(B118,Auction!$A$13:$I$437,9,FALSE)-C118,0)</f>
        <v>0</v>
      </c>
      <c r="E118" s="149" t="str">
        <f>IFERROR(INDEX(Auction!$C$13:$C$437,MATCH(B118,Auction!$A$13:$A$437,0)),"")</f>
        <v/>
      </c>
      <c r="G118" s="132" t="str">
        <f>IFERROR(INDEX(Auction!$B$13:$B$437,MATCH(H118,Auction!$A$13:$A$437,0)),"")</f>
        <v/>
      </c>
      <c r="H118" s="206" t="str">
        <f t="array" ref="H118">IF($G$99=0,"",IFERROR(INDEX(Auction!$A$13:$M$437,SMALL(IF(Auction!$M$13:$M$437=$G$99,(ROW(Auction!$M$13:$M$437)-MIN(ROW(Auction!$M$13:$M$437))+1),""),ROW(G18)),1),""))</f>
        <v/>
      </c>
      <c r="I118" s="141">
        <f>IF(ISERROR(VLOOKUP(H118,Auction!$A$13:$I$437,7,FALSE)),0,VLOOKUP(H118,Auction!$A$13:$I$437,8,FALSE))</f>
        <v>0</v>
      </c>
      <c r="J118" s="142">
        <f>IFERROR(VLOOKUP(H118,Auction!$A$13:$I$437,9,FALSE)-I118,0)</f>
        <v>0</v>
      </c>
      <c r="K118" s="149" t="str">
        <f>IFERROR(INDEX(Auction!$C$13:$C$437,MATCH(H118,Auction!$A$13:$A$437,0)),"")</f>
        <v/>
      </c>
    </row>
    <row r="119" spans="1:11" x14ac:dyDescent="0.35">
      <c r="A119" s="132" t="str">
        <f>IFERROR(INDEX(Auction!$B$13:$B$437,MATCH(B119,Auction!$A$13:$A$437,0)),"")</f>
        <v/>
      </c>
      <c r="B119" s="206" t="str">
        <f t="array" ref="B119">IF($A$99=0,"",IFERROR(INDEX(Auction!$A$13:$M$437,SMALL(IF(Auction!$M$13:$M$437=$A$99,(ROW(Auction!$M$13:$M$437)-MIN(ROW(Auction!$M$13:$M$437))+1),""),ROW(A19)),1),""))</f>
        <v/>
      </c>
      <c r="C119" s="141">
        <f>IF(ISERROR(VLOOKUP(B119,Auction!$A$13:$I$437,7,FALSE)),0,VLOOKUP(B119,Auction!$A$13:$I$437,8,FALSE))</f>
        <v>0</v>
      </c>
      <c r="D119" s="142">
        <f>IFERROR(VLOOKUP(B119,Auction!$A$13:$I$437,9,FALSE)-C119,0)</f>
        <v>0</v>
      </c>
      <c r="E119" s="149" t="str">
        <f>IFERROR(INDEX(Auction!$C$13:$C$437,MATCH(B119,Auction!$A$13:$A$437,0)),"")</f>
        <v/>
      </c>
      <c r="G119" s="132" t="str">
        <f>IFERROR(INDEX(Auction!$B$13:$B$437,MATCH(H119,Auction!$A$13:$A$437,0)),"")</f>
        <v/>
      </c>
      <c r="H119" s="206" t="str">
        <f t="array" ref="H119">IF($G$99=0,"",IFERROR(INDEX(Auction!$A$13:$M$437,SMALL(IF(Auction!$M$13:$M$437=$G$99,(ROW(Auction!$M$13:$M$437)-MIN(ROW(Auction!$M$13:$M$437))+1),""),ROW(G19)),1),""))</f>
        <v/>
      </c>
      <c r="I119" s="141">
        <f>IF(ISERROR(VLOOKUP(H119,Auction!$A$13:$I$437,7,FALSE)),0,VLOOKUP(H119,Auction!$A$13:$I$437,8,FALSE))</f>
        <v>0</v>
      </c>
      <c r="J119" s="142">
        <f>IFERROR(VLOOKUP(H119,Auction!$A$13:$I$437,9,FALSE)-I119,0)</f>
        <v>0</v>
      </c>
      <c r="K119" s="149" t="str">
        <f>IFERROR(INDEX(Auction!$C$13:$C$437,MATCH(H119,Auction!$A$13:$A$437,0)),"")</f>
        <v/>
      </c>
    </row>
    <row r="120" spans="1:11" x14ac:dyDescent="0.35">
      <c r="A120" s="132" t="str">
        <f>IFERROR(INDEX(Auction!$B$13:$B$437,MATCH(B120,Auction!$A$13:$A$437,0)),"")</f>
        <v/>
      </c>
      <c r="B120" s="206" t="str">
        <f t="array" ref="B120">IF($A$99=0,"",IFERROR(INDEX(Auction!$A$13:$M$437,SMALL(IF(Auction!$M$13:$M$437=$A$99,(ROW(Auction!$M$13:$M$437)-MIN(ROW(Auction!$M$13:$M$437))+1),""),ROW(A20)),1),""))</f>
        <v/>
      </c>
      <c r="C120" s="141">
        <f>IF(ISERROR(VLOOKUP(B120,Auction!$A$13:$I$437,7,FALSE)),0,VLOOKUP(B120,Auction!$A$13:$I$437,8,FALSE))</f>
        <v>0</v>
      </c>
      <c r="D120" s="142">
        <f>IFERROR(VLOOKUP(B120,Auction!$A$13:$I$437,9,FALSE)-C120,0)</f>
        <v>0</v>
      </c>
      <c r="E120" s="149" t="str">
        <f>IFERROR(INDEX(Auction!$C$13:$C$437,MATCH(B120,Auction!$A$13:$A$437,0)),"")</f>
        <v/>
      </c>
      <c r="G120" s="132" t="str">
        <f>IFERROR(INDEX(Auction!$B$13:$B$437,MATCH(H120,Auction!$A$13:$A$437,0)),"")</f>
        <v/>
      </c>
      <c r="H120" s="206" t="str">
        <f t="array" ref="H120">IF($G$99=0,"",IFERROR(INDEX(Auction!$A$13:$M$437,SMALL(IF(Auction!$M$13:$M$437=$G$99,(ROW(Auction!$M$13:$M$437)-MIN(ROW(Auction!$M$13:$M$437))+1),""),ROW(G20)),1),""))</f>
        <v/>
      </c>
      <c r="I120" s="141">
        <f>IF(ISERROR(VLOOKUP(H120,Auction!$A$13:$I$437,7,FALSE)),0,VLOOKUP(H120,Auction!$A$13:$I$437,8,FALSE))</f>
        <v>0</v>
      </c>
      <c r="J120" s="142">
        <f>IFERROR(VLOOKUP(H120,Auction!$A$13:$I$437,9,FALSE)-I120,0)</f>
        <v>0</v>
      </c>
      <c r="K120" s="149" t="str">
        <f>IFERROR(INDEX(Auction!$C$13:$C$437,MATCH(H120,Auction!$A$13:$A$437,0)),"")</f>
        <v/>
      </c>
    </row>
    <row r="121" spans="1:11" x14ac:dyDescent="0.35">
      <c r="A121" s="150"/>
      <c r="B121" s="151"/>
      <c r="C121" s="152">
        <f>SUM(C101:C120)</f>
        <v>0</v>
      </c>
      <c r="D121" s="152">
        <f>SUM(D101:D120)</f>
        <v>0</v>
      </c>
      <c r="E121" s="153"/>
      <c r="G121" s="150"/>
      <c r="H121" s="151"/>
      <c r="I121" s="152">
        <f>SUM(I101:I120)</f>
        <v>0</v>
      </c>
      <c r="J121" s="152">
        <f>SUM(J101:J120)</f>
        <v>0</v>
      </c>
      <c r="K121" s="153"/>
    </row>
    <row r="123" spans="1:11" x14ac:dyDescent="0.35">
      <c r="A123" s="267" t="str">
        <f>H12</f>
        <v>Team 10</v>
      </c>
      <c r="B123" s="268"/>
      <c r="C123" s="268"/>
      <c r="D123" s="268"/>
      <c r="E123" s="269"/>
      <c r="G123" s="267" t="str">
        <f>H13</f>
        <v>Team 11</v>
      </c>
      <c r="H123" s="268"/>
      <c r="I123" s="268"/>
      <c r="J123" s="268"/>
      <c r="K123" s="269"/>
    </row>
    <row r="124" spans="1:11" x14ac:dyDescent="0.35">
      <c r="A124" s="139" t="s">
        <v>310</v>
      </c>
      <c r="B124" s="147" t="s">
        <v>82</v>
      </c>
      <c r="C124" s="129" t="s">
        <v>311</v>
      </c>
      <c r="D124" s="129" t="s">
        <v>312</v>
      </c>
      <c r="E124" s="140" t="s">
        <v>262</v>
      </c>
      <c r="G124" s="139" t="s">
        <v>310</v>
      </c>
      <c r="H124" s="147" t="s">
        <v>82</v>
      </c>
      <c r="I124" s="129" t="s">
        <v>311</v>
      </c>
      <c r="J124" s="129" t="s">
        <v>312</v>
      </c>
      <c r="K124" s="140" t="s">
        <v>262</v>
      </c>
    </row>
    <row r="125" spans="1:11" x14ac:dyDescent="0.35">
      <c r="A125" s="132" t="str">
        <f>IFERROR(INDEX(Auction!$B$13:$B$437,MATCH(B125,Auction!$A$13:$A$437,0)),"")</f>
        <v/>
      </c>
      <c r="B125" s="206" t="str">
        <f t="array" ref="B125">IF($A$123=0,"",IFERROR(INDEX(Auction!$A$13:$M$437,SMALL(IF(Auction!$M$13:$M$437=$A$123,(ROW(Auction!$M$13:$M$437)-MIN(ROW(Auction!$M$13:$M$437))+1),""),ROW(A1)),1),""))</f>
        <v/>
      </c>
      <c r="C125" s="141">
        <f>IF(ISERROR(VLOOKUP(B125,Auction!$A$13:$I$437,7,FALSE)),0,VLOOKUP(B125,Auction!$A$13:$I$437,8,FALSE))</f>
        <v>0</v>
      </c>
      <c r="D125" s="142">
        <f>IFERROR(VLOOKUP(B125,Auction!$A$13:$I$437,9,FALSE)-C125,0)</f>
        <v>0</v>
      </c>
      <c r="E125" s="148" t="str">
        <f>IFERROR(INDEX(Auction!$C$13:$C$437,MATCH(B125,Auction!$A$13:$A$437,0)),"")</f>
        <v/>
      </c>
      <c r="G125" s="132" t="str">
        <f>IFERROR(INDEX(Auction!$B$13:$B$437,MATCH(H125,Auction!$A$13:$A$437,0)),"")</f>
        <v/>
      </c>
      <c r="H125" s="206" t="str">
        <f t="array" ref="H125">IF($G$123=0,"",IFERROR(INDEX(Auction!$A$13:$M$437,SMALL(IF(Auction!$M$13:$M$437=$G$123,(ROW(Auction!$M$13:$M$437)-MIN(ROW(Auction!$M$13:$M$437))+1),""),ROW(G1)),1),""))</f>
        <v/>
      </c>
      <c r="I125" s="141">
        <f>IF(ISERROR(VLOOKUP(H125,Auction!$A$13:$I$437,7,FALSE)),0,VLOOKUP(H125,Auction!$A$13:$I$437,8,FALSE))</f>
        <v>0</v>
      </c>
      <c r="J125" s="142">
        <f>IFERROR(VLOOKUP(H125,Auction!$A$13:$I$437,9,FALSE)-I125,0)</f>
        <v>0</v>
      </c>
      <c r="K125" s="148" t="str">
        <f>IFERROR(INDEX(Auction!$C$13:$C$437,MATCH(H125,Auction!$A$13:$A$437,0)),"")</f>
        <v/>
      </c>
    </row>
    <row r="126" spans="1:11" x14ac:dyDescent="0.35">
      <c r="A126" s="132" t="str">
        <f>IFERROR(INDEX(Auction!$B$13:$B$437,MATCH(B126,Auction!$A$13:$A$437,0)),"")</f>
        <v/>
      </c>
      <c r="B126" s="206" t="str">
        <f t="array" ref="B126">IF($A$123=0,"",IFERROR(INDEX(Auction!$A$13:$M$437,SMALL(IF(Auction!$M$13:$M$437=$A$123,(ROW(Auction!$M$13:$M$437)-MIN(ROW(Auction!$M$13:$M$437))+1),""),ROW(A2)),1),""))</f>
        <v/>
      </c>
      <c r="C126" s="141">
        <f>IF(ISERROR(VLOOKUP(B126,Auction!$A$13:$I$437,7,FALSE)),0,VLOOKUP(B126,Auction!$A$13:$I$437,8,FALSE))</f>
        <v>0</v>
      </c>
      <c r="D126" s="142">
        <f>IFERROR(VLOOKUP(B126,Auction!$A$13:$I$437,9,FALSE)-C126,0)</f>
        <v>0</v>
      </c>
      <c r="E126" s="148" t="str">
        <f>IFERROR(INDEX(Auction!$C$13:$C$437,MATCH(B126,Auction!$A$13:$A$437,0)),"")</f>
        <v/>
      </c>
      <c r="G126" s="132" t="str">
        <f>IFERROR(INDEX(Auction!$B$13:$B$437,MATCH(H126,Auction!$A$13:$A$437,0)),"")</f>
        <v/>
      </c>
      <c r="H126" s="206" t="str">
        <f t="array" ref="H126">IF($G$123=0,"",IFERROR(INDEX(Auction!$A$13:$M$437,SMALL(IF(Auction!$M$13:$M$437=$G$123,(ROW(Auction!$M$13:$M$437)-MIN(ROW(Auction!$M$13:$M$437))+1),""),ROW(G2)),1),""))</f>
        <v/>
      </c>
      <c r="I126" s="141">
        <f>IF(ISERROR(VLOOKUP(H126,Auction!$A$13:$I$437,7,FALSE)),0,VLOOKUP(H126,Auction!$A$13:$I$437,8,FALSE))</f>
        <v>0</v>
      </c>
      <c r="J126" s="142">
        <f>IFERROR(VLOOKUP(H126,Auction!$A$13:$I$437,9,FALSE)-I126,0)</f>
        <v>0</v>
      </c>
      <c r="K126" s="148" t="str">
        <f>IFERROR(INDEX(Auction!$C$13:$C$437,MATCH(H126,Auction!$A$13:$A$437,0)),"")</f>
        <v/>
      </c>
    </row>
    <row r="127" spans="1:11" x14ac:dyDescent="0.35">
      <c r="A127" s="132" t="str">
        <f>IFERROR(INDEX(Auction!$B$13:$B$437,MATCH(B127,Auction!$A$13:$A$437,0)),"")</f>
        <v/>
      </c>
      <c r="B127" s="206" t="str">
        <f t="array" ref="B127">IF($A$123=0,"",IFERROR(INDEX(Auction!$A$13:$M$437,SMALL(IF(Auction!$M$13:$M$437=$A$123,(ROW(Auction!$M$13:$M$437)-MIN(ROW(Auction!$M$13:$M$437))+1),""),ROW(A3)),1),""))</f>
        <v/>
      </c>
      <c r="C127" s="141">
        <f>IF(ISERROR(VLOOKUP(B127,Auction!$A$13:$I$437,7,FALSE)),0,VLOOKUP(B127,Auction!$A$13:$I$437,8,FALSE))</f>
        <v>0</v>
      </c>
      <c r="D127" s="142">
        <f>IFERROR(VLOOKUP(B127,Auction!$A$13:$I$437,9,FALSE)-C127,0)</f>
        <v>0</v>
      </c>
      <c r="E127" s="148" t="str">
        <f>IFERROR(INDEX(Auction!$C$13:$C$437,MATCH(B127,Auction!$A$13:$A$437,0)),"")</f>
        <v/>
      </c>
      <c r="G127" s="132" t="str">
        <f>IFERROR(INDEX(Auction!$B$13:$B$437,MATCH(H127,Auction!$A$13:$A$437,0)),"")</f>
        <v/>
      </c>
      <c r="H127" s="206" t="str">
        <f t="array" ref="H127">IF($G$123=0,"",IFERROR(INDEX(Auction!$A$13:$M$437,SMALL(IF(Auction!$M$13:$M$437=$G$123,(ROW(Auction!$M$13:$M$437)-MIN(ROW(Auction!$M$13:$M$437))+1),""),ROW(G3)),1),""))</f>
        <v/>
      </c>
      <c r="I127" s="141">
        <f>IF(ISERROR(VLOOKUP(H127,Auction!$A$13:$I$437,7,FALSE)),0,VLOOKUP(H127,Auction!$A$13:$I$437,8,FALSE))</f>
        <v>0</v>
      </c>
      <c r="J127" s="142">
        <f>IFERROR(VLOOKUP(H127,Auction!$A$13:$I$437,9,FALSE)-I127,0)</f>
        <v>0</v>
      </c>
      <c r="K127" s="148" t="str">
        <f>IFERROR(INDEX(Auction!$C$13:$C$437,MATCH(H127,Auction!$A$13:$A$437,0)),"")</f>
        <v/>
      </c>
    </row>
    <row r="128" spans="1:11" x14ac:dyDescent="0.35">
      <c r="A128" s="132" t="str">
        <f>IFERROR(INDEX(Auction!$B$13:$B$437,MATCH(B128,Auction!$A$13:$A$437,0)),"")</f>
        <v/>
      </c>
      <c r="B128" s="206" t="str">
        <f t="array" ref="B128">IF($A$123=0,"",IFERROR(INDEX(Auction!$A$13:$M$437,SMALL(IF(Auction!$M$13:$M$437=$A$123,(ROW(Auction!$M$13:$M$437)-MIN(ROW(Auction!$M$13:$M$437))+1),""),ROW(A4)),1),""))</f>
        <v/>
      </c>
      <c r="C128" s="141">
        <f>IF(ISERROR(VLOOKUP(B128,Auction!$A$13:$I$437,7,FALSE)),0,VLOOKUP(B128,Auction!$A$13:$I$437,8,FALSE))</f>
        <v>0</v>
      </c>
      <c r="D128" s="142">
        <f>IFERROR(VLOOKUP(B128,Auction!$A$13:$I$437,9,FALSE)-C128,0)</f>
        <v>0</v>
      </c>
      <c r="E128" s="148" t="str">
        <f>IFERROR(INDEX(Auction!$C$13:$C$437,MATCH(B128,Auction!$A$13:$A$437,0)),"")</f>
        <v/>
      </c>
      <c r="G128" s="132" t="str">
        <f>IFERROR(INDEX(Auction!$B$13:$B$437,MATCH(H128,Auction!$A$13:$A$437,0)),"")</f>
        <v/>
      </c>
      <c r="H128" s="206" t="str">
        <f t="array" ref="H128">IF($G$123=0,"",IFERROR(INDEX(Auction!$A$13:$M$437,SMALL(IF(Auction!$M$13:$M$437=$G$123,(ROW(Auction!$M$13:$M$437)-MIN(ROW(Auction!$M$13:$M$437))+1),""),ROW(G4)),1),""))</f>
        <v/>
      </c>
      <c r="I128" s="141">
        <f>IF(ISERROR(VLOOKUP(H128,Auction!$A$13:$I$437,7,FALSE)),0,VLOOKUP(H128,Auction!$A$13:$I$437,8,FALSE))</f>
        <v>0</v>
      </c>
      <c r="J128" s="142">
        <f>IFERROR(VLOOKUP(H128,Auction!$A$13:$I$437,9,FALSE)-I128,0)</f>
        <v>0</v>
      </c>
      <c r="K128" s="148" t="str">
        <f>IFERROR(INDEX(Auction!$C$13:$C$437,MATCH(H128,Auction!$A$13:$A$437,0)),"")</f>
        <v/>
      </c>
    </row>
    <row r="129" spans="1:11" x14ac:dyDescent="0.35">
      <c r="A129" s="132" t="str">
        <f>IFERROR(INDEX(Auction!$B$13:$B$437,MATCH(B129,Auction!$A$13:$A$437,0)),"")</f>
        <v/>
      </c>
      <c r="B129" s="206" t="str">
        <f t="array" ref="B129">IF($A$123=0,"",IFERROR(INDEX(Auction!$A$13:$M$437,SMALL(IF(Auction!$M$13:$M$437=$A$123,(ROW(Auction!$M$13:$M$437)-MIN(ROW(Auction!$M$13:$M$437))+1),""),ROW(A5)),1),""))</f>
        <v/>
      </c>
      <c r="C129" s="141">
        <f>IF(ISERROR(VLOOKUP(B129,Auction!$A$13:$I$437,7,FALSE)),0,VLOOKUP(B129,Auction!$A$13:$I$437,8,FALSE))</f>
        <v>0</v>
      </c>
      <c r="D129" s="142">
        <f>IFERROR(VLOOKUP(B129,Auction!$A$13:$I$437,9,FALSE)-C129,0)</f>
        <v>0</v>
      </c>
      <c r="E129" s="148" t="str">
        <f>IFERROR(INDEX(Auction!$C$13:$C$437,MATCH(B129,Auction!$A$13:$A$437,0)),"")</f>
        <v/>
      </c>
      <c r="G129" s="132" t="str">
        <f>IFERROR(INDEX(Auction!$B$13:$B$437,MATCH(H129,Auction!$A$13:$A$437,0)),"")</f>
        <v/>
      </c>
      <c r="H129" s="206" t="str">
        <f t="array" ref="H129">IF($G$123=0,"",IFERROR(INDEX(Auction!$A$13:$M$437,SMALL(IF(Auction!$M$13:$M$437=$G$123,(ROW(Auction!$M$13:$M$437)-MIN(ROW(Auction!$M$13:$M$437))+1),""),ROW(G5)),1),""))</f>
        <v/>
      </c>
      <c r="I129" s="141">
        <f>IF(ISERROR(VLOOKUP(H129,Auction!$A$13:$I$437,7,FALSE)),0,VLOOKUP(H129,Auction!$A$13:$I$437,8,FALSE))</f>
        <v>0</v>
      </c>
      <c r="J129" s="142">
        <f>IFERROR(VLOOKUP(H129,Auction!$A$13:$I$437,9,FALSE)-I129,0)</f>
        <v>0</v>
      </c>
      <c r="K129" s="148" t="str">
        <f>IFERROR(INDEX(Auction!$C$13:$C$437,MATCH(H129,Auction!$A$13:$A$437,0)),"")</f>
        <v/>
      </c>
    </row>
    <row r="130" spans="1:11" x14ac:dyDescent="0.35">
      <c r="A130" s="132" t="str">
        <f>IFERROR(INDEX(Auction!$B$13:$B$437,MATCH(B130,Auction!$A$13:$A$437,0)),"")</f>
        <v/>
      </c>
      <c r="B130" s="206" t="str">
        <f t="array" ref="B130">IF($A$123=0,"",IFERROR(INDEX(Auction!$A$13:$M$437,SMALL(IF(Auction!$M$13:$M$437=$A$123,(ROW(Auction!$M$13:$M$437)-MIN(ROW(Auction!$M$13:$M$437))+1),""),ROW(A6)),1),""))</f>
        <v/>
      </c>
      <c r="C130" s="141">
        <f>IF(ISERROR(VLOOKUP(B130,Auction!$A$13:$I$437,7,FALSE)),0,VLOOKUP(B130,Auction!$A$13:$I$437,8,FALSE))</f>
        <v>0</v>
      </c>
      <c r="D130" s="142">
        <f>IFERROR(VLOOKUP(B130,Auction!$A$13:$I$437,9,FALSE)-C130,0)</f>
        <v>0</v>
      </c>
      <c r="E130" s="148" t="str">
        <f>IFERROR(INDEX(Auction!$C$13:$C$437,MATCH(B130,Auction!$A$13:$A$437,0)),"")</f>
        <v/>
      </c>
      <c r="G130" s="132" t="str">
        <f>IFERROR(INDEX(Auction!$B$13:$B$437,MATCH(H130,Auction!$A$13:$A$437,0)),"")</f>
        <v/>
      </c>
      <c r="H130" s="206" t="str">
        <f t="array" ref="H130">IF($G$123=0,"",IFERROR(INDEX(Auction!$A$13:$M$437,SMALL(IF(Auction!$M$13:$M$437=$G$123,(ROW(Auction!$M$13:$M$437)-MIN(ROW(Auction!$M$13:$M$437))+1),""),ROW(G6)),1),""))</f>
        <v/>
      </c>
      <c r="I130" s="141">
        <f>IF(ISERROR(VLOOKUP(H130,Auction!$A$13:$I$437,7,FALSE)),0,VLOOKUP(H130,Auction!$A$13:$I$437,8,FALSE))</f>
        <v>0</v>
      </c>
      <c r="J130" s="142">
        <f>IFERROR(VLOOKUP(H130,Auction!$A$13:$I$437,9,FALSE)-I130,0)</f>
        <v>0</v>
      </c>
      <c r="K130" s="148" t="str">
        <f>IFERROR(INDEX(Auction!$C$13:$C$437,MATCH(H130,Auction!$A$13:$A$437,0)),"")</f>
        <v/>
      </c>
    </row>
    <row r="131" spans="1:11" x14ac:dyDescent="0.35">
      <c r="A131" s="132" t="str">
        <f>IFERROR(INDEX(Auction!$B$13:$B$437,MATCH(B131,Auction!$A$13:$A$437,0)),"")</f>
        <v/>
      </c>
      <c r="B131" s="206" t="str">
        <f t="array" ref="B131">IF($A$123=0,"",IFERROR(INDEX(Auction!$A$13:$M$437,SMALL(IF(Auction!$M$13:$M$437=$A$123,(ROW(Auction!$M$13:$M$437)-MIN(ROW(Auction!$M$13:$M$437))+1),""),ROW(A7)),1),""))</f>
        <v/>
      </c>
      <c r="C131" s="141">
        <f>IF(ISERROR(VLOOKUP(B131,Auction!$A$13:$I$437,7,FALSE)),0,VLOOKUP(B131,Auction!$A$13:$I$437,8,FALSE))</f>
        <v>0</v>
      </c>
      <c r="D131" s="142">
        <f>IFERROR(VLOOKUP(B131,Auction!$A$13:$I$437,9,FALSE)-C131,0)</f>
        <v>0</v>
      </c>
      <c r="E131" s="148" t="str">
        <f>IFERROR(INDEX(Auction!$C$13:$C$437,MATCH(B131,Auction!$A$13:$A$437,0)),"")</f>
        <v/>
      </c>
      <c r="G131" s="132" t="str">
        <f>IFERROR(INDEX(Auction!$B$13:$B$437,MATCH(H131,Auction!$A$13:$A$437,0)),"")</f>
        <v/>
      </c>
      <c r="H131" s="206" t="str">
        <f t="array" ref="H131">IF($G$123=0,"",IFERROR(INDEX(Auction!$A$13:$M$437,SMALL(IF(Auction!$M$13:$M$437=$G$123,(ROW(Auction!$M$13:$M$437)-MIN(ROW(Auction!$M$13:$M$437))+1),""),ROW(G7)),1),""))</f>
        <v/>
      </c>
      <c r="I131" s="141">
        <f>IF(ISERROR(VLOOKUP(H131,Auction!$A$13:$I$437,7,FALSE)),0,VLOOKUP(H131,Auction!$A$13:$I$437,8,FALSE))</f>
        <v>0</v>
      </c>
      <c r="J131" s="142">
        <f>IFERROR(VLOOKUP(H131,Auction!$A$13:$I$437,9,FALSE)-I131,0)</f>
        <v>0</v>
      </c>
      <c r="K131" s="148" t="str">
        <f>IFERROR(INDEX(Auction!$C$13:$C$437,MATCH(H131,Auction!$A$13:$A$437,0)),"")</f>
        <v/>
      </c>
    </row>
    <row r="132" spans="1:11" x14ac:dyDescent="0.35">
      <c r="A132" s="132" t="str">
        <f>IFERROR(INDEX(Auction!$B$13:$B$437,MATCH(B132,Auction!$A$13:$A$437,0)),"")</f>
        <v/>
      </c>
      <c r="B132" s="206" t="str">
        <f t="array" ref="B132">IF($A$123=0,"",IFERROR(INDEX(Auction!$A$13:$M$437,SMALL(IF(Auction!$M$13:$M$437=$A$123,(ROW(Auction!$M$13:$M$437)-MIN(ROW(Auction!$M$13:$M$437))+1),""),ROW(A8)),1),""))</f>
        <v/>
      </c>
      <c r="C132" s="141">
        <f>IF(ISERROR(VLOOKUP(B132,Auction!$A$13:$I$437,7,FALSE)),0,VLOOKUP(B132,Auction!$A$13:$I$437,8,FALSE))</f>
        <v>0</v>
      </c>
      <c r="D132" s="142">
        <f>IFERROR(VLOOKUP(B132,Auction!$A$13:$I$437,9,FALSE)-C132,0)</f>
        <v>0</v>
      </c>
      <c r="E132" s="148" t="str">
        <f>IFERROR(INDEX(Auction!$C$13:$C$437,MATCH(B132,Auction!$A$13:$A$437,0)),"")</f>
        <v/>
      </c>
      <c r="G132" s="132" t="str">
        <f>IFERROR(INDEX(Auction!$B$13:$B$437,MATCH(H132,Auction!$A$13:$A$437,0)),"")</f>
        <v/>
      </c>
      <c r="H132" s="206" t="str">
        <f t="array" ref="H132">IF($G$123=0,"",IFERROR(INDEX(Auction!$A$13:$M$437,SMALL(IF(Auction!$M$13:$M$437=$G$123,(ROW(Auction!$M$13:$M$437)-MIN(ROW(Auction!$M$13:$M$437))+1),""),ROW(G8)),1),""))</f>
        <v/>
      </c>
      <c r="I132" s="141">
        <f>IF(ISERROR(VLOOKUP(H132,Auction!$A$13:$I$437,7,FALSE)),0,VLOOKUP(H132,Auction!$A$13:$I$437,8,FALSE))</f>
        <v>0</v>
      </c>
      <c r="J132" s="142">
        <f>IFERROR(VLOOKUP(H132,Auction!$A$13:$I$437,9,FALSE)-I132,0)</f>
        <v>0</v>
      </c>
      <c r="K132" s="148" t="str">
        <f>IFERROR(INDEX(Auction!$C$13:$C$437,MATCH(H132,Auction!$A$13:$A$437,0)),"")</f>
        <v/>
      </c>
    </row>
    <row r="133" spans="1:11" x14ac:dyDescent="0.35">
      <c r="A133" s="132" t="str">
        <f>IFERROR(INDEX(Auction!$B$13:$B$437,MATCH(B133,Auction!$A$13:$A$437,0)),"")</f>
        <v/>
      </c>
      <c r="B133" s="206" t="str">
        <f t="array" ref="B133">IF($A$123=0,"",IFERROR(INDEX(Auction!$A$13:$M$437,SMALL(IF(Auction!$M$13:$M$437=$A$123,(ROW(Auction!$M$13:$M$437)-MIN(ROW(Auction!$M$13:$M$437))+1),""),ROW(A9)),1),""))</f>
        <v/>
      </c>
      <c r="C133" s="141">
        <f>IF(ISERROR(VLOOKUP(B133,Auction!$A$13:$I$437,7,FALSE)),0,VLOOKUP(B133,Auction!$A$13:$I$437,8,FALSE))</f>
        <v>0</v>
      </c>
      <c r="D133" s="142">
        <f>IFERROR(VLOOKUP(B133,Auction!$A$13:$I$437,9,FALSE)-C133,0)</f>
        <v>0</v>
      </c>
      <c r="E133" s="149" t="str">
        <f>IFERROR(INDEX(Auction!$C$13:$C$437,MATCH(B133,Auction!$A$13:$A$437,0)),"")</f>
        <v/>
      </c>
      <c r="G133" s="132" t="str">
        <f>IFERROR(INDEX(Auction!$B$13:$B$437,MATCH(H133,Auction!$A$13:$A$437,0)),"")</f>
        <v/>
      </c>
      <c r="H133" s="206" t="str">
        <f t="array" ref="H133">IF($G$123=0,"",IFERROR(INDEX(Auction!$A$13:$M$437,SMALL(IF(Auction!$M$13:$M$437=$G$123,(ROW(Auction!$M$13:$M$437)-MIN(ROW(Auction!$M$13:$M$437))+1),""),ROW(G9)),1),""))</f>
        <v/>
      </c>
      <c r="I133" s="141">
        <f>IF(ISERROR(VLOOKUP(H133,Auction!$A$13:$I$437,7,FALSE)),0,VLOOKUP(H133,Auction!$A$13:$I$437,8,FALSE))</f>
        <v>0</v>
      </c>
      <c r="J133" s="142">
        <f>IFERROR(VLOOKUP(H133,Auction!$A$13:$I$437,9,FALSE)-I133,0)</f>
        <v>0</v>
      </c>
      <c r="K133" s="149" t="str">
        <f>IFERROR(INDEX(Auction!$C$13:$C$437,MATCH(H133,Auction!$A$13:$A$437,0)),"")</f>
        <v/>
      </c>
    </row>
    <row r="134" spans="1:11" x14ac:dyDescent="0.35">
      <c r="A134" s="132" t="str">
        <f>IFERROR(INDEX(Auction!$B$13:$B$437,MATCH(B134,Auction!$A$13:$A$437,0)),"")</f>
        <v/>
      </c>
      <c r="B134" s="206" t="str">
        <f t="array" ref="B134">IF($A$123=0,"",IFERROR(INDEX(Auction!$A$13:$M$437,SMALL(IF(Auction!$M$13:$M$437=$A$123,(ROW(Auction!$M$13:$M$437)-MIN(ROW(Auction!$M$13:$M$437))+1),""),ROW(A10)),1),""))</f>
        <v/>
      </c>
      <c r="C134" s="141">
        <f>IF(ISERROR(VLOOKUP(B134,Auction!$A$13:$I$437,7,FALSE)),0,VLOOKUP(B134,Auction!$A$13:$I$437,8,FALSE))</f>
        <v>0</v>
      </c>
      <c r="D134" s="142">
        <f>IFERROR(VLOOKUP(B134,Auction!$A$13:$I$437,9,FALSE)-C134,0)</f>
        <v>0</v>
      </c>
      <c r="E134" s="149" t="str">
        <f>IFERROR(INDEX(Auction!$C$13:$C$437,MATCH(B134,Auction!$A$13:$A$437,0)),"")</f>
        <v/>
      </c>
      <c r="G134" s="132" t="str">
        <f>IFERROR(INDEX(Auction!$B$13:$B$437,MATCH(H134,Auction!$A$13:$A$437,0)),"")</f>
        <v/>
      </c>
      <c r="H134" s="206" t="str">
        <f t="array" ref="H134">IF($G$123=0,"",IFERROR(INDEX(Auction!$A$13:$M$437,SMALL(IF(Auction!$M$13:$M$437=$G$123,(ROW(Auction!$M$13:$M$437)-MIN(ROW(Auction!$M$13:$M$437))+1),""),ROW(G10)),1),""))</f>
        <v/>
      </c>
      <c r="I134" s="141">
        <f>IF(ISERROR(VLOOKUP(H134,Auction!$A$13:$I$437,7,FALSE)),0,VLOOKUP(H134,Auction!$A$13:$I$437,8,FALSE))</f>
        <v>0</v>
      </c>
      <c r="J134" s="142">
        <f>IFERROR(VLOOKUP(H134,Auction!$A$13:$I$437,9,FALSE)-I134,0)</f>
        <v>0</v>
      </c>
      <c r="K134" s="149" t="str">
        <f>IFERROR(INDEX(Auction!$C$13:$C$437,MATCH(H134,Auction!$A$13:$A$437,0)),"")</f>
        <v/>
      </c>
    </row>
    <row r="135" spans="1:11" x14ac:dyDescent="0.35">
      <c r="A135" s="132" t="str">
        <f>IFERROR(INDEX(Auction!$B$13:$B$437,MATCH(B135,Auction!$A$13:$A$437,0)),"")</f>
        <v/>
      </c>
      <c r="B135" s="206" t="str">
        <f t="array" ref="B135">IF($A$123=0,"",IFERROR(INDEX(Auction!$A$13:$M$437,SMALL(IF(Auction!$M$13:$M$437=$A$123,(ROW(Auction!$M$13:$M$437)-MIN(ROW(Auction!$M$13:$M$437))+1),""),ROW(A11)),1),""))</f>
        <v/>
      </c>
      <c r="C135" s="141">
        <f>IF(ISERROR(VLOOKUP(B135,Auction!$A$13:$I$437,7,FALSE)),0,VLOOKUP(B135,Auction!$A$13:$I$437,8,FALSE))</f>
        <v>0</v>
      </c>
      <c r="D135" s="142">
        <f>IFERROR(VLOOKUP(B135,Auction!$A$13:$I$437,9,FALSE)-C135,0)</f>
        <v>0</v>
      </c>
      <c r="E135" s="149" t="str">
        <f>IFERROR(INDEX(Auction!$C$13:$C$437,MATCH(B135,Auction!$A$13:$A$437,0)),"")</f>
        <v/>
      </c>
      <c r="G135" s="132" t="str">
        <f>IFERROR(INDEX(Auction!$B$13:$B$437,MATCH(H135,Auction!$A$13:$A$437,0)),"")</f>
        <v/>
      </c>
      <c r="H135" s="206" t="str">
        <f t="array" ref="H135">IF($G$123=0,"",IFERROR(INDEX(Auction!$A$13:$M$437,SMALL(IF(Auction!$M$13:$M$437=$G$123,(ROW(Auction!$M$13:$M$437)-MIN(ROW(Auction!$M$13:$M$437))+1),""),ROW(G11)),1),""))</f>
        <v/>
      </c>
      <c r="I135" s="141">
        <f>IF(ISERROR(VLOOKUP(H135,Auction!$A$13:$I$437,7,FALSE)),0,VLOOKUP(H135,Auction!$A$13:$I$437,8,FALSE))</f>
        <v>0</v>
      </c>
      <c r="J135" s="142">
        <f>IFERROR(VLOOKUP(H135,Auction!$A$13:$I$437,9,FALSE)-I135,0)</f>
        <v>0</v>
      </c>
      <c r="K135" s="149" t="str">
        <f>IFERROR(INDEX(Auction!$C$13:$C$437,MATCH(H135,Auction!$A$13:$A$437,0)),"")</f>
        <v/>
      </c>
    </row>
    <row r="136" spans="1:11" x14ac:dyDescent="0.35">
      <c r="A136" s="132" t="str">
        <f>IFERROR(INDEX(Auction!$B$13:$B$437,MATCH(B136,Auction!$A$13:$A$437,0)),"")</f>
        <v/>
      </c>
      <c r="B136" s="206" t="str">
        <f t="array" ref="B136">IF($A$123=0,"",IFERROR(INDEX(Auction!$A$13:$M$437,SMALL(IF(Auction!$M$13:$M$437=$A$123,(ROW(Auction!$M$13:$M$437)-MIN(ROW(Auction!$M$13:$M$437))+1),""),ROW(A12)),1),""))</f>
        <v/>
      </c>
      <c r="C136" s="141">
        <f>IF(ISERROR(VLOOKUP(B136,Auction!$A$13:$I$437,7,FALSE)),0,VLOOKUP(B136,Auction!$A$13:$I$437,8,FALSE))</f>
        <v>0</v>
      </c>
      <c r="D136" s="142">
        <f>IFERROR(VLOOKUP(B136,Auction!$A$13:$I$437,9,FALSE)-C136,0)</f>
        <v>0</v>
      </c>
      <c r="E136" s="149" t="str">
        <f>IFERROR(INDEX(Auction!$C$13:$C$437,MATCH(B136,Auction!$A$13:$A$437,0)),"")</f>
        <v/>
      </c>
      <c r="G136" s="132" t="str">
        <f>IFERROR(INDEX(Auction!$B$13:$B$437,MATCH(H136,Auction!$A$13:$A$437,0)),"")</f>
        <v/>
      </c>
      <c r="H136" s="206" t="str">
        <f t="array" ref="H136">IF($G$123=0,"",IFERROR(INDEX(Auction!$A$13:$M$437,SMALL(IF(Auction!$M$13:$M$437=$G$123,(ROW(Auction!$M$13:$M$437)-MIN(ROW(Auction!$M$13:$M$437))+1),""),ROW(G12)),1),""))</f>
        <v/>
      </c>
      <c r="I136" s="141">
        <f>IF(ISERROR(VLOOKUP(H136,Auction!$A$13:$I$437,7,FALSE)),0,VLOOKUP(H136,Auction!$A$13:$I$437,8,FALSE))</f>
        <v>0</v>
      </c>
      <c r="J136" s="142">
        <f>IFERROR(VLOOKUP(H136,Auction!$A$13:$I$437,9,FALSE)-I136,0)</f>
        <v>0</v>
      </c>
      <c r="K136" s="149" t="str">
        <f>IFERROR(INDEX(Auction!$C$13:$C$437,MATCH(H136,Auction!$A$13:$A$437,0)),"")</f>
        <v/>
      </c>
    </row>
    <row r="137" spans="1:11" x14ac:dyDescent="0.35">
      <c r="A137" s="132" t="str">
        <f>IFERROR(INDEX(Auction!$B$13:$B$437,MATCH(B137,Auction!$A$13:$A$437,0)),"")</f>
        <v/>
      </c>
      <c r="B137" s="206" t="str">
        <f t="array" ref="B137">IF($A$123=0,"",IFERROR(INDEX(Auction!$A$13:$M$437,SMALL(IF(Auction!$M$13:$M$437=$A$123,(ROW(Auction!$M$13:$M$437)-MIN(ROW(Auction!$M$13:$M$437))+1),""),ROW(A13)),1),""))</f>
        <v/>
      </c>
      <c r="C137" s="141">
        <f>IF(ISERROR(VLOOKUP(B137,Auction!$A$13:$I$437,7,FALSE)),0,VLOOKUP(B137,Auction!$A$13:$I$437,8,FALSE))</f>
        <v>0</v>
      </c>
      <c r="D137" s="142">
        <f>IFERROR(VLOOKUP(B137,Auction!$A$13:$I$437,9,FALSE)-C137,0)</f>
        <v>0</v>
      </c>
      <c r="E137" s="149" t="str">
        <f>IFERROR(INDEX(Auction!$C$13:$C$437,MATCH(B137,Auction!$A$13:$A$437,0)),"")</f>
        <v/>
      </c>
      <c r="G137" s="132" t="str">
        <f>IFERROR(INDEX(Auction!$B$13:$B$437,MATCH(H137,Auction!$A$13:$A$437,0)),"")</f>
        <v/>
      </c>
      <c r="H137" s="206" t="str">
        <f t="array" ref="H137">IF($G$123=0,"",IFERROR(INDEX(Auction!$A$13:$M$437,SMALL(IF(Auction!$M$13:$M$437=$G$123,(ROW(Auction!$M$13:$M$437)-MIN(ROW(Auction!$M$13:$M$437))+1),""),ROW(G13)),1),""))</f>
        <v/>
      </c>
      <c r="I137" s="141">
        <f>IF(ISERROR(VLOOKUP(H137,Auction!$A$13:$I$437,7,FALSE)),0,VLOOKUP(H137,Auction!$A$13:$I$437,8,FALSE))</f>
        <v>0</v>
      </c>
      <c r="J137" s="142">
        <f>IFERROR(VLOOKUP(H137,Auction!$A$13:$I$437,9,FALSE)-I137,0)</f>
        <v>0</v>
      </c>
      <c r="K137" s="149" t="str">
        <f>IFERROR(INDEX(Auction!$C$13:$C$437,MATCH(H137,Auction!$A$13:$A$437,0)),"")</f>
        <v/>
      </c>
    </row>
    <row r="138" spans="1:11" x14ac:dyDescent="0.35">
      <c r="A138" s="132" t="str">
        <f>IFERROR(INDEX(Auction!$B$13:$B$437,MATCH(B138,Auction!$A$13:$A$437,0)),"")</f>
        <v/>
      </c>
      <c r="B138" s="206" t="str">
        <f t="array" ref="B138">IF($A$123=0,"",IFERROR(INDEX(Auction!$A$13:$M$437,SMALL(IF(Auction!$M$13:$M$437=$A$123,(ROW(Auction!$M$13:$M$437)-MIN(ROW(Auction!$M$13:$M$437))+1),""),ROW(A14)),1),""))</f>
        <v/>
      </c>
      <c r="C138" s="141">
        <f>IF(ISERROR(VLOOKUP(B138,Auction!$A$13:$I$437,7,FALSE)),0,VLOOKUP(B138,Auction!$A$13:$I$437,8,FALSE))</f>
        <v>0</v>
      </c>
      <c r="D138" s="142">
        <f>IFERROR(VLOOKUP(B138,Auction!$A$13:$I$437,9,FALSE)-C138,0)</f>
        <v>0</v>
      </c>
      <c r="E138" s="149" t="str">
        <f>IFERROR(INDEX(Auction!$C$13:$C$437,MATCH(B138,Auction!$A$13:$A$437,0)),"")</f>
        <v/>
      </c>
      <c r="G138" s="132" t="str">
        <f>IFERROR(INDEX(Auction!$B$13:$B$437,MATCH(H138,Auction!$A$13:$A$437,0)),"")</f>
        <v/>
      </c>
      <c r="H138" s="206" t="str">
        <f t="array" ref="H138">IF($G$123=0,"",IFERROR(INDEX(Auction!$A$13:$M$437,SMALL(IF(Auction!$M$13:$M$437=$G$123,(ROW(Auction!$M$13:$M$437)-MIN(ROW(Auction!$M$13:$M$437))+1),""),ROW(G14)),1),""))</f>
        <v/>
      </c>
      <c r="I138" s="141">
        <f>IF(ISERROR(VLOOKUP(H138,Auction!$A$13:$I$437,7,FALSE)),0,VLOOKUP(H138,Auction!$A$13:$I$437,8,FALSE))</f>
        <v>0</v>
      </c>
      <c r="J138" s="142">
        <f>IFERROR(VLOOKUP(H138,Auction!$A$13:$I$437,9,FALSE)-I138,0)</f>
        <v>0</v>
      </c>
      <c r="K138" s="149" t="str">
        <f>IFERROR(INDEX(Auction!$C$13:$C$437,MATCH(H138,Auction!$A$13:$A$437,0)),"")</f>
        <v/>
      </c>
    </row>
    <row r="139" spans="1:11" x14ac:dyDescent="0.35">
      <c r="A139" s="132" t="str">
        <f>IFERROR(INDEX(Auction!$B$13:$B$437,MATCH(B139,Auction!$A$13:$A$437,0)),"")</f>
        <v/>
      </c>
      <c r="B139" s="206" t="str">
        <f t="array" ref="B139">IF($A$123=0,"",IFERROR(INDEX(Auction!$A$13:$M$437,SMALL(IF(Auction!$M$13:$M$437=$A$123,(ROW(Auction!$M$13:$M$437)-MIN(ROW(Auction!$M$13:$M$437))+1),""),ROW(A15)),1),""))</f>
        <v/>
      </c>
      <c r="C139" s="141">
        <f>IF(ISERROR(VLOOKUP(B139,Auction!$A$13:$I$437,7,FALSE)),0,VLOOKUP(B139,Auction!$A$13:$I$437,8,FALSE))</f>
        <v>0</v>
      </c>
      <c r="D139" s="142">
        <f>IFERROR(VLOOKUP(B139,Auction!$A$13:$I$437,9,FALSE)-C139,0)</f>
        <v>0</v>
      </c>
      <c r="E139" s="149" t="str">
        <f>IFERROR(INDEX(Auction!$C$13:$C$437,MATCH(B139,Auction!$A$13:$A$437,0)),"")</f>
        <v/>
      </c>
      <c r="G139" s="132" t="str">
        <f>IFERROR(INDEX(Auction!$B$13:$B$437,MATCH(H139,Auction!$A$13:$A$437,0)),"")</f>
        <v/>
      </c>
      <c r="H139" s="206" t="str">
        <f t="array" ref="H139">IF($G$123=0,"",IFERROR(INDEX(Auction!$A$13:$M$437,SMALL(IF(Auction!$M$13:$M$437=$G$123,(ROW(Auction!$M$13:$M$437)-MIN(ROW(Auction!$M$13:$M$437))+1),""),ROW(G15)),1),""))</f>
        <v/>
      </c>
      <c r="I139" s="141">
        <f>IF(ISERROR(VLOOKUP(H139,Auction!$A$13:$I$437,7,FALSE)),0,VLOOKUP(H139,Auction!$A$13:$I$437,8,FALSE))</f>
        <v>0</v>
      </c>
      <c r="J139" s="142">
        <f>IFERROR(VLOOKUP(H139,Auction!$A$13:$I$437,9,FALSE)-I139,0)</f>
        <v>0</v>
      </c>
      <c r="K139" s="149" t="str">
        <f>IFERROR(INDEX(Auction!$C$13:$C$437,MATCH(H139,Auction!$A$13:$A$437,0)),"")</f>
        <v/>
      </c>
    </row>
    <row r="140" spans="1:11" x14ac:dyDescent="0.35">
      <c r="A140" s="132" t="str">
        <f>IFERROR(INDEX(Auction!$B$13:$B$437,MATCH(B140,Auction!$A$13:$A$437,0)),"")</f>
        <v/>
      </c>
      <c r="B140" s="206" t="str">
        <f t="array" ref="B140">IF($A$123=0,"",IFERROR(INDEX(Auction!$A$13:$M$437,SMALL(IF(Auction!$M$13:$M$437=$A$123,(ROW(Auction!$M$13:$M$437)-MIN(ROW(Auction!$M$13:$M$437))+1),""),ROW(A16)),1),""))</f>
        <v/>
      </c>
      <c r="C140" s="141">
        <f>IF(ISERROR(VLOOKUP(B140,Auction!$A$13:$I$437,7,FALSE)),0,VLOOKUP(B140,Auction!$A$13:$I$437,8,FALSE))</f>
        <v>0</v>
      </c>
      <c r="D140" s="142">
        <f>IFERROR(VLOOKUP(B140,Auction!$A$13:$I$437,9,FALSE)-C140,0)</f>
        <v>0</v>
      </c>
      <c r="E140" s="149" t="str">
        <f>IFERROR(INDEX(Auction!$C$13:$C$437,MATCH(B140,Auction!$A$13:$A$437,0)),"")</f>
        <v/>
      </c>
      <c r="G140" s="132" t="str">
        <f>IFERROR(INDEX(Auction!$B$13:$B$437,MATCH(H140,Auction!$A$13:$A$437,0)),"")</f>
        <v/>
      </c>
      <c r="H140" s="206" t="str">
        <f t="array" ref="H140">IF($G$123=0,"",IFERROR(INDEX(Auction!$A$13:$M$437,SMALL(IF(Auction!$M$13:$M$437=$G$123,(ROW(Auction!$M$13:$M$437)-MIN(ROW(Auction!$M$13:$M$437))+1),""),ROW(G16)),1),""))</f>
        <v/>
      </c>
      <c r="I140" s="141">
        <f>IF(ISERROR(VLOOKUP(H140,Auction!$A$13:$I$437,7,FALSE)),0,VLOOKUP(H140,Auction!$A$13:$I$437,8,FALSE))</f>
        <v>0</v>
      </c>
      <c r="J140" s="142">
        <f>IFERROR(VLOOKUP(H140,Auction!$A$13:$I$437,9,FALSE)-I140,0)</f>
        <v>0</v>
      </c>
      <c r="K140" s="149" t="str">
        <f>IFERROR(INDEX(Auction!$C$13:$C$437,MATCH(H140,Auction!$A$13:$A$437,0)),"")</f>
        <v/>
      </c>
    </row>
    <row r="141" spans="1:11" x14ac:dyDescent="0.35">
      <c r="A141" s="132" t="str">
        <f>IFERROR(INDEX(Auction!$B$13:$B$437,MATCH(B141,Auction!$A$13:$A$437,0)),"")</f>
        <v/>
      </c>
      <c r="B141" s="206" t="str">
        <f t="array" ref="B141">IF($A$123=0,"",IFERROR(INDEX(Auction!$A$13:$M$437,SMALL(IF(Auction!$M$13:$M$437=$A$123,(ROW(Auction!$M$13:$M$437)-MIN(ROW(Auction!$M$13:$M$437))+1),""),ROW(A17)),1),""))</f>
        <v/>
      </c>
      <c r="C141" s="141">
        <f>IF(ISERROR(VLOOKUP(B141,Auction!$A$13:$I$437,7,FALSE)),0,VLOOKUP(B141,Auction!$A$13:$I$437,8,FALSE))</f>
        <v>0</v>
      </c>
      <c r="D141" s="142">
        <f>IFERROR(VLOOKUP(B141,Auction!$A$13:$I$437,9,FALSE)-C141,0)</f>
        <v>0</v>
      </c>
      <c r="E141" s="149" t="str">
        <f>IFERROR(INDEX(Auction!$C$13:$C$437,MATCH(B141,Auction!$A$13:$A$437,0)),"")</f>
        <v/>
      </c>
      <c r="G141" s="132" t="str">
        <f>IFERROR(INDEX(Auction!$B$13:$B$437,MATCH(H141,Auction!$A$13:$A$437,0)),"")</f>
        <v/>
      </c>
      <c r="H141" s="206" t="str">
        <f t="array" ref="H141">IF($G$123=0,"",IFERROR(INDEX(Auction!$A$13:$M$437,SMALL(IF(Auction!$M$13:$M$437=$G$123,(ROW(Auction!$M$13:$M$437)-MIN(ROW(Auction!$M$13:$M$437))+1),""),ROW(G17)),1),""))</f>
        <v/>
      </c>
      <c r="I141" s="141">
        <f>IF(ISERROR(VLOOKUP(H141,Auction!$A$13:$I$437,7,FALSE)),0,VLOOKUP(H141,Auction!$A$13:$I$437,8,FALSE))</f>
        <v>0</v>
      </c>
      <c r="J141" s="142">
        <f>IFERROR(VLOOKUP(H141,Auction!$A$13:$I$437,9,FALSE)-I141,0)</f>
        <v>0</v>
      </c>
      <c r="K141" s="149" t="str">
        <f>IFERROR(INDEX(Auction!$C$13:$C$437,MATCH(H141,Auction!$A$13:$A$437,0)),"")</f>
        <v/>
      </c>
    </row>
    <row r="142" spans="1:11" x14ac:dyDescent="0.35">
      <c r="A142" s="132" t="str">
        <f>IFERROR(INDEX(Auction!$B$13:$B$437,MATCH(B142,Auction!$A$13:$A$437,0)),"")</f>
        <v/>
      </c>
      <c r="B142" s="206" t="str">
        <f t="array" ref="B142">IF($A$123=0,"",IFERROR(INDEX(Auction!$A$13:$M$437,SMALL(IF(Auction!$M$13:$M$437=$A$123,(ROW(Auction!$M$13:$M$437)-MIN(ROW(Auction!$M$13:$M$437))+1),""),ROW(A18)),1),""))</f>
        <v/>
      </c>
      <c r="C142" s="141">
        <f>IF(ISERROR(VLOOKUP(B142,Auction!$A$13:$I$437,7,FALSE)),0,VLOOKUP(B142,Auction!$A$13:$I$437,8,FALSE))</f>
        <v>0</v>
      </c>
      <c r="D142" s="142">
        <f>IFERROR(VLOOKUP(B142,Auction!$A$13:$I$437,9,FALSE)-C142,0)</f>
        <v>0</v>
      </c>
      <c r="E142" s="149" t="str">
        <f>IFERROR(INDEX(Auction!$C$13:$C$437,MATCH(B142,Auction!$A$13:$A$437,0)),"")</f>
        <v/>
      </c>
      <c r="G142" s="132" t="str">
        <f>IFERROR(INDEX(Auction!$B$13:$B$437,MATCH(H142,Auction!$A$13:$A$437,0)),"")</f>
        <v/>
      </c>
      <c r="H142" s="206" t="str">
        <f t="array" ref="H142">IF($G$123=0,"",IFERROR(INDEX(Auction!$A$13:$M$437,SMALL(IF(Auction!$M$13:$M$437=$G$123,(ROW(Auction!$M$13:$M$437)-MIN(ROW(Auction!$M$13:$M$437))+1),""),ROW(G18)),1),""))</f>
        <v/>
      </c>
      <c r="I142" s="141">
        <f>IF(ISERROR(VLOOKUP(H142,Auction!$A$13:$I$437,7,FALSE)),0,VLOOKUP(H142,Auction!$A$13:$I$437,8,FALSE))</f>
        <v>0</v>
      </c>
      <c r="J142" s="142">
        <f>IFERROR(VLOOKUP(H142,Auction!$A$13:$I$437,9,FALSE)-I142,0)</f>
        <v>0</v>
      </c>
      <c r="K142" s="149" t="str">
        <f>IFERROR(INDEX(Auction!$C$13:$C$437,MATCH(H142,Auction!$A$13:$A$437,0)),"")</f>
        <v/>
      </c>
    </row>
    <row r="143" spans="1:11" x14ac:dyDescent="0.35">
      <c r="A143" s="132" t="str">
        <f>IFERROR(INDEX(Auction!$B$13:$B$437,MATCH(B143,Auction!$A$13:$A$437,0)),"")</f>
        <v/>
      </c>
      <c r="B143" s="206" t="str">
        <f t="array" ref="B143">IF($A$123=0,"",IFERROR(INDEX(Auction!$A$13:$M$437,SMALL(IF(Auction!$M$13:$M$437=$A$123,(ROW(Auction!$M$13:$M$437)-MIN(ROW(Auction!$M$13:$M$437))+1),""),ROW(A19)),1),""))</f>
        <v/>
      </c>
      <c r="C143" s="141">
        <f>IF(ISERROR(VLOOKUP(B143,Auction!$A$13:$I$437,7,FALSE)),0,VLOOKUP(B143,Auction!$A$13:$I$437,8,FALSE))</f>
        <v>0</v>
      </c>
      <c r="D143" s="142">
        <f>IFERROR(VLOOKUP(B143,Auction!$A$13:$I$437,9,FALSE)-C143,0)</f>
        <v>0</v>
      </c>
      <c r="E143" s="149" t="str">
        <f>IFERROR(INDEX(Auction!$C$13:$C$437,MATCH(B143,Auction!$A$13:$A$437,0)),"")</f>
        <v/>
      </c>
      <c r="G143" s="132" t="str">
        <f>IFERROR(INDEX(Auction!$B$13:$B$437,MATCH(H143,Auction!$A$13:$A$437,0)),"")</f>
        <v/>
      </c>
      <c r="H143" s="206" t="str">
        <f t="array" ref="H143">IF($G$123=0,"",IFERROR(INDEX(Auction!$A$13:$M$437,SMALL(IF(Auction!$M$13:$M$437=$G$123,(ROW(Auction!$M$13:$M$437)-MIN(ROW(Auction!$M$13:$M$437))+1),""),ROW(G19)),1),""))</f>
        <v/>
      </c>
      <c r="I143" s="141">
        <f>IF(ISERROR(VLOOKUP(H143,Auction!$A$13:$I$437,7,FALSE)),0,VLOOKUP(H143,Auction!$A$13:$I$437,8,FALSE))</f>
        <v>0</v>
      </c>
      <c r="J143" s="142">
        <f>IFERROR(VLOOKUP(H143,Auction!$A$13:$I$437,9,FALSE)-I143,0)</f>
        <v>0</v>
      </c>
      <c r="K143" s="149" t="str">
        <f>IFERROR(INDEX(Auction!$C$13:$C$437,MATCH(H143,Auction!$A$13:$A$437,0)),"")</f>
        <v/>
      </c>
    </row>
    <row r="144" spans="1:11" x14ac:dyDescent="0.35">
      <c r="A144" s="132" t="str">
        <f>IFERROR(INDEX(Auction!$B$13:$B$437,MATCH(B144,Auction!$A$13:$A$437,0)),"")</f>
        <v/>
      </c>
      <c r="B144" s="206" t="str">
        <f t="array" ref="B144">IF($A$123=0,"",IFERROR(INDEX(Auction!$A$13:$M$437,SMALL(IF(Auction!$M$13:$M$437=$A$123,(ROW(Auction!$M$13:$M$437)-MIN(ROW(Auction!$M$13:$M$437))+1),""),ROW(A20)),1),""))</f>
        <v/>
      </c>
      <c r="C144" s="141">
        <f>IF(ISERROR(VLOOKUP(B144,Auction!$A$13:$I$437,7,FALSE)),0,VLOOKUP(B144,Auction!$A$13:$I$437,8,FALSE))</f>
        <v>0</v>
      </c>
      <c r="D144" s="142">
        <f>IFERROR(VLOOKUP(B144,Auction!$A$13:$I$437,9,FALSE)-C144,0)</f>
        <v>0</v>
      </c>
      <c r="E144" s="149" t="str">
        <f>IFERROR(INDEX(Auction!$C$13:$C$437,MATCH(B144,Auction!$A$13:$A$437,0)),"")</f>
        <v/>
      </c>
      <c r="G144" s="132" t="str">
        <f>IFERROR(INDEX(Auction!$B$13:$B$437,MATCH(H144,Auction!$A$13:$A$437,0)),"")</f>
        <v/>
      </c>
      <c r="H144" s="206" t="str">
        <f t="array" ref="H144">IF($G$123=0,"",IFERROR(INDEX(Auction!$A$13:$M$437,SMALL(IF(Auction!$M$13:$M$437=$G$123,(ROW(Auction!$M$13:$M$437)-MIN(ROW(Auction!$M$13:$M$437))+1),""),ROW(G20)),1),""))</f>
        <v/>
      </c>
      <c r="I144" s="141">
        <f>IF(ISERROR(VLOOKUP(H144,Auction!$A$13:$I$437,7,FALSE)),0,VLOOKUP(H144,Auction!$A$13:$I$437,8,FALSE))</f>
        <v>0</v>
      </c>
      <c r="J144" s="142">
        <f>IFERROR(VLOOKUP(H144,Auction!$A$13:$I$437,9,FALSE)-I144,0)</f>
        <v>0</v>
      </c>
      <c r="K144" s="149" t="str">
        <f>IFERROR(INDEX(Auction!$C$13:$C$437,MATCH(H144,Auction!$A$13:$A$437,0)),"")</f>
        <v/>
      </c>
    </row>
    <row r="145" spans="1:11" x14ac:dyDescent="0.35">
      <c r="A145" s="150"/>
      <c r="B145" s="151"/>
      <c r="C145" s="152">
        <f>SUM(C125:C144)</f>
        <v>0</v>
      </c>
      <c r="D145" s="152">
        <f>SUM(D125:D144)</f>
        <v>0</v>
      </c>
      <c r="E145" s="153"/>
      <c r="G145" s="150"/>
      <c r="H145" s="151"/>
      <c r="I145" s="152">
        <f>SUM(I125:I144)</f>
        <v>0</v>
      </c>
      <c r="J145" s="152">
        <f>SUM(J125:J144)</f>
        <v>0</v>
      </c>
      <c r="K145" s="153"/>
    </row>
    <row r="147" spans="1:11" x14ac:dyDescent="0.35">
      <c r="A147" s="267" t="str">
        <f>H14</f>
        <v>Team 12</v>
      </c>
      <c r="B147" s="268"/>
      <c r="C147" s="268"/>
      <c r="D147" s="268"/>
      <c r="E147" s="269"/>
      <c r="G147" s="267">
        <f>H15</f>
        <v>0</v>
      </c>
      <c r="H147" s="268"/>
      <c r="I147" s="268"/>
      <c r="J147" s="268"/>
      <c r="K147" s="269"/>
    </row>
    <row r="148" spans="1:11" x14ac:dyDescent="0.35">
      <c r="A148" s="139" t="s">
        <v>310</v>
      </c>
      <c r="B148" s="147" t="s">
        <v>82</v>
      </c>
      <c r="C148" s="129" t="s">
        <v>311</v>
      </c>
      <c r="D148" s="129" t="s">
        <v>312</v>
      </c>
      <c r="E148" s="140" t="s">
        <v>262</v>
      </c>
      <c r="G148" s="139" t="s">
        <v>310</v>
      </c>
      <c r="H148" s="147" t="s">
        <v>82</v>
      </c>
      <c r="I148" s="129" t="s">
        <v>311</v>
      </c>
      <c r="J148" s="129" t="s">
        <v>312</v>
      </c>
      <c r="K148" s="140" t="s">
        <v>262</v>
      </c>
    </row>
    <row r="149" spans="1:11" x14ac:dyDescent="0.35">
      <c r="A149" s="132" t="str">
        <f>IFERROR(INDEX(Auction!$B$13:$B$437,MATCH(B149,Auction!$A$13:$A$437,0)),"")</f>
        <v/>
      </c>
      <c r="B149" s="206" t="str">
        <f t="array" ref="B149">IF($A$147=0,"",IFERROR(INDEX(Auction!$A$13:$M$437,SMALL(IF(Auction!$M$13:$M$437=$A$147,(ROW(Auction!$M$13:$M$437)-MIN(ROW(Auction!$M$13:$M$437))+1),""),ROW($A1)),1),""))</f>
        <v/>
      </c>
      <c r="C149" s="141">
        <f>IF(ISERROR(VLOOKUP(B149,Auction!$A$13:$I$437,7,FALSE)),0,VLOOKUP(B149,Auction!$A$13:$I$437,8,FALSE))</f>
        <v>0</v>
      </c>
      <c r="D149" s="142">
        <f>IFERROR(VLOOKUP(B149,Auction!$A$13:$I$437,9,FALSE)-C149,0)</f>
        <v>0</v>
      </c>
      <c r="E149" s="148" t="str">
        <f>IFERROR(INDEX(Auction!$C$13:$C$437,MATCH(B149,Auction!$A$13:$A$437,0)),"")</f>
        <v/>
      </c>
      <c r="G149" s="132" t="str">
        <f>IFERROR(INDEX(Auction!$B$13:$B$437,MATCH(H149,Auction!$A$13:$A$437,0)),"")</f>
        <v/>
      </c>
      <c r="H149" s="206" t="str">
        <f t="array" ref="H149">IF($G$147=0,"",IFERROR(INDEX(Auction!$A$13:$M$437,SMALL(IF(Auction!$M$13:$M$437=$G$147,(ROW(Auction!$M$13:$M$437)-MIN(ROW(Auction!$M$13:$M$437))+1),""),ROW($G1)),1),""))</f>
        <v/>
      </c>
      <c r="I149" s="141">
        <f>IF(ISERROR(VLOOKUP(H149,Auction!$A$13:$I$437,7,FALSE)),0,VLOOKUP(H149,Auction!$A$13:$I$437,8,FALSE))</f>
        <v>0</v>
      </c>
      <c r="J149" s="142">
        <f>IFERROR(VLOOKUP(H149,Auction!$A$13:$I$437,9,FALSE)-I149,0)</f>
        <v>0</v>
      </c>
      <c r="K149" s="148" t="str">
        <f>IFERROR(INDEX(Auction!$C$13:$C$437,MATCH(H149,Auction!$A$13:$A$437,0)),"")</f>
        <v/>
      </c>
    </row>
    <row r="150" spans="1:11" x14ac:dyDescent="0.35">
      <c r="A150" s="132" t="str">
        <f>IFERROR(INDEX(Auction!$B$13:$B$437,MATCH(B150,Auction!$A$13:$A$437,0)),"")</f>
        <v/>
      </c>
      <c r="B150" s="206" t="str">
        <f t="array" ref="B150">IF($A$147=0,"",IFERROR(INDEX(Auction!$A$13:$M$437,SMALL(IF(Auction!$M$13:$M$437=$A$147,(ROW(Auction!$M$13:$M$437)-MIN(ROW(Auction!$M$13:$M$437))+1),""),ROW($A2)),1),""))</f>
        <v/>
      </c>
      <c r="C150" s="141">
        <f>IF(ISERROR(VLOOKUP(B150,Auction!$A$13:$I$437,7,FALSE)),0,VLOOKUP(B150,Auction!$A$13:$I$437,8,FALSE))</f>
        <v>0</v>
      </c>
      <c r="D150" s="142">
        <f>IFERROR(VLOOKUP(B150,Auction!$A$13:$I$437,9,FALSE)-C150,0)</f>
        <v>0</v>
      </c>
      <c r="E150" s="148" t="str">
        <f>IFERROR(INDEX(Auction!$C$13:$C$437,MATCH(B150,Auction!$A$13:$A$437,0)),"")</f>
        <v/>
      </c>
      <c r="G150" s="132" t="str">
        <f>IFERROR(INDEX(Auction!$B$13:$B$437,MATCH(H150,Auction!$A$13:$A$437,0)),"")</f>
        <v/>
      </c>
      <c r="H150" s="206" t="str">
        <f t="array" ref="H150">IF($G$147=0,"",IFERROR(INDEX(Auction!$A$13:$M$437,SMALL(IF(Auction!$M$13:$M$437=$G$147,(ROW(Auction!$M$13:$M$437)-MIN(ROW(Auction!$M$13:$M$437))+1),""),ROW($G2)),1),""))</f>
        <v/>
      </c>
      <c r="I150" s="141">
        <f>IF(ISERROR(VLOOKUP(H150,Auction!$A$13:$I$437,7,FALSE)),0,VLOOKUP(H150,Auction!$A$13:$I$437,8,FALSE))</f>
        <v>0</v>
      </c>
      <c r="J150" s="142">
        <f>IFERROR(VLOOKUP(H150,Auction!$A$13:$I$437,9,FALSE)-I150,0)</f>
        <v>0</v>
      </c>
      <c r="K150" s="148" t="str">
        <f>IFERROR(INDEX(Auction!$C$13:$C$437,MATCH(H150,Auction!$A$13:$A$437,0)),"")</f>
        <v/>
      </c>
    </row>
    <row r="151" spans="1:11" x14ac:dyDescent="0.35">
      <c r="A151" s="132" t="str">
        <f>IFERROR(INDEX(Auction!$B$13:$B$437,MATCH(B151,Auction!$A$13:$A$437,0)),"")</f>
        <v/>
      </c>
      <c r="B151" s="206" t="str">
        <f t="array" ref="B151">IF($A$147=0,"",IFERROR(INDEX(Auction!$A$13:$M$437,SMALL(IF(Auction!$M$13:$M$437=$A$147,(ROW(Auction!$M$13:$M$437)-MIN(ROW(Auction!$M$13:$M$437))+1),""),ROW($A3)),1),""))</f>
        <v/>
      </c>
      <c r="C151" s="141">
        <f>IF(ISERROR(VLOOKUP(B151,Auction!$A$13:$I$437,7,FALSE)),0,VLOOKUP(B151,Auction!$A$13:$I$437,8,FALSE))</f>
        <v>0</v>
      </c>
      <c r="D151" s="142">
        <f>IFERROR(VLOOKUP(B151,Auction!$A$13:$I$437,9,FALSE)-C151,0)</f>
        <v>0</v>
      </c>
      <c r="E151" s="148" t="str">
        <f>IFERROR(INDEX(Auction!$C$13:$C$437,MATCH(B151,Auction!$A$13:$A$437,0)),"")</f>
        <v/>
      </c>
      <c r="G151" s="132" t="str">
        <f>IFERROR(INDEX(Auction!$B$13:$B$437,MATCH(H151,Auction!$A$13:$A$437,0)),"")</f>
        <v/>
      </c>
      <c r="H151" s="206" t="str">
        <f t="array" ref="H151">IF($G$147=0,"",IFERROR(INDEX(Auction!$A$13:$M$437,SMALL(IF(Auction!$M$13:$M$437=$G$147,(ROW(Auction!$M$13:$M$437)-MIN(ROW(Auction!$M$13:$M$437))+1),""),ROW($G3)),1),""))</f>
        <v/>
      </c>
      <c r="I151" s="141">
        <f>IF(ISERROR(VLOOKUP(H151,Auction!$A$13:$I$437,7,FALSE)),0,VLOOKUP(H151,Auction!$A$13:$I$437,8,FALSE))</f>
        <v>0</v>
      </c>
      <c r="J151" s="142">
        <f>IFERROR(VLOOKUP(H151,Auction!$A$13:$I$437,9,FALSE)-I151,0)</f>
        <v>0</v>
      </c>
      <c r="K151" s="148" t="str">
        <f>IFERROR(INDEX(Auction!$C$13:$C$437,MATCH(H151,Auction!$A$13:$A$437,0)),"")</f>
        <v/>
      </c>
    </row>
    <row r="152" spans="1:11" x14ac:dyDescent="0.35">
      <c r="A152" s="132" t="str">
        <f>IFERROR(INDEX(Auction!$B$13:$B$437,MATCH(B152,Auction!$A$13:$A$437,0)),"")</f>
        <v/>
      </c>
      <c r="B152" s="206" t="str">
        <f t="array" ref="B152">IF($A$147=0,"",IFERROR(INDEX(Auction!$A$13:$M$437,SMALL(IF(Auction!$M$13:$M$437=$A$147,(ROW(Auction!$M$13:$M$437)-MIN(ROW(Auction!$M$13:$M$437))+1),""),ROW($A4)),1),""))</f>
        <v/>
      </c>
      <c r="C152" s="141">
        <f>IF(ISERROR(VLOOKUP(B152,Auction!$A$13:$I$437,7,FALSE)),0,VLOOKUP(B152,Auction!$A$13:$I$437,8,FALSE))</f>
        <v>0</v>
      </c>
      <c r="D152" s="142">
        <f>IFERROR(VLOOKUP(B152,Auction!$A$13:$I$437,9,FALSE)-C152,0)</f>
        <v>0</v>
      </c>
      <c r="E152" s="148" t="str">
        <f>IFERROR(INDEX(Auction!$C$13:$C$437,MATCH(B152,Auction!$A$13:$A$437,0)),"")</f>
        <v/>
      </c>
      <c r="G152" s="132" t="str">
        <f>IFERROR(INDEX(Auction!$B$13:$B$437,MATCH(H152,Auction!$A$13:$A$437,0)),"")</f>
        <v/>
      </c>
      <c r="H152" s="206" t="str">
        <f t="array" ref="H152">IF($G$147=0,"",IFERROR(INDEX(Auction!$A$13:$M$437,SMALL(IF(Auction!$M$13:$M$437=$G$147,(ROW(Auction!$M$13:$M$437)-MIN(ROW(Auction!$M$13:$M$437))+1),""),ROW($G4)),1),""))</f>
        <v/>
      </c>
      <c r="I152" s="141">
        <f>IF(ISERROR(VLOOKUP(H152,Auction!$A$13:$I$437,7,FALSE)),0,VLOOKUP(H152,Auction!$A$13:$I$437,8,FALSE))</f>
        <v>0</v>
      </c>
      <c r="J152" s="142">
        <f>IFERROR(VLOOKUP(H152,Auction!$A$13:$I$437,9,FALSE)-I152,0)</f>
        <v>0</v>
      </c>
      <c r="K152" s="148" t="str">
        <f>IFERROR(INDEX(Auction!$C$13:$C$437,MATCH(H152,Auction!$A$13:$A$437,0)),"")</f>
        <v/>
      </c>
    </row>
    <row r="153" spans="1:11" x14ac:dyDescent="0.35">
      <c r="A153" s="132" t="str">
        <f>IFERROR(INDEX(Auction!$B$13:$B$437,MATCH(B153,Auction!$A$13:$A$437,0)),"")</f>
        <v/>
      </c>
      <c r="B153" s="206" t="str">
        <f t="array" ref="B153">IF($A$147=0,"",IFERROR(INDEX(Auction!$A$13:$M$437,SMALL(IF(Auction!$M$13:$M$437=$A$147,(ROW(Auction!$M$13:$M$437)-MIN(ROW(Auction!$M$13:$M$437))+1),""),ROW($A5)),1),""))</f>
        <v/>
      </c>
      <c r="C153" s="141">
        <f>IF(ISERROR(VLOOKUP(B153,Auction!$A$13:$I$437,7,FALSE)),0,VLOOKUP(B153,Auction!$A$13:$I$437,8,FALSE))</f>
        <v>0</v>
      </c>
      <c r="D153" s="142">
        <f>IFERROR(VLOOKUP(B153,Auction!$A$13:$I$437,9,FALSE)-C153,0)</f>
        <v>0</v>
      </c>
      <c r="E153" s="148" t="str">
        <f>IFERROR(INDEX(Auction!$C$13:$C$437,MATCH(B153,Auction!$A$13:$A$437,0)),"")</f>
        <v/>
      </c>
      <c r="G153" s="132" t="str">
        <f>IFERROR(INDEX(Auction!$B$13:$B$437,MATCH(H153,Auction!$A$13:$A$437,0)),"")</f>
        <v/>
      </c>
      <c r="H153" s="206" t="str">
        <f t="array" ref="H153">IF($G$147=0,"",IFERROR(INDEX(Auction!$A$13:$M$437,SMALL(IF(Auction!$M$13:$M$437=$G$147,(ROW(Auction!$M$13:$M$437)-MIN(ROW(Auction!$M$13:$M$437))+1),""),ROW($G5)),1),""))</f>
        <v/>
      </c>
      <c r="I153" s="141">
        <f>IF(ISERROR(VLOOKUP(H153,Auction!$A$13:$I$437,7,FALSE)),0,VLOOKUP(H153,Auction!$A$13:$I$437,8,FALSE))</f>
        <v>0</v>
      </c>
      <c r="J153" s="142">
        <f>IFERROR(VLOOKUP(H153,Auction!$A$13:$I$437,9,FALSE)-I153,0)</f>
        <v>0</v>
      </c>
      <c r="K153" s="148" t="str">
        <f>IFERROR(INDEX(Auction!$C$13:$C$437,MATCH(H153,Auction!$A$13:$A$437,0)),"")</f>
        <v/>
      </c>
    </row>
    <row r="154" spans="1:11" x14ac:dyDescent="0.35">
      <c r="A154" s="132" t="str">
        <f>IFERROR(INDEX(Auction!$B$13:$B$437,MATCH(B154,Auction!$A$13:$A$437,0)),"")</f>
        <v/>
      </c>
      <c r="B154" s="206" t="str">
        <f t="array" ref="B154">IF($A$147=0,"",IFERROR(INDEX(Auction!$A$13:$M$437,SMALL(IF(Auction!$M$13:$M$437=$A$147,(ROW(Auction!$M$13:$M$437)-MIN(ROW(Auction!$M$13:$M$437))+1),""),ROW($A6)),1),""))</f>
        <v/>
      </c>
      <c r="C154" s="141">
        <f>IF(ISERROR(VLOOKUP(B154,Auction!$A$13:$I$437,7,FALSE)),0,VLOOKUP(B154,Auction!$A$13:$I$437,8,FALSE))</f>
        <v>0</v>
      </c>
      <c r="D154" s="142">
        <f>IFERROR(VLOOKUP(B154,Auction!$A$13:$I$437,9,FALSE)-C154,0)</f>
        <v>0</v>
      </c>
      <c r="E154" s="148" t="str">
        <f>IFERROR(INDEX(Auction!$C$13:$C$437,MATCH(B154,Auction!$A$13:$A$437,0)),"")</f>
        <v/>
      </c>
      <c r="G154" s="132" t="str">
        <f>IFERROR(INDEX(Auction!$B$13:$B$437,MATCH(H154,Auction!$A$13:$A$437,0)),"")</f>
        <v/>
      </c>
      <c r="H154" s="206" t="str">
        <f t="array" ref="H154">IF($G$147=0,"",IFERROR(INDEX(Auction!$A$13:$M$437,SMALL(IF(Auction!$M$13:$M$437=$G$147,(ROW(Auction!$M$13:$M$437)-MIN(ROW(Auction!$M$13:$M$437))+1),""),ROW($G6)),1),""))</f>
        <v/>
      </c>
      <c r="I154" s="141">
        <f>IF(ISERROR(VLOOKUP(H154,Auction!$A$13:$I$437,7,FALSE)),0,VLOOKUP(H154,Auction!$A$13:$I$437,8,FALSE))</f>
        <v>0</v>
      </c>
      <c r="J154" s="142">
        <f>IFERROR(VLOOKUP(H154,Auction!$A$13:$I$437,9,FALSE)-I154,0)</f>
        <v>0</v>
      </c>
      <c r="K154" s="148" t="str">
        <f>IFERROR(INDEX(Auction!$C$13:$C$437,MATCH(H154,Auction!$A$13:$A$437,0)),"")</f>
        <v/>
      </c>
    </row>
    <row r="155" spans="1:11" x14ac:dyDescent="0.35">
      <c r="A155" s="132" t="str">
        <f>IFERROR(INDEX(Auction!$B$13:$B$437,MATCH(B155,Auction!$A$13:$A$437,0)),"")</f>
        <v/>
      </c>
      <c r="B155" s="206" t="str">
        <f t="array" ref="B155">IF($A$147=0,"",IFERROR(INDEX(Auction!$A$13:$M$437,SMALL(IF(Auction!$M$13:$M$437=$A$147,(ROW(Auction!$M$13:$M$437)-MIN(ROW(Auction!$M$13:$M$437))+1),""),ROW($A7)),1),""))</f>
        <v/>
      </c>
      <c r="C155" s="141">
        <f>IF(ISERROR(VLOOKUP(B155,Auction!$A$13:$I$437,7,FALSE)),0,VLOOKUP(B155,Auction!$A$13:$I$437,8,FALSE))</f>
        <v>0</v>
      </c>
      <c r="D155" s="142">
        <f>IFERROR(VLOOKUP(B155,Auction!$A$13:$I$437,9,FALSE)-C155,0)</f>
        <v>0</v>
      </c>
      <c r="E155" s="148" t="str">
        <f>IFERROR(INDEX(Auction!$C$13:$C$437,MATCH(B155,Auction!$A$13:$A$437,0)),"")</f>
        <v/>
      </c>
      <c r="G155" s="132" t="str">
        <f>IFERROR(INDEX(Auction!$B$13:$B$437,MATCH(H155,Auction!$A$13:$A$437,0)),"")</f>
        <v/>
      </c>
      <c r="H155" s="206" t="str">
        <f t="array" ref="H155">IF($G$147=0,"",IFERROR(INDEX(Auction!$A$13:$M$437,SMALL(IF(Auction!$M$13:$M$437=$G$147,(ROW(Auction!$M$13:$M$437)-MIN(ROW(Auction!$M$13:$M$437))+1),""),ROW($G7)),1),""))</f>
        <v/>
      </c>
      <c r="I155" s="141">
        <f>IF(ISERROR(VLOOKUP(H155,Auction!$A$13:$I$437,7,FALSE)),0,VLOOKUP(H155,Auction!$A$13:$I$437,8,FALSE))</f>
        <v>0</v>
      </c>
      <c r="J155" s="142">
        <f>IFERROR(VLOOKUP(H155,Auction!$A$13:$I$437,9,FALSE)-I155,0)</f>
        <v>0</v>
      </c>
      <c r="K155" s="148" t="str">
        <f>IFERROR(INDEX(Auction!$C$13:$C$437,MATCH(H155,Auction!$A$13:$A$437,0)),"")</f>
        <v/>
      </c>
    </row>
    <row r="156" spans="1:11" x14ac:dyDescent="0.35">
      <c r="A156" s="132" t="str">
        <f>IFERROR(INDEX(Auction!$B$13:$B$437,MATCH(B156,Auction!$A$13:$A$437,0)),"")</f>
        <v/>
      </c>
      <c r="B156" s="206" t="str">
        <f t="array" ref="B156">IF($A$147=0,"",IFERROR(INDEX(Auction!$A$13:$M$437,SMALL(IF(Auction!$M$13:$M$437=$A$147,(ROW(Auction!$M$13:$M$437)-MIN(ROW(Auction!$M$13:$M$437))+1),""),ROW($A8)),1),""))</f>
        <v/>
      </c>
      <c r="C156" s="141">
        <f>IF(ISERROR(VLOOKUP(B156,Auction!$A$13:$I$437,7,FALSE)),0,VLOOKUP(B156,Auction!$A$13:$I$437,8,FALSE))</f>
        <v>0</v>
      </c>
      <c r="D156" s="142">
        <f>IFERROR(VLOOKUP(B156,Auction!$A$13:$I$437,9,FALSE)-C156,0)</f>
        <v>0</v>
      </c>
      <c r="E156" s="148" t="str">
        <f>IFERROR(INDEX(Auction!$C$13:$C$437,MATCH(B156,Auction!$A$13:$A$437,0)),"")</f>
        <v/>
      </c>
      <c r="G156" s="132" t="str">
        <f>IFERROR(INDEX(Auction!$B$13:$B$437,MATCH(H156,Auction!$A$13:$A$437,0)),"")</f>
        <v/>
      </c>
      <c r="H156" s="206" t="str">
        <f t="array" ref="H156">IF($G$147=0,"",IFERROR(INDEX(Auction!$A$13:$M$437,SMALL(IF(Auction!$M$13:$M$437=$G$147,(ROW(Auction!$M$13:$M$437)-MIN(ROW(Auction!$M$13:$M$437))+1),""),ROW($G8)),1),""))</f>
        <v/>
      </c>
      <c r="I156" s="141">
        <f>IF(ISERROR(VLOOKUP(H156,Auction!$A$13:$I$437,7,FALSE)),0,VLOOKUP(H156,Auction!$A$13:$I$437,8,FALSE))</f>
        <v>0</v>
      </c>
      <c r="J156" s="142">
        <f>IFERROR(VLOOKUP(H156,Auction!$A$13:$I$437,9,FALSE)-I156,0)</f>
        <v>0</v>
      </c>
      <c r="K156" s="148" t="str">
        <f>IFERROR(INDEX(Auction!$C$13:$C$437,MATCH(H156,Auction!$A$13:$A$437,0)),"")</f>
        <v/>
      </c>
    </row>
    <row r="157" spans="1:11" x14ac:dyDescent="0.35">
      <c r="A157" s="132" t="str">
        <f>IFERROR(INDEX(Auction!$B$13:$B$437,MATCH(B157,Auction!$A$13:$A$437,0)),"")</f>
        <v/>
      </c>
      <c r="B157" s="206" t="str">
        <f t="array" ref="B157">IF($A$147=0,"",IFERROR(INDEX(Auction!$A$13:$M$437,SMALL(IF(Auction!$M$13:$M$437=$A$147,(ROW(Auction!$M$13:$M$437)-MIN(ROW(Auction!$M$13:$M$437))+1),""),ROW($A9)),1),""))</f>
        <v/>
      </c>
      <c r="C157" s="141">
        <f>IF(ISERROR(VLOOKUP(B157,Auction!$A$13:$I$437,7,FALSE)),0,VLOOKUP(B157,Auction!$A$13:$I$437,8,FALSE))</f>
        <v>0</v>
      </c>
      <c r="D157" s="142">
        <f>IFERROR(VLOOKUP(B157,Auction!$A$13:$I$437,9,FALSE)-C157,0)</f>
        <v>0</v>
      </c>
      <c r="E157" s="149" t="str">
        <f>IFERROR(INDEX(Auction!$C$13:$C$437,MATCH(B157,Auction!$A$13:$A$437,0)),"")</f>
        <v/>
      </c>
      <c r="G157" s="132" t="str">
        <f>IFERROR(INDEX(Auction!$B$13:$B$437,MATCH(H157,Auction!$A$13:$A$437,0)),"")</f>
        <v/>
      </c>
      <c r="H157" s="206" t="str">
        <f t="array" ref="H157">IF($G$147=0,"",IFERROR(INDEX(Auction!$A$13:$M$437,SMALL(IF(Auction!$M$13:$M$437=$G$147,(ROW(Auction!$M$13:$M$437)-MIN(ROW(Auction!$M$13:$M$437))+1),""),ROW($G9)),1),""))</f>
        <v/>
      </c>
      <c r="I157" s="141">
        <f>IF(ISERROR(VLOOKUP(H157,Auction!$A$13:$I$437,7,FALSE)),0,VLOOKUP(H157,Auction!$A$13:$I$437,8,FALSE))</f>
        <v>0</v>
      </c>
      <c r="J157" s="142">
        <f>IFERROR(VLOOKUP(H157,Auction!$A$13:$I$437,9,FALSE)-I157,0)</f>
        <v>0</v>
      </c>
      <c r="K157" s="149" t="str">
        <f>IFERROR(INDEX(Auction!$C$13:$C$437,MATCH(H157,Auction!$A$13:$A$437,0)),"")</f>
        <v/>
      </c>
    </row>
    <row r="158" spans="1:11" x14ac:dyDescent="0.35">
      <c r="A158" s="132" t="str">
        <f>IFERROR(INDEX(Auction!$B$13:$B$437,MATCH(B158,Auction!$A$13:$A$437,0)),"")</f>
        <v/>
      </c>
      <c r="B158" s="206" t="str">
        <f t="array" ref="B158">IF($A$147=0,"",IFERROR(INDEX(Auction!$A$13:$M$437,SMALL(IF(Auction!$M$13:$M$437=$A$147,(ROW(Auction!$M$13:$M$437)-MIN(ROW(Auction!$M$13:$M$437))+1),""),ROW($A10)),1),""))</f>
        <v/>
      </c>
      <c r="C158" s="141">
        <f>IF(ISERROR(VLOOKUP(B158,Auction!$A$13:$I$437,7,FALSE)),0,VLOOKUP(B158,Auction!$A$13:$I$437,8,FALSE))</f>
        <v>0</v>
      </c>
      <c r="D158" s="142">
        <f>IFERROR(VLOOKUP(B158,Auction!$A$13:$I$437,9,FALSE)-C158,0)</f>
        <v>0</v>
      </c>
      <c r="E158" s="149" t="str">
        <f>IFERROR(INDEX(Auction!$C$13:$C$437,MATCH(B158,Auction!$A$13:$A$437,0)),"")</f>
        <v/>
      </c>
      <c r="G158" s="132" t="str">
        <f>IFERROR(INDEX(Auction!$B$13:$B$437,MATCH(H158,Auction!$A$13:$A$437,0)),"")</f>
        <v/>
      </c>
      <c r="H158" s="206" t="str">
        <f t="array" ref="H158">IF($G$147=0,"",IFERROR(INDEX(Auction!$A$13:$M$437,SMALL(IF(Auction!$M$13:$M$437=$G$147,(ROW(Auction!$M$13:$M$437)-MIN(ROW(Auction!$M$13:$M$437))+1),""),ROW($G10)),1),""))</f>
        <v/>
      </c>
      <c r="I158" s="141">
        <f>IF(ISERROR(VLOOKUP(H158,Auction!$A$13:$I$437,7,FALSE)),0,VLOOKUP(H158,Auction!$A$13:$I$437,8,FALSE))</f>
        <v>0</v>
      </c>
      <c r="J158" s="142">
        <f>IFERROR(VLOOKUP(H158,Auction!$A$13:$I$437,9,FALSE)-I158,0)</f>
        <v>0</v>
      </c>
      <c r="K158" s="149" t="str">
        <f>IFERROR(INDEX(Auction!$C$13:$C$437,MATCH(H158,Auction!$A$13:$A$437,0)),"")</f>
        <v/>
      </c>
    </row>
    <row r="159" spans="1:11" x14ac:dyDescent="0.35">
      <c r="A159" s="132" t="str">
        <f>IFERROR(INDEX(Auction!$B$13:$B$437,MATCH(B159,Auction!$A$13:$A$437,0)),"")</f>
        <v/>
      </c>
      <c r="B159" s="206" t="str">
        <f t="array" ref="B159">IF($A$147=0,"",IFERROR(INDEX(Auction!$A$13:$M$437,SMALL(IF(Auction!$M$13:$M$437=$A$147,(ROW(Auction!$M$13:$M$437)-MIN(ROW(Auction!$M$13:$M$437))+1),""),ROW($A11)),1),""))</f>
        <v/>
      </c>
      <c r="C159" s="141">
        <f>IF(ISERROR(VLOOKUP(B159,Auction!$A$13:$I$437,7,FALSE)),0,VLOOKUP(B159,Auction!$A$13:$I$437,8,FALSE))</f>
        <v>0</v>
      </c>
      <c r="D159" s="142">
        <f>IFERROR(VLOOKUP(B159,Auction!$A$13:$I$437,9,FALSE)-C159,0)</f>
        <v>0</v>
      </c>
      <c r="E159" s="149" t="str">
        <f>IFERROR(INDEX(Auction!$C$13:$C$437,MATCH(B159,Auction!$A$13:$A$437,0)),"")</f>
        <v/>
      </c>
      <c r="G159" s="132" t="str">
        <f>IFERROR(INDEX(Auction!$B$13:$B$437,MATCH(H159,Auction!$A$13:$A$437,0)),"")</f>
        <v/>
      </c>
      <c r="H159" s="206" t="str">
        <f t="array" ref="H159">IF($G$147=0,"",IFERROR(INDEX(Auction!$A$13:$M$437,SMALL(IF(Auction!$M$13:$M$437=$G$147,(ROW(Auction!$M$13:$M$437)-MIN(ROW(Auction!$M$13:$M$437))+1),""),ROW($G11)),1),""))</f>
        <v/>
      </c>
      <c r="I159" s="141">
        <f>IF(ISERROR(VLOOKUP(H159,Auction!$A$13:$I$437,7,FALSE)),0,VLOOKUP(H159,Auction!$A$13:$I$437,8,FALSE))</f>
        <v>0</v>
      </c>
      <c r="J159" s="142">
        <f>IFERROR(VLOOKUP(H159,Auction!$A$13:$I$437,9,FALSE)-I159,0)</f>
        <v>0</v>
      </c>
      <c r="K159" s="149" t="str">
        <f>IFERROR(INDEX(Auction!$C$13:$C$437,MATCH(H159,Auction!$A$13:$A$437,0)),"")</f>
        <v/>
      </c>
    </row>
    <row r="160" spans="1:11" x14ac:dyDescent="0.35">
      <c r="A160" s="132" t="str">
        <f>IFERROR(INDEX(Auction!$B$13:$B$437,MATCH(B160,Auction!$A$13:$A$437,0)),"")</f>
        <v/>
      </c>
      <c r="B160" s="206" t="str">
        <f t="array" ref="B160">IF($A$147=0,"",IFERROR(INDEX(Auction!$A$13:$M$437,SMALL(IF(Auction!$M$13:$M$437=$A$147,(ROW(Auction!$M$13:$M$437)-MIN(ROW(Auction!$M$13:$M$437))+1),""),ROW($A12)),1),""))</f>
        <v/>
      </c>
      <c r="C160" s="141">
        <f>IF(ISERROR(VLOOKUP(B160,Auction!$A$13:$I$437,7,FALSE)),0,VLOOKUP(B160,Auction!$A$13:$I$437,8,FALSE))</f>
        <v>0</v>
      </c>
      <c r="D160" s="142">
        <f>IFERROR(VLOOKUP(B160,Auction!$A$13:$I$437,9,FALSE)-C160,0)</f>
        <v>0</v>
      </c>
      <c r="E160" s="149" t="str">
        <f>IFERROR(INDEX(Auction!$C$13:$C$437,MATCH(B160,Auction!$A$13:$A$437,0)),"")</f>
        <v/>
      </c>
      <c r="G160" s="132" t="str">
        <f>IFERROR(INDEX(Auction!$B$13:$B$437,MATCH(H160,Auction!$A$13:$A$437,0)),"")</f>
        <v/>
      </c>
      <c r="H160" s="206" t="str">
        <f t="array" ref="H160">IF($G$147=0,"",IFERROR(INDEX(Auction!$A$13:$M$437,SMALL(IF(Auction!$M$13:$M$437=$G$147,(ROW(Auction!$M$13:$M$437)-MIN(ROW(Auction!$M$13:$M$437))+1),""),ROW($G12)),1),""))</f>
        <v/>
      </c>
      <c r="I160" s="141">
        <f>IF(ISERROR(VLOOKUP(H160,Auction!$A$13:$I$437,7,FALSE)),0,VLOOKUP(H160,Auction!$A$13:$I$437,8,FALSE))</f>
        <v>0</v>
      </c>
      <c r="J160" s="142">
        <f>IFERROR(VLOOKUP(H160,Auction!$A$13:$I$437,9,FALSE)-I160,0)</f>
        <v>0</v>
      </c>
      <c r="K160" s="149" t="str">
        <f>IFERROR(INDEX(Auction!$C$13:$C$437,MATCH(H160,Auction!$A$13:$A$437,0)),"")</f>
        <v/>
      </c>
    </row>
    <row r="161" spans="1:11" x14ac:dyDescent="0.35">
      <c r="A161" s="132" t="str">
        <f>IFERROR(INDEX(Auction!$B$13:$B$437,MATCH(B161,Auction!$A$13:$A$437,0)),"")</f>
        <v/>
      </c>
      <c r="B161" s="206" t="str">
        <f t="array" ref="B161">IF($A$147=0,"",IFERROR(INDEX(Auction!$A$13:$M$437,SMALL(IF(Auction!$M$13:$M$437=$A$147,(ROW(Auction!$M$13:$M$437)-MIN(ROW(Auction!$M$13:$M$437))+1),""),ROW($A13)),1),""))</f>
        <v/>
      </c>
      <c r="C161" s="141">
        <f>IF(ISERROR(VLOOKUP(B161,Auction!$A$13:$I$437,7,FALSE)),0,VLOOKUP(B161,Auction!$A$13:$I$437,8,FALSE))</f>
        <v>0</v>
      </c>
      <c r="D161" s="142">
        <f>IFERROR(VLOOKUP(B161,Auction!$A$13:$I$437,9,FALSE)-C161,0)</f>
        <v>0</v>
      </c>
      <c r="E161" s="149" t="str">
        <f>IFERROR(INDEX(Auction!$C$13:$C$437,MATCH(B161,Auction!$A$13:$A$437,0)),"")</f>
        <v/>
      </c>
      <c r="G161" s="132" t="str">
        <f>IFERROR(INDEX(Auction!$B$13:$B$437,MATCH(H161,Auction!$A$13:$A$437,0)),"")</f>
        <v/>
      </c>
      <c r="H161" s="206" t="str">
        <f t="array" ref="H161">IF($G$147=0,"",IFERROR(INDEX(Auction!$A$13:$M$437,SMALL(IF(Auction!$M$13:$M$437=$G$147,(ROW(Auction!$M$13:$M$437)-MIN(ROW(Auction!$M$13:$M$437))+1),""),ROW($G13)),1),""))</f>
        <v/>
      </c>
      <c r="I161" s="141">
        <f>IF(ISERROR(VLOOKUP(H161,Auction!$A$13:$I$437,7,FALSE)),0,VLOOKUP(H161,Auction!$A$13:$I$437,8,FALSE))</f>
        <v>0</v>
      </c>
      <c r="J161" s="142">
        <f>IFERROR(VLOOKUP(H161,Auction!$A$13:$I$437,9,FALSE)-I161,0)</f>
        <v>0</v>
      </c>
      <c r="K161" s="149" t="str">
        <f>IFERROR(INDEX(Auction!$C$13:$C$437,MATCH(H161,Auction!$A$13:$A$437,0)),"")</f>
        <v/>
      </c>
    </row>
    <row r="162" spans="1:11" x14ac:dyDescent="0.35">
      <c r="A162" s="132" t="str">
        <f>IFERROR(INDEX(Auction!$B$13:$B$437,MATCH(B162,Auction!$A$13:$A$437,0)),"")</f>
        <v/>
      </c>
      <c r="B162" s="206" t="str">
        <f t="array" ref="B162">IF($A$147=0,"",IFERROR(INDEX(Auction!$A$13:$M$437,SMALL(IF(Auction!$M$13:$M$437=$A$147,(ROW(Auction!$M$13:$M$437)-MIN(ROW(Auction!$M$13:$M$437))+1),""),ROW($A14)),1),""))</f>
        <v/>
      </c>
      <c r="C162" s="141">
        <f>IF(ISERROR(VLOOKUP(B162,Auction!$A$13:$I$437,7,FALSE)),0,VLOOKUP(B162,Auction!$A$13:$I$437,8,FALSE))</f>
        <v>0</v>
      </c>
      <c r="D162" s="142">
        <f>IFERROR(VLOOKUP(B162,Auction!$A$13:$I$437,9,FALSE)-C162,0)</f>
        <v>0</v>
      </c>
      <c r="E162" s="149" t="str">
        <f>IFERROR(INDEX(Auction!$C$13:$C$437,MATCH(B162,Auction!$A$13:$A$437,0)),"")</f>
        <v/>
      </c>
      <c r="G162" s="132" t="str">
        <f>IFERROR(INDEX(Auction!$B$13:$B$437,MATCH(H162,Auction!$A$13:$A$437,0)),"")</f>
        <v/>
      </c>
      <c r="H162" s="206" t="str">
        <f t="array" ref="H162">IF($G$147=0,"",IFERROR(INDEX(Auction!$A$13:$M$437,SMALL(IF(Auction!$M$13:$M$437=$G$147,(ROW(Auction!$M$13:$M$437)-MIN(ROW(Auction!$M$13:$M$437))+1),""),ROW($G14)),1),""))</f>
        <v/>
      </c>
      <c r="I162" s="141">
        <f>IF(ISERROR(VLOOKUP(H162,Auction!$A$13:$I$437,7,FALSE)),0,VLOOKUP(H162,Auction!$A$13:$I$437,8,FALSE))</f>
        <v>0</v>
      </c>
      <c r="J162" s="142">
        <f>IFERROR(VLOOKUP(H162,Auction!$A$13:$I$437,9,FALSE)-I162,0)</f>
        <v>0</v>
      </c>
      <c r="K162" s="149" t="str">
        <f>IFERROR(INDEX(Auction!$C$13:$C$437,MATCH(H162,Auction!$A$13:$A$437,0)),"")</f>
        <v/>
      </c>
    </row>
    <row r="163" spans="1:11" x14ac:dyDescent="0.35">
      <c r="A163" s="132" t="str">
        <f>IFERROR(INDEX(Auction!$B$13:$B$437,MATCH(B163,Auction!$A$13:$A$437,0)),"")</f>
        <v/>
      </c>
      <c r="B163" s="206" t="str">
        <f t="array" ref="B163">IF($A$147=0,"",IFERROR(INDEX(Auction!$A$13:$M$437,SMALL(IF(Auction!$M$13:$M$437=$A$147,(ROW(Auction!$M$13:$M$437)-MIN(ROW(Auction!$M$13:$M$437))+1),""),ROW($A15)),1),""))</f>
        <v/>
      </c>
      <c r="C163" s="141">
        <f>IF(ISERROR(VLOOKUP(B163,Auction!$A$13:$I$437,7,FALSE)),0,VLOOKUP(B163,Auction!$A$13:$I$437,8,FALSE))</f>
        <v>0</v>
      </c>
      <c r="D163" s="142">
        <f>IFERROR(VLOOKUP(B163,Auction!$A$13:$I$437,9,FALSE)-C163,0)</f>
        <v>0</v>
      </c>
      <c r="E163" s="149" t="str">
        <f>IFERROR(INDEX(Auction!$C$13:$C$437,MATCH(B163,Auction!$A$13:$A$437,0)),"")</f>
        <v/>
      </c>
      <c r="G163" s="132" t="str">
        <f>IFERROR(INDEX(Auction!$B$13:$B$437,MATCH(H163,Auction!$A$13:$A$437,0)),"")</f>
        <v/>
      </c>
      <c r="H163" s="206" t="str">
        <f t="array" ref="H163">IF($G$147=0,"",IFERROR(INDEX(Auction!$A$13:$M$437,SMALL(IF(Auction!$M$13:$M$437=$G$147,(ROW(Auction!$M$13:$M$437)-MIN(ROW(Auction!$M$13:$M$437))+1),""),ROW($G15)),1),""))</f>
        <v/>
      </c>
      <c r="I163" s="141">
        <f>IF(ISERROR(VLOOKUP(H163,Auction!$A$13:$I$437,7,FALSE)),0,VLOOKUP(H163,Auction!$A$13:$I$437,8,FALSE))</f>
        <v>0</v>
      </c>
      <c r="J163" s="142">
        <f>IFERROR(VLOOKUP(H163,Auction!$A$13:$I$437,9,FALSE)-I163,0)</f>
        <v>0</v>
      </c>
      <c r="K163" s="149" t="str">
        <f>IFERROR(INDEX(Auction!$C$13:$C$437,MATCH(H163,Auction!$A$13:$A$437,0)),"")</f>
        <v/>
      </c>
    </row>
    <row r="164" spans="1:11" x14ac:dyDescent="0.35">
      <c r="A164" s="132" t="str">
        <f>IFERROR(INDEX(Auction!$B$13:$B$437,MATCH(B164,Auction!$A$13:$A$437,0)),"")</f>
        <v/>
      </c>
      <c r="B164" s="206" t="str">
        <f t="array" ref="B164">IF($A$147=0,"",IFERROR(INDEX(Auction!$A$13:$M$437,SMALL(IF(Auction!$M$13:$M$437=$A$147,(ROW(Auction!$M$13:$M$437)-MIN(ROW(Auction!$M$13:$M$437))+1),""),ROW($A16)),1),""))</f>
        <v/>
      </c>
      <c r="C164" s="141">
        <f>IF(ISERROR(VLOOKUP(B164,Auction!$A$13:$I$437,7,FALSE)),0,VLOOKUP(B164,Auction!$A$13:$I$437,8,FALSE))</f>
        <v>0</v>
      </c>
      <c r="D164" s="142">
        <f>IFERROR(VLOOKUP(B164,Auction!$A$13:$I$437,9,FALSE)-C164,0)</f>
        <v>0</v>
      </c>
      <c r="E164" s="149" t="str">
        <f>IFERROR(INDEX(Auction!$C$13:$C$437,MATCH(B164,Auction!$A$13:$A$437,0)),"")</f>
        <v/>
      </c>
      <c r="G164" s="132" t="str">
        <f>IFERROR(INDEX(Auction!$B$13:$B$437,MATCH(H164,Auction!$A$13:$A$437,0)),"")</f>
        <v/>
      </c>
      <c r="H164" s="206" t="str">
        <f t="array" ref="H164">IF($G$147=0,"",IFERROR(INDEX(Auction!$A$13:$M$437,SMALL(IF(Auction!$M$13:$M$437=$G$147,(ROW(Auction!$M$13:$M$437)-MIN(ROW(Auction!$M$13:$M$437))+1),""),ROW($G16)),1),""))</f>
        <v/>
      </c>
      <c r="I164" s="141">
        <f>IF(ISERROR(VLOOKUP(H164,Auction!$A$13:$I$437,7,FALSE)),0,VLOOKUP(H164,Auction!$A$13:$I$437,8,FALSE))</f>
        <v>0</v>
      </c>
      <c r="J164" s="142">
        <f>IFERROR(VLOOKUP(H164,Auction!$A$13:$I$437,9,FALSE)-I164,0)</f>
        <v>0</v>
      </c>
      <c r="K164" s="149" t="str">
        <f>IFERROR(INDEX(Auction!$C$13:$C$437,MATCH(H164,Auction!$A$13:$A$437,0)),"")</f>
        <v/>
      </c>
    </row>
    <row r="165" spans="1:11" x14ac:dyDescent="0.35">
      <c r="A165" s="132" t="str">
        <f>IFERROR(INDEX(Auction!$B$13:$B$437,MATCH(B165,Auction!$A$13:$A$437,0)),"")</f>
        <v/>
      </c>
      <c r="B165" s="206" t="str">
        <f t="array" ref="B165">IF($A$147=0,"",IFERROR(INDEX(Auction!$A$13:$M$437,SMALL(IF(Auction!$M$13:$M$437=$A$147,(ROW(Auction!$M$13:$M$437)-MIN(ROW(Auction!$M$13:$M$437))+1),""),ROW($A17)),1),""))</f>
        <v/>
      </c>
      <c r="C165" s="141">
        <f>IF(ISERROR(VLOOKUP(B165,Auction!$A$13:$I$437,7,FALSE)),0,VLOOKUP(B165,Auction!$A$13:$I$437,8,FALSE))</f>
        <v>0</v>
      </c>
      <c r="D165" s="142">
        <f>IFERROR(VLOOKUP(B165,Auction!$A$13:$I$437,9,FALSE)-C165,0)</f>
        <v>0</v>
      </c>
      <c r="E165" s="149" t="str">
        <f>IFERROR(INDEX(Auction!$C$13:$C$437,MATCH(B165,Auction!$A$13:$A$437,0)),"")</f>
        <v/>
      </c>
      <c r="G165" s="132" t="str">
        <f>IFERROR(INDEX(Auction!$B$13:$B$437,MATCH(H165,Auction!$A$13:$A$437,0)),"")</f>
        <v/>
      </c>
      <c r="H165" s="206" t="str">
        <f t="array" ref="H165">IF($G$147=0,"",IFERROR(INDEX(Auction!$A$13:$M$437,SMALL(IF(Auction!$M$13:$M$437=$G$147,(ROW(Auction!$M$13:$M$437)-MIN(ROW(Auction!$M$13:$M$437))+1),""),ROW($G17)),1),""))</f>
        <v/>
      </c>
      <c r="I165" s="141">
        <f>IF(ISERROR(VLOOKUP(H165,Auction!$A$13:$I$437,7,FALSE)),0,VLOOKUP(H165,Auction!$A$13:$I$437,8,FALSE))</f>
        <v>0</v>
      </c>
      <c r="J165" s="142">
        <f>IFERROR(VLOOKUP(H165,Auction!$A$13:$I$437,9,FALSE)-I165,0)</f>
        <v>0</v>
      </c>
      <c r="K165" s="149" t="str">
        <f>IFERROR(INDEX(Auction!$C$13:$C$437,MATCH(H165,Auction!$A$13:$A$437,0)),"")</f>
        <v/>
      </c>
    </row>
    <row r="166" spans="1:11" x14ac:dyDescent="0.35">
      <c r="A166" s="132" t="str">
        <f>IFERROR(INDEX(Auction!$B$13:$B$437,MATCH(B166,Auction!$A$13:$A$437,0)),"")</f>
        <v/>
      </c>
      <c r="B166" s="206" t="str">
        <f t="array" ref="B166">IF($A$147=0,"",IFERROR(INDEX(Auction!$A$13:$M$437,SMALL(IF(Auction!$M$13:$M$437=$A$147,(ROW(Auction!$M$13:$M$437)-MIN(ROW(Auction!$M$13:$M$437))+1),""),ROW($A18)),1),""))</f>
        <v/>
      </c>
      <c r="C166" s="141">
        <f>IF(ISERROR(VLOOKUP(B166,Auction!$A$13:$I$437,7,FALSE)),0,VLOOKUP(B166,Auction!$A$13:$I$437,8,FALSE))</f>
        <v>0</v>
      </c>
      <c r="D166" s="142">
        <f>IFERROR(VLOOKUP(B166,Auction!$A$13:$I$437,9,FALSE)-C166,0)</f>
        <v>0</v>
      </c>
      <c r="E166" s="149" t="str">
        <f>IFERROR(INDEX(Auction!$C$13:$C$437,MATCH(B166,Auction!$A$13:$A$437,0)),"")</f>
        <v/>
      </c>
      <c r="G166" s="132" t="str">
        <f>IFERROR(INDEX(Auction!$B$13:$B$437,MATCH(H166,Auction!$A$13:$A$437,0)),"")</f>
        <v/>
      </c>
      <c r="H166" s="206" t="str">
        <f t="array" ref="H166">IF($G$147=0,"",IFERROR(INDEX(Auction!$A$13:$M$437,SMALL(IF(Auction!$M$13:$M$437=$G$147,(ROW(Auction!$M$13:$M$437)-MIN(ROW(Auction!$M$13:$M$437))+1),""),ROW($G18)),1),""))</f>
        <v/>
      </c>
      <c r="I166" s="141">
        <f>IF(ISERROR(VLOOKUP(H166,Auction!$A$13:$I$437,7,FALSE)),0,VLOOKUP(H166,Auction!$A$13:$I$437,8,FALSE))</f>
        <v>0</v>
      </c>
      <c r="J166" s="142">
        <f>IFERROR(VLOOKUP(H166,Auction!$A$13:$I$437,9,FALSE)-I166,0)</f>
        <v>0</v>
      </c>
      <c r="K166" s="149" t="str">
        <f>IFERROR(INDEX(Auction!$C$13:$C$437,MATCH(H166,Auction!$A$13:$A$437,0)),"")</f>
        <v/>
      </c>
    </row>
    <row r="167" spans="1:11" x14ac:dyDescent="0.35">
      <c r="A167" s="132" t="str">
        <f>IFERROR(INDEX(Auction!$B$13:$B$437,MATCH(B167,Auction!$A$13:$A$437,0)),"")</f>
        <v/>
      </c>
      <c r="B167" s="206" t="str">
        <f t="array" ref="B167">IF($A$147=0,"",IFERROR(INDEX(Auction!$A$13:$M$437,SMALL(IF(Auction!$M$13:$M$437=$A$147,(ROW(Auction!$M$13:$M$437)-MIN(ROW(Auction!$M$13:$M$437))+1),""),ROW($A19)),1),""))</f>
        <v/>
      </c>
      <c r="C167" s="141">
        <f>IF(ISERROR(VLOOKUP(B167,Auction!$A$13:$I$437,7,FALSE)),0,VLOOKUP(B167,Auction!$A$13:$I$437,8,FALSE))</f>
        <v>0</v>
      </c>
      <c r="D167" s="142">
        <f>IFERROR(VLOOKUP(B167,Auction!$A$13:$I$437,9,FALSE)-C167,0)</f>
        <v>0</v>
      </c>
      <c r="E167" s="149" t="str">
        <f>IFERROR(INDEX(Auction!$C$13:$C$437,MATCH(B167,Auction!$A$13:$A$437,0)),"")</f>
        <v/>
      </c>
      <c r="G167" s="132" t="str">
        <f>IFERROR(INDEX(Auction!$B$13:$B$437,MATCH(H167,Auction!$A$13:$A$437,0)),"")</f>
        <v/>
      </c>
      <c r="H167" s="206" t="str">
        <f t="array" ref="H167">IF($G$147=0,"",IFERROR(INDEX(Auction!$A$13:$M$437,SMALL(IF(Auction!$M$13:$M$437=$G$147,(ROW(Auction!$M$13:$M$437)-MIN(ROW(Auction!$M$13:$M$437))+1),""),ROW($G19)),1),""))</f>
        <v/>
      </c>
      <c r="I167" s="141">
        <f>IF(ISERROR(VLOOKUP(H167,Auction!$A$13:$I$437,7,FALSE)),0,VLOOKUP(H167,Auction!$A$13:$I$437,8,FALSE))</f>
        <v>0</v>
      </c>
      <c r="J167" s="142">
        <f>IFERROR(VLOOKUP(H167,Auction!$A$13:$I$437,9,FALSE)-I167,0)</f>
        <v>0</v>
      </c>
      <c r="K167" s="149" t="str">
        <f>IFERROR(INDEX(Auction!$C$13:$C$437,MATCH(H167,Auction!$A$13:$A$437,0)),"")</f>
        <v/>
      </c>
    </row>
    <row r="168" spans="1:11" x14ac:dyDescent="0.35">
      <c r="A168" s="132" t="str">
        <f>IFERROR(INDEX(Auction!$B$13:$B$437,MATCH(B168,Auction!$A$13:$A$437,0)),"")</f>
        <v/>
      </c>
      <c r="B168" s="206" t="str">
        <f t="array" ref="B168">IF($A$147=0,"",IFERROR(INDEX(Auction!$A$13:$M$437,SMALL(IF(Auction!$M$13:$M$437=$A$147,(ROW(Auction!$M$13:$M$437)-MIN(ROW(Auction!$M$13:$M$437))+1),""),ROW($A20)),1),""))</f>
        <v/>
      </c>
      <c r="C168" s="141">
        <f>IF(ISERROR(VLOOKUP(B168,Auction!$A$13:$I$437,7,FALSE)),0,VLOOKUP(B168,Auction!$A$13:$I$437,8,FALSE))</f>
        <v>0</v>
      </c>
      <c r="D168" s="142">
        <f>IFERROR(VLOOKUP(B168,Auction!$A$13:$I$437,9,FALSE)-C168,0)</f>
        <v>0</v>
      </c>
      <c r="E168" s="149" t="str">
        <f>IFERROR(INDEX(Auction!$C$13:$C$437,MATCH(B168,Auction!$A$13:$A$437,0)),"")</f>
        <v/>
      </c>
      <c r="G168" s="132" t="str">
        <f>IFERROR(INDEX(Auction!$B$13:$B$437,MATCH(H168,Auction!$A$13:$A$437,0)),"")</f>
        <v/>
      </c>
      <c r="H168" s="206" t="str">
        <f t="array" ref="H168">IF($G$147=0,"",IFERROR(INDEX(Auction!$A$13:$M$437,SMALL(IF(Auction!$M$13:$M$437=$G$147,(ROW(Auction!$M$13:$M$437)-MIN(ROW(Auction!$M$13:$M$437))+1),""),ROW($G20)),1),""))</f>
        <v/>
      </c>
      <c r="I168" s="141">
        <f>IF(ISERROR(VLOOKUP(H168,Auction!$A$13:$I$437,7,FALSE)),0,VLOOKUP(H168,Auction!$A$13:$I$437,8,FALSE))</f>
        <v>0</v>
      </c>
      <c r="J168" s="142">
        <f>IFERROR(VLOOKUP(H168,Auction!$A$13:$I$437,9,FALSE)-I168,0)</f>
        <v>0</v>
      </c>
      <c r="K168" s="149" t="str">
        <f>IFERROR(INDEX(Auction!$C$13:$C$437,MATCH(H168,Auction!$A$13:$A$437,0)),"")</f>
        <v/>
      </c>
    </row>
    <row r="169" spans="1:11" x14ac:dyDescent="0.35">
      <c r="A169" s="150"/>
      <c r="B169" s="151"/>
      <c r="C169" s="152">
        <f>SUM(C149:C168)</f>
        <v>0</v>
      </c>
      <c r="D169" s="152">
        <f>SUM(D149:D168)</f>
        <v>0</v>
      </c>
      <c r="E169" s="153"/>
      <c r="G169" s="150"/>
      <c r="H169" s="151"/>
      <c r="I169" s="152">
        <f>SUM(I149:I168)</f>
        <v>0</v>
      </c>
      <c r="J169" s="152">
        <f>SUM(J149:J168)</f>
        <v>0</v>
      </c>
      <c r="K169" s="153"/>
    </row>
    <row r="171" spans="1:11" x14ac:dyDescent="0.35">
      <c r="A171" s="267">
        <f>H16</f>
        <v>0</v>
      </c>
      <c r="B171" s="268"/>
      <c r="C171" s="268"/>
      <c r="D171" s="268"/>
      <c r="E171" s="269"/>
      <c r="G171" s="267">
        <f>H17</f>
        <v>0</v>
      </c>
      <c r="H171" s="268"/>
      <c r="I171" s="268"/>
      <c r="J171" s="268"/>
      <c r="K171" s="269"/>
    </row>
    <row r="172" spans="1:11" x14ac:dyDescent="0.35">
      <c r="A172" s="139" t="s">
        <v>310</v>
      </c>
      <c r="B172" s="147" t="s">
        <v>82</v>
      </c>
      <c r="C172" s="129" t="s">
        <v>311</v>
      </c>
      <c r="D172" s="129" t="s">
        <v>312</v>
      </c>
      <c r="E172" s="140" t="s">
        <v>262</v>
      </c>
      <c r="G172" s="139" t="s">
        <v>310</v>
      </c>
      <c r="H172" s="147" t="s">
        <v>82</v>
      </c>
      <c r="I172" s="129" t="s">
        <v>311</v>
      </c>
      <c r="J172" s="129" t="s">
        <v>312</v>
      </c>
      <c r="K172" s="140" t="s">
        <v>262</v>
      </c>
    </row>
    <row r="173" spans="1:11" x14ac:dyDescent="0.35">
      <c r="A173" s="132" t="str">
        <f>IFERROR(INDEX(Auction!$B$13:$B$437,MATCH(B173,Auction!$A$13:$A$437,0)),"")</f>
        <v/>
      </c>
      <c r="B173" s="206" t="str">
        <f t="array" ref="B173">IF($A$171=0,"",IFERROR(INDEX(Auction!$A$13:$M$437,SMALL(IF(Auction!$M$13:$M$437=$A$171,(ROW(Auction!$M$13:$M$437)-MIN(ROW(Auction!$M$13:$M$437))+1),""),ROW($A1)),1),""))</f>
        <v/>
      </c>
      <c r="C173" s="141">
        <f>IF(ISERROR(VLOOKUP(B173,Auction!$A$13:$I$437,7,FALSE)),0,VLOOKUP(B173,Auction!$A$13:$I$437,8,FALSE))</f>
        <v>0</v>
      </c>
      <c r="D173" s="142">
        <f>IFERROR(VLOOKUP(B173,Auction!$A$13:$I$437,9,FALSE)-C173,0)</f>
        <v>0</v>
      </c>
      <c r="E173" s="148" t="str">
        <f>IFERROR(INDEX(Auction!$C$13:$C$437,MATCH(B173,Auction!$A$13:$A$437,0)),"")</f>
        <v/>
      </c>
      <c r="G173" s="132" t="str">
        <f>IFERROR(INDEX(Auction!$B$13:$B$437,MATCH(H173,Auction!$A$13:$A$437,0)),"")</f>
        <v/>
      </c>
      <c r="H173" s="206" t="str">
        <f t="array" ref="H173">IF($G$171=0,"",IFERROR(INDEX(Auction!$A$13:$M$437,SMALL(IF(Auction!$M$13:$M$437=$G$171,(ROW(Auction!$M$13:$M$437)-MIN(ROW(Auction!$M$13:$M$437))+1),""),ROW($G1)),1),""))</f>
        <v/>
      </c>
      <c r="I173" s="141">
        <f>IF(ISERROR(VLOOKUP(H173,Auction!$A$13:$I$437,7,FALSE)),0,VLOOKUP(H173,Auction!$A$13:$I$437,8,FALSE))</f>
        <v>0</v>
      </c>
      <c r="J173" s="142">
        <f>IFERROR(VLOOKUP(H173,Auction!$A$13:$I$437,9,FALSE)-I173,0)</f>
        <v>0</v>
      </c>
      <c r="K173" s="148" t="str">
        <f>IFERROR(INDEX(Auction!$C$13:$C$437,MATCH(H173,Auction!$A$13:$A$437,0)),"")</f>
        <v/>
      </c>
    </row>
    <row r="174" spans="1:11" x14ac:dyDescent="0.35">
      <c r="A174" s="132" t="str">
        <f>IFERROR(INDEX(Auction!$B$13:$B$437,MATCH(B174,Auction!$A$13:$A$437,0)),"")</f>
        <v/>
      </c>
      <c r="B174" s="206" t="str">
        <f t="array" ref="B174">IF($A$171=0,"",IFERROR(INDEX(Auction!$A$13:$M$437,SMALL(IF(Auction!$M$13:$M$437=$A$171,(ROW(Auction!$M$13:$M$437)-MIN(ROW(Auction!$M$13:$M$437))+1),""),ROW($A2)),1),""))</f>
        <v/>
      </c>
      <c r="C174" s="141">
        <f>IF(ISERROR(VLOOKUP(B174,Auction!$A$13:$I$437,7,FALSE)),0,VLOOKUP(B174,Auction!$A$13:$I$437,8,FALSE))</f>
        <v>0</v>
      </c>
      <c r="D174" s="142">
        <f>IFERROR(VLOOKUP(B174,Auction!$A$13:$I$437,9,FALSE)-C174,0)</f>
        <v>0</v>
      </c>
      <c r="E174" s="148" t="str">
        <f>IFERROR(INDEX(Auction!$C$13:$C$437,MATCH(B174,Auction!$A$13:$A$437,0)),"")</f>
        <v/>
      </c>
      <c r="G174" s="132" t="str">
        <f>IFERROR(INDEX(Auction!$B$13:$B$437,MATCH(H174,Auction!$A$13:$A$437,0)),"")</f>
        <v/>
      </c>
      <c r="H174" s="206" t="str">
        <f t="array" ref="H174">IF($G$171=0,"",IFERROR(INDEX(Auction!$A$13:$M$437,SMALL(IF(Auction!$M$13:$M$437=$G$171,(ROW(Auction!$M$13:$M$437)-MIN(ROW(Auction!$M$13:$M$437))+1),""),ROW($G2)),1),""))</f>
        <v/>
      </c>
      <c r="I174" s="141">
        <f>IF(ISERROR(VLOOKUP(H174,Auction!$A$13:$I$437,7,FALSE)),0,VLOOKUP(H174,Auction!$A$13:$I$437,8,FALSE))</f>
        <v>0</v>
      </c>
      <c r="J174" s="142">
        <f>IFERROR(VLOOKUP(H174,Auction!$A$13:$I$437,9,FALSE)-I174,0)</f>
        <v>0</v>
      </c>
      <c r="K174" s="148" t="str">
        <f>IFERROR(INDEX(Auction!$C$13:$C$437,MATCH(H174,Auction!$A$13:$A$437,0)),"")</f>
        <v/>
      </c>
    </row>
    <row r="175" spans="1:11" x14ac:dyDescent="0.35">
      <c r="A175" s="132" t="str">
        <f>IFERROR(INDEX(Auction!$B$13:$B$437,MATCH(B175,Auction!$A$13:$A$437,0)),"")</f>
        <v/>
      </c>
      <c r="B175" s="206" t="str">
        <f t="array" ref="B175">IF($A$171=0,"",IFERROR(INDEX(Auction!$A$13:$M$437,SMALL(IF(Auction!$M$13:$M$437=$A$171,(ROW(Auction!$M$13:$M$437)-MIN(ROW(Auction!$M$13:$M$437))+1),""),ROW($A3)),1),""))</f>
        <v/>
      </c>
      <c r="C175" s="141">
        <f>IF(ISERROR(VLOOKUP(B175,Auction!$A$13:$I$437,7,FALSE)),0,VLOOKUP(B175,Auction!$A$13:$I$437,8,FALSE))</f>
        <v>0</v>
      </c>
      <c r="D175" s="142">
        <f>IFERROR(VLOOKUP(B175,Auction!$A$13:$I$437,9,FALSE)-C175,0)</f>
        <v>0</v>
      </c>
      <c r="E175" s="148" t="str">
        <f>IFERROR(INDEX(Auction!$C$13:$C$437,MATCH(B175,Auction!$A$13:$A$437,0)),"")</f>
        <v/>
      </c>
      <c r="G175" s="132" t="str">
        <f>IFERROR(INDEX(Auction!$B$13:$B$437,MATCH(H175,Auction!$A$13:$A$437,0)),"")</f>
        <v/>
      </c>
      <c r="H175" s="206" t="str">
        <f t="array" ref="H175">IF($G$171=0,"",IFERROR(INDEX(Auction!$A$13:$M$437,SMALL(IF(Auction!$M$13:$M$437=$G$171,(ROW(Auction!$M$13:$M$437)-MIN(ROW(Auction!$M$13:$M$437))+1),""),ROW($G3)),1),""))</f>
        <v/>
      </c>
      <c r="I175" s="141">
        <f>IF(ISERROR(VLOOKUP(H175,Auction!$A$13:$I$437,7,FALSE)),0,VLOOKUP(H175,Auction!$A$13:$I$437,8,FALSE))</f>
        <v>0</v>
      </c>
      <c r="J175" s="142">
        <f>IFERROR(VLOOKUP(H175,Auction!$A$13:$I$437,9,FALSE)-I175,0)</f>
        <v>0</v>
      </c>
      <c r="K175" s="148" t="str">
        <f>IFERROR(INDEX(Auction!$C$13:$C$437,MATCH(H175,Auction!$A$13:$A$437,0)),"")</f>
        <v/>
      </c>
    </row>
    <row r="176" spans="1:11" x14ac:dyDescent="0.35">
      <c r="A176" s="132" t="str">
        <f>IFERROR(INDEX(Auction!$B$13:$B$437,MATCH(B176,Auction!$A$13:$A$437,0)),"")</f>
        <v/>
      </c>
      <c r="B176" s="206" t="str">
        <f t="array" ref="B176">IF($A$171=0,"",IFERROR(INDEX(Auction!$A$13:$M$437,SMALL(IF(Auction!$M$13:$M$437=$A$171,(ROW(Auction!$M$13:$M$437)-MIN(ROW(Auction!$M$13:$M$437))+1),""),ROW($A4)),1),""))</f>
        <v/>
      </c>
      <c r="C176" s="141">
        <f>IF(ISERROR(VLOOKUP(B176,Auction!$A$13:$I$437,7,FALSE)),0,VLOOKUP(B176,Auction!$A$13:$I$437,8,FALSE))</f>
        <v>0</v>
      </c>
      <c r="D176" s="142">
        <f>IFERROR(VLOOKUP(B176,Auction!$A$13:$I$437,9,FALSE)-C176,0)</f>
        <v>0</v>
      </c>
      <c r="E176" s="148" t="str">
        <f>IFERROR(INDEX(Auction!$C$13:$C$437,MATCH(B176,Auction!$A$13:$A$437,0)),"")</f>
        <v/>
      </c>
      <c r="G176" s="132" t="str">
        <f>IFERROR(INDEX(Auction!$B$13:$B$437,MATCH(H176,Auction!$A$13:$A$437,0)),"")</f>
        <v/>
      </c>
      <c r="H176" s="206" t="str">
        <f t="array" ref="H176">IF($G$171=0,"",IFERROR(INDEX(Auction!$A$13:$M$437,SMALL(IF(Auction!$M$13:$M$437=$G$171,(ROW(Auction!$M$13:$M$437)-MIN(ROW(Auction!$M$13:$M$437))+1),""),ROW($G4)),1),""))</f>
        <v/>
      </c>
      <c r="I176" s="141">
        <f>IF(ISERROR(VLOOKUP(H176,Auction!$A$13:$I$437,7,FALSE)),0,VLOOKUP(H176,Auction!$A$13:$I$437,8,FALSE))</f>
        <v>0</v>
      </c>
      <c r="J176" s="142">
        <f>IFERROR(VLOOKUP(H176,Auction!$A$13:$I$437,9,FALSE)-I176,0)</f>
        <v>0</v>
      </c>
      <c r="K176" s="148" t="str">
        <f>IFERROR(INDEX(Auction!$C$13:$C$437,MATCH(H176,Auction!$A$13:$A$437,0)),"")</f>
        <v/>
      </c>
    </row>
    <row r="177" spans="1:11" x14ac:dyDescent="0.35">
      <c r="A177" s="132" t="str">
        <f>IFERROR(INDEX(Auction!$B$13:$B$437,MATCH(B177,Auction!$A$13:$A$437,0)),"")</f>
        <v/>
      </c>
      <c r="B177" s="206" t="str">
        <f t="array" ref="B177">IF($A$171=0,"",IFERROR(INDEX(Auction!$A$13:$M$437,SMALL(IF(Auction!$M$13:$M$437=$A$171,(ROW(Auction!$M$13:$M$437)-MIN(ROW(Auction!$M$13:$M$437))+1),""),ROW($A5)),1),""))</f>
        <v/>
      </c>
      <c r="C177" s="141">
        <f>IF(ISERROR(VLOOKUP(B177,Auction!$A$13:$I$437,7,FALSE)),0,VLOOKUP(B177,Auction!$A$13:$I$437,8,FALSE))</f>
        <v>0</v>
      </c>
      <c r="D177" s="142">
        <f>IFERROR(VLOOKUP(B177,Auction!$A$13:$I$437,9,FALSE)-C177,0)</f>
        <v>0</v>
      </c>
      <c r="E177" s="148" t="str">
        <f>IFERROR(INDEX(Auction!$C$13:$C$437,MATCH(B177,Auction!$A$13:$A$437,0)),"")</f>
        <v/>
      </c>
      <c r="G177" s="132" t="str">
        <f>IFERROR(INDEX(Auction!$B$13:$B$437,MATCH(H177,Auction!$A$13:$A$437,0)),"")</f>
        <v/>
      </c>
      <c r="H177" s="206" t="str">
        <f t="array" ref="H177">IF($G$171=0,"",IFERROR(INDEX(Auction!$A$13:$M$437,SMALL(IF(Auction!$M$13:$M$437=$G$171,(ROW(Auction!$M$13:$M$437)-MIN(ROW(Auction!$M$13:$M$437))+1),""),ROW($G5)),1),""))</f>
        <v/>
      </c>
      <c r="I177" s="141">
        <f>IF(ISERROR(VLOOKUP(H177,Auction!$A$13:$I$437,7,FALSE)),0,VLOOKUP(H177,Auction!$A$13:$I$437,8,FALSE))</f>
        <v>0</v>
      </c>
      <c r="J177" s="142">
        <f>IFERROR(VLOOKUP(H177,Auction!$A$13:$I$437,9,FALSE)-I177,0)</f>
        <v>0</v>
      </c>
      <c r="K177" s="148" t="str">
        <f>IFERROR(INDEX(Auction!$C$13:$C$437,MATCH(H177,Auction!$A$13:$A$437,0)),"")</f>
        <v/>
      </c>
    </row>
    <row r="178" spans="1:11" x14ac:dyDescent="0.35">
      <c r="A178" s="132" t="str">
        <f>IFERROR(INDEX(Auction!$B$13:$B$437,MATCH(B178,Auction!$A$13:$A$437,0)),"")</f>
        <v/>
      </c>
      <c r="B178" s="206" t="str">
        <f t="array" ref="B178">IF($A$171=0,"",IFERROR(INDEX(Auction!$A$13:$M$437,SMALL(IF(Auction!$M$13:$M$437=$A$171,(ROW(Auction!$M$13:$M$437)-MIN(ROW(Auction!$M$13:$M$437))+1),""),ROW($A6)),1),""))</f>
        <v/>
      </c>
      <c r="C178" s="141">
        <f>IF(ISERROR(VLOOKUP(B178,Auction!$A$13:$I$437,7,FALSE)),0,VLOOKUP(B178,Auction!$A$13:$I$437,8,FALSE))</f>
        <v>0</v>
      </c>
      <c r="D178" s="142">
        <f>IFERROR(VLOOKUP(B178,Auction!$A$13:$I$437,9,FALSE)-C178,0)</f>
        <v>0</v>
      </c>
      <c r="E178" s="148" t="str">
        <f>IFERROR(INDEX(Auction!$C$13:$C$437,MATCH(B178,Auction!$A$13:$A$437,0)),"")</f>
        <v/>
      </c>
      <c r="G178" s="132" t="str">
        <f>IFERROR(INDEX(Auction!$B$13:$B$437,MATCH(H178,Auction!$A$13:$A$437,0)),"")</f>
        <v/>
      </c>
      <c r="H178" s="206" t="str">
        <f t="array" ref="H178">IF($G$171=0,"",IFERROR(INDEX(Auction!$A$13:$M$437,SMALL(IF(Auction!$M$13:$M$437=$G$171,(ROW(Auction!$M$13:$M$437)-MIN(ROW(Auction!$M$13:$M$437))+1),""),ROW($G6)),1),""))</f>
        <v/>
      </c>
      <c r="I178" s="141">
        <f>IF(ISERROR(VLOOKUP(H178,Auction!$A$13:$I$437,7,FALSE)),0,VLOOKUP(H178,Auction!$A$13:$I$437,8,FALSE))</f>
        <v>0</v>
      </c>
      <c r="J178" s="142">
        <f>IFERROR(VLOOKUP(H178,Auction!$A$13:$I$437,9,FALSE)-I178,0)</f>
        <v>0</v>
      </c>
      <c r="K178" s="148" t="str">
        <f>IFERROR(INDEX(Auction!$C$13:$C$437,MATCH(H178,Auction!$A$13:$A$437,0)),"")</f>
        <v/>
      </c>
    </row>
    <row r="179" spans="1:11" x14ac:dyDescent="0.35">
      <c r="A179" s="132" t="str">
        <f>IFERROR(INDEX(Auction!$B$13:$B$437,MATCH(B179,Auction!$A$13:$A$437,0)),"")</f>
        <v/>
      </c>
      <c r="B179" s="206" t="str">
        <f t="array" ref="B179">IF($A$171=0,"",IFERROR(INDEX(Auction!$A$13:$M$437,SMALL(IF(Auction!$M$13:$M$437=$A$171,(ROW(Auction!$M$13:$M$437)-MIN(ROW(Auction!$M$13:$M$437))+1),""),ROW($A7)),1),""))</f>
        <v/>
      </c>
      <c r="C179" s="141">
        <f>IF(ISERROR(VLOOKUP(B179,Auction!$A$13:$I$437,7,FALSE)),0,VLOOKUP(B179,Auction!$A$13:$I$437,8,FALSE))</f>
        <v>0</v>
      </c>
      <c r="D179" s="142">
        <f>IFERROR(VLOOKUP(B179,Auction!$A$13:$I$437,9,FALSE)-C179,0)</f>
        <v>0</v>
      </c>
      <c r="E179" s="148" t="str">
        <f>IFERROR(INDEX(Auction!$C$13:$C$437,MATCH(B179,Auction!$A$13:$A$437,0)),"")</f>
        <v/>
      </c>
      <c r="G179" s="132" t="str">
        <f>IFERROR(INDEX(Auction!$B$13:$B$437,MATCH(H179,Auction!$A$13:$A$437,0)),"")</f>
        <v/>
      </c>
      <c r="H179" s="206" t="str">
        <f t="array" ref="H179">IF($G$171=0,"",IFERROR(INDEX(Auction!$A$13:$M$437,SMALL(IF(Auction!$M$13:$M$437=$G$171,(ROW(Auction!$M$13:$M$437)-MIN(ROW(Auction!$M$13:$M$437))+1),""),ROW($G7)),1),""))</f>
        <v/>
      </c>
      <c r="I179" s="141">
        <f>IF(ISERROR(VLOOKUP(H179,Auction!$A$13:$I$437,7,FALSE)),0,VLOOKUP(H179,Auction!$A$13:$I$437,8,FALSE))</f>
        <v>0</v>
      </c>
      <c r="J179" s="142">
        <f>IFERROR(VLOOKUP(H179,Auction!$A$13:$I$437,9,FALSE)-I179,0)</f>
        <v>0</v>
      </c>
      <c r="K179" s="148" t="str">
        <f>IFERROR(INDEX(Auction!$C$13:$C$437,MATCH(H179,Auction!$A$13:$A$437,0)),"")</f>
        <v/>
      </c>
    </row>
    <row r="180" spans="1:11" x14ac:dyDescent="0.35">
      <c r="A180" s="132" t="str">
        <f>IFERROR(INDEX(Auction!$B$13:$B$437,MATCH(B180,Auction!$A$13:$A$437,0)),"")</f>
        <v/>
      </c>
      <c r="B180" s="206" t="str">
        <f t="array" ref="B180">IF($A$171=0,"",IFERROR(INDEX(Auction!$A$13:$M$437,SMALL(IF(Auction!$M$13:$M$437=$A$171,(ROW(Auction!$M$13:$M$437)-MIN(ROW(Auction!$M$13:$M$437))+1),""),ROW($A8)),1),""))</f>
        <v/>
      </c>
      <c r="C180" s="141">
        <f>IF(ISERROR(VLOOKUP(B180,Auction!$A$13:$I$437,7,FALSE)),0,VLOOKUP(B180,Auction!$A$13:$I$437,8,FALSE))</f>
        <v>0</v>
      </c>
      <c r="D180" s="142">
        <f>IFERROR(VLOOKUP(B180,Auction!$A$13:$I$437,9,FALSE)-C180,0)</f>
        <v>0</v>
      </c>
      <c r="E180" s="148" t="str">
        <f>IFERROR(INDEX(Auction!$C$13:$C$437,MATCH(B180,Auction!$A$13:$A$437,0)),"")</f>
        <v/>
      </c>
      <c r="G180" s="132" t="str">
        <f>IFERROR(INDEX(Auction!$B$13:$B$437,MATCH(H180,Auction!$A$13:$A$437,0)),"")</f>
        <v/>
      </c>
      <c r="H180" s="206" t="str">
        <f t="array" ref="H180">IF($G$171=0,"",IFERROR(INDEX(Auction!$A$13:$M$437,SMALL(IF(Auction!$M$13:$M$437=$G$171,(ROW(Auction!$M$13:$M$437)-MIN(ROW(Auction!$M$13:$M$437))+1),""),ROW($G8)),1),""))</f>
        <v/>
      </c>
      <c r="I180" s="141">
        <f>IF(ISERROR(VLOOKUP(H180,Auction!$A$13:$I$437,7,FALSE)),0,VLOOKUP(H180,Auction!$A$13:$I$437,8,FALSE))</f>
        <v>0</v>
      </c>
      <c r="J180" s="142">
        <f>IFERROR(VLOOKUP(H180,Auction!$A$13:$I$437,9,FALSE)-I180,0)</f>
        <v>0</v>
      </c>
      <c r="K180" s="148" t="str">
        <f>IFERROR(INDEX(Auction!$C$13:$C$437,MATCH(H180,Auction!$A$13:$A$437,0)),"")</f>
        <v/>
      </c>
    </row>
    <row r="181" spans="1:11" x14ac:dyDescent="0.35">
      <c r="A181" s="132" t="str">
        <f>IFERROR(INDEX(Auction!$B$13:$B$437,MATCH(B181,Auction!$A$13:$A$437,0)),"")</f>
        <v/>
      </c>
      <c r="B181" s="206" t="str">
        <f t="array" ref="B181">IF($A$171=0,"",IFERROR(INDEX(Auction!$A$13:$M$437,SMALL(IF(Auction!$M$13:$M$437=$A$171,(ROW(Auction!$M$13:$M$437)-MIN(ROW(Auction!$M$13:$M$437))+1),""),ROW($A9)),1),""))</f>
        <v/>
      </c>
      <c r="C181" s="141">
        <f>IF(ISERROR(VLOOKUP(B181,Auction!$A$13:$I$437,7,FALSE)),0,VLOOKUP(B181,Auction!$A$13:$I$437,8,FALSE))</f>
        <v>0</v>
      </c>
      <c r="D181" s="142">
        <f>IFERROR(VLOOKUP(B181,Auction!$A$13:$I$437,9,FALSE)-C181,0)</f>
        <v>0</v>
      </c>
      <c r="E181" s="149" t="str">
        <f>IFERROR(INDEX(Auction!$C$13:$C$437,MATCH(B181,Auction!$A$13:$A$437,0)),"")</f>
        <v/>
      </c>
      <c r="G181" s="132" t="str">
        <f>IFERROR(INDEX(Auction!$B$13:$B$437,MATCH(H181,Auction!$A$13:$A$437,0)),"")</f>
        <v/>
      </c>
      <c r="H181" s="206" t="str">
        <f t="array" ref="H181">IF($G$171=0,"",IFERROR(INDEX(Auction!$A$13:$M$437,SMALL(IF(Auction!$M$13:$M$437=$G$171,(ROW(Auction!$M$13:$M$437)-MIN(ROW(Auction!$M$13:$M$437))+1),""),ROW($G9)),1),""))</f>
        <v/>
      </c>
      <c r="I181" s="141">
        <f>IF(ISERROR(VLOOKUP(H181,Auction!$A$13:$I$437,7,FALSE)),0,VLOOKUP(H181,Auction!$A$13:$I$437,8,FALSE))</f>
        <v>0</v>
      </c>
      <c r="J181" s="142">
        <f>IFERROR(VLOOKUP(H181,Auction!$A$13:$I$437,9,FALSE)-I181,0)</f>
        <v>0</v>
      </c>
      <c r="K181" s="149" t="str">
        <f>IFERROR(INDEX(Auction!$C$13:$C$437,MATCH(H181,Auction!$A$13:$A$437,0)),"")</f>
        <v/>
      </c>
    </row>
    <row r="182" spans="1:11" x14ac:dyDescent="0.35">
      <c r="A182" s="132" t="str">
        <f>IFERROR(INDEX(Auction!$B$13:$B$437,MATCH(B182,Auction!$A$13:$A$437,0)),"")</f>
        <v/>
      </c>
      <c r="B182" s="206" t="str">
        <f t="array" ref="B182">IF($A$171=0,"",IFERROR(INDEX(Auction!$A$13:$M$437,SMALL(IF(Auction!$M$13:$M$437=$A$171,(ROW(Auction!$M$13:$M$437)-MIN(ROW(Auction!$M$13:$M$437))+1),""),ROW($A10)),1),""))</f>
        <v/>
      </c>
      <c r="C182" s="141">
        <f>IF(ISERROR(VLOOKUP(B182,Auction!$A$13:$I$437,7,FALSE)),0,VLOOKUP(B182,Auction!$A$13:$I$437,8,FALSE))</f>
        <v>0</v>
      </c>
      <c r="D182" s="142">
        <f>IFERROR(VLOOKUP(B182,Auction!$A$13:$I$437,9,FALSE)-C182,0)</f>
        <v>0</v>
      </c>
      <c r="E182" s="149" t="str">
        <f>IFERROR(INDEX(Auction!$C$13:$C$437,MATCH(B182,Auction!$A$13:$A$437,0)),"")</f>
        <v/>
      </c>
      <c r="G182" s="132" t="str">
        <f>IFERROR(INDEX(Auction!$B$13:$B$437,MATCH(H182,Auction!$A$13:$A$437,0)),"")</f>
        <v/>
      </c>
      <c r="H182" s="206" t="str">
        <f t="array" ref="H182">IF($G$171=0,"",IFERROR(INDEX(Auction!$A$13:$M$437,SMALL(IF(Auction!$M$13:$M$437=$G$171,(ROW(Auction!$M$13:$M$437)-MIN(ROW(Auction!$M$13:$M$437))+1),""),ROW($G10)),1),""))</f>
        <v/>
      </c>
      <c r="I182" s="141">
        <f>IF(ISERROR(VLOOKUP(H182,Auction!$A$13:$I$437,7,FALSE)),0,VLOOKUP(H182,Auction!$A$13:$I$437,8,FALSE))</f>
        <v>0</v>
      </c>
      <c r="J182" s="142">
        <f>IFERROR(VLOOKUP(H182,Auction!$A$13:$I$437,9,FALSE)-I182,0)</f>
        <v>0</v>
      </c>
      <c r="K182" s="149" t="str">
        <f>IFERROR(INDEX(Auction!$C$13:$C$437,MATCH(H182,Auction!$A$13:$A$437,0)),"")</f>
        <v/>
      </c>
    </row>
    <row r="183" spans="1:11" x14ac:dyDescent="0.35">
      <c r="A183" s="132" t="str">
        <f>IFERROR(INDEX(Auction!$B$13:$B$437,MATCH(B183,Auction!$A$13:$A$437,0)),"")</f>
        <v/>
      </c>
      <c r="B183" s="206" t="str">
        <f t="array" ref="B183">IF($A$171=0,"",IFERROR(INDEX(Auction!$A$13:$M$437,SMALL(IF(Auction!$M$13:$M$437=$A$171,(ROW(Auction!$M$13:$M$437)-MIN(ROW(Auction!$M$13:$M$437))+1),""),ROW($A11)),1),""))</f>
        <v/>
      </c>
      <c r="C183" s="141">
        <f>IF(ISERROR(VLOOKUP(B183,Auction!$A$13:$I$437,7,FALSE)),0,VLOOKUP(B183,Auction!$A$13:$I$437,8,FALSE))</f>
        <v>0</v>
      </c>
      <c r="D183" s="142">
        <f>IFERROR(VLOOKUP(B183,Auction!$A$13:$I$437,9,FALSE)-C183,0)</f>
        <v>0</v>
      </c>
      <c r="E183" s="149" t="str">
        <f>IFERROR(INDEX(Auction!$C$13:$C$437,MATCH(B183,Auction!$A$13:$A$437,0)),"")</f>
        <v/>
      </c>
      <c r="G183" s="132" t="str">
        <f>IFERROR(INDEX(Auction!$B$13:$B$437,MATCH(H183,Auction!$A$13:$A$437,0)),"")</f>
        <v/>
      </c>
      <c r="H183" s="206" t="str">
        <f t="array" ref="H183">IF($G$171=0,"",IFERROR(INDEX(Auction!$A$13:$M$437,SMALL(IF(Auction!$M$13:$M$437=$G$171,(ROW(Auction!$M$13:$M$437)-MIN(ROW(Auction!$M$13:$M$437))+1),""),ROW($G11)),1),""))</f>
        <v/>
      </c>
      <c r="I183" s="141">
        <f>IF(ISERROR(VLOOKUP(H183,Auction!$A$13:$I$437,7,FALSE)),0,VLOOKUP(H183,Auction!$A$13:$I$437,8,FALSE))</f>
        <v>0</v>
      </c>
      <c r="J183" s="142">
        <f>IFERROR(VLOOKUP(H183,Auction!$A$13:$I$437,9,FALSE)-I183,0)</f>
        <v>0</v>
      </c>
      <c r="K183" s="149" t="str">
        <f>IFERROR(INDEX(Auction!$C$13:$C$437,MATCH(H183,Auction!$A$13:$A$437,0)),"")</f>
        <v/>
      </c>
    </row>
    <row r="184" spans="1:11" x14ac:dyDescent="0.35">
      <c r="A184" s="132" t="str">
        <f>IFERROR(INDEX(Auction!$B$13:$B$437,MATCH(B184,Auction!$A$13:$A$437,0)),"")</f>
        <v/>
      </c>
      <c r="B184" s="206" t="str">
        <f t="array" ref="B184">IF($A$171=0,"",IFERROR(INDEX(Auction!$A$13:$M$437,SMALL(IF(Auction!$M$13:$M$437=$A$171,(ROW(Auction!$M$13:$M$437)-MIN(ROW(Auction!$M$13:$M$437))+1),""),ROW($A12)),1),""))</f>
        <v/>
      </c>
      <c r="C184" s="141">
        <f>IF(ISERROR(VLOOKUP(B184,Auction!$A$13:$I$437,7,FALSE)),0,VLOOKUP(B184,Auction!$A$13:$I$437,8,FALSE))</f>
        <v>0</v>
      </c>
      <c r="D184" s="142">
        <f>IFERROR(VLOOKUP(B184,Auction!$A$13:$I$437,9,FALSE)-C184,0)</f>
        <v>0</v>
      </c>
      <c r="E184" s="149" t="str">
        <f>IFERROR(INDEX(Auction!$C$13:$C$437,MATCH(B184,Auction!$A$13:$A$437,0)),"")</f>
        <v/>
      </c>
      <c r="G184" s="132" t="str">
        <f>IFERROR(INDEX(Auction!$B$13:$B$437,MATCH(H184,Auction!$A$13:$A$437,0)),"")</f>
        <v/>
      </c>
      <c r="H184" s="206" t="str">
        <f t="array" ref="H184">IF($G$171=0,"",IFERROR(INDEX(Auction!$A$13:$M$437,SMALL(IF(Auction!$M$13:$M$437=$G$171,(ROW(Auction!$M$13:$M$437)-MIN(ROW(Auction!$M$13:$M$437))+1),""),ROW($G12)),1),""))</f>
        <v/>
      </c>
      <c r="I184" s="141">
        <f>IF(ISERROR(VLOOKUP(H184,Auction!$A$13:$I$437,7,FALSE)),0,VLOOKUP(H184,Auction!$A$13:$I$437,8,FALSE))</f>
        <v>0</v>
      </c>
      <c r="J184" s="142">
        <f>IFERROR(VLOOKUP(H184,Auction!$A$13:$I$437,9,FALSE)-I184,0)</f>
        <v>0</v>
      </c>
      <c r="K184" s="149" t="str">
        <f>IFERROR(INDEX(Auction!$C$13:$C$437,MATCH(H184,Auction!$A$13:$A$437,0)),"")</f>
        <v/>
      </c>
    </row>
    <row r="185" spans="1:11" x14ac:dyDescent="0.35">
      <c r="A185" s="132" t="str">
        <f>IFERROR(INDEX(Auction!$B$13:$B$437,MATCH(B185,Auction!$A$13:$A$437,0)),"")</f>
        <v/>
      </c>
      <c r="B185" s="206" t="str">
        <f t="array" ref="B185">IF($A$171=0,"",IFERROR(INDEX(Auction!$A$13:$M$437,SMALL(IF(Auction!$M$13:$M$437=$A$171,(ROW(Auction!$M$13:$M$437)-MIN(ROW(Auction!$M$13:$M$437))+1),""),ROW($A13)),1),""))</f>
        <v/>
      </c>
      <c r="C185" s="141">
        <f>IF(ISERROR(VLOOKUP(B185,Auction!$A$13:$I$437,7,FALSE)),0,VLOOKUP(B185,Auction!$A$13:$I$437,8,FALSE))</f>
        <v>0</v>
      </c>
      <c r="D185" s="142">
        <f>IFERROR(VLOOKUP(B185,Auction!$A$13:$I$437,9,FALSE)-C185,0)</f>
        <v>0</v>
      </c>
      <c r="E185" s="149" t="str">
        <f>IFERROR(INDEX(Auction!$C$13:$C$437,MATCH(B185,Auction!$A$13:$A$437,0)),"")</f>
        <v/>
      </c>
      <c r="G185" s="132" t="str">
        <f>IFERROR(INDEX(Auction!$B$13:$B$437,MATCH(H185,Auction!$A$13:$A$437,0)),"")</f>
        <v/>
      </c>
      <c r="H185" s="206" t="str">
        <f t="array" ref="H185">IF($G$171=0,"",IFERROR(INDEX(Auction!$A$13:$M$437,SMALL(IF(Auction!$M$13:$M$437=$G$171,(ROW(Auction!$M$13:$M$437)-MIN(ROW(Auction!$M$13:$M$437))+1),""),ROW($G13)),1),""))</f>
        <v/>
      </c>
      <c r="I185" s="141">
        <f>IF(ISERROR(VLOOKUP(H185,Auction!$A$13:$I$437,7,FALSE)),0,VLOOKUP(H185,Auction!$A$13:$I$437,8,FALSE))</f>
        <v>0</v>
      </c>
      <c r="J185" s="142">
        <f>IFERROR(VLOOKUP(H185,Auction!$A$13:$I$437,9,FALSE)-I185,0)</f>
        <v>0</v>
      </c>
      <c r="K185" s="149" t="str">
        <f>IFERROR(INDEX(Auction!$C$13:$C$437,MATCH(H185,Auction!$A$13:$A$437,0)),"")</f>
        <v/>
      </c>
    </row>
    <row r="186" spans="1:11" x14ac:dyDescent="0.35">
      <c r="A186" s="132" t="str">
        <f>IFERROR(INDEX(Auction!$B$13:$B$437,MATCH(B186,Auction!$A$13:$A$437,0)),"")</f>
        <v/>
      </c>
      <c r="B186" s="206" t="str">
        <f t="array" ref="B186">IF($A$171=0,"",IFERROR(INDEX(Auction!$A$13:$M$437,SMALL(IF(Auction!$M$13:$M$437=$A$171,(ROW(Auction!$M$13:$M$437)-MIN(ROW(Auction!$M$13:$M$437))+1),""),ROW($A14)),1),""))</f>
        <v/>
      </c>
      <c r="C186" s="141">
        <f>IF(ISERROR(VLOOKUP(B186,Auction!$A$13:$I$437,7,FALSE)),0,VLOOKUP(B186,Auction!$A$13:$I$437,8,FALSE))</f>
        <v>0</v>
      </c>
      <c r="D186" s="142">
        <f>IFERROR(VLOOKUP(B186,Auction!$A$13:$I$437,9,FALSE)-C186,0)</f>
        <v>0</v>
      </c>
      <c r="E186" s="149" t="str">
        <f>IFERROR(INDEX(Auction!$C$13:$C$437,MATCH(B186,Auction!$A$13:$A$437,0)),"")</f>
        <v/>
      </c>
      <c r="G186" s="132" t="str">
        <f>IFERROR(INDEX(Auction!$B$13:$B$437,MATCH(H186,Auction!$A$13:$A$437,0)),"")</f>
        <v/>
      </c>
      <c r="H186" s="206" t="str">
        <f t="array" ref="H186">IF($G$171=0,"",IFERROR(INDEX(Auction!$A$13:$M$437,SMALL(IF(Auction!$M$13:$M$437=$G$171,(ROW(Auction!$M$13:$M$437)-MIN(ROW(Auction!$M$13:$M$437))+1),""),ROW($G14)),1),""))</f>
        <v/>
      </c>
      <c r="I186" s="141">
        <f>IF(ISERROR(VLOOKUP(H186,Auction!$A$13:$I$437,7,FALSE)),0,VLOOKUP(H186,Auction!$A$13:$I$437,8,FALSE))</f>
        <v>0</v>
      </c>
      <c r="J186" s="142">
        <f>IFERROR(VLOOKUP(H186,Auction!$A$13:$I$437,9,FALSE)-I186,0)</f>
        <v>0</v>
      </c>
      <c r="K186" s="149" t="str">
        <f>IFERROR(INDEX(Auction!$C$13:$C$437,MATCH(H186,Auction!$A$13:$A$437,0)),"")</f>
        <v/>
      </c>
    </row>
    <row r="187" spans="1:11" x14ac:dyDescent="0.35">
      <c r="A187" s="132" t="str">
        <f>IFERROR(INDEX(Auction!$B$13:$B$437,MATCH(B187,Auction!$A$13:$A$437,0)),"")</f>
        <v/>
      </c>
      <c r="B187" s="206" t="str">
        <f t="array" ref="B187">IF($A$171=0,"",IFERROR(INDEX(Auction!$A$13:$M$437,SMALL(IF(Auction!$M$13:$M$437=$A$171,(ROW(Auction!$M$13:$M$437)-MIN(ROW(Auction!$M$13:$M$437))+1),""),ROW($A15)),1),""))</f>
        <v/>
      </c>
      <c r="C187" s="141">
        <f>IF(ISERROR(VLOOKUP(B187,Auction!$A$13:$I$437,7,FALSE)),0,VLOOKUP(B187,Auction!$A$13:$I$437,8,FALSE))</f>
        <v>0</v>
      </c>
      <c r="D187" s="142">
        <f>IFERROR(VLOOKUP(B187,Auction!$A$13:$I$437,9,FALSE)-C187,0)</f>
        <v>0</v>
      </c>
      <c r="E187" s="149" t="str">
        <f>IFERROR(INDEX(Auction!$C$13:$C$437,MATCH(B187,Auction!$A$13:$A$437,0)),"")</f>
        <v/>
      </c>
      <c r="G187" s="132" t="str">
        <f>IFERROR(INDEX(Auction!$B$13:$B$437,MATCH(H187,Auction!$A$13:$A$437,0)),"")</f>
        <v/>
      </c>
      <c r="H187" s="206" t="str">
        <f t="array" ref="H187">IF($G$171=0,"",IFERROR(INDEX(Auction!$A$13:$M$437,SMALL(IF(Auction!$M$13:$M$437=$G$171,(ROW(Auction!$M$13:$M$437)-MIN(ROW(Auction!$M$13:$M$437))+1),""),ROW($G15)),1),""))</f>
        <v/>
      </c>
      <c r="I187" s="141">
        <f>IF(ISERROR(VLOOKUP(H187,Auction!$A$13:$I$437,7,FALSE)),0,VLOOKUP(H187,Auction!$A$13:$I$437,8,FALSE))</f>
        <v>0</v>
      </c>
      <c r="J187" s="142">
        <f>IFERROR(VLOOKUP(H187,Auction!$A$13:$I$437,9,FALSE)-I187,0)</f>
        <v>0</v>
      </c>
      <c r="K187" s="149" t="str">
        <f>IFERROR(INDEX(Auction!$C$13:$C$437,MATCH(H187,Auction!$A$13:$A$437,0)),"")</f>
        <v/>
      </c>
    </row>
    <row r="188" spans="1:11" x14ac:dyDescent="0.35">
      <c r="A188" s="132" t="str">
        <f>IFERROR(INDEX(Auction!$B$13:$B$437,MATCH(B188,Auction!$A$13:$A$437,0)),"")</f>
        <v/>
      </c>
      <c r="B188" s="206" t="str">
        <f t="array" ref="B188">IF($A$171=0,"",IFERROR(INDEX(Auction!$A$13:$M$437,SMALL(IF(Auction!$M$13:$M$437=$A$171,(ROW(Auction!$M$13:$M$437)-MIN(ROW(Auction!$M$13:$M$437))+1),""),ROW($A16)),1),""))</f>
        <v/>
      </c>
      <c r="C188" s="141">
        <f>IF(ISERROR(VLOOKUP(B188,Auction!$A$13:$I$437,7,FALSE)),0,VLOOKUP(B188,Auction!$A$13:$I$437,8,FALSE))</f>
        <v>0</v>
      </c>
      <c r="D188" s="142">
        <f>IFERROR(VLOOKUP(B188,Auction!$A$13:$I$437,9,FALSE)-C188,0)</f>
        <v>0</v>
      </c>
      <c r="E188" s="149" t="str">
        <f>IFERROR(INDEX(Auction!$C$13:$C$437,MATCH(B188,Auction!$A$13:$A$437,0)),"")</f>
        <v/>
      </c>
      <c r="G188" s="132" t="str">
        <f>IFERROR(INDEX(Auction!$B$13:$B$437,MATCH(H188,Auction!$A$13:$A$437,0)),"")</f>
        <v/>
      </c>
      <c r="H188" s="206" t="str">
        <f t="array" ref="H188">IF($G$171=0,"",IFERROR(INDEX(Auction!$A$13:$M$437,SMALL(IF(Auction!$M$13:$M$437=$G$171,(ROW(Auction!$M$13:$M$437)-MIN(ROW(Auction!$M$13:$M$437))+1),""),ROW($G16)),1),""))</f>
        <v/>
      </c>
      <c r="I188" s="141">
        <f>IF(ISERROR(VLOOKUP(H188,Auction!$A$13:$I$437,7,FALSE)),0,VLOOKUP(H188,Auction!$A$13:$I$437,8,FALSE))</f>
        <v>0</v>
      </c>
      <c r="J188" s="142">
        <f>IFERROR(VLOOKUP(H188,Auction!$A$13:$I$437,9,FALSE)-I188,0)</f>
        <v>0</v>
      </c>
      <c r="K188" s="149" t="str">
        <f>IFERROR(INDEX(Auction!$C$13:$C$437,MATCH(H188,Auction!$A$13:$A$437,0)),"")</f>
        <v/>
      </c>
    </row>
    <row r="189" spans="1:11" x14ac:dyDescent="0.35">
      <c r="A189" s="132" t="str">
        <f>IFERROR(INDEX(Auction!$B$13:$B$437,MATCH(B189,Auction!$A$13:$A$437,0)),"")</f>
        <v/>
      </c>
      <c r="B189" s="206" t="str">
        <f t="array" ref="B189">IF($A$171=0,"",IFERROR(INDEX(Auction!$A$13:$M$437,SMALL(IF(Auction!$M$13:$M$437=$A$171,(ROW(Auction!$M$13:$M$437)-MIN(ROW(Auction!$M$13:$M$437))+1),""),ROW($A17)),1),""))</f>
        <v/>
      </c>
      <c r="C189" s="141">
        <f>IF(ISERROR(VLOOKUP(B189,Auction!$A$13:$I$437,7,FALSE)),0,VLOOKUP(B189,Auction!$A$13:$I$437,8,FALSE))</f>
        <v>0</v>
      </c>
      <c r="D189" s="142">
        <f>IFERROR(VLOOKUP(B189,Auction!$A$13:$I$437,9,FALSE)-C189,0)</f>
        <v>0</v>
      </c>
      <c r="E189" s="149" t="str">
        <f>IFERROR(INDEX(Auction!$C$13:$C$437,MATCH(B189,Auction!$A$13:$A$437,0)),"")</f>
        <v/>
      </c>
      <c r="G189" s="132" t="str">
        <f>IFERROR(INDEX(Auction!$B$13:$B$437,MATCH(H189,Auction!$A$13:$A$437,0)),"")</f>
        <v/>
      </c>
      <c r="H189" s="206" t="str">
        <f t="array" ref="H189">IF($G$171=0,"",IFERROR(INDEX(Auction!$A$13:$M$437,SMALL(IF(Auction!$M$13:$M$437=$G$171,(ROW(Auction!$M$13:$M$437)-MIN(ROW(Auction!$M$13:$M$437))+1),""),ROW($G17)),1),""))</f>
        <v/>
      </c>
      <c r="I189" s="141">
        <f>IF(ISERROR(VLOOKUP(H189,Auction!$A$13:$I$437,7,FALSE)),0,VLOOKUP(H189,Auction!$A$13:$I$437,8,FALSE))</f>
        <v>0</v>
      </c>
      <c r="J189" s="142">
        <f>IFERROR(VLOOKUP(H189,Auction!$A$13:$I$437,9,FALSE)-I189,0)</f>
        <v>0</v>
      </c>
      <c r="K189" s="149" t="str">
        <f>IFERROR(INDEX(Auction!$C$13:$C$437,MATCH(H189,Auction!$A$13:$A$437,0)),"")</f>
        <v/>
      </c>
    </row>
    <row r="190" spans="1:11" x14ac:dyDescent="0.35">
      <c r="A190" s="132" t="str">
        <f>IFERROR(INDEX(Auction!$B$13:$B$437,MATCH(B190,Auction!$A$13:$A$437,0)),"")</f>
        <v/>
      </c>
      <c r="B190" s="206" t="str">
        <f t="array" ref="B190">IF($A$171=0,"",IFERROR(INDEX(Auction!$A$13:$M$437,SMALL(IF(Auction!$M$13:$M$437=$A$171,(ROW(Auction!$M$13:$M$437)-MIN(ROW(Auction!$M$13:$M$437))+1),""),ROW($A18)),1),""))</f>
        <v/>
      </c>
      <c r="C190" s="141">
        <f>IF(ISERROR(VLOOKUP(B190,Auction!$A$13:$I$437,7,FALSE)),0,VLOOKUP(B190,Auction!$A$13:$I$437,8,FALSE))</f>
        <v>0</v>
      </c>
      <c r="D190" s="142">
        <f>IFERROR(VLOOKUP(B190,Auction!$A$13:$I$437,9,FALSE)-C190,0)</f>
        <v>0</v>
      </c>
      <c r="E190" s="149" t="str">
        <f>IFERROR(INDEX(Auction!$C$13:$C$437,MATCH(B190,Auction!$A$13:$A$437,0)),"")</f>
        <v/>
      </c>
      <c r="G190" s="132" t="str">
        <f>IFERROR(INDEX(Auction!$B$13:$B$437,MATCH(H190,Auction!$A$13:$A$437,0)),"")</f>
        <v/>
      </c>
      <c r="H190" s="206" t="str">
        <f t="array" ref="H190">IF($G$171=0,"",IFERROR(INDEX(Auction!$A$13:$M$437,SMALL(IF(Auction!$M$13:$M$437=$G$171,(ROW(Auction!$M$13:$M$437)-MIN(ROW(Auction!$M$13:$M$437))+1),""),ROW($G18)),1),""))</f>
        <v/>
      </c>
      <c r="I190" s="141">
        <f>IF(ISERROR(VLOOKUP(H190,Auction!$A$13:$I$437,7,FALSE)),0,VLOOKUP(H190,Auction!$A$13:$I$437,8,FALSE))</f>
        <v>0</v>
      </c>
      <c r="J190" s="142">
        <f>IFERROR(VLOOKUP(H190,Auction!$A$13:$I$437,9,FALSE)-I190,0)</f>
        <v>0</v>
      </c>
      <c r="K190" s="149" t="str">
        <f>IFERROR(INDEX(Auction!$C$13:$C$437,MATCH(H190,Auction!$A$13:$A$437,0)),"")</f>
        <v/>
      </c>
    </row>
    <row r="191" spans="1:11" x14ac:dyDescent="0.35">
      <c r="A191" s="132" t="str">
        <f>IFERROR(INDEX(Auction!$B$13:$B$437,MATCH(B191,Auction!$A$13:$A$437,0)),"")</f>
        <v/>
      </c>
      <c r="B191" s="206" t="str">
        <f t="array" ref="B191">IF($A$171=0,"",IFERROR(INDEX(Auction!$A$13:$M$437,SMALL(IF(Auction!$M$13:$M$437=$A$171,(ROW(Auction!$M$13:$M$437)-MIN(ROW(Auction!$M$13:$M$437))+1),""),ROW($A19)),1),""))</f>
        <v/>
      </c>
      <c r="C191" s="141">
        <f>IF(ISERROR(VLOOKUP(B191,Auction!$A$13:$I$437,7,FALSE)),0,VLOOKUP(B191,Auction!$A$13:$I$437,8,FALSE))</f>
        <v>0</v>
      </c>
      <c r="D191" s="142">
        <f>IFERROR(VLOOKUP(B191,Auction!$A$13:$I$437,9,FALSE)-C191,0)</f>
        <v>0</v>
      </c>
      <c r="E191" s="149" t="str">
        <f>IFERROR(INDEX(Auction!$C$13:$C$437,MATCH(B191,Auction!$A$13:$A$437,0)),"")</f>
        <v/>
      </c>
      <c r="G191" s="132" t="str">
        <f>IFERROR(INDEX(Auction!$B$13:$B$437,MATCH(H191,Auction!$A$13:$A$437,0)),"")</f>
        <v/>
      </c>
      <c r="H191" s="206" t="str">
        <f t="array" ref="H191">IF($G$171=0,"",IFERROR(INDEX(Auction!$A$13:$M$437,SMALL(IF(Auction!$M$13:$M$437=$G$171,(ROW(Auction!$M$13:$M$437)-MIN(ROW(Auction!$M$13:$M$437))+1),""),ROW($G19)),1),""))</f>
        <v/>
      </c>
      <c r="I191" s="141">
        <f>IF(ISERROR(VLOOKUP(H191,Auction!$A$13:$I$437,7,FALSE)),0,VLOOKUP(H191,Auction!$A$13:$I$437,8,FALSE))</f>
        <v>0</v>
      </c>
      <c r="J191" s="142">
        <f>IFERROR(VLOOKUP(H191,Auction!$A$13:$I$437,9,FALSE)-I191,0)</f>
        <v>0</v>
      </c>
      <c r="K191" s="149" t="str">
        <f>IFERROR(INDEX(Auction!$C$13:$C$437,MATCH(H191,Auction!$A$13:$A$437,0)),"")</f>
        <v/>
      </c>
    </row>
    <row r="192" spans="1:11" x14ac:dyDescent="0.35">
      <c r="A192" s="132" t="str">
        <f>IFERROR(INDEX(Auction!$B$13:$B$437,MATCH(B192,Auction!$A$13:$A$437,0)),"")</f>
        <v/>
      </c>
      <c r="B192" s="206" t="str">
        <f t="array" ref="B192">IF($A$171=0,"",IFERROR(INDEX(Auction!$A$13:$M$437,SMALL(IF(Auction!$M$13:$M$437=$A$171,(ROW(Auction!$M$13:$M$437)-MIN(ROW(Auction!$M$13:$M$437))+1),""),ROW($A20)),1),""))</f>
        <v/>
      </c>
      <c r="C192" s="141">
        <f>IF(ISERROR(VLOOKUP(B192,Auction!$A$13:$I$437,7,FALSE)),0,VLOOKUP(B192,Auction!$A$13:$I$437,8,FALSE))</f>
        <v>0</v>
      </c>
      <c r="D192" s="142">
        <f>IFERROR(VLOOKUP(B192,Auction!$A$13:$I$437,9,FALSE)-C192,0)</f>
        <v>0</v>
      </c>
      <c r="E192" s="149" t="str">
        <f>IFERROR(INDEX(Auction!$C$13:$C$437,MATCH(B192,Auction!$A$13:$A$437,0)),"")</f>
        <v/>
      </c>
      <c r="G192" s="132" t="str">
        <f>IFERROR(INDEX(Auction!$B$13:$B$437,MATCH(H192,Auction!$A$13:$A$437,0)),"")</f>
        <v/>
      </c>
      <c r="H192" s="206" t="str">
        <f t="array" ref="H192">IF($G$171=0,"",IFERROR(INDEX(Auction!$A$13:$M$437,SMALL(IF(Auction!$M$13:$M$437=$G$171,(ROW(Auction!$M$13:$M$437)-MIN(ROW(Auction!$M$13:$M$437))+1),""),ROW($G20)),1),""))</f>
        <v/>
      </c>
      <c r="I192" s="141">
        <f>IF(ISERROR(VLOOKUP(H192,Auction!$A$13:$I$437,7,FALSE)),0,VLOOKUP(H192,Auction!$A$13:$I$437,8,FALSE))</f>
        <v>0</v>
      </c>
      <c r="J192" s="142">
        <f>IFERROR(VLOOKUP(H192,Auction!$A$13:$I$437,9,FALSE)-I192,0)</f>
        <v>0</v>
      </c>
      <c r="K192" s="149" t="str">
        <f>IFERROR(INDEX(Auction!$C$13:$C$437,MATCH(H192,Auction!$A$13:$A$437,0)),"")</f>
        <v/>
      </c>
    </row>
    <row r="193" spans="1:11" x14ac:dyDescent="0.35">
      <c r="A193" s="150"/>
      <c r="B193" s="151"/>
      <c r="C193" s="152">
        <f>SUM(C173:C192)</f>
        <v>0</v>
      </c>
      <c r="D193" s="152">
        <f>SUM(D173:D192)</f>
        <v>0</v>
      </c>
      <c r="E193" s="153"/>
      <c r="G193" s="150"/>
      <c r="H193" s="151"/>
      <c r="I193" s="152">
        <f>SUM(I173:I192)</f>
        <v>0</v>
      </c>
      <c r="J193" s="152">
        <f>SUM(J173:J192)</f>
        <v>0</v>
      </c>
      <c r="K193" s="153"/>
    </row>
    <row r="195" spans="1:11" x14ac:dyDescent="0.35">
      <c r="A195" s="267">
        <f>H18</f>
        <v>0</v>
      </c>
      <c r="B195" s="268"/>
      <c r="C195" s="268"/>
      <c r="D195" s="268"/>
      <c r="E195" s="269"/>
      <c r="G195" s="267">
        <f>H19</f>
        <v>0</v>
      </c>
      <c r="H195" s="268"/>
      <c r="I195" s="268"/>
      <c r="J195" s="268"/>
      <c r="K195" s="269"/>
    </row>
    <row r="196" spans="1:11" x14ac:dyDescent="0.35">
      <c r="A196" s="139" t="s">
        <v>310</v>
      </c>
      <c r="B196" s="147" t="s">
        <v>82</v>
      </c>
      <c r="C196" s="129" t="s">
        <v>311</v>
      </c>
      <c r="D196" s="129" t="s">
        <v>312</v>
      </c>
      <c r="E196" s="140" t="s">
        <v>262</v>
      </c>
      <c r="G196" s="139" t="s">
        <v>310</v>
      </c>
      <c r="H196" s="147" t="s">
        <v>82</v>
      </c>
      <c r="I196" s="129" t="s">
        <v>311</v>
      </c>
      <c r="J196" s="129" t="s">
        <v>312</v>
      </c>
      <c r="K196" s="140" t="s">
        <v>262</v>
      </c>
    </row>
    <row r="197" spans="1:11" x14ac:dyDescent="0.35">
      <c r="A197" s="132" t="str">
        <f>IFERROR(INDEX(Auction!$B$13:$B$437,MATCH(B197,Auction!$A$13:$A$437,0)),"")</f>
        <v/>
      </c>
      <c r="B197" s="206" t="str">
        <f t="array" ref="B197">IF($A$195=0,"",IFERROR(INDEX(Auction!$A$13:$M$437,SMALL(IF(Auction!$M$13:$M$437=$A$195,(ROW(Auction!$M$13:$M$437)-MIN(ROW(Auction!$M$13:$M$437))+1),""),ROW($A1)),1),""))</f>
        <v/>
      </c>
      <c r="C197" s="141">
        <f>IF(ISERROR(VLOOKUP(B197,Auction!$A$13:$I$437,7,FALSE)),0,VLOOKUP(B197,Auction!$A$13:$I$437,8,FALSE))</f>
        <v>0</v>
      </c>
      <c r="D197" s="142">
        <f>IFERROR(VLOOKUP(B197,Auction!$A$13:$I$437,9,FALSE)-C197,0)</f>
        <v>0</v>
      </c>
      <c r="E197" s="148" t="str">
        <f>IFERROR(INDEX(Auction!$C$13:$C$437,MATCH(B197,Auction!$A$13:$A$437,0)),"")</f>
        <v/>
      </c>
      <c r="G197" s="132" t="str">
        <f>IFERROR(INDEX(Auction!$B$13:$B$437,MATCH(H197,Auction!$A$13:$A$437,0)),"")</f>
        <v/>
      </c>
      <c r="H197" s="206" t="str">
        <f t="array" ref="H197">IF($G$195=0,"",IFERROR(INDEX(Auction!$A$13:$M$437,SMALL(IF(Auction!$M$13:$M$437=$G$195,(ROW(Auction!$M$13:$M$437)-MIN(ROW(Auction!$M$13:$M$437))+1),""),ROW($G1)),1),""))</f>
        <v/>
      </c>
      <c r="I197" s="141">
        <f>IF(ISERROR(VLOOKUP(H197,Auction!$A$13:$I$437,7,FALSE)),0,VLOOKUP(H197,Auction!$A$13:$I$437,8,FALSE))</f>
        <v>0</v>
      </c>
      <c r="J197" s="142">
        <f>IFERROR(VLOOKUP(H197,Auction!$A$13:$I$437,9,FALSE)-I197,0)</f>
        <v>0</v>
      </c>
      <c r="K197" s="148" t="str">
        <f>IFERROR(INDEX(Auction!$C$13:$C$437,MATCH(H197,Auction!$A$13:$A$437,0)),"")</f>
        <v/>
      </c>
    </row>
    <row r="198" spans="1:11" x14ac:dyDescent="0.35">
      <c r="A198" s="132" t="str">
        <f>IFERROR(INDEX(Auction!$B$13:$B$437,MATCH(B198,Auction!$A$13:$A$437,0)),"")</f>
        <v/>
      </c>
      <c r="B198" s="206" t="str">
        <f t="array" ref="B198">IF($A$195=0,"",IFERROR(INDEX(Auction!$A$13:$M$437,SMALL(IF(Auction!$M$13:$M$437=$A$195,(ROW(Auction!$M$13:$M$437)-MIN(ROW(Auction!$M$13:$M$437))+1),""),ROW($A2)),1),""))</f>
        <v/>
      </c>
      <c r="C198" s="141">
        <f>IF(ISERROR(VLOOKUP(B198,Auction!$A$13:$I$437,7,FALSE)),0,VLOOKUP(B198,Auction!$A$13:$I$437,8,FALSE))</f>
        <v>0</v>
      </c>
      <c r="D198" s="142">
        <f>IFERROR(VLOOKUP(B198,Auction!$A$13:$I$437,9,FALSE)-C198,0)</f>
        <v>0</v>
      </c>
      <c r="E198" s="148" t="str">
        <f>IFERROR(INDEX(Auction!$C$13:$C$437,MATCH(B198,Auction!$A$13:$A$437,0)),"")</f>
        <v/>
      </c>
      <c r="G198" s="132" t="str">
        <f>IFERROR(INDEX(Auction!$B$13:$B$437,MATCH(H198,Auction!$A$13:$A$437,0)),"")</f>
        <v/>
      </c>
      <c r="H198" s="206" t="str">
        <f t="array" ref="H198">IF($G$195=0,"",IFERROR(INDEX(Auction!$A$13:$M$437,SMALL(IF(Auction!$M$13:$M$437=$G$195,(ROW(Auction!$M$13:$M$437)-MIN(ROW(Auction!$M$13:$M$437))+1),""),ROW($G2)),1),""))</f>
        <v/>
      </c>
      <c r="I198" s="141">
        <f>IF(ISERROR(VLOOKUP(H198,Auction!$A$13:$I$437,7,FALSE)),0,VLOOKUP(H198,Auction!$A$13:$I$437,8,FALSE))</f>
        <v>0</v>
      </c>
      <c r="J198" s="142">
        <f>IFERROR(VLOOKUP(H198,Auction!$A$13:$I$437,9,FALSE)-I198,0)</f>
        <v>0</v>
      </c>
      <c r="K198" s="148" t="str">
        <f>IFERROR(INDEX(Auction!$C$13:$C$437,MATCH(H198,Auction!$A$13:$A$437,0)),"")</f>
        <v/>
      </c>
    </row>
    <row r="199" spans="1:11" x14ac:dyDescent="0.35">
      <c r="A199" s="132" t="str">
        <f>IFERROR(INDEX(Auction!$B$13:$B$437,MATCH(B199,Auction!$A$13:$A$437,0)),"")</f>
        <v/>
      </c>
      <c r="B199" s="206" t="str">
        <f t="array" ref="B199">IF($A$195=0,"",IFERROR(INDEX(Auction!$A$13:$M$437,SMALL(IF(Auction!$M$13:$M$437=$A$195,(ROW(Auction!$M$13:$M$437)-MIN(ROW(Auction!$M$13:$M$437))+1),""),ROW($A3)),1),""))</f>
        <v/>
      </c>
      <c r="C199" s="141">
        <f>IF(ISERROR(VLOOKUP(B199,Auction!$A$13:$I$437,7,FALSE)),0,VLOOKUP(B199,Auction!$A$13:$I$437,8,FALSE))</f>
        <v>0</v>
      </c>
      <c r="D199" s="142">
        <f>IFERROR(VLOOKUP(B199,Auction!$A$13:$I$437,9,FALSE)-C199,0)</f>
        <v>0</v>
      </c>
      <c r="E199" s="148" t="str">
        <f>IFERROR(INDEX(Auction!$C$13:$C$437,MATCH(B199,Auction!$A$13:$A$437,0)),"")</f>
        <v/>
      </c>
      <c r="G199" s="132" t="str">
        <f>IFERROR(INDEX(Auction!$B$13:$B$437,MATCH(H199,Auction!$A$13:$A$437,0)),"")</f>
        <v/>
      </c>
      <c r="H199" s="206" t="str">
        <f t="array" ref="H199">IF($G$195=0,"",IFERROR(INDEX(Auction!$A$13:$M$437,SMALL(IF(Auction!$M$13:$M$437=$G$195,(ROW(Auction!$M$13:$M$437)-MIN(ROW(Auction!$M$13:$M$437))+1),""),ROW($G3)),1),""))</f>
        <v/>
      </c>
      <c r="I199" s="141">
        <f>IF(ISERROR(VLOOKUP(H199,Auction!$A$13:$I$437,7,FALSE)),0,VLOOKUP(H199,Auction!$A$13:$I$437,8,FALSE))</f>
        <v>0</v>
      </c>
      <c r="J199" s="142">
        <f>IFERROR(VLOOKUP(H199,Auction!$A$13:$I$437,9,FALSE)-I199,0)</f>
        <v>0</v>
      </c>
      <c r="K199" s="148" t="str">
        <f>IFERROR(INDEX(Auction!$C$13:$C$437,MATCH(H199,Auction!$A$13:$A$437,0)),"")</f>
        <v/>
      </c>
    </row>
    <row r="200" spans="1:11" x14ac:dyDescent="0.35">
      <c r="A200" s="132" t="str">
        <f>IFERROR(INDEX(Auction!$B$13:$B$437,MATCH(B200,Auction!$A$13:$A$437,0)),"")</f>
        <v/>
      </c>
      <c r="B200" s="206" t="str">
        <f t="array" ref="B200">IF($A$195=0,"",IFERROR(INDEX(Auction!$A$13:$M$437,SMALL(IF(Auction!$M$13:$M$437=$A$195,(ROW(Auction!$M$13:$M$437)-MIN(ROW(Auction!$M$13:$M$437))+1),""),ROW($A4)),1),""))</f>
        <v/>
      </c>
      <c r="C200" s="141">
        <f>IF(ISERROR(VLOOKUP(B200,Auction!$A$13:$I$437,7,FALSE)),0,VLOOKUP(B200,Auction!$A$13:$I$437,8,FALSE))</f>
        <v>0</v>
      </c>
      <c r="D200" s="142">
        <f>IFERROR(VLOOKUP(B200,Auction!$A$13:$I$437,9,FALSE)-C200,0)</f>
        <v>0</v>
      </c>
      <c r="E200" s="148" t="str">
        <f>IFERROR(INDEX(Auction!$C$13:$C$437,MATCH(B200,Auction!$A$13:$A$437,0)),"")</f>
        <v/>
      </c>
      <c r="G200" s="132" t="str">
        <f>IFERROR(INDEX(Auction!$B$13:$B$437,MATCH(H200,Auction!$A$13:$A$437,0)),"")</f>
        <v/>
      </c>
      <c r="H200" s="206" t="str">
        <f t="array" ref="H200">IF($G$195=0,"",IFERROR(INDEX(Auction!$A$13:$M$437,SMALL(IF(Auction!$M$13:$M$437=$G$195,(ROW(Auction!$M$13:$M$437)-MIN(ROW(Auction!$M$13:$M$437))+1),""),ROW($G4)),1),""))</f>
        <v/>
      </c>
      <c r="I200" s="141">
        <f>IF(ISERROR(VLOOKUP(H200,Auction!$A$13:$I$437,7,FALSE)),0,VLOOKUP(H200,Auction!$A$13:$I$437,8,FALSE))</f>
        <v>0</v>
      </c>
      <c r="J200" s="142">
        <f>IFERROR(VLOOKUP(H200,Auction!$A$13:$I$437,9,FALSE)-I200,0)</f>
        <v>0</v>
      </c>
      <c r="K200" s="148" t="str">
        <f>IFERROR(INDEX(Auction!$C$13:$C$437,MATCH(H200,Auction!$A$13:$A$437,0)),"")</f>
        <v/>
      </c>
    </row>
    <row r="201" spans="1:11" x14ac:dyDescent="0.35">
      <c r="A201" s="132" t="str">
        <f>IFERROR(INDEX(Auction!$B$13:$B$437,MATCH(B201,Auction!$A$13:$A$437,0)),"")</f>
        <v/>
      </c>
      <c r="B201" s="206" t="str">
        <f t="array" ref="B201">IF($A$195=0,"",IFERROR(INDEX(Auction!$A$13:$M$437,SMALL(IF(Auction!$M$13:$M$437=$A$195,(ROW(Auction!$M$13:$M$437)-MIN(ROW(Auction!$M$13:$M$437))+1),""),ROW($A5)),1),""))</f>
        <v/>
      </c>
      <c r="C201" s="141">
        <f>IF(ISERROR(VLOOKUP(B201,Auction!$A$13:$I$437,7,FALSE)),0,VLOOKUP(B201,Auction!$A$13:$I$437,8,FALSE))</f>
        <v>0</v>
      </c>
      <c r="D201" s="142">
        <f>IFERROR(VLOOKUP(B201,Auction!$A$13:$I$437,9,FALSE)-C201,0)</f>
        <v>0</v>
      </c>
      <c r="E201" s="148" t="str">
        <f>IFERROR(INDEX(Auction!$C$13:$C$437,MATCH(B201,Auction!$A$13:$A$437,0)),"")</f>
        <v/>
      </c>
      <c r="G201" s="132" t="str">
        <f>IFERROR(INDEX(Auction!$B$13:$B$437,MATCH(H201,Auction!$A$13:$A$437,0)),"")</f>
        <v/>
      </c>
      <c r="H201" s="206" t="str">
        <f t="array" ref="H201">IF($G$195=0,"",IFERROR(INDEX(Auction!$A$13:$M$437,SMALL(IF(Auction!$M$13:$M$437=$G$195,(ROW(Auction!$M$13:$M$437)-MIN(ROW(Auction!$M$13:$M$437))+1),""),ROW($G5)),1),""))</f>
        <v/>
      </c>
      <c r="I201" s="141">
        <f>IF(ISERROR(VLOOKUP(H201,Auction!$A$13:$I$437,7,FALSE)),0,VLOOKUP(H201,Auction!$A$13:$I$437,8,FALSE))</f>
        <v>0</v>
      </c>
      <c r="J201" s="142">
        <f>IFERROR(VLOOKUP(H201,Auction!$A$13:$I$437,9,FALSE)-I201,0)</f>
        <v>0</v>
      </c>
      <c r="K201" s="148" t="str">
        <f>IFERROR(INDEX(Auction!$C$13:$C$437,MATCH(H201,Auction!$A$13:$A$437,0)),"")</f>
        <v/>
      </c>
    </row>
    <row r="202" spans="1:11" x14ac:dyDescent="0.35">
      <c r="A202" s="132" t="str">
        <f>IFERROR(INDEX(Auction!$B$13:$B$437,MATCH(B202,Auction!$A$13:$A$437,0)),"")</f>
        <v/>
      </c>
      <c r="B202" s="206" t="str">
        <f t="array" ref="B202">IF($A$195=0,"",IFERROR(INDEX(Auction!$A$13:$M$437,SMALL(IF(Auction!$M$13:$M$437=$A$195,(ROW(Auction!$M$13:$M$437)-MIN(ROW(Auction!$M$13:$M$437))+1),""),ROW($A6)),1),""))</f>
        <v/>
      </c>
      <c r="C202" s="141">
        <f>IF(ISERROR(VLOOKUP(B202,Auction!$A$13:$I$437,7,FALSE)),0,VLOOKUP(B202,Auction!$A$13:$I$437,8,FALSE))</f>
        <v>0</v>
      </c>
      <c r="D202" s="142">
        <f>IFERROR(VLOOKUP(B202,Auction!$A$13:$I$437,9,FALSE)-C202,0)</f>
        <v>0</v>
      </c>
      <c r="E202" s="148" t="str">
        <f>IFERROR(INDEX(Auction!$C$13:$C$437,MATCH(B202,Auction!$A$13:$A$437,0)),"")</f>
        <v/>
      </c>
      <c r="G202" s="132" t="str">
        <f>IFERROR(INDEX(Auction!$B$13:$B$437,MATCH(H202,Auction!$A$13:$A$437,0)),"")</f>
        <v/>
      </c>
      <c r="H202" s="206" t="str">
        <f t="array" ref="H202">IF($G$195=0,"",IFERROR(INDEX(Auction!$A$13:$M$437,SMALL(IF(Auction!$M$13:$M$437=$G$195,(ROW(Auction!$M$13:$M$437)-MIN(ROW(Auction!$M$13:$M$437))+1),""),ROW($G6)),1),""))</f>
        <v/>
      </c>
      <c r="I202" s="141">
        <f>IF(ISERROR(VLOOKUP(H202,Auction!$A$13:$I$437,7,FALSE)),0,VLOOKUP(H202,Auction!$A$13:$I$437,8,FALSE))</f>
        <v>0</v>
      </c>
      <c r="J202" s="142">
        <f>IFERROR(VLOOKUP(H202,Auction!$A$13:$I$437,9,FALSE)-I202,0)</f>
        <v>0</v>
      </c>
      <c r="K202" s="148" t="str">
        <f>IFERROR(INDEX(Auction!$C$13:$C$437,MATCH(H202,Auction!$A$13:$A$437,0)),"")</f>
        <v/>
      </c>
    </row>
    <row r="203" spans="1:11" x14ac:dyDescent="0.35">
      <c r="A203" s="132" t="str">
        <f>IFERROR(INDEX(Auction!$B$13:$B$437,MATCH(B203,Auction!$A$13:$A$437,0)),"")</f>
        <v/>
      </c>
      <c r="B203" s="206" t="str">
        <f t="array" ref="B203">IF($A$195=0,"",IFERROR(INDEX(Auction!$A$13:$M$437,SMALL(IF(Auction!$M$13:$M$437=$A$195,(ROW(Auction!$M$13:$M$437)-MIN(ROW(Auction!$M$13:$M$437))+1),""),ROW($A7)),1),""))</f>
        <v/>
      </c>
      <c r="C203" s="141">
        <f>IF(ISERROR(VLOOKUP(B203,Auction!$A$13:$I$437,7,FALSE)),0,VLOOKUP(B203,Auction!$A$13:$I$437,8,FALSE))</f>
        <v>0</v>
      </c>
      <c r="D203" s="142">
        <f>IFERROR(VLOOKUP(B203,Auction!$A$13:$I$437,9,FALSE)-C203,0)</f>
        <v>0</v>
      </c>
      <c r="E203" s="148" t="str">
        <f>IFERROR(INDEX(Auction!$C$13:$C$437,MATCH(B203,Auction!$A$13:$A$437,0)),"")</f>
        <v/>
      </c>
      <c r="G203" s="132" t="str">
        <f>IFERROR(INDEX(Auction!$B$13:$B$437,MATCH(H203,Auction!$A$13:$A$437,0)),"")</f>
        <v/>
      </c>
      <c r="H203" s="206" t="str">
        <f t="array" ref="H203">IF($G$195=0,"",IFERROR(INDEX(Auction!$A$13:$M$437,SMALL(IF(Auction!$M$13:$M$437=$G$195,(ROW(Auction!$M$13:$M$437)-MIN(ROW(Auction!$M$13:$M$437))+1),""),ROW($G7)),1),""))</f>
        <v/>
      </c>
      <c r="I203" s="141">
        <f>IF(ISERROR(VLOOKUP(H203,Auction!$A$13:$I$437,7,FALSE)),0,VLOOKUP(H203,Auction!$A$13:$I$437,8,FALSE))</f>
        <v>0</v>
      </c>
      <c r="J203" s="142">
        <f>IFERROR(VLOOKUP(H203,Auction!$A$13:$I$437,9,FALSE)-I203,0)</f>
        <v>0</v>
      </c>
      <c r="K203" s="148" t="str">
        <f>IFERROR(INDEX(Auction!$C$13:$C$437,MATCH(H203,Auction!$A$13:$A$437,0)),"")</f>
        <v/>
      </c>
    </row>
    <row r="204" spans="1:11" x14ac:dyDescent="0.35">
      <c r="A204" s="132" t="str">
        <f>IFERROR(INDEX(Auction!$B$13:$B$437,MATCH(B204,Auction!$A$13:$A$437,0)),"")</f>
        <v/>
      </c>
      <c r="B204" s="206" t="str">
        <f t="array" ref="B204">IF($A$195=0,"",IFERROR(INDEX(Auction!$A$13:$M$437,SMALL(IF(Auction!$M$13:$M$437=$A$195,(ROW(Auction!$M$13:$M$437)-MIN(ROW(Auction!$M$13:$M$437))+1),""),ROW($A8)),1),""))</f>
        <v/>
      </c>
      <c r="C204" s="141">
        <f>IF(ISERROR(VLOOKUP(B204,Auction!$A$13:$I$437,7,FALSE)),0,VLOOKUP(B204,Auction!$A$13:$I$437,8,FALSE))</f>
        <v>0</v>
      </c>
      <c r="D204" s="142">
        <f>IFERROR(VLOOKUP(B204,Auction!$A$13:$I$437,9,FALSE)-C204,0)</f>
        <v>0</v>
      </c>
      <c r="E204" s="148" t="str">
        <f>IFERROR(INDEX(Auction!$C$13:$C$437,MATCH(B204,Auction!$A$13:$A$437,0)),"")</f>
        <v/>
      </c>
      <c r="G204" s="132" t="str">
        <f>IFERROR(INDEX(Auction!$B$13:$B$437,MATCH(H204,Auction!$A$13:$A$437,0)),"")</f>
        <v/>
      </c>
      <c r="H204" s="206" t="str">
        <f t="array" ref="H204">IF($G$195=0,"",IFERROR(INDEX(Auction!$A$13:$M$437,SMALL(IF(Auction!$M$13:$M$437=$G$195,(ROW(Auction!$M$13:$M$437)-MIN(ROW(Auction!$M$13:$M$437))+1),""),ROW($G8)),1),""))</f>
        <v/>
      </c>
      <c r="I204" s="141">
        <f>IF(ISERROR(VLOOKUP(H204,Auction!$A$13:$I$437,7,FALSE)),0,VLOOKUP(H204,Auction!$A$13:$I$437,8,FALSE))</f>
        <v>0</v>
      </c>
      <c r="J204" s="142">
        <f>IFERROR(VLOOKUP(H204,Auction!$A$13:$I$437,9,FALSE)-I204,0)</f>
        <v>0</v>
      </c>
      <c r="K204" s="148" t="str">
        <f>IFERROR(INDEX(Auction!$C$13:$C$437,MATCH(H204,Auction!$A$13:$A$437,0)),"")</f>
        <v/>
      </c>
    </row>
    <row r="205" spans="1:11" x14ac:dyDescent="0.35">
      <c r="A205" s="132" t="str">
        <f>IFERROR(INDEX(Auction!$B$13:$B$437,MATCH(B205,Auction!$A$13:$A$437,0)),"")</f>
        <v/>
      </c>
      <c r="B205" s="206" t="str">
        <f t="array" ref="B205">IF($A$195=0,"",IFERROR(INDEX(Auction!$A$13:$M$437,SMALL(IF(Auction!$M$13:$M$437=$A$195,(ROW(Auction!$M$13:$M$437)-MIN(ROW(Auction!$M$13:$M$437))+1),""),ROW($A9)),1),""))</f>
        <v/>
      </c>
      <c r="C205" s="141">
        <f>IF(ISERROR(VLOOKUP(B205,Auction!$A$13:$I$437,7,FALSE)),0,VLOOKUP(B205,Auction!$A$13:$I$437,8,FALSE))</f>
        <v>0</v>
      </c>
      <c r="D205" s="142">
        <f>IFERROR(VLOOKUP(B205,Auction!$A$13:$I$437,9,FALSE)-C205,0)</f>
        <v>0</v>
      </c>
      <c r="E205" s="149" t="str">
        <f>IFERROR(INDEX(Auction!$C$13:$C$437,MATCH(B205,Auction!$A$13:$A$437,0)),"")</f>
        <v/>
      </c>
      <c r="G205" s="132" t="str">
        <f>IFERROR(INDEX(Auction!$B$13:$B$437,MATCH(H205,Auction!$A$13:$A$437,0)),"")</f>
        <v/>
      </c>
      <c r="H205" s="206" t="str">
        <f t="array" ref="H205">IF($G$195=0,"",IFERROR(INDEX(Auction!$A$13:$M$437,SMALL(IF(Auction!$M$13:$M$437=$G$195,(ROW(Auction!$M$13:$M$437)-MIN(ROW(Auction!$M$13:$M$437))+1),""),ROW($G9)),1),""))</f>
        <v/>
      </c>
      <c r="I205" s="141">
        <f>IF(ISERROR(VLOOKUP(H205,Auction!$A$13:$I$437,7,FALSE)),0,VLOOKUP(H205,Auction!$A$13:$I$437,8,FALSE))</f>
        <v>0</v>
      </c>
      <c r="J205" s="142">
        <f>IFERROR(VLOOKUP(H205,Auction!$A$13:$I$437,9,FALSE)-I205,0)</f>
        <v>0</v>
      </c>
      <c r="K205" s="149" t="str">
        <f>IFERROR(INDEX(Auction!$C$13:$C$437,MATCH(H205,Auction!$A$13:$A$437,0)),"")</f>
        <v/>
      </c>
    </row>
    <row r="206" spans="1:11" x14ac:dyDescent="0.35">
      <c r="A206" s="132" t="str">
        <f>IFERROR(INDEX(Auction!$B$13:$B$437,MATCH(B206,Auction!$A$13:$A$437,0)),"")</f>
        <v/>
      </c>
      <c r="B206" s="206" t="str">
        <f t="array" ref="B206">IF($A$195=0,"",IFERROR(INDEX(Auction!$A$13:$M$437,SMALL(IF(Auction!$M$13:$M$437=$A$195,(ROW(Auction!$M$13:$M$437)-MIN(ROW(Auction!$M$13:$M$437))+1),""),ROW($A10)),1),""))</f>
        <v/>
      </c>
      <c r="C206" s="141">
        <f>IF(ISERROR(VLOOKUP(B206,Auction!$A$13:$I$437,7,FALSE)),0,VLOOKUP(B206,Auction!$A$13:$I$437,8,FALSE))</f>
        <v>0</v>
      </c>
      <c r="D206" s="142">
        <f>IFERROR(VLOOKUP(B206,Auction!$A$13:$I$437,9,FALSE)-C206,0)</f>
        <v>0</v>
      </c>
      <c r="E206" s="149" t="str">
        <f>IFERROR(INDEX(Auction!$C$13:$C$437,MATCH(B206,Auction!$A$13:$A$437,0)),"")</f>
        <v/>
      </c>
      <c r="G206" s="132" t="str">
        <f>IFERROR(INDEX(Auction!$B$13:$B$437,MATCH(H206,Auction!$A$13:$A$437,0)),"")</f>
        <v/>
      </c>
      <c r="H206" s="206" t="str">
        <f t="array" ref="H206">IF($G$195=0,"",IFERROR(INDEX(Auction!$A$13:$M$437,SMALL(IF(Auction!$M$13:$M$437=$G$195,(ROW(Auction!$M$13:$M$437)-MIN(ROW(Auction!$M$13:$M$437))+1),""),ROW($G10)),1),""))</f>
        <v/>
      </c>
      <c r="I206" s="141">
        <f>IF(ISERROR(VLOOKUP(H206,Auction!$A$13:$I$437,7,FALSE)),0,VLOOKUP(H206,Auction!$A$13:$I$437,8,FALSE))</f>
        <v>0</v>
      </c>
      <c r="J206" s="142">
        <f>IFERROR(VLOOKUP(H206,Auction!$A$13:$I$437,9,FALSE)-I206,0)</f>
        <v>0</v>
      </c>
      <c r="K206" s="149" t="str">
        <f>IFERROR(INDEX(Auction!$C$13:$C$437,MATCH(H206,Auction!$A$13:$A$437,0)),"")</f>
        <v/>
      </c>
    </row>
    <row r="207" spans="1:11" x14ac:dyDescent="0.35">
      <c r="A207" s="132" t="str">
        <f>IFERROR(INDEX(Auction!$B$13:$B$437,MATCH(B207,Auction!$A$13:$A$437,0)),"")</f>
        <v/>
      </c>
      <c r="B207" s="206" t="str">
        <f t="array" ref="B207">IF($A$195=0,"",IFERROR(INDEX(Auction!$A$13:$M$437,SMALL(IF(Auction!$M$13:$M$437=$A$195,(ROW(Auction!$M$13:$M$437)-MIN(ROW(Auction!$M$13:$M$437))+1),""),ROW($A11)),1),""))</f>
        <v/>
      </c>
      <c r="C207" s="141">
        <f>IF(ISERROR(VLOOKUP(B207,Auction!$A$13:$I$437,7,FALSE)),0,VLOOKUP(B207,Auction!$A$13:$I$437,8,FALSE))</f>
        <v>0</v>
      </c>
      <c r="D207" s="142">
        <f>IFERROR(VLOOKUP(B207,Auction!$A$13:$I$437,9,FALSE)-C207,0)</f>
        <v>0</v>
      </c>
      <c r="E207" s="149" t="str">
        <f>IFERROR(INDEX(Auction!$C$13:$C$437,MATCH(B207,Auction!$A$13:$A$437,0)),"")</f>
        <v/>
      </c>
      <c r="G207" s="132" t="str">
        <f>IFERROR(INDEX(Auction!$B$13:$B$437,MATCH(H207,Auction!$A$13:$A$437,0)),"")</f>
        <v/>
      </c>
      <c r="H207" s="206" t="str">
        <f t="array" ref="H207">IF($G$195=0,"",IFERROR(INDEX(Auction!$A$13:$M$437,SMALL(IF(Auction!$M$13:$M$437=$G$195,(ROW(Auction!$M$13:$M$437)-MIN(ROW(Auction!$M$13:$M$437))+1),""),ROW($G11)),1),""))</f>
        <v/>
      </c>
      <c r="I207" s="141">
        <f>IF(ISERROR(VLOOKUP(H207,Auction!$A$13:$I$437,7,FALSE)),0,VLOOKUP(H207,Auction!$A$13:$I$437,8,FALSE))</f>
        <v>0</v>
      </c>
      <c r="J207" s="142">
        <f>IFERROR(VLOOKUP(H207,Auction!$A$13:$I$437,9,FALSE)-I207,0)</f>
        <v>0</v>
      </c>
      <c r="K207" s="149" t="str">
        <f>IFERROR(INDEX(Auction!$C$13:$C$437,MATCH(H207,Auction!$A$13:$A$437,0)),"")</f>
        <v/>
      </c>
    </row>
    <row r="208" spans="1:11" x14ac:dyDescent="0.35">
      <c r="A208" s="132" t="str">
        <f>IFERROR(INDEX(Auction!$B$13:$B$437,MATCH(B208,Auction!$A$13:$A$437,0)),"")</f>
        <v/>
      </c>
      <c r="B208" s="206" t="str">
        <f t="array" ref="B208">IF($A$195=0,"",IFERROR(INDEX(Auction!$A$13:$M$437,SMALL(IF(Auction!$M$13:$M$437=$A$195,(ROW(Auction!$M$13:$M$437)-MIN(ROW(Auction!$M$13:$M$437))+1),""),ROW($A12)),1),""))</f>
        <v/>
      </c>
      <c r="C208" s="141">
        <f>IF(ISERROR(VLOOKUP(B208,Auction!$A$13:$I$437,7,FALSE)),0,VLOOKUP(B208,Auction!$A$13:$I$437,8,FALSE))</f>
        <v>0</v>
      </c>
      <c r="D208" s="142">
        <f>IFERROR(VLOOKUP(B208,Auction!$A$13:$I$437,9,FALSE)-C208,0)</f>
        <v>0</v>
      </c>
      <c r="E208" s="149" t="str">
        <f>IFERROR(INDEX(Auction!$C$13:$C$437,MATCH(B208,Auction!$A$13:$A$437,0)),"")</f>
        <v/>
      </c>
      <c r="G208" s="132" t="str">
        <f>IFERROR(INDEX(Auction!$B$13:$B$437,MATCH(H208,Auction!$A$13:$A$437,0)),"")</f>
        <v/>
      </c>
      <c r="H208" s="206" t="str">
        <f t="array" ref="H208">IF($G$195=0,"",IFERROR(INDEX(Auction!$A$13:$M$437,SMALL(IF(Auction!$M$13:$M$437=$G$195,(ROW(Auction!$M$13:$M$437)-MIN(ROW(Auction!$M$13:$M$437))+1),""),ROW($G12)),1),""))</f>
        <v/>
      </c>
      <c r="I208" s="141">
        <f>IF(ISERROR(VLOOKUP(H208,Auction!$A$13:$I$437,7,FALSE)),0,VLOOKUP(H208,Auction!$A$13:$I$437,8,FALSE))</f>
        <v>0</v>
      </c>
      <c r="J208" s="142">
        <f>IFERROR(VLOOKUP(H208,Auction!$A$13:$I$437,9,FALSE)-I208,0)</f>
        <v>0</v>
      </c>
      <c r="K208" s="149" t="str">
        <f>IFERROR(INDEX(Auction!$C$13:$C$437,MATCH(H208,Auction!$A$13:$A$437,0)),"")</f>
        <v/>
      </c>
    </row>
    <row r="209" spans="1:11" x14ac:dyDescent="0.35">
      <c r="A209" s="132" t="str">
        <f>IFERROR(INDEX(Auction!$B$13:$B$437,MATCH(B209,Auction!$A$13:$A$437,0)),"")</f>
        <v/>
      </c>
      <c r="B209" s="206" t="str">
        <f t="array" ref="B209">IF($A$195=0,"",IFERROR(INDEX(Auction!$A$13:$M$437,SMALL(IF(Auction!$M$13:$M$437=$A$195,(ROW(Auction!$M$13:$M$437)-MIN(ROW(Auction!$M$13:$M$437))+1),""),ROW($A13)),1),""))</f>
        <v/>
      </c>
      <c r="C209" s="141">
        <f>IF(ISERROR(VLOOKUP(B209,Auction!$A$13:$I$437,7,FALSE)),0,VLOOKUP(B209,Auction!$A$13:$I$437,8,FALSE))</f>
        <v>0</v>
      </c>
      <c r="D209" s="142">
        <f>IFERROR(VLOOKUP(B209,Auction!$A$13:$I$437,9,FALSE)-C209,0)</f>
        <v>0</v>
      </c>
      <c r="E209" s="149" t="str">
        <f>IFERROR(INDEX(Auction!$C$13:$C$437,MATCH(B209,Auction!$A$13:$A$437,0)),"")</f>
        <v/>
      </c>
      <c r="G209" s="132" t="str">
        <f>IFERROR(INDEX(Auction!$B$13:$B$437,MATCH(H209,Auction!$A$13:$A$437,0)),"")</f>
        <v/>
      </c>
      <c r="H209" s="206" t="str">
        <f t="array" ref="H209">IF($G$195=0,"",IFERROR(INDEX(Auction!$A$13:$M$437,SMALL(IF(Auction!$M$13:$M$437=$G$195,(ROW(Auction!$M$13:$M$437)-MIN(ROW(Auction!$M$13:$M$437))+1),""),ROW($G13)),1),""))</f>
        <v/>
      </c>
      <c r="I209" s="141">
        <f>IF(ISERROR(VLOOKUP(H209,Auction!$A$13:$I$437,7,FALSE)),0,VLOOKUP(H209,Auction!$A$13:$I$437,8,FALSE))</f>
        <v>0</v>
      </c>
      <c r="J209" s="142">
        <f>IFERROR(VLOOKUP(H209,Auction!$A$13:$I$437,9,FALSE)-I209,0)</f>
        <v>0</v>
      </c>
      <c r="K209" s="149" t="str">
        <f>IFERROR(INDEX(Auction!$C$13:$C$437,MATCH(H209,Auction!$A$13:$A$437,0)),"")</f>
        <v/>
      </c>
    </row>
    <row r="210" spans="1:11" x14ac:dyDescent="0.35">
      <c r="A210" s="132" t="str">
        <f>IFERROR(INDEX(Auction!$B$13:$B$437,MATCH(B210,Auction!$A$13:$A$437,0)),"")</f>
        <v/>
      </c>
      <c r="B210" s="206" t="str">
        <f t="array" ref="B210">IF($A$195=0,"",IFERROR(INDEX(Auction!$A$13:$M$437,SMALL(IF(Auction!$M$13:$M$437=$A$195,(ROW(Auction!$M$13:$M$437)-MIN(ROW(Auction!$M$13:$M$437))+1),""),ROW($A14)),1),""))</f>
        <v/>
      </c>
      <c r="C210" s="141">
        <f>IF(ISERROR(VLOOKUP(B210,Auction!$A$13:$I$437,7,FALSE)),0,VLOOKUP(B210,Auction!$A$13:$I$437,8,FALSE))</f>
        <v>0</v>
      </c>
      <c r="D210" s="142">
        <f>IFERROR(VLOOKUP(B210,Auction!$A$13:$I$437,9,FALSE)-C210,0)</f>
        <v>0</v>
      </c>
      <c r="E210" s="149" t="str">
        <f>IFERROR(INDEX(Auction!$C$13:$C$437,MATCH(B210,Auction!$A$13:$A$437,0)),"")</f>
        <v/>
      </c>
      <c r="G210" s="132" t="str">
        <f>IFERROR(INDEX(Auction!$B$13:$B$437,MATCH(H210,Auction!$A$13:$A$437,0)),"")</f>
        <v/>
      </c>
      <c r="H210" s="206" t="str">
        <f t="array" ref="H210">IF($G$195=0,"",IFERROR(INDEX(Auction!$A$13:$M$437,SMALL(IF(Auction!$M$13:$M$437=$G$195,(ROW(Auction!$M$13:$M$437)-MIN(ROW(Auction!$M$13:$M$437))+1),""),ROW($G14)),1),""))</f>
        <v/>
      </c>
      <c r="I210" s="141">
        <f>IF(ISERROR(VLOOKUP(H210,Auction!$A$13:$I$437,7,FALSE)),0,VLOOKUP(H210,Auction!$A$13:$I$437,8,FALSE))</f>
        <v>0</v>
      </c>
      <c r="J210" s="142">
        <f>IFERROR(VLOOKUP(H210,Auction!$A$13:$I$437,9,FALSE)-I210,0)</f>
        <v>0</v>
      </c>
      <c r="K210" s="149" t="str">
        <f>IFERROR(INDEX(Auction!$C$13:$C$437,MATCH(H210,Auction!$A$13:$A$437,0)),"")</f>
        <v/>
      </c>
    </row>
    <row r="211" spans="1:11" x14ac:dyDescent="0.35">
      <c r="A211" s="132" t="str">
        <f>IFERROR(INDEX(Auction!$B$13:$B$437,MATCH(B211,Auction!$A$13:$A$437,0)),"")</f>
        <v/>
      </c>
      <c r="B211" s="206" t="str">
        <f t="array" ref="B211">IF($A$195=0,"",IFERROR(INDEX(Auction!$A$13:$M$437,SMALL(IF(Auction!$M$13:$M$437=$A$195,(ROW(Auction!$M$13:$M$437)-MIN(ROW(Auction!$M$13:$M$437))+1),""),ROW($A15)),1),""))</f>
        <v/>
      </c>
      <c r="C211" s="141">
        <f>IF(ISERROR(VLOOKUP(B211,Auction!$A$13:$I$437,7,FALSE)),0,VLOOKUP(B211,Auction!$A$13:$I$437,8,FALSE))</f>
        <v>0</v>
      </c>
      <c r="D211" s="142">
        <f>IFERROR(VLOOKUP(B211,Auction!$A$13:$I$437,9,FALSE)-C211,0)</f>
        <v>0</v>
      </c>
      <c r="E211" s="149" t="str">
        <f>IFERROR(INDEX(Auction!$C$13:$C$437,MATCH(B211,Auction!$A$13:$A$437,0)),"")</f>
        <v/>
      </c>
      <c r="G211" s="132" t="str">
        <f>IFERROR(INDEX(Auction!$B$13:$B$437,MATCH(H211,Auction!$A$13:$A$437,0)),"")</f>
        <v/>
      </c>
      <c r="H211" s="206" t="str">
        <f t="array" ref="H211">IF($G$195=0,"",IFERROR(INDEX(Auction!$A$13:$M$437,SMALL(IF(Auction!$M$13:$M$437=$G$195,(ROW(Auction!$M$13:$M$437)-MIN(ROW(Auction!$M$13:$M$437))+1),""),ROW($G15)),1),""))</f>
        <v/>
      </c>
      <c r="I211" s="141">
        <f>IF(ISERROR(VLOOKUP(H211,Auction!$A$13:$I$437,7,FALSE)),0,VLOOKUP(H211,Auction!$A$13:$I$437,8,FALSE))</f>
        <v>0</v>
      </c>
      <c r="J211" s="142">
        <f>IFERROR(VLOOKUP(H211,Auction!$A$13:$I$437,9,FALSE)-I211,0)</f>
        <v>0</v>
      </c>
      <c r="K211" s="149" t="str">
        <f>IFERROR(INDEX(Auction!$C$13:$C$437,MATCH(H211,Auction!$A$13:$A$437,0)),"")</f>
        <v/>
      </c>
    </row>
    <row r="212" spans="1:11" x14ac:dyDescent="0.35">
      <c r="A212" s="132" t="str">
        <f>IFERROR(INDEX(Auction!$B$13:$B$437,MATCH(B212,Auction!$A$13:$A$437,0)),"")</f>
        <v/>
      </c>
      <c r="B212" s="206" t="str">
        <f t="array" ref="B212">IF($A$195=0,"",IFERROR(INDEX(Auction!$A$13:$M$437,SMALL(IF(Auction!$M$13:$M$437=$A$195,(ROW(Auction!$M$13:$M$437)-MIN(ROW(Auction!$M$13:$M$437))+1),""),ROW($A16)),1),""))</f>
        <v/>
      </c>
      <c r="C212" s="141">
        <f>IF(ISERROR(VLOOKUP(B212,Auction!$A$13:$I$437,7,FALSE)),0,VLOOKUP(B212,Auction!$A$13:$I$437,8,FALSE))</f>
        <v>0</v>
      </c>
      <c r="D212" s="142">
        <f>IFERROR(VLOOKUP(B212,Auction!$A$13:$I$437,9,FALSE)-C212,0)</f>
        <v>0</v>
      </c>
      <c r="E212" s="149" t="str">
        <f>IFERROR(INDEX(Auction!$C$13:$C$437,MATCH(B212,Auction!$A$13:$A$437,0)),"")</f>
        <v/>
      </c>
      <c r="G212" s="132" t="str">
        <f>IFERROR(INDEX(Auction!$B$13:$B$437,MATCH(H212,Auction!$A$13:$A$437,0)),"")</f>
        <v/>
      </c>
      <c r="H212" s="206" t="str">
        <f t="array" ref="H212">IF($G$195=0,"",IFERROR(INDEX(Auction!$A$13:$M$437,SMALL(IF(Auction!$M$13:$M$437=$G$195,(ROW(Auction!$M$13:$M$437)-MIN(ROW(Auction!$M$13:$M$437))+1),""),ROW($G16)),1),""))</f>
        <v/>
      </c>
      <c r="I212" s="141">
        <f>IF(ISERROR(VLOOKUP(H212,Auction!$A$13:$I$437,7,FALSE)),0,VLOOKUP(H212,Auction!$A$13:$I$437,8,FALSE))</f>
        <v>0</v>
      </c>
      <c r="J212" s="142">
        <f>IFERROR(VLOOKUP(H212,Auction!$A$13:$I$437,9,FALSE)-I212,0)</f>
        <v>0</v>
      </c>
      <c r="K212" s="149" t="str">
        <f>IFERROR(INDEX(Auction!$C$13:$C$437,MATCH(H212,Auction!$A$13:$A$437,0)),"")</f>
        <v/>
      </c>
    </row>
    <row r="213" spans="1:11" x14ac:dyDescent="0.35">
      <c r="A213" s="132" t="str">
        <f>IFERROR(INDEX(Auction!$B$13:$B$437,MATCH(B213,Auction!$A$13:$A$437,0)),"")</f>
        <v/>
      </c>
      <c r="B213" s="206" t="str">
        <f t="array" ref="B213">IF($A$195=0,"",IFERROR(INDEX(Auction!$A$13:$M$437,SMALL(IF(Auction!$M$13:$M$437=$A$195,(ROW(Auction!$M$13:$M$437)-MIN(ROW(Auction!$M$13:$M$437))+1),""),ROW($A17)),1),""))</f>
        <v/>
      </c>
      <c r="C213" s="141">
        <f>IF(ISERROR(VLOOKUP(B213,Auction!$A$13:$I$437,7,FALSE)),0,VLOOKUP(B213,Auction!$A$13:$I$437,8,FALSE))</f>
        <v>0</v>
      </c>
      <c r="D213" s="142">
        <f>IFERROR(VLOOKUP(B213,Auction!$A$13:$I$437,9,FALSE)-C213,0)</f>
        <v>0</v>
      </c>
      <c r="E213" s="149" t="str">
        <f>IFERROR(INDEX(Auction!$C$13:$C$437,MATCH(B213,Auction!$A$13:$A$437,0)),"")</f>
        <v/>
      </c>
      <c r="G213" s="132" t="str">
        <f>IFERROR(INDEX(Auction!$B$13:$B$437,MATCH(H213,Auction!$A$13:$A$437,0)),"")</f>
        <v/>
      </c>
      <c r="H213" s="206" t="str">
        <f t="array" ref="H213">IF($G$195=0,"",IFERROR(INDEX(Auction!$A$13:$M$437,SMALL(IF(Auction!$M$13:$M$437=$G$195,(ROW(Auction!$M$13:$M$437)-MIN(ROW(Auction!$M$13:$M$437))+1),""),ROW($G17)),1),""))</f>
        <v/>
      </c>
      <c r="I213" s="141">
        <f>IF(ISERROR(VLOOKUP(H213,Auction!$A$13:$I$437,7,FALSE)),0,VLOOKUP(H213,Auction!$A$13:$I$437,8,FALSE))</f>
        <v>0</v>
      </c>
      <c r="J213" s="142">
        <f>IFERROR(VLOOKUP(H213,Auction!$A$13:$I$437,9,FALSE)-I213,0)</f>
        <v>0</v>
      </c>
      <c r="K213" s="149" t="str">
        <f>IFERROR(INDEX(Auction!$C$13:$C$437,MATCH(H213,Auction!$A$13:$A$437,0)),"")</f>
        <v/>
      </c>
    </row>
    <row r="214" spans="1:11" x14ac:dyDescent="0.35">
      <c r="A214" s="132" t="str">
        <f>IFERROR(INDEX(Auction!$B$13:$B$437,MATCH(B214,Auction!$A$13:$A$437,0)),"")</f>
        <v/>
      </c>
      <c r="B214" s="206" t="str">
        <f t="array" ref="B214">IF($A$195=0,"",IFERROR(INDEX(Auction!$A$13:$M$437,SMALL(IF(Auction!$M$13:$M$437=$A$195,(ROW(Auction!$M$13:$M$437)-MIN(ROW(Auction!$M$13:$M$437))+1),""),ROW($A18)),1),""))</f>
        <v/>
      </c>
      <c r="C214" s="141">
        <f>IF(ISERROR(VLOOKUP(B214,Auction!$A$13:$I$437,7,FALSE)),0,VLOOKUP(B214,Auction!$A$13:$I$437,8,FALSE))</f>
        <v>0</v>
      </c>
      <c r="D214" s="142">
        <f>IFERROR(VLOOKUP(B214,Auction!$A$13:$I$437,9,FALSE)-C214,0)</f>
        <v>0</v>
      </c>
      <c r="E214" s="149" t="str">
        <f>IFERROR(INDEX(Auction!$C$13:$C$437,MATCH(B214,Auction!$A$13:$A$437,0)),"")</f>
        <v/>
      </c>
      <c r="G214" s="132" t="str">
        <f>IFERROR(INDEX(Auction!$B$13:$B$437,MATCH(H214,Auction!$A$13:$A$437,0)),"")</f>
        <v/>
      </c>
      <c r="H214" s="206" t="str">
        <f t="array" ref="H214">IF($G$195=0,"",IFERROR(INDEX(Auction!$A$13:$M$437,SMALL(IF(Auction!$M$13:$M$437=$G$195,(ROW(Auction!$M$13:$M$437)-MIN(ROW(Auction!$M$13:$M$437))+1),""),ROW($G18)),1),""))</f>
        <v/>
      </c>
      <c r="I214" s="141">
        <f>IF(ISERROR(VLOOKUP(H214,Auction!$A$13:$I$437,7,FALSE)),0,VLOOKUP(H214,Auction!$A$13:$I$437,8,FALSE))</f>
        <v>0</v>
      </c>
      <c r="J214" s="142">
        <f>IFERROR(VLOOKUP(H214,Auction!$A$13:$I$437,9,FALSE)-I214,0)</f>
        <v>0</v>
      </c>
      <c r="K214" s="149" t="str">
        <f>IFERROR(INDEX(Auction!$C$13:$C$437,MATCH(H214,Auction!$A$13:$A$437,0)),"")</f>
        <v/>
      </c>
    </row>
    <row r="215" spans="1:11" x14ac:dyDescent="0.35">
      <c r="A215" s="132" t="str">
        <f>IFERROR(INDEX(Auction!$B$13:$B$437,MATCH(B215,Auction!$A$13:$A$437,0)),"")</f>
        <v/>
      </c>
      <c r="B215" s="206" t="str">
        <f t="array" ref="B215">IF($A$195=0,"",IFERROR(INDEX(Auction!$A$13:$M$437,SMALL(IF(Auction!$M$13:$M$437=$A$195,(ROW(Auction!$M$13:$M$437)-MIN(ROW(Auction!$M$13:$M$437))+1),""),ROW($A19)),1),""))</f>
        <v/>
      </c>
      <c r="C215" s="141">
        <f>IF(ISERROR(VLOOKUP(B215,Auction!$A$13:$I$437,7,FALSE)),0,VLOOKUP(B215,Auction!$A$13:$I$437,8,FALSE))</f>
        <v>0</v>
      </c>
      <c r="D215" s="142">
        <f>IFERROR(VLOOKUP(B215,Auction!$A$13:$I$437,9,FALSE)-C215,0)</f>
        <v>0</v>
      </c>
      <c r="E215" s="149" t="str">
        <f>IFERROR(INDEX(Auction!$C$13:$C$437,MATCH(B215,Auction!$A$13:$A$437,0)),"")</f>
        <v/>
      </c>
      <c r="G215" s="132" t="str">
        <f>IFERROR(INDEX(Auction!$B$13:$B$437,MATCH(H215,Auction!$A$13:$A$437,0)),"")</f>
        <v/>
      </c>
      <c r="H215" s="206" t="str">
        <f t="array" ref="H215">IF($G$195=0,"",IFERROR(INDEX(Auction!$A$13:$M$437,SMALL(IF(Auction!$M$13:$M$437=$G$195,(ROW(Auction!$M$13:$M$437)-MIN(ROW(Auction!$M$13:$M$437))+1),""),ROW($G19)),1),""))</f>
        <v/>
      </c>
      <c r="I215" s="141">
        <f>IF(ISERROR(VLOOKUP(H215,Auction!$A$13:$I$437,7,FALSE)),0,VLOOKUP(H215,Auction!$A$13:$I$437,8,FALSE))</f>
        <v>0</v>
      </c>
      <c r="J215" s="142">
        <f>IFERROR(VLOOKUP(H215,Auction!$A$13:$I$437,9,FALSE)-I215,0)</f>
        <v>0</v>
      </c>
      <c r="K215" s="149" t="str">
        <f>IFERROR(INDEX(Auction!$C$13:$C$437,MATCH(H215,Auction!$A$13:$A$437,0)),"")</f>
        <v/>
      </c>
    </row>
    <row r="216" spans="1:11" x14ac:dyDescent="0.35">
      <c r="A216" s="132" t="str">
        <f>IFERROR(INDEX(Auction!$B$13:$B$437,MATCH(B216,Auction!$A$13:$A$437,0)),"")</f>
        <v/>
      </c>
      <c r="B216" s="206" t="str">
        <f t="array" ref="B216">IF($A$195=0,"",IFERROR(INDEX(Auction!$A$13:$M$437,SMALL(IF(Auction!$M$13:$M$437=$A$195,(ROW(Auction!$M$13:$M$437)-MIN(ROW(Auction!$M$13:$M$437))+1),""),ROW($A20)),1),""))</f>
        <v/>
      </c>
      <c r="C216" s="141">
        <f>IF(ISERROR(VLOOKUP(B216,Auction!$A$13:$I$437,7,FALSE)),0,VLOOKUP(B216,Auction!$A$13:$I$437,8,FALSE))</f>
        <v>0</v>
      </c>
      <c r="D216" s="142">
        <f>IFERROR(VLOOKUP(B216,Auction!$A$13:$I$437,9,FALSE)-C216,0)</f>
        <v>0</v>
      </c>
      <c r="E216" s="149" t="str">
        <f>IFERROR(INDEX(Auction!$C$13:$C$437,MATCH(B216,Auction!$A$13:$A$437,0)),"")</f>
        <v/>
      </c>
      <c r="G216" s="132" t="str">
        <f>IFERROR(INDEX(Auction!$B$13:$B$437,MATCH(H216,Auction!$A$13:$A$437,0)),"")</f>
        <v/>
      </c>
      <c r="H216" s="206" t="str">
        <f t="array" ref="H216">IF($G$195=0,"",IFERROR(INDEX(Auction!$A$13:$M$437,SMALL(IF(Auction!$M$13:$M$437=$G$195,(ROW(Auction!$M$13:$M$437)-MIN(ROW(Auction!$M$13:$M$437))+1),""),ROW($G20)),1),""))</f>
        <v/>
      </c>
      <c r="I216" s="141">
        <f>IF(ISERROR(VLOOKUP(H216,Auction!$A$13:$I$437,7,FALSE)),0,VLOOKUP(H216,Auction!$A$13:$I$437,8,FALSE))</f>
        <v>0</v>
      </c>
      <c r="J216" s="142">
        <f>IFERROR(VLOOKUP(H216,Auction!$A$13:$I$437,9,FALSE)-I216,0)</f>
        <v>0</v>
      </c>
      <c r="K216" s="149" t="str">
        <f>IFERROR(INDEX(Auction!$C$13:$C$437,MATCH(H216,Auction!$A$13:$A$437,0)),"")</f>
        <v/>
      </c>
    </row>
    <row r="217" spans="1:11" x14ac:dyDescent="0.35">
      <c r="A217" s="150"/>
      <c r="B217" s="151"/>
      <c r="C217" s="152">
        <f>SUM(C197:C216)</f>
        <v>0</v>
      </c>
      <c r="D217" s="152">
        <f>SUM(D197:D216)</f>
        <v>0</v>
      </c>
      <c r="E217" s="153"/>
      <c r="G217" s="150"/>
      <c r="H217" s="151"/>
      <c r="I217" s="152">
        <f>SUM(I197:I216)</f>
        <v>0</v>
      </c>
      <c r="J217" s="152">
        <f>SUM(J197:J216)</f>
        <v>0</v>
      </c>
      <c r="K217" s="153"/>
    </row>
    <row r="219" spans="1:11" x14ac:dyDescent="0.35">
      <c r="A219" s="267">
        <f>H20</f>
        <v>0</v>
      </c>
      <c r="B219" s="268"/>
      <c r="C219" s="268"/>
      <c r="D219" s="268"/>
      <c r="E219" s="269"/>
      <c r="G219" s="267">
        <f>H21</f>
        <v>0</v>
      </c>
      <c r="H219" s="268"/>
      <c r="I219" s="268"/>
      <c r="J219" s="268"/>
      <c r="K219" s="269"/>
    </row>
    <row r="220" spans="1:11" x14ac:dyDescent="0.35">
      <c r="A220" s="139" t="s">
        <v>310</v>
      </c>
      <c r="B220" s="147" t="s">
        <v>82</v>
      </c>
      <c r="C220" s="129" t="s">
        <v>311</v>
      </c>
      <c r="D220" s="129" t="s">
        <v>312</v>
      </c>
      <c r="E220" s="140" t="s">
        <v>262</v>
      </c>
      <c r="G220" s="139" t="s">
        <v>310</v>
      </c>
      <c r="H220" s="147" t="s">
        <v>82</v>
      </c>
      <c r="I220" s="129" t="s">
        <v>311</v>
      </c>
      <c r="J220" s="129" t="s">
        <v>312</v>
      </c>
      <c r="K220" s="140" t="s">
        <v>262</v>
      </c>
    </row>
    <row r="221" spans="1:11" x14ac:dyDescent="0.35">
      <c r="A221" s="132" t="str">
        <f>IFERROR(INDEX(Auction!$B$13:$B$437,MATCH(B221,Auction!$A$13:$A$437,0)),"")</f>
        <v/>
      </c>
      <c r="B221" s="206" t="str">
        <f t="array" ref="B221">IF($A$219=0,"",IFERROR(INDEX(Auction!$A$13:$M$437,SMALL(IF(Auction!$M$13:$M$437=$A$219,(ROW(Auction!$M$13:$M$437)-MIN(ROW(Auction!$M$13:$M$437))+1),""),ROW($A1)),1),""))</f>
        <v/>
      </c>
      <c r="C221" s="141">
        <f>IF(ISERROR(VLOOKUP(B221,Auction!$A$13:$I$437,7,FALSE)),0,VLOOKUP(B221,Auction!$A$13:$I$437,8,FALSE))</f>
        <v>0</v>
      </c>
      <c r="D221" s="142">
        <f>IFERROR(VLOOKUP(B221,Auction!$A$13:$I$437,9,FALSE)-C221,0)</f>
        <v>0</v>
      </c>
      <c r="E221" s="148" t="str">
        <f>IFERROR(INDEX(Auction!$C$13:$C$437,MATCH(B221,Auction!$A$13:$A$437,0)),"")</f>
        <v/>
      </c>
      <c r="G221" s="132" t="str">
        <f>IFERROR(INDEX(Auction!$B$13:$B$437,MATCH(H221,Auction!$A$13:$A$437,0)),"")</f>
        <v/>
      </c>
      <c r="H221" s="206" t="str">
        <f t="array" ref="H221">IF($G$219=0,"",IFERROR(INDEX(Auction!$A$13:$M$437,SMALL(IF(Auction!$M$13:$M$437=$G$219,(ROW(Auction!$M$13:$M$437)-MIN(ROW(Auction!$M$13:$M$437))+1),""),ROW($G1)),1),""))</f>
        <v/>
      </c>
      <c r="I221" s="141">
        <f>IF(ISERROR(VLOOKUP(H221,Auction!$A$13:$I$437,7,FALSE)),0,VLOOKUP(H221,Auction!$A$13:$I$437,8,FALSE))</f>
        <v>0</v>
      </c>
      <c r="J221" s="142">
        <f>IFERROR(VLOOKUP(H221,Auction!$A$13:$I$437,9,FALSE)-I221,0)</f>
        <v>0</v>
      </c>
      <c r="K221" s="148" t="str">
        <f>IFERROR(INDEX(Auction!$C$13:$C$437,MATCH(H221,Auction!$A$13:$A$437,0)),"")</f>
        <v/>
      </c>
    </row>
    <row r="222" spans="1:11" x14ac:dyDescent="0.35">
      <c r="A222" s="132" t="str">
        <f>IFERROR(INDEX(Auction!$B$13:$B$437,MATCH(B222,Auction!$A$13:$A$437,0)),"")</f>
        <v/>
      </c>
      <c r="B222" s="206" t="str">
        <f t="array" ref="B222">IF($A$219=0,"",IFERROR(INDEX(Auction!$A$13:$M$437,SMALL(IF(Auction!$M$13:$M$437=$A$219,(ROW(Auction!$M$13:$M$437)-MIN(ROW(Auction!$M$13:$M$437))+1),""),ROW($A2)),1),""))</f>
        <v/>
      </c>
      <c r="C222" s="141">
        <f>IF(ISERROR(VLOOKUP(B222,Auction!$A$13:$I$437,7,FALSE)),0,VLOOKUP(B222,Auction!$A$13:$I$437,8,FALSE))</f>
        <v>0</v>
      </c>
      <c r="D222" s="142">
        <f>IFERROR(VLOOKUP(B222,Auction!$A$13:$I$437,9,FALSE)-C222,0)</f>
        <v>0</v>
      </c>
      <c r="E222" s="148" t="str">
        <f>IFERROR(INDEX(Auction!$C$13:$C$437,MATCH(B222,Auction!$A$13:$A$437,0)),"")</f>
        <v/>
      </c>
      <c r="G222" s="132" t="str">
        <f>IFERROR(INDEX(Auction!$B$13:$B$437,MATCH(H222,Auction!$A$13:$A$437,0)),"")</f>
        <v/>
      </c>
      <c r="H222" s="206" t="str">
        <f t="array" ref="H222">IF($G$219=0,"",IFERROR(INDEX(Auction!$A$13:$M$437,SMALL(IF(Auction!$M$13:$M$437=$G$219,(ROW(Auction!$M$13:$M$437)-MIN(ROW(Auction!$M$13:$M$437))+1),""),ROW($G2)),1),""))</f>
        <v/>
      </c>
      <c r="I222" s="141">
        <f>IF(ISERROR(VLOOKUP(H222,Auction!$A$13:$I$437,7,FALSE)),0,VLOOKUP(H222,Auction!$A$13:$I$437,8,FALSE))</f>
        <v>0</v>
      </c>
      <c r="J222" s="142">
        <f>IFERROR(VLOOKUP(H222,Auction!$A$13:$I$437,9,FALSE)-I222,0)</f>
        <v>0</v>
      </c>
      <c r="K222" s="148" t="str">
        <f>IFERROR(INDEX(Auction!$C$13:$C$437,MATCH(H222,Auction!$A$13:$A$437,0)),"")</f>
        <v/>
      </c>
    </row>
    <row r="223" spans="1:11" x14ac:dyDescent="0.35">
      <c r="A223" s="132" t="str">
        <f>IFERROR(INDEX(Auction!$B$13:$B$437,MATCH(B223,Auction!$A$13:$A$437,0)),"")</f>
        <v/>
      </c>
      <c r="B223" s="206" t="str">
        <f t="array" ref="B223">IF($A$219=0,"",IFERROR(INDEX(Auction!$A$13:$M$437,SMALL(IF(Auction!$M$13:$M$437=$A$219,(ROW(Auction!$M$13:$M$437)-MIN(ROW(Auction!$M$13:$M$437))+1),""),ROW($A3)),1),""))</f>
        <v/>
      </c>
      <c r="C223" s="141">
        <f>IF(ISERROR(VLOOKUP(B223,Auction!$A$13:$I$437,7,FALSE)),0,VLOOKUP(B223,Auction!$A$13:$I$437,8,FALSE))</f>
        <v>0</v>
      </c>
      <c r="D223" s="142">
        <f>IFERROR(VLOOKUP(B223,Auction!$A$13:$I$437,9,FALSE)-C223,0)</f>
        <v>0</v>
      </c>
      <c r="E223" s="148" t="str">
        <f>IFERROR(INDEX(Auction!$C$13:$C$437,MATCH(B223,Auction!$A$13:$A$437,0)),"")</f>
        <v/>
      </c>
      <c r="G223" s="132" t="str">
        <f>IFERROR(INDEX(Auction!$B$13:$B$437,MATCH(H223,Auction!$A$13:$A$437,0)),"")</f>
        <v/>
      </c>
      <c r="H223" s="206" t="str">
        <f t="array" ref="H223">IF($G$219=0,"",IFERROR(INDEX(Auction!$A$13:$M$437,SMALL(IF(Auction!$M$13:$M$437=$G$219,(ROW(Auction!$M$13:$M$437)-MIN(ROW(Auction!$M$13:$M$437))+1),""),ROW($G3)),1),""))</f>
        <v/>
      </c>
      <c r="I223" s="141">
        <f>IF(ISERROR(VLOOKUP(H223,Auction!$A$13:$I$437,7,FALSE)),0,VLOOKUP(H223,Auction!$A$13:$I$437,8,FALSE))</f>
        <v>0</v>
      </c>
      <c r="J223" s="142">
        <f>IFERROR(VLOOKUP(H223,Auction!$A$13:$I$437,9,FALSE)-I223,0)</f>
        <v>0</v>
      </c>
      <c r="K223" s="148" t="str">
        <f>IFERROR(INDEX(Auction!$C$13:$C$437,MATCH(H223,Auction!$A$13:$A$437,0)),"")</f>
        <v/>
      </c>
    </row>
    <row r="224" spans="1:11" x14ac:dyDescent="0.35">
      <c r="A224" s="132" t="str">
        <f>IFERROR(INDEX(Auction!$B$13:$B$437,MATCH(B224,Auction!$A$13:$A$437,0)),"")</f>
        <v/>
      </c>
      <c r="B224" s="206" t="str">
        <f t="array" ref="B224">IF($A$219=0,"",IFERROR(INDEX(Auction!$A$13:$M$437,SMALL(IF(Auction!$M$13:$M$437=$A$219,(ROW(Auction!$M$13:$M$437)-MIN(ROW(Auction!$M$13:$M$437))+1),""),ROW($A4)),1),""))</f>
        <v/>
      </c>
      <c r="C224" s="141">
        <f>IF(ISERROR(VLOOKUP(B224,Auction!$A$13:$I$437,7,FALSE)),0,VLOOKUP(B224,Auction!$A$13:$I$437,8,FALSE))</f>
        <v>0</v>
      </c>
      <c r="D224" s="142">
        <f>IFERROR(VLOOKUP(B224,Auction!$A$13:$I$437,9,FALSE)-C224,0)</f>
        <v>0</v>
      </c>
      <c r="E224" s="148" t="str">
        <f>IFERROR(INDEX(Auction!$C$13:$C$437,MATCH(B224,Auction!$A$13:$A$437,0)),"")</f>
        <v/>
      </c>
      <c r="G224" s="132" t="str">
        <f>IFERROR(INDEX(Auction!$B$13:$B$437,MATCH(H224,Auction!$A$13:$A$437,0)),"")</f>
        <v/>
      </c>
      <c r="H224" s="206" t="str">
        <f t="array" ref="H224">IF($G$219=0,"",IFERROR(INDEX(Auction!$A$13:$M$437,SMALL(IF(Auction!$M$13:$M$437=$G$219,(ROW(Auction!$M$13:$M$437)-MIN(ROW(Auction!$M$13:$M$437))+1),""),ROW($G4)),1),""))</f>
        <v/>
      </c>
      <c r="I224" s="141">
        <f>IF(ISERROR(VLOOKUP(H224,Auction!$A$13:$I$437,7,FALSE)),0,VLOOKUP(H224,Auction!$A$13:$I$437,8,FALSE))</f>
        <v>0</v>
      </c>
      <c r="J224" s="142">
        <f>IFERROR(VLOOKUP(H224,Auction!$A$13:$I$437,9,FALSE)-I224,0)</f>
        <v>0</v>
      </c>
      <c r="K224" s="148" t="str">
        <f>IFERROR(INDEX(Auction!$C$13:$C$437,MATCH(H224,Auction!$A$13:$A$437,0)),"")</f>
        <v/>
      </c>
    </row>
    <row r="225" spans="1:11" x14ac:dyDescent="0.35">
      <c r="A225" s="132" t="str">
        <f>IFERROR(INDEX(Auction!$B$13:$B$437,MATCH(B225,Auction!$A$13:$A$437,0)),"")</f>
        <v/>
      </c>
      <c r="B225" s="206" t="str">
        <f t="array" ref="B225">IF($A$219=0,"",IFERROR(INDEX(Auction!$A$13:$M$437,SMALL(IF(Auction!$M$13:$M$437=$A$219,(ROW(Auction!$M$13:$M$437)-MIN(ROW(Auction!$M$13:$M$437))+1),""),ROW($A5)),1),""))</f>
        <v/>
      </c>
      <c r="C225" s="141">
        <f>IF(ISERROR(VLOOKUP(B225,Auction!$A$13:$I$437,7,FALSE)),0,VLOOKUP(B225,Auction!$A$13:$I$437,8,FALSE))</f>
        <v>0</v>
      </c>
      <c r="D225" s="142">
        <f>IFERROR(VLOOKUP(B225,Auction!$A$13:$I$437,9,FALSE)-C225,0)</f>
        <v>0</v>
      </c>
      <c r="E225" s="148" t="str">
        <f>IFERROR(INDEX(Auction!$C$13:$C$437,MATCH(B225,Auction!$A$13:$A$437,0)),"")</f>
        <v/>
      </c>
      <c r="G225" s="132" t="str">
        <f>IFERROR(INDEX(Auction!$B$13:$B$437,MATCH(H225,Auction!$A$13:$A$437,0)),"")</f>
        <v/>
      </c>
      <c r="H225" s="206" t="str">
        <f t="array" ref="H225">IF($G$219=0,"",IFERROR(INDEX(Auction!$A$13:$M$437,SMALL(IF(Auction!$M$13:$M$437=$G$219,(ROW(Auction!$M$13:$M$437)-MIN(ROW(Auction!$M$13:$M$437))+1),""),ROW($G5)),1),""))</f>
        <v/>
      </c>
      <c r="I225" s="141">
        <f>IF(ISERROR(VLOOKUP(H225,Auction!$A$13:$I$437,7,FALSE)),0,VLOOKUP(H225,Auction!$A$13:$I$437,8,FALSE))</f>
        <v>0</v>
      </c>
      <c r="J225" s="142">
        <f>IFERROR(VLOOKUP(H225,Auction!$A$13:$I$437,9,FALSE)-I225,0)</f>
        <v>0</v>
      </c>
      <c r="K225" s="148" t="str">
        <f>IFERROR(INDEX(Auction!$C$13:$C$437,MATCH(H225,Auction!$A$13:$A$437,0)),"")</f>
        <v/>
      </c>
    </row>
    <row r="226" spans="1:11" x14ac:dyDescent="0.35">
      <c r="A226" s="132" t="str">
        <f>IFERROR(INDEX(Auction!$B$13:$B$437,MATCH(B226,Auction!$A$13:$A$437,0)),"")</f>
        <v/>
      </c>
      <c r="B226" s="206" t="str">
        <f t="array" ref="B226">IF($A$219=0,"",IFERROR(INDEX(Auction!$A$13:$M$437,SMALL(IF(Auction!$M$13:$M$437=$A$219,(ROW(Auction!$M$13:$M$437)-MIN(ROW(Auction!$M$13:$M$437))+1),""),ROW($A6)),1),""))</f>
        <v/>
      </c>
      <c r="C226" s="141">
        <f>IF(ISERROR(VLOOKUP(B226,Auction!$A$13:$I$437,7,FALSE)),0,VLOOKUP(B226,Auction!$A$13:$I$437,8,FALSE))</f>
        <v>0</v>
      </c>
      <c r="D226" s="142">
        <f>IFERROR(VLOOKUP(B226,Auction!$A$13:$I$437,9,FALSE)-C226,0)</f>
        <v>0</v>
      </c>
      <c r="E226" s="148" t="str">
        <f>IFERROR(INDEX(Auction!$C$13:$C$437,MATCH(B226,Auction!$A$13:$A$437,0)),"")</f>
        <v/>
      </c>
      <c r="G226" s="132" t="str">
        <f>IFERROR(INDEX(Auction!$B$13:$B$437,MATCH(H226,Auction!$A$13:$A$437,0)),"")</f>
        <v/>
      </c>
      <c r="H226" s="206" t="str">
        <f t="array" ref="H226">IF($G$219=0,"",IFERROR(INDEX(Auction!$A$13:$M$437,SMALL(IF(Auction!$M$13:$M$437=$G$219,(ROW(Auction!$M$13:$M$437)-MIN(ROW(Auction!$M$13:$M$437))+1),""),ROW($G6)),1),""))</f>
        <v/>
      </c>
      <c r="I226" s="141">
        <f>IF(ISERROR(VLOOKUP(H226,Auction!$A$13:$I$437,7,FALSE)),0,VLOOKUP(H226,Auction!$A$13:$I$437,8,FALSE))</f>
        <v>0</v>
      </c>
      <c r="J226" s="142">
        <f>IFERROR(VLOOKUP(H226,Auction!$A$13:$I$437,9,FALSE)-I226,0)</f>
        <v>0</v>
      </c>
      <c r="K226" s="148" t="str">
        <f>IFERROR(INDEX(Auction!$C$13:$C$437,MATCH(H226,Auction!$A$13:$A$437,0)),"")</f>
        <v/>
      </c>
    </row>
    <row r="227" spans="1:11" x14ac:dyDescent="0.35">
      <c r="A227" s="132" t="str">
        <f>IFERROR(INDEX(Auction!$B$13:$B$437,MATCH(B227,Auction!$A$13:$A$437,0)),"")</f>
        <v/>
      </c>
      <c r="B227" s="206" t="str">
        <f t="array" ref="B227">IF($A$219=0,"",IFERROR(INDEX(Auction!$A$13:$M$437,SMALL(IF(Auction!$M$13:$M$437=$A$219,(ROW(Auction!$M$13:$M$437)-MIN(ROW(Auction!$M$13:$M$437))+1),""),ROW($A7)),1),""))</f>
        <v/>
      </c>
      <c r="C227" s="141">
        <f>IF(ISERROR(VLOOKUP(B227,Auction!$A$13:$I$437,7,FALSE)),0,VLOOKUP(B227,Auction!$A$13:$I$437,8,FALSE))</f>
        <v>0</v>
      </c>
      <c r="D227" s="142">
        <f>IFERROR(VLOOKUP(B227,Auction!$A$13:$I$437,9,FALSE)-C227,0)</f>
        <v>0</v>
      </c>
      <c r="E227" s="148" t="str">
        <f>IFERROR(INDEX(Auction!$C$13:$C$437,MATCH(B227,Auction!$A$13:$A$437,0)),"")</f>
        <v/>
      </c>
      <c r="G227" s="132" t="str">
        <f>IFERROR(INDEX(Auction!$B$13:$B$437,MATCH(H227,Auction!$A$13:$A$437,0)),"")</f>
        <v/>
      </c>
      <c r="H227" s="206" t="str">
        <f t="array" ref="H227">IF($G$219=0,"",IFERROR(INDEX(Auction!$A$13:$M$437,SMALL(IF(Auction!$M$13:$M$437=$G$219,(ROW(Auction!$M$13:$M$437)-MIN(ROW(Auction!$M$13:$M$437))+1),""),ROW($G7)),1),""))</f>
        <v/>
      </c>
      <c r="I227" s="141">
        <f>IF(ISERROR(VLOOKUP(H227,Auction!$A$13:$I$437,7,FALSE)),0,VLOOKUP(H227,Auction!$A$13:$I$437,8,FALSE))</f>
        <v>0</v>
      </c>
      <c r="J227" s="142">
        <f>IFERROR(VLOOKUP(H227,Auction!$A$13:$I$437,9,FALSE)-I227,0)</f>
        <v>0</v>
      </c>
      <c r="K227" s="148" t="str">
        <f>IFERROR(INDEX(Auction!$C$13:$C$437,MATCH(H227,Auction!$A$13:$A$437,0)),"")</f>
        <v/>
      </c>
    </row>
    <row r="228" spans="1:11" x14ac:dyDescent="0.35">
      <c r="A228" s="132" t="str">
        <f>IFERROR(INDEX(Auction!$B$13:$B$437,MATCH(B228,Auction!$A$13:$A$437,0)),"")</f>
        <v/>
      </c>
      <c r="B228" s="206" t="str">
        <f t="array" ref="B228">IF($A$219=0,"",IFERROR(INDEX(Auction!$A$13:$M$437,SMALL(IF(Auction!$M$13:$M$437=$A$219,(ROW(Auction!$M$13:$M$437)-MIN(ROW(Auction!$M$13:$M$437))+1),""),ROW($A8)),1),""))</f>
        <v/>
      </c>
      <c r="C228" s="141">
        <f>IF(ISERROR(VLOOKUP(B228,Auction!$A$13:$I$437,7,FALSE)),0,VLOOKUP(B228,Auction!$A$13:$I$437,8,FALSE))</f>
        <v>0</v>
      </c>
      <c r="D228" s="142">
        <f>IFERROR(VLOOKUP(B228,Auction!$A$13:$I$437,9,FALSE)-C228,0)</f>
        <v>0</v>
      </c>
      <c r="E228" s="148" t="str">
        <f>IFERROR(INDEX(Auction!$C$13:$C$437,MATCH(B228,Auction!$A$13:$A$437,0)),"")</f>
        <v/>
      </c>
      <c r="G228" s="132" t="str">
        <f>IFERROR(INDEX(Auction!$B$13:$B$437,MATCH(H228,Auction!$A$13:$A$437,0)),"")</f>
        <v/>
      </c>
      <c r="H228" s="206" t="str">
        <f t="array" ref="H228">IF($G$219=0,"",IFERROR(INDEX(Auction!$A$13:$M$437,SMALL(IF(Auction!$M$13:$M$437=$G$219,(ROW(Auction!$M$13:$M$437)-MIN(ROW(Auction!$M$13:$M$437))+1),""),ROW($G8)),1),""))</f>
        <v/>
      </c>
      <c r="I228" s="141">
        <f>IF(ISERROR(VLOOKUP(H228,Auction!$A$13:$I$437,7,FALSE)),0,VLOOKUP(H228,Auction!$A$13:$I$437,8,FALSE))</f>
        <v>0</v>
      </c>
      <c r="J228" s="142">
        <f>IFERROR(VLOOKUP(H228,Auction!$A$13:$I$437,9,FALSE)-I228,0)</f>
        <v>0</v>
      </c>
      <c r="K228" s="148" t="str">
        <f>IFERROR(INDEX(Auction!$C$13:$C$437,MATCH(H228,Auction!$A$13:$A$437,0)),"")</f>
        <v/>
      </c>
    </row>
    <row r="229" spans="1:11" x14ac:dyDescent="0.35">
      <c r="A229" s="132" t="str">
        <f>IFERROR(INDEX(Auction!$B$13:$B$437,MATCH(B229,Auction!$A$13:$A$437,0)),"")</f>
        <v/>
      </c>
      <c r="B229" s="206" t="str">
        <f t="array" ref="B229">IF($A$219=0,"",IFERROR(INDEX(Auction!$A$13:$M$437,SMALL(IF(Auction!$M$13:$M$437=$A$219,(ROW(Auction!$M$13:$M$437)-MIN(ROW(Auction!$M$13:$M$437))+1),""),ROW($A9)),1),""))</f>
        <v/>
      </c>
      <c r="C229" s="141">
        <f>IF(ISERROR(VLOOKUP(B229,Auction!$A$13:$I$437,7,FALSE)),0,VLOOKUP(B229,Auction!$A$13:$I$437,8,FALSE))</f>
        <v>0</v>
      </c>
      <c r="D229" s="142">
        <f>IFERROR(VLOOKUP(B229,Auction!$A$13:$I$437,9,FALSE)-C229,0)</f>
        <v>0</v>
      </c>
      <c r="E229" s="149" t="str">
        <f>IFERROR(INDEX(Auction!$C$13:$C$437,MATCH(B229,Auction!$A$13:$A$437,0)),"")</f>
        <v/>
      </c>
      <c r="G229" s="132" t="str">
        <f>IFERROR(INDEX(Auction!$B$13:$B$437,MATCH(H229,Auction!$A$13:$A$437,0)),"")</f>
        <v/>
      </c>
      <c r="H229" s="206" t="str">
        <f t="array" ref="H229">IF($G$219=0,"",IFERROR(INDEX(Auction!$A$13:$M$437,SMALL(IF(Auction!$M$13:$M$437=$G$219,(ROW(Auction!$M$13:$M$437)-MIN(ROW(Auction!$M$13:$M$437))+1),""),ROW($G9)),1),""))</f>
        <v/>
      </c>
      <c r="I229" s="141">
        <f>IF(ISERROR(VLOOKUP(H229,Auction!$A$13:$I$437,7,FALSE)),0,VLOOKUP(H229,Auction!$A$13:$I$437,8,FALSE))</f>
        <v>0</v>
      </c>
      <c r="J229" s="142">
        <f>IFERROR(VLOOKUP(H229,Auction!$A$13:$I$437,9,FALSE)-I229,0)</f>
        <v>0</v>
      </c>
      <c r="K229" s="149" t="str">
        <f>IFERROR(INDEX(Auction!$C$13:$C$437,MATCH(H229,Auction!$A$13:$A$437,0)),"")</f>
        <v/>
      </c>
    </row>
    <row r="230" spans="1:11" x14ac:dyDescent="0.35">
      <c r="A230" s="132" t="str">
        <f>IFERROR(INDEX(Auction!$B$13:$B$437,MATCH(B230,Auction!$A$13:$A$437,0)),"")</f>
        <v/>
      </c>
      <c r="B230" s="206" t="str">
        <f t="array" ref="B230">IF($A$219=0,"",IFERROR(INDEX(Auction!$A$13:$M$437,SMALL(IF(Auction!$M$13:$M$437=$A$219,(ROW(Auction!$M$13:$M$437)-MIN(ROW(Auction!$M$13:$M$437))+1),""),ROW($A10)),1),""))</f>
        <v/>
      </c>
      <c r="C230" s="141">
        <f>IF(ISERROR(VLOOKUP(B230,Auction!$A$13:$I$437,7,FALSE)),0,VLOOKUP(B230,Auction!$A$13:$I$437,8,FALSE))</f>
        <v>0</v>
      </c>
      <c r="D230" s="142">
        <f>IFERROR(VLOOKUP(B230,Auction!$A$13:$I$437,9,FALSE)-C230,0)</f>
        <v>0</v>
      </c>
      <c r="E230" s="149" t="str">
        <f>IFERROR(INDEX(Auction!$C$13:$C$437,MATCH(B230,Auction!$A$13:$A$437,0)),"")</f>
        <v/>
      </c>
      <c r="G230" s="132" t="str">
        <f>IFERROR(INDEX(Auction!$B$13:$B$437,MATCH(H230,Auction!$A$13:$A$437,0)),"")</f>
        <v/>
      </c>
      <c r="H230" s="206" t="str">
        <f t="array" ref="H230">IF($G$219=0,"",IFERROR(INDEX(Auction!$A$13:$M$437,SMALL(IF(Auction!$M$13:$M$437=$G$219,(ROW(Auction!$M$13:$M$437)-MIN(ROW(Auction!$M$13:$M$437))+1),""),ROW($G10)),1),""))</f>
        <v/>
      </c>
      <c r="I230" s="141">
        <f>IF(ISERROR(VLOOKUP(H230,Auction!$A$13:$I$437,7,FALSE)),0,VLOOKUP(H230,Auction!$A$13:$I$437,8,FALSE))</f>
        <v>0</v>
      </c>
      <c r="J230" s="142">
        <f>IFERROR(VLOOKUP(H230,Auction!$A$13:$I$437,9,FALSE)-I230,0)</f>
        <v>0</v>
      </c>
      <c r="K230" s="149" t="str">
        <f>IFERROR(INDEX(Auction!$C$13:$C$437,MATCH(H230,Auction!$A$13:$A$437,0)),"")</f>
        <v/>
      </c>
    </row>
    <row r="231" spans="1:11" x14ac:dyDescent="0.35">
      <c r="A231" s="132" t="str">
        <f>IFERROR(INDEX(Auction!$B$13:$B$437,MATCH(B231,Auction!$A$13:$A$437,0)),"")</f>
        <v/>
      </c>
      <c r="B231" s="206" t="str">
        <f t="array" ref="B231">IF($A$219=0,"",IFERROR(INDEX(Auction!$A$13:$M$437,SMALL(IF(Auction!$M$13:$M$437=$A$219,(ROW(Auction!$M$13:$M$437)-MIN(ROW(Auction!$M$13:$M$437))+1),""),ROW($A11)),1),""))</f>
        <v/>
      </c>
      <c r="C231" s="141">
        <f>IF(ISERROR(VLOOKUP(B231,Auction!$A$13:$I$437,7,FALSE)),0,VLOOKUP(B231,Auction!$A$13:$I$437,8,FALSE))</f>
        <v>0</v>
      </c>
      <c r="D231" s="142">
        <f>IFERROR(VLOOKUP(B231,Auction!$A$13:$I$437,9,FALSE)-C231,0)</f>
        <v>0</v>
      </c>
      <c r="E231" s="149" t="str">
        <f>IFERROR(INDEX(Auction!$C$13:$C$437,MATCH(B231,Auction!$A$13:$A$437,0)),"")</f>
        <v/>
      </c>
      <c r="G231" s="132" t="str">
        <f>IFERROR(INDEX(Auction!$B$13:$B$437,MATCH(H231,Auction!$A$13:$A$437,0)),"")</f>
        <v/>
      </c>
      <c r="H231" s="206" t="str">
        <f t="array" ref="H231">IF($G$219=0,"",IFERROR(INDEX(Auction!$A$13:$M$437,SMALL(IF(Auction!$M$13:$M$437=$G$219,(ROW(Auction!$M$13:$M$437)-MIN(ROW(Auction!$M$13:$M$437))+1),""),ROW($G11)),1),""))</f>
        <v/>
      </c>
      <c r="I231" s="141">
        <f>IF(ISERROR(VLOOKUP(H231,Auction!$A$13:$I$437,7,FALSE)),0,VLOOKUP(H231,Auction!$A$13:$I$437,8,FALSE))</f>
        <v>0</v>
      </c>
      <c r="J231" s="142">
        <f>IFERROR(VLOOKUP(H231,Auction!$A$13:$I$437,9,FALSE)-I231,0)</f>
        <v>0</v>
      </c>
      <c r="K231" s="149" t="str">
        <f>IFERROR(INDEX(Auction!$C$13:$C$437,MATCH(H231,Auction!$A$13:$A$437,0)),"")</f>
        <v/>
      </c>
    </row>
    <row r="232" spans="1:11" x14ac:dyDescent="0.35">
      <c r="A232" s="132" t="str">
        <f>IFERROR(INDEX(Auction!$B$13:$B$437,MATCH(B232,Auction!$A$13:$A$437,0)),"")</f>
        <v/>
      </c>
      <c r="B232" s="206" t="str">
        <f t="array" ref="B232">IF($A$219=0,"",IFERROR(INDEX(Auction!$A$13:$M$437,SMALL(IF(Auction!$M$13:$M$437=$A$219,(ROW(Auction!$M$13:$M$437)-MIN(ROW(Auction!$M$13:$M$437))+1),""),ROW($A12)),1),""))</f>
        <v/>
      </c>
      <c r="C232" s="141">
        <f>IF(ISERROR(VLOOKUP(B232,Auction!$A$13:$I$437,7,FALSE)),0,VLOOKUP(B232,Auction!$A$13:$I$437,8,FALSE))</f>
        <v>0</v>
      </c>
      <c r="D232" s="142">
        <f>IFERROR(VLOOKUP(B232,Auction!$A$13:$I$437,9,FALSE)-C232,0)</f>
        <v>0</v>
      </c>
      <c r="E232" s="149" t="str">
        <f>IFERROR(INDEX(Auction!$C$13:$C$437,MATCH(B232,Auction!$A$13:$A$437,0)),"")</f>
        <v/>
      </c>
      <c r="G232" s="132" t="str">
        <f>IFERROR(INDEX(Auction!$B$13:$B$437,MATCH(H232,Auction!$A$13:$A$437,0)),"")</f>
        <v/>
      </c>
      <c r="H232" s="206" t="str">
        <f t="array" ref="H232">IF($G$219=0,"",IFERROR(INDEX(Auction!$A$13:$M$437,SMALL(IF(Auction!$M$13:$M$437=$G$219,(ROW(Auction!$M$13:$M$437)-MIN(ROW(Auction!$M$13:$M$437))+1),""),ROW($G12)),1),""))</f>
        <v/>
      </c>
      <c r="I232" s="141">
        <f>IF(ISERROR(VLOOKUP(H232,Auction!$A$13:$I$437,7,FALSE)),0,VLOOKUP(H232,Auction!$A$13:$I$437,8,FALSE))</f>
        <v>0</v>
      </c>
      <c r="J232" s="142">
        <f>IFERROR(VLOOKUP(H232,Auction!$A$13:$I$437,9,FALSE)-I232,0)</f>
        <v>0</v>
      </c>
      <c r="K232" s="149" t="str">
        <f>IFERROR(INDEX(Auction!$C$13:$C$437,MATCH(H232,Auction!$A$13:$A$437,0)),"")</f>
        <v/>
      </c>
    </row>
    <row r="233" spans="1:11" x14ac:dyDescent="0.35">
      <c r="A233" s="132" t="str">
        <f>IFERROR(INDEX(Auction!$B$13:$B$437,MATCH(B233,Auction!$A$13:$A$437,0)),"")</f>
        <v/>
      </c>
      <c r="B233" s="206" t="str">
        <f t="array" ref="B233">IF($A$219=0,"",IFERROR(INDEX(Auction!$A$13:$M$437,SMALL(IF(Auction!$M$13:$M$437=$A$219,(ROW(Auction!$M$13:$M$437)-MIN(ROW(Auction!$M$13:$M$437))+1),""),ROW($A13)),1),""))</f>
        <v/>
      </c>
      <c r="C233" s="141">
        <f>IF(ISERROR(VLOOKUP(B233,Auction!$A$13:$I$437,7,FALSE)),0,VLOOKUP(B233,Auction!$A$13:$I$437,8,FALSE))</f>
        <v>0</v>
      </c>
      <c r="D233" s="142">
        <f>IFERROR(VLOOKUP(B233,Auction!$A$13:$I$437,9,FALSE)-C233,0)</f>
        <v>0</v>
      </c>
      <c r="E233" s="149" t="str">
        <f>IFERROR(INDEX(Auction!$C$13:$C$437,MATCH(B233,Auction!$A$13:$A$437,0)),"")</f>
        <v/>
      </c>
      <c r="G233" s="132" t="str">
        <f>IFERROR(INDEX(Auction!$B$13:$B$437,MATCH(H233,Auction!$A$13:$A$437,0)),"")</f>
        <v/>
      </c>
      <c r="H233" s="206" t="str">
        <f t="array" ref="H233">IF($G$219=0,"",IFERROR(INDEX(Auction!$A$13:$M$437,SMALL(IF(Auction!$M$13:$M$437=$G$219,(ROW(Auction!$M$13:$M$437)-MIN(ROW(Auction!$M$13:$M$437))+1),""),ROW($G13)),1),""))</f>
        <v/>
      </c>
      <c r="I233" s="141">
        <f>IF(ISERROR(VLOOKUP(H233,Auction!$A$13:$I$437,7,FALSE)),0,VLOOKUP(H233,Auction!$A$13:$I$437,8,FALSE))</f>
        <v>0</v>
      </c>
      <c r="J233" s="142">
        <f>IFERROR(VLOOKUP(H233,Auction!$A$13:$I$437,9,FALSE)-I233,0)</f>
        <v>0</v>
      </c>
      <c r="K233" s="149" t="str">
        <f>IFERROR(INDEX(Auction!$C$13:$C$437,MATCH(H233,Auction!$A$13:$A$437,0)),"")</f>
        <v/>
      </c>
    </row>
    <row r="234" spans="1:11" x14ac:dyDescent="0.35">
      <c r="A234" s="132" t="str">
        <f>IFERROR(INDEX(Auction!$B$13:$B$437,MATCH(B234,Auction!$A$13:$A$437,0)),"")</f>
        <v/>
      </c>
      <c r="B234" s="206" t="str">
        <f t="array" ref="B234">IF($A$219=0,"",IFERROR(INDEX(Auction!$A$13:$M$437,SMALL(IF(Auction!$M$13:$M$437=$A$219,(ROW(Auction!$M$13:$M$437)-MIN(ROW(Auction!$M$13:$M$437))+1),""),ROW($A14)),1),""))</f>
        <v/>
      </c>
      <c r="C234" s="141">
        <f>IF(ISERROR(VLOOKUP(B234,Auction!$A$13:$I$437,7,FALSE)),0,VLOOKUP(B234,Auction!$A$13:$I$437,8,FALSE))</f>
        <v>0</v>
      </c>
      <c r="D234" s="142">
        <f>IFERROR(VLOOKUP(B234,Auction!$A$13:$I$437,9,FALSE)-C234,0)</f>
        <v>0</v>
      </c>
      <c r="E234" s="149" t="str">
        <f>IFERROR(INDEX(Auction!$C$13:$C$437,MATCH(B234,Auction!$A$13:$A$437,0)),"")</f>
        <v/>
      </c>
      <c r="G234" s="132" t="str">
        <f>IFERROR(INDEX(Auction!$B$13:$B$437,MATCH(H234,Auction!$A$13:$A$437,0)),"")</f>
        <v/>
      </c>
      <c r="H234" s="206" t="str">
        <f t="array" ref="H234">IF($G$219=0,"",IFERROR(INDEX(Auction!$A$13:$M$437,SMALL(IF(Auction!$M$13:$M$437=$G$219,(ROW(Auction!$M$13:$M$437)-MIN(ROW(Auction!$M$13:$M$437))+1),""),ROW($G14)),1),""))</f>
        <v/>
      </c>
      <c r="I234" s="141">
        <f>IF(ISERROR(VLOOKUP(H234,Auction!$A$13:$I$437,7,FALSE)),0,VLOOKUP(H234,Auction!$A$13:$I$437,8,FALSE))</f>
        <v>0</v>
      </c>
      <c r="J234" s="142">
        <f>IFERROR(VLOOKUP(H234,Auction!$A$13:$I$437,9,FALSE)-I234,0)</f>
        <v>0</v>
      </c>
      <c r="K234" s="149" t="str">
        <f>IFERROR(INDEX(Auction!$C$13:$C$437,MATCH(H234,Auction!$A$13:$A$437,0)),"")</f>
        <v/>
      </c>
    </row>
    <row r="235" spans="1:11" x14ac:dyDescent="0.35">
      <c r="A235" s="132" t="str">
        <f>IFERROR(INDEX(Auction!$B$13:$B$437,MATCH(B235,Auction!$A$13:$A$437,0)),"")</f>
        <v/>
      </c>
      <c r="B235" s="206" t="str">
        <f t="array" ref="B235">IF($A$219=0,"",IFERROR(INDEX(Auction!$A$13:$M$437,SMALL(IF(Auction!$M$13:$M$437=$A$219,(ROW(Auction!$M$13:$M$437)-MIN(ROW(Auction!$M$13:$M$437))+1),""),ROW($A15)),1),""))</f>
        <v/>
      </c>
      <c r="C235" s="141">
        <f>IF(ISERROR(VLOOKUP(B235,Auction!$A$13:$I$437,7,FALSE)),0,VLOOKUP(B235,Auction!$A$13:$I$437,8,FALSE))</f>
        <v>0</v>
      </c>
      <c r="D235" s="142">
        <f>IFERROR(VLOOKUP(B235,Auction!$A$13:$I$437,9,FALSE)-C235,0)</f>
        <v>0</v>
      </c>
      <c r="E235" s="149" t="str">
        <f>IFERROR(INDEX(Auction!$C$13:$C$437,MATCH(B235,Auction!$A$13:$A$437,0)),"")</f>
        <v/>
      </c>
      <c r="G235" s="132" t="str">
        <f>IFERROR(INDEX(Auction!$B$13:$B$437,MATCH(H235,Auction!$A$13:$A$437,0)),"")</f>
        <v/>
      </c>
      <c r="H235" s="206" t="str">
        <f t="array" ref="H235">IF($G$219=0,"",IFERROR(INDEX(Auction!$A$13:$M$437,SMALL(IF(Auction!$M$13:$M$437=$G$219,(ROW(Auction!$M$13:$M$437)-MIN(ROW(Auction!$M$13:$M$437))+1),""),ROW($G15)),1),""))</f>
        <v/>
      </c>
      <c r="I235" s="141">
        <f>IF(ISERROR(VLOOKUP(H235,Auction!$A$13:$I$437,7,FALSE)),0,VLOOKUP(H235,Auction!$A$13:$I$437,8,FALSE))</f>
        <v>0</v>
      </c>
      <c r="J235" s="142">
        <f>IFERROR(VLOOKUP(H235,Auction!$A$13:$I$437,9,FALSE)-I235,0)</f>
        <v>0</v>
      </c>
      <c r="K235" s="149" t="str">
        <f>IFERROR(INDEX(Auction!$C$13:$C$437,MATCH(H235,Auction!$A$13:$A$437,0)),"")</f>
        <v/>
      </c>
    </row>
    <row r="236" spans="1:11" x14ac:dyDescent="0.35">
      <c r="A236" s="132" t="str">
        <f>IFERROR(INDEX(Auction!$B$13:$B$437,MATCH(B236,Auction!$A$13:$A$437,0)),"")</f>
        <v/>
      </c>
      <c r="B236" s="206" t="str">
        <f t="array" ref="B236">IF($A$219=0,"",IFERROR(INDEX(Auction!$A$13:$M$437,SMALL(IF(Auction!$M$13:$M$437=$A$219,(ROW(Auction!$M$13:$M$437)-MIN(ROW(Auction!$M$13:$M$437))+1),""),ROW($A16)),1),""))</f>
        <v/>
      </c>
      <c r="C236" s="141">
        <f>IF(ISERROR(VLOOKUP(B236,Auction!$A$13:$I$437,7,FALSE)),0,VLOOKUP(B236,Auction!$A$13:$I$437,8,FALSE))</f>
        <v>0</v>
      </c>
      <c r="D236" s="142">
        <f>IFERROR(VLOOKUP(B236,Auction!$A$13:$I$437,9,FALSE)-C236,0)</f>
        <v>0</v>
      </c>
      <c r="E236" s="149" t="str">
        <f>IFERROR(INDEX(Auction!$C$13:$C$437,MATCH(B236,Auction!$A$13:$A$437,0)),"")</f>
        <v/>
      </c>
      <c r="G236" s="132" t="str">
        <f>IFERROR(INDEX(Auction!$B$13:$B$437,MATCH(H236,Auction!$A$13:$A$437,0)),"")</f>
        <v/>
      </c>
      <c r="H236" s="206" t="str">
        <f t="array" ref="H236">IF($G$219=0,"",IFERROR(INDEX(Auction!$A$13:$M$437,SMALL(IF(Auction!$M$13:$M$437=$G$219,(ROW(Auction!$M$13:$M$437)-MIN(ROW(Auction!$M$13:$M$437))+1),""),ROW($G16)),1),""))</f>
        <v/>
      </c>
      <c r="I236" s="141">
        <f>IF(ISERROR(VLOOKUP(H236,Auction!$A$13:$I$437,7,FALSE)),0,VLOOKUP(H236,Auction!$A$13:$I$437,8,FALSE))</f>
        <v>0</v>
      </c>
      <c r="J236" s="142">
        <f>IFERROR(VLOOKUP(H236,Auction!$A$13:$I$437,9,FALSE)-I236,0)</f>
        <v>0</v>
      </c>
      <c r="K236" s="149" t="str">
        <f>IFERROR(INDEX(Auction!$C$13:$C$437,MATCH(H236,Auction!$A$13:$A$437,0)),"")</f>
        <v/>
      </c>
    </row>
    <row r="237" spans="1:11" x14ac:dyDescent="0.35">
      <c r="A237" s="132" t="str">
        <f>IFERROR(INDEX(Auction!$B$13:$B$437,MATCH(B237,Auction!$A$13:$A$437,0)),"")</f>
        <v/>
      </c>
      <c r="B237" s="206" t="str">
        <f t="array" ref="B237">IF($A$219=0,"",IFERROR(INDEX(Auction!$A$13:$M$437,SMALL(IF(Auction!$M$13:$M$437=$A$219,(ROW(Auction!$M$13:$M$437)-MIN(ROW(Auction!$M$13:$M$437))+1),""),ROW($A17)),1),""))</f>
        <v/>
      </c>
      <c r="C237" s="141">
        <f>IF(ISERROR(VLOOKUP(B237,Auction!$A$13:$I$437,7,FALSE)),0,VLOOKUP(B237,Auction!$A$13:$I$437,8,FALSE))</f>
        <v>0</v>
      </c>
      <c r="D237" s="142">
        <f>IFERROR(VLOOKUP(B237,Auction!$A$13:$I$437,9,FALSE)-C237,0)</f>
        <v>0</v>
      </c>
      <c r="E237" s="149" t="str">
        <f>IFERROR(INDEX(Auction!$C$13:$C$437,MATCH(B237,Auction!$A$13:$A$437,0)),"")</f>
        <v/>
      </c>
      <c r="G237" s="132" t="str">
        <f>IFERROR(INDEX(Auction!$B$13:$B$437,MATCH(H237,Auction!$A$13:$A$437,0)),"")</f>
        <v/>
      </c>
      <c r="H237" s="206" t="str">
        <f t="array" ref="H237">IF($G$219=0,"",IFERROR(INDEX(Auction!$A$13:$M$437,SMALL(IF(Auction!$M$13:$M$437=$G$219,(ROW(Auction!$M$13:$M$437)-MIN(ROW(Auction!$M$13:$M$437))+1),""),ROW($G17)),1),""))</f>
        <v/>
      </c>
      <c r="I237" s="141">
        <f>IF(ISERROR(VLOOKUP(H237,Auction!$A$13:$I$437,7,FALSE)),0,VLOOKUP(H237,Auction!$A$13:$I$437,8,FALSE))</f>
        <v>0</v>
      </c>
      <c r="J237" s="142">
        <f>IFERROR(VLOOKUP(H237,Auction!$A$13:$I$437,9,FALSE)-I237,0)</f>
        <v>0</v>
      </c>
      <c r="K237" s="149" t="str">
        <f>IFERROR(INDEX(Auction!$C$13:$C$437,MATCH(H237,Auction!$A$13:$A$437,0)),"")</f>
        <v/>
      </c>
    </row>
    <row r="238" spans="1:11" x14ac:dyDescent="0.35">
      <c r="A238" s="132" t="str">
        <f>IFERROR(INDEX(Auction!$B$13:$B$437,MATCH(B238,Auction!$A$13:$A$437,0)),"")</f>
        <v/>
      </c>
      <c r="B238" s="206" t="str">
        <f t="array" ref="B238">IF($A$219=0,"",IFERROR(INDEX(Auction!$A$13:$M$437,SMALL(IF(Auction!$M$13:$M$437=$A$219,(ROW(Auction!$M$13:$M$437)-MIN(ROW(Auction!$M$13:$M$437))+1),""),ROW($A18)),1),""))</f>
        <v/>
      </c>
      <c r="C238" s="141">
        <f>IF(ISERROR(VLOOKUP(B238,Auction!$A$13:$I$437,7,FALSE)),0,VLOOKUP(B238,Auction!$A$13:$I$437,8,FALSE))</f>
        <v>0</v>
      </c>
      <c r="D238" s="142">
        <f>IFERROR(VLOOKUP(B238,Auction!$A$13:$I$437,9,FALSE)-C238,0)</f>
        <v>0</v>
      </c>
      <c r="E238" s="149" t="str">
        <f>IFERROR(INDEX(Auction!$C$13:$C$437,MATCH(B238,Auction!$A$13:$A$437,0)),"")</f>
        <v/>
      </c>
      <c r="G238" s="132" t="str">
        <f>IFERROR(INDEX(Auction!$B$13:$B$437,MATCH(H238,Auction!$A$13:$A$437,0)),"")</f>
        <v/>
      </c>
      <c r="H238" s="206" t="str">
        <f t="array" ref="H238">IF($G$219=0,"",IFERROR(INDEX(Auction!$A$13:$M$437,SMALL(IF(Auction!$M$13:$M$437=$G$219,(ROW(Auction!$M$13:$M$437)-MIN(ROW(Auction!$M$13:$M$437))+1),""),ROW($G18)),1),""))</f>
        <v/>
      </c>
      <c r="I238" s="141">
        <f>IF(ISERROR(VLOOKUP(H238,Auction!$A$13:$I$437,7,FALSE)),0,VLOOKUP(H238,Auction!$A$13:$I$437,8,FALSE))</f>
        <v>0</v>
      </c>
      <c r="J238" s="142">
        <f>IFERROR(VLOOKUP(H238,Auction!$A$13:$I$437,9,FALSE)-I238,0)</f>
        <v>0</v>
      </c>
      <c r="K238" s="149" t="str">
        <f>IFERROR(INDEX(Auction!$C$13:$C$437,MATCH(H238,Auction!$A$13:$A$437,0)),"")</f>
        <v/>
      </c>
    </row>
    <row r="239" spans="1:11" x14ac:dyDescent="0.35">
      <c r="A239" s="132" t="str">
        <f>IFERROR(INDEX(Auction!$B$13:$B$437,MATCH(B239,Auction!$A$13:$A$437,0)),"")</f>
        <v/>
      </c>
      <c r="B239" s="206" t="str">
        <f t="array" ref="B239">IF($A$219=0,"",IFERROR(INDEX(Auction!$A$13:$M$437,SMALL(IF(Auction!$M$13:$M$437=$A$219,(ROW(Auction!$M$13:$M$437)-MIN(ROW(Auction!$M$13:$M$437))+1),""),ROW($A19)),1),""))</f>
        <v/>
      </c>
      <c r="C239" s="141">
        <f>IF(ISERROR(VLOOKUP(B239,Auction!$A$13:$I$437,7,FALSE)),0,VLOOKUP(B239,Auction!$A$13:$I$437,8,FALSE))</f>
        <v>0</v>
      </c>
      <c r="D239" s="142">
        <f>IFERROR(VLOOKUP(B239,Auction!$A$13:$I$437,9,FALSE)-C239,0)</f>
        <v>0</v>
      </c>
      <c r="E239" s="149" t="str">
        <f>IFERROR(INDEX(Auction!$C$13:$C$437,MATCH(B239,Auction!$A$13:$A$437,0)),"")</f>
        <v/>
      </c>
      <c r="G239" s="132" t="str">
        <f>IFERROR(INDEX(Auction!$B$13:$B$437,MATCH(H239,Auction!$A$13:$A$437,0)),"")</f>
        <v/>
      </c>
      <c r="H239" s="206" t="str">
        <f t="array" ref="H239">IF($G$219=0,"",IFERROR(INDEX(Auction!$A$13:$M$437,SMALL(IF(Auction!$M$13:$M$437=$G$219,(ROW(Auction!$M$13:$M$437)-MIN(ROW(Auction!$M$13:$M$437))+1),""),ROW($G19)),1),""))</f>
        <v/>
      </c>
      <c r="I239" s="141">
        <f>IF(ISERROR(VLOOKUP(H239,Auction!$A$13:$I$437,7,FALSE)),0,VLOOKUP(H239,Auction!$A$13:$I$437,8,FALSE))</f>
        <v>0</v>
      </c>
      <c r="J239" s="142">
        <f>IFERROR(VLOOKUP(H239,Auction!$A$13:$I$437,9,FALSE)-I239,0)</f>
        <v>0</v>
      </c>
      <c r="K239" s="149" t="str">
        <f>IFERROR(INDEX(Auction!$C$13:$C$437,MATCH(H239,Auction!$A$13:$A$437,0)),"")</f>
        <v/>
      </c>
    </row>
    <row r="240" spans="1:11" x14ac:dyDescent="0.35">
      <c r="A240" s="132" t="str">
        <f>IFERROR(INDEX(Auction!$B$13:$B$437,MATCH(B240,Auction!$A$13:$A$437,0)),"")</f>
        <v/>
      </c>
      <c r="B240" s="206" t="str">
        <f t="array" ref="B240">IF($A$219=0,"",IFERROR(INDEX(Auction!$A$13:$M$437,SMALL(IF(Auction!$M$13:$M$437=$A$219,(ROW(Auction!$M$13:$M$437)-MIN(ROW(Auction!$M$13:$M$437))+1),""),ROW($A20)),1),""))</f>
        <v/>
      </c>
      <c r="C240" s="141">
        <f>IF(ISERROR(VLOOKUP(B240,Auction!$A$13:$I$437,7,FALSE)),0,VLOOKUP(B240,Auction!$A$13:$I$437,8,FALSE))</f>
        <v>0</v>
      </c>
      <c r="D240" s="142">
        <f>IFERROR(VLOOKUP(B240,Auction!$A$13:$I$437,9,FALSE)-C240,0)</f>
        <v>0</v>
      </c>
      <c r="E240" s="149" t="str">
        <f>IFERROR(INDEX(Auction!$C$13:$C$437,MATCH(B240,Auction!$A$13:$A$437,0)),"")</f>
        <v/>
      </c>
      <c r="G240" s="132" t="str">
        <f>IFERROR(INDEX(Auction!$B$13:$B$437,MATCH(H240,Auction!$A$13:$A$437,0)),"")</f>
        <v/>
      </c>
      <c r="H240" s="206" t="str">
        <f t="array" ref="H240">IF($G$219=0,"",IFERROR(INDEX(Auction!$A$13:$M$437,SMALL(IF(Auction!$M$13:$M$437=$G$219,(ROW(Auction!$M$13:$M$437)-MIN(ROW(Auction!$M$13:$M$437))+1),""),ROW($G20)),1),""))</f>
        <v/>
      </c>
      <c r="I240" s="141">
        <f>IF(ISERROR(VLOOKUP(H240,Auction!$A$13:$I$437,7,FALSE)),0,VLOOKUP(H240,Auction!$A$13:$I$437,8,FALSE))</f>
        <v>0</v>
      </c>
      <c r="J240" s="142">
        <f>IFERROR(VLOOKUP(H240,Auction!$A$13:$I$437,9,FALSE)-I240,0)</f>
        <v>0</v>
      </c>
      <c r="K240" s="149" t="str">
        <f>IFERROR(INDEX(Auction!$C$13:$C$437,MATCH(H240,Auction!$A$13:$A$437,0)),"")</f>
        <v/>
      </c>
    </row>
    <row r="241" spans="1:11" x14ac:dyDescent="0.35">
      <c r="A241" s="150"/>
      <c r="B241" s="151"/>
      <c r="C241" s="152">
        <f>SUM(C221:C240)</f>
        <v>0</v>
      </c>
      <c r="D241" s="152">
        <f>SUM(D221:D240)</f>
        <v>0</v>
      </c>
      <c r="E241" s="153"/>
      <c r="G241" s="150"/>
      <c r="H241" s="151"/>
      <c r="I241" s="152">
        <f>SUM(I221:I240)</f>
        <v>0</v>
      </c>
      <c r="J241" s="152">
        <f>SUM(J221:J240)</f>
        <v>0</v>
      </c>
      <c r="K241" s="153"/>
    </row>
    <row r="243" spans="1:11" x14ac:dyDescent="0.35">
      <c r="A243" s="267">
        <f>H22</f>
        <v>0</v>
      </c>
      <c r="B243" s="268"/>
      <c r="C243" s="268"/>
      <c r="D243" s="268"/>
      <c r="E243" s="269"/>
    </row>
    <row r="244" spans="1:11" x14ac:dyDescent="0.35">
      <c r="A244" s="139" t="s">
        <v>310</v>
      </c>
      <c r="B244" s="147" t="s">
        <v>82</v>
      </c>
      <c r="C244" s="129" t="s">
        <v>311</v>
      </c>
      <c r="D244" s="129" t="s">
        <v>312</v>
      </c>
      <c r="E244" s="140" t="s">
        <v>262</v>
      </c>
    </row>
    <row r="245" spans="1:11" x14ac:dyDescent="0.35">
      <c r="A245" s="132" t="str">
        <f>IFERROR(INDEX(Auction!$B$13:$B$437,MATCH(B245,Auction!$A$13:$A$437,0)),"")</f>
        <v/>
      </c>
      <c r="B245" s="206" t="str">
        <f t="array" ref="B245">IF($A$243=0,"",IFERROR(INDEX(Auction!$A$13:$M$437,SMALL(IF(Auction!$M$13:$M$437=$A$243,(ROW(Auction!$M$13:$M$437)-MIN(ROW(Auction!$M$13:$M$437))+1),""),ROW($A1)),1),""))</f>
        <v/>
      </c>
      <c r="C245" s="141">
        <f>IF(ISERROR(VLOOKUP(B245,Auction!$A$13:$I$437,7,FALSE)),0,VLOOKUP(B245,Auction!$A$13:$I$437,8,FALSE))</f>
        <v>0</v>
      </c>
      <c r="D245" s="142">
        <f>IFERROR(VLOOKUP(B245,Auction!$A$13:$I$437,9,FALSE)-C245,0)</f>
        <v>0</v>
      </c>
      <c r="E245" s="148" t="str">
        <f>IFERROR(INDEX(Auction!$C$13:$C$437,MATCH(B245,Auction!$A$13:$A$437,0)),"")</f>
        <v/>
      </c>
    </row>
    <row r="246" spans="1:11" x14ac:dyDescent="0.35">
      <c r="A246" s="132" t="str">
        <f>IFERROR(INDEX(Auction!$B$13:$B$437,MATCH(B246,Auction!$A$13:$A$437,0)),"")</f>
        <v/>
      </c>
      <c r="B246" s="206" t="str">
        <f t="array" ref="B246">IF($A$243=0,"",IFERROR(INDEX(Auction!$A$13:$M$437,SMALL(IF(Auction!$M$13:$M$437=$A$243,(ROW(Auction!$M$13:$M$437)-MIN(ROW(Auction!$M$13:$M$437))+1),""),ROW($A2)),1),""))</f>
        <v/>
      </c>
      <c r="C246" s="141">
        <f>IF(ISERROR(VLOOKUP(B246,Auction!$A$13:$I$437,7,FALSE)),0,VLOOKUP(B246,Auction!$A$13:$I$437,8,FALSE))</f>
        <v>0</v>
      </c>
      <c r="D246" s="142">
        <f>IFERROR(VLOOKUP(B246,Auction!$A$13:$I$437,9,FALSE)-C246,0)</f>
        <v>0</v>
      </c>
      <c r="E246" s="148" t="str">
        <f>IFERROR(INDEX(Auction!$C$13:$C$437,MATCH(B246,Auction!$A$13:$A$437,0)),"")</f>
        <v/>
      </c>
    </row>
    <row r="247" spans="1:11" x14ac:dyDescent="0.35">
      <c r="A247" s="132" t="str">
        <f>IFERROR(INDEX(Auction!$B$13:$B$437,MATCH(B247,Auction!$A$13:$A$437,0)),"")</f>
        <v/>
      </c>
      <c r="B247" s="206" t="str">
        <f t="array" ref="B247">IF($A$243=0,"",IFERROR(INDEX(Auction!$A$13:$M$437,SMALL(IF(Auction!$M$13:$M$437=$A$243,(ROW(Auction!$M$13:$M$437)-MIN(ROW(Auction!$M$13:$M$437))+1),""),ROW($A3)),1),""))</f>
        <v/>
      </c>
      <c r="C247" s="141">
        <f>IF(ISERROR(VLOOKUP(B247,Auction!$A$13:$I$437,7,FALSE)),0,VLOOKUP(B247,Auction!$A$13:$I$437,8,FALSE))</f>
        <v>0</v>
      </c>
      <c r="D247" s="142">
        <f>IFERROR(VLOOKUP(B247,Auction!$A$13:$I$437,9,FALSE)-C247,0)</f>
        <v>0</v>
      </c>
      <c r="E247" s="148" t="str">
        <f>IFERROR(INDEX(Auction!$C$13:$C$437,MATCH(B247,Auction!$A$13:$A$437,0)),"")</f>
        <v/>
      </c>
    </row>
    <row r="248" spans="1:11" x14ac:dyDescent="0.35">
      <c r="A248" s="132" t="str">
        <f>IFERROR(INDEX(Auction!$B$13:$B$437,MATCH(B248,Auction!$A$13:$A$437,0)),"")</f>
        <v/>
      </c>
      <c r="B248" s="206" t="str">
        <f t="array" ref="B248">IF($A$243=0,"",IFERROR(INDEX(Auction!$A$13:$M$437,SMALL(IF(Auction!$M$13:$M$437=$A$243,(ROW(Auction!$M$13:$M$437)-MIN(ROW(Auction!$M$13:$M$437))+1),""),ROW($A4)),1),""))</f>
        <v/>
      </c>
      <c r="C248" s="141">
        <f>IF(ISERROR(VLOOKUP(B248,Auction!$A$13:$I$437,7,FALSE)),0,VLOOKUP(B248,Auction!$A$13:$I$437,8,FALSE))</f>
        <v>0</v>
      </c>
      <c r="D248" s="142">
        <f>IFERROR(VLOOKUP(B248,Auction!$A$13:$I$437,9,FALSE)-C248,0)</f>
        <v>0</v>
      </c>
      <c r="E248" s="148" t="str">
        <f>IFERROR(INDEX(Auction!$C$13:$C$437,MATCH(B248,Auction!$A$13:$A$437,0)),"")</f>
        <v/>
      </c>
    </row>
    <row r="249" spans="1:11" x14ac:dyDescent="0.35">
      <c r="A249" s="132" t="str">
        <f>IFERROR(INDEX(Auction!$B$13:$B$437,MATCH(B249,Auction!$A$13:$A$437,0)),"")</f>
        <v/>
      </c>
      <c r="B249" s="206" t="str">
        <f t="array" ref="B249">IF($A$243=0,"",IFERROR(INDEX(Auction!$A$13:$M$437,SMALL(IF(Auction!$M$13:$M$437=$A$243,(ROW(Auction!$M$13:$M$437)-MIN(ROW(Auction!$M$13:$M$437))+1),""),ROW($A5)),1),""))</f>
        <v/>
      </c>
      <c r="C249" s="141">
        <f>IF(ISERROR(VLOOKUP(B249,Auction!$A$13:$I$437,7,FALSE)),0,VLOOKUP(B249,Auction!$A$13:$I$437,8,FALSE))</f>
        <v>0</v>
      </c>
      <c r="D249" s="142">
        <f>IFERROR(VLOOKUP(B249,Auction!$A$13:$I$437,9,FALSE)-C249,0)</f>
        <v>0</v>
      </c>
      <c r="E249" s="148" t="str">
        <f>IFERROR(INDEX(Auction!$C$13:$C$437,MATCH(B249,Auction!$A$13:$A$437,0)),"")</f>
        <v/>
      </c>
    </row>
    <row r="250" spans="1:11" x14ac:dyDescent="0.35">
      <c r="A250" s="132" t="str">
        <f>IFERROR(INDEX(Auction!$B$13:$B$437,MATCH(B250,Auction!$A$13:$A$437,0)),"")</f>
        <v/>
      </c>
      <c r="B250" s="206" t="str">
        <f t="array" ref="B250">IF($A$243=0,"",IFERROR(INDEX(Auction!$A$13:$M$437,SMALL(IF(Auction!$M$13:$M$437=$A$243,(ROW(Auction!$M$13:$M$437)-MIN(ROW(Auction!$M$13:$M$437))+1),""),ROW($A6)),1),""))</f>
        <v/>
      </c>
      <c r="C250" s="141">
        <f>IF(ISERROR(VLOOKUP(B250,Auction!$A$13:$I$437,7,FALSE)),0,VLOOKUP(B250,Auction!$A$13:$I$437,8,FALSE))</f>
        <v>0</v>
      </c>
      <c r="D250" s="142">
        <f>IFERROR(VLOOKUP(B250,Auction!$A$13:$I$437,9,FALSE)-C250,0)</f>
        <v>0</v>
      </c>
      <c r="E250" s="148" t="str">
        <f>IFERROR(INDEX(Auction!$C$13:$C$437,MATCH(B250,Auction!$A$13:$A$437,0)),"")</f>
        <v/>
      </c>
    </row>
    <row r="251" spans="1:11" x14ac:dyDescent="0.35">
      <c r="A251" s="132" t="str">
        <f>IFERROR(INDEX(Auction!$B$13:$B$437,MATCH(B251,Auction!$A$13:$A$437,0)),"")</f>
        <v/>
      </c>
      <c r="B251" s="206" t="str">
        <f t="array" ref="B251">IF($A$243=0,"",IFERROR(INDEX(Auction!$A$13:$M$437,SMALL(IF(Auction!$M$13:$M$437=$A$243,(ROW(Auction!$M$13:$M$437)-MIN(ROW(Auction!$M$13:$M$437))+1),""),ROW($A7)),1),""))</f>
        <v/>
      </c>
      <c r="C251" s="141">
        <f>IF(ISERROR(VLOOKUP(B251,Auction!$A$13:$I$437,7,FALSE)),0,VLOOKUP(B251,Auction!$A$13:$I$437,8,FALSE))</f>
        <v>0</v>
      </c>
      <c r="D251" s="142">
        <f>IFERROR(VLOOKUP(B251,Auction!$A$13:$I$437,9,FALSE)-C251,0)</f>
        <v>0</v>
      </c>
      <c r="E251" s="148" t="str">
        <f>IFERROR(INDEX(Auction!$C$13:$C$437,MATCH(B251,Auction!$A$13:$A$437,0)),"")</f>
        <v/>
      </c>
    </row>
    <row r="252" spans="1:11" x14ac:dyDescent="0.35">
      <c r="A252" s="132" t="str">
        <f>IFERROR(INDEX(Auction!$B$13:$B$437,MATCH(B252,Auction!$A$13:$A$437,0)),"")</f>
        <v/>
      </c>
      <c r="B252" s="206" t="str">
        <f t="array" ref="B252">IF($A$243=0,"",IFERROR(INDEX(Auction!$A$13:$M$437,SMALL(IF(Auction!$M$13:$M$437=$A$243,(ROW(Auction!$M$13:$M$437)-MIN(ROW(Auction!$M$13:$M$437))+1),""),ROW($A8)),1),""))</f>
        <v/>
      </c>
      <c r="C252" s="141">
        <f>IF(ISERROR(VLOOKUP(B252,Auction!$A$13:$I$437,7,FALSE)),0,VLOOKUP(B252,Auction!$A$13:$I$437,8,FALSE))</f>
        <v>0</v>
      </c>
      <c r="D252" s="142">
        <f>IFERROR(VLOOKUP(B252,Auction!$A$13:$I$437,9,FALSE)-C252,0)</f>
        <v>0</v>
      </c>
      <c r="E252" s="148" t="str">
        <f>IFERROR(INDEX(Auction!$C$13:$C$437,MATCH(B252,Auction!$A$13:$A$437,0)),"")</f>
        <v/>
      </c>
    </row>
    <row r="253" spans="1:11" x14ac:dyDescent="0.35">
      <c r="A253" s="132" t="str">
        <f>IFERROR(INDEX(Auction!$B$13:$B$437,MATCH(B253,Auction!$A$13:$A$437,0)),"")</f>
        <v/>
      </c>
      <c r="B253" s="206" t="str">
        <f t="array" ref="B253">IF($A$243=0,"",IFERROR(INDEX(Auction!$A$13:$M$437,SMALL(IF(Auction!$M$13:$M$437=$A$243,(ROW(Auction!$M$13:$M$437)-MIN(ROW(Auction!$M$13:$M$437))+1),""),ROW($A9)),1),""))</f>
        <v/>
      </c>
      <c r="C253" s="141">
        <f>IF(ISERROR(VLOOKUP(B253,Auction!$A$13:$I$437,7,FALSE)),0,VLOOKUP(B253,Auction!$A$13:$I$437,8,FALSE))</f>
        <v>0</v>
      </c>
      <c r="D253" s="142">
        <f>IFERROR(VLOOKUP(B253,Auction!$A$13:$I$437,9,FALSE)-C253,0)</f>
        <v>0</v>
      </c>
      <c r="E253" s="149" t="str">
        <f>IFERROR(INDEX(Auction!$C$13:$C$437,MATCH(B253,Auction!$A$13:$A$437,0)),"")</f>
        <v/>
      </c>
    </row>
    <row r="254" spans="1:11" x14ac:dyDescent="0.35">
      <c r="A254" s="132" t="str">
        <f>IFERROR(INDEX(Auction!$B$13:$B$437,MATCH(B254,Auction!$A$13:$A$437,0)),"")</f>
        <v/>
      </c>
      <c r="B254" s="206" t="str">
        <f t="array" ref="B254">IF($A$243=0,"",IFERROR(INDEX(Auction!$A$13:$M$437,SMALL(IF(Auction!$M$13:$M$437=$A$243,(ROW(Auction!$M$13:$M$437)-MIN(ROW(Auction!$M$13:$M$437))+1),""),ROW($A10)),1),""))</f>
        <v/>
      </c>
      <c r="C254" s="141">
        <f>IF(ISERROR(VLOOKUP(B254,Auction!$A$13:$I$437,7,FALSE)),0,VLOOKUP(B254,Auction!$A$13:$I$437,8,FALSE))</f>
        <v>0</v>
      </c>
      <c r="D254" s="142">
        <f>IFERROR(VLOOKUP(B254,Auction!$A$13:$I$437,9,FALSE)-C254,0)</f>
        <v>0</v>
      </c>
      <c r="E254" s="149" t="str">
        <f>IFERROR(INDEX(Auction!$C$13:$C$437,MATCH(B254,Auction!$A$13:$A$437,0)),"")</f>
        <v/>
      </c>
    </row>
    <row r="255" spans="1:11" x14ac:dyDescent="0.35">
      <c r="A255" s="132" t="str">
        <f>IFERROR(INDEX(Auction!$B$13:$B$437,MATCH(B255,Auction!$A$13:$A$437,0)),"")</f>
        <v/>
      </c>
      <c r="B255" s="206" t="str">
        <f t="array" ref="B255">IF($A$243=0,"",IFERROR(INDEX(Auction!$A$13:$M$437,SMALL(IF(Auction!$M$13:$M$437=$A$243,(ROW(Auction!$M$13:$M$437)-MIN(ROW(Auction!$M$13:$M$437))+1),""),ROW($A11)),1),""))</f>
        <v/>
      </c>
      <c r="C255" s="141">
        <f>IF(ISERROR(VLOOKUP(B255,Auction!$A$13:$I$437,7,FALSE)),0,VLOOKUP(B255,Auction!$A$13:$I$437,8,FALSE))</f>
        <v>0</v>
      </c>
      <c r="D255" s="142">
        <f>IFERROR(VLOOKUP(B255,Auction!$A$13:$I$437,9,FALSE)-C255,0)</f>
        <v>0</v>
      </c>
      <c r="E255" s="149" t="str">
        <f>IFERROR(INDEX(Auction!$C$13:$C$437,MATCH(B255,Auction!$A$13:$A$437,0)),"")</f>
        <v/>
      </c>
    </row>
    <row r="256" spans="1:11" x14ac:dyDescent="0.35">
      <c r="A256" s="132" t="str">
        <f>IFERROR(INDEX(Auction!$B$13:$B$437,MATCH(B256,Auction!$A$13:$A$437,0)),"")</f>
        <v/>
      </c>
      <c r="B256" s="206" t="str">
        <f t="array" ref="B256">IF($A$243=0,"",IFERROR(INDEX(Auction!$A$13:$M$437,SMALL(IF(Auction!$M$13:$M$437=$A$243,(ROW(Auction!$M$13:$M$437)-MIN(ROW(Auction!$M$13:$M$437))+1),""),ROW($A12)),1),""))</f>
        <v/>
      </c>
      <c r="C256" s="141">
        <f>IF(ISERROR(VLOOKUP(B256,Auction!$A$13:$I$437,7,FALSE)),0,VLOOKUP(B256,Auction!$A$13:$I$437,8,FALSE))</f>
        <v>0</v>
      </c>
      <c r="D256" s="142">
        <f>IFERROR(VLOOKUP(B256,Auction!$A$13:$I$437,9,FALSE)-C256,0)</f>
        <v>0</v>
      </c>
      <c r="E256" s="149" t="str">
        <f>IFERROR(INDEX(Auction!$C$13:$C$437,MATCH(B256,Auction!$A$13:$A$437,0)),"")</f>
        <v/>
      </c>
    </row>
    <row r="257" spans="1:5" x14ac:dyDescent="0.35">
      <c r="A257" s="132" t="str">
        <f>IFERROR(INDEX(Auction!$B$13:$B$437,MATCH(B257,Auction!$A$13:$A$437,0)),"")</f>
        <v/>
      </c>
      <c r="B257" s="206" t="str">
        <f t="array" ref="B257">IF($A$243=0,"",IFERROR(INDEX(Auction!$A$13:$M$437,SMALL(IF(Auction!$M$13:$M$437=$A$243,(ROW(Auction!$M$13:$M$437)-MIN(ROW(Auction!$M$13:$M$437))+1),""),ROW($A13)),1),""))</f>
        <v/>
      </c>
      <c r="C257" s="141">
        <f>IF(ISERROR(VLOOKUP(B257,Auction!$A$13:$I$437,7,FALSE)),0,VLOOKUP(B257,Auction!$A$13:$I$437,8,FALSE))</f>
        <v>0</v>
      </c>
      <c r="D257" s="142">
        <f>IFERROR(VLOOKUP(B257,Auction!$A$13:$I$437,9,FALSE)-C257,0)</f>
        <v>0</v>
      </c>
      <c r="E257" s="149" t="str">
        <f>IFERROR(INDEX(Auction!$C$13:$C$437,MATCH(B257,Auction!$A$13:$A$437,0)),"")</f>
        <v/>
      </c>
    </row>
    <row r="258" spans="1:5" x14ac:dyDescent="0.35">
      <c r="A258" s="132" t="str">
        <f>IFERROR(INDEX(Auction!$B$13:$B$437,MATCH(B258,Auction!$A$13:$A$437,0)),"")</f>
        <v/>
      </c>
      <c r="B258" s="206" t="str">
        <f t="array" ref="B258">IF($A$243=0,"",IFERROR(INDEX(Auction!$A$13:$M$437,SMALL(IF(Auction!$M$13:$M$437=$A$243,(ROW(Auction!$M$13:$M$437)-MIN(ROW(Auction!$M$13:$M$437))+1),""),ROW($A14)),1),""))</f>
        <v/>
      </c>
      <c r="C258" s="141">
        <f>IF(ISERROR(VLOOKUP(B258,Auction!$A$13:$I$437,7,FALSE)),0,VLOOKUP(B258,Auction!$A$13:$I$437,8,FALSE))</f>
        <v>0</v>
      </c>
      <c r="D258" s="142">
        <f>IFERROR(VLOOKUP(B258,Auction!$A$13:$I$437,9,FALSE)-C258,0)</f>
        <v>0</v>
      </c>
      <c r="E258" s="149" t="str">
        <f>IFERROR(INDEX(Auction!$C$13:$C$437,MATCH(B258,Auction!$A$13:$A$437,0)),"")</f>
        <v/>
      </c>
    </row>
    <row r="259" spans="1:5" x14ac:dyDescent="0.35">
      <c r="A259" s="132" t="str">
        <f>IFERROR(INDEX(Auction!$B$13:$B$437,MATCH(B259,Auction!$A$13:$A$437,0)),"")</f>
        <v/>
      </c>
      <c r="B259" s="206" t="str">
        <f t="array" ref="B259">IF($A$243=0,"",IFERROR(INDEX(Auction!$A$13:$M$437,SMALL(IF(Auction!$M$13:$M$437=$A$243,(ROW(Auction!$M$13:$M$437)-MIN(ROW(Auction!$M$13:$M$437))+1),""),ROW($A15)),1),""))</f>
        <v/>
      </c>
      <c r="C259" s="141">
        <f>IF(ISERROR(VLOOKUP(B259,Auction!$A$13:$I$437,7,FALSE)),0,VLOOKUP(B259,Auction!$A$13:$I$437,8,FALSE))</f>
        <v>0</v>
      </c>
      <c r="D259" s="142">
        <f>IFERROR(VLOOKUP(B259,Auction!$A$13:$I$437,9,FALSE)-C259,0)</f>
        <v>0</v>
      </c>
      <c r="E259" s="149" t="str">
        <f>IFERROR(INDEX(Auction!$C$13:$C$437,MATCH(B259,Auction!$A$13:$A$437,0)),"")</f>
        <v/>
      </c>
    </row>
    <row r="260" spans="1:5" x14ac:dyDescent="0.35">
      <c r="A260" s="132" t="str">
        <f>IFERROR(INDEX(Auction!$B$13:$B$437,MATCH(B260,Auction!$A$13:$A$437,0)),"")</f>
        <v/>
      </c>
      <c r="B260" s="206" t="str">
        <f t="array" ref="B260">IF($A$243=0,"",IFERROR(INDEX(Auction!$A$13:$M$437,SMALL(IF(Auction!$M$13:$M$437=$A$243,(ROW(Auction!$M$13:$M$437)-MIN(ROW(Auction!$M$13:$M$437))+1),""),ROW($A16)),1),""))</f>
        <v/>
      </c>
      <c r="C260" s="141">
        <f>IF(ISERROR(VLOOKUP(B260,Auction!$A$13:$I$437,7,FALSE)),0,VLOOKUP(B260,Auction!$A$13:$I$437,8,FALSE))</f>
        <v>0</v>
      </c>
      <c r="D260" s="142">
        <f>IFERROR(VLOOKUP(B260,Auction!$A$13:$I$437,9,FALSE)-C260,0)</f>
        <v>0</v>
      </c>
      <c r="E260" s="149" t="str">
        <f>IFERROR(INDEX(Auction!$C$13:$C$437,MATCH(B260,Auction!$A$13:$A$437,0)),"")</f>
        <v/>
      </c>
    </row>
    <row r="261" spans="1:5" x14ac:dyDescent="0.35">
      <c r="A261" s="132" t="str">
        <f>IFERROR(INDEX(Auction!$B$13:$B$437,MATCH(B261,Auction!$A$13:$A$437,0)),"")</f>
        <v/>
      </c>
      <c r="B261" s="206" t="str">
        <f t="array" ref="B261">IF($A$243=0,"",IFERROR(INDEX(Auction!$A$13:$M$437,SMALL(IF(Auction!$M$13:$M$437=$A$243,(ROW(Auction!$M$13:$M$437)-MIN(ROW(Auction!$M$13:$M$437))+1),""),ROW($A17)),1),""))</f>
        <v/>
      </c>
      <c r="C261" s="141">
        <f>IF(ISERROR(VLOOKUP(B261,Auction!$A$13:$I$437,7,FALSE)),0,VLOOKUP(B261,Auction!$A$13:$I$437,8,FALSE))</f>
        <v>0</v>
      </c>
      <c r="D261" s="142">
        <f>IFERROR(VLOOKUP(B261,Auction!$A$13:$I$437,9,FALSE)-C261,0)</f>
        <v>0</v>
      </c>
      <c r="E261" s="149" t="str">
        <f>IFERROR(INDEX(Auction!$C$13:$C$437,MATCH(B261,Auction!$A$13:$A$437,0)),"")</f>
        <v/>
      </c>
    </row>
    <row r="262" spans="1:5" x14ac:dyDescent="0.35">
      <c r="A262" s="132" t="str">
        <f>IFERROR(INDEX(Auction!$B$13:$B$437,MATCH(B262,Auction!$A$13:$A$437,0)),"")</f>
        <v/>
      </c>
      <c r="B262" s="206" t="str">
        <f t="array" ref="B262">IF($A$243=0,"",IFERROR(INDEX(Auction!$A$13:$M$437,SMALL(IF(Auction!$M$13:$M$437=$A$243,(ROW(Auction!$M$13:$M$437)-MIN(ROW(Auction!$M$13:$M$437))+1),""),ROW($A18)),1),""))</f>
        <v/>
      </c>
      <c r="C262" s="141">
        <f>IF(ISERROR(VLOOKUP(B262,Auction!$A$13:$I$437,7,FALSE)),0,VLOOKUP(B262,Auction!$A$13:$I$437,8,FALSE))</f>
        <v>0</v>
      </c>
      <c r="D262" s="142">
        <f>IFERROR(VLOOKUP(B262,Auction!$A$13:$I$437,9,FALSE)-C262,0)</f>
        <v>0</v>
      </c>
      <c r="E262" s="149" t="str">
        <f>IFERROR(INDEX(Auction!$C$13:$C$437,MATCH(B262,Auction!$A$13:$A$437,0)),"")</f>
        <v/>
      </c>
    </row>
    <row r="263" spans="1:5" x14ac:dyDescent="0.35">
      <c r="A263" s="132" t="str">
        <f>IFERROR(INDEX(Auction!$B$13:$B$437,MATCH(B263,Auction!$A$13:$A$437,0)),"")</f>
        <v/>
      </c>
      <c r="B263" s="206" t="str">
        <f t="array" ref="B263">IF($A$243=0,"",IFERROR(INDEX(Auction!$A$13:$M$437,SMALL(IF(Auction!$M$13:$M$437=$A$243,(ROW(Auction!$M$13:$M$437)-MIN(ROW(Auction!$M$13:$M$437))+1),""),ROW($A19)),1),""))</f>
        <v/>
      </c>
      <c r="C263" s="141">
        <f>IF(ISERROR(VLOOKUP(B263,Auction!$A$13:$I$437,7,FALSE)),0,VLOOKUP(B263,Auction!$A$13:$I$437,8,FALSE))</f>
        <v>0</v>
      </c>
      <c r="D263" s="142">
        <f>IFERROR(VLOOKUP(B263,Auction!$A$13:$I$437,9,FALSE)-C263,0)</f>
        <v>0</v>
      </c>
      <c r="E263" s="149" t="str">
        <f>IFERROR(INDEX(Auction!$C$13:$C$437,MATCH(B263,Auction!$A$13:$A$437,0)),"")</f>
        <v/>
      </c>
    </row>
    <row r="264" spans="1:5" x14ac:dyDescent="0.35">
      <c r="A264" s="132" t="str">
        <f>IFERROR(INDEX(Auction!$B$13:$B$437,MATCH(B264,Auction!$A$13:$A$437,0)),"")</f>
        <v/>
      </c>
      <c r="B264" s="206" t="str">
        <f t="array" ref="B264">IF($A$243=0,"",IFERROR(INDEX(Auction!$A$13:$M$437,SMALL(IF(Auction!$M$13:$M$437=$A$243,(ROW(Auction!$M$13:$M$437)-MIN(ROW(Auction!$M$13:$M$437))+1),""),ROW($A20)),1),""))</f>
        <v/>
      </c>
      <c r="C264" s="141">
        <f>IF(ISERROR(VLOOKUP(B264,Auction!$A$13:$I$437,7,FALSE)),0,VLOOKUP(B264,Auction!$A$13:$I$437,8,FALSE))</f>
        <v>0</v>
      </c>
      <c r="D264" s="142">
        <f>IFERROR(VLOOKUP(B264,Auction!$A$13:$I$437,9,FALSE)-C264,0)</f>
        <v>0</v>
      </c>
      <c r="E264" s="149" t="str">
        <f>IFERROR(INDEX(Auction!$C$13:$C$437,MATCH(B264,Auction!$A$13:$A$437,0)),"")</f>
        <v/>
      </c>
    </row>
    <row r="265" spans="1:5" x14ac:dyDescent="0.35">
      <c r="A265" s="150"/>
      <c r="B265" s="151"/>
      <c r="C265" s="152">
        <f>SUM(C245:C264)</f>
        <v>0</v>
      </c>
      <c r="D265" s="152">
        <f>SUM(D245:D264)</f>
        <v>0</v>
      </c>
      <c r="E265" s="153"/>
    </row>
  </sheetData>
  <mergeCells count="26">
    <mergeCell ref="A243:E243"/>
    <mergeCell ref="A171:E171"/>
    <mergeCell ref="G171:K171"/>
    <mergeCell ref="A195:E195"/>
    <mergeCell ref="G195:K195"/>
    <mergeCell ref="A219:E219"/>
    <mergeCell ref="G219:K219"/>
    <mergeCell ref="A99:E99"/>
    <mergeCell ref="G99:K99"/>
    <mergeCell ref="A123:E123"/>
    <mergeCell ref="G123:K123"/>
    <mergeCell ref="A147:E147"/>
    <mergeCell ref="G147:K147"/>
    <mergeCell ref="A51:E51"/>
    <mergeCell ref="A75:E75"/>
    <mergeCell ref="G27:K27"/>
    <mergeCell ref="G51:K51"/>
    <mergeCell ref="G75:K75"/>
    <mergeCell ref="A1:E1"/>
    <mergeCell ref="G1:Q1"/>
    <mergeCell ref="W1:Z1"/>
    <mergeCell ref="R1:U1"/>
    <mergeCell ref="A27:E27"/>
    <mergeCell ref="A24:E24"/>
    <mergeCell ref="G24:L24"/>
    <mergeCell ref="G25:L25"/>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AH64"/>
  <sheetViews>
    <sheetView zoomScale="90" zoomScaleNormal="90" workbookViewId="0">
      <selection activeCell="M5" sqref="M5"/>
    </sheetView>
  </sheetViews>
  <sheetFormatPr defaultColWidth="8.90625" defaultRowHeight="14.5" x14ac:dyDescent="0.35"/>
  <cols>
    <col min="1" max="1" width="18.453125" bestFit="1" customWidth="1"/>
    <col min="2" max="2" width="4.90625" customWidth="1"/>
    <col min="3" max="3" width="4.453125" customWidth="1"/>
    <col min="4" max="5" width="6.453125" bestFit="1" customWidth="1"/>
    <col min="6" max="6" width="5" customWidth="1"/>
    <col min="7" max="7" width="8.453125" customWidth="1"/>
    <col min="8" max="8" width="4.453125" bestFit="1" customWidth="1"/>
    <col min="9" max="9" width="1.08984375" customWidth="1"/>
    <col min="10" max="10" width="20.453125" bestFit="1" customWidth="1"/>
    <col min="11" max="12" width="4.453125" customWidth="1"/>
    <col min="13" max="13" width="6.453125" bestFit="1" customWidth="1"/>
    <col min="15" max="15" width="4.453125" customWidth="1"/>
    <col min="16" max="16" width="8.08984375" customWidth="1"/>
    <col min="17" max="17" width="4" bestFit="1" customWidth="1"/>
    <col min="18" max="18" width="0.90625" customWidth="1"/>
    <col min="19" max="19" width="19.90625" bestFit="1" customWidth="1"/>
    <col min="20" max="21" width="4.453125" customWidth="1"/>
    <col min="22" max="22" width="6.453125" bestFit="1" customWidth="1"/>
    <col min="24" max="24" width="5.08984375" bestFit="1" customWidth="1"/>
    <col min="26" max="26" width="4.08984375" customWidth="1"/>
    <col min="27" max="27" width="2.08984375" customWidth="1"/>
    <col min="28" max="28" width="4.90625" bestFit="1" customWidth="1"/>
    <col min="29" max="29" width="18" bestFit="1" customWidth="1"/>
    <col min="30" max="30" width="4.08984375" bestFit="1" customWidth="1"/>
    <col min="31" max="31" width="7.453125" bestFit="1" customWidth="1"/>
    <col min="32" max="32" width="12.453125" bestFit="1" customWidth="1"/>
    <col min="33" max="33" width="14.453125" bestFit="1" customWidth="1"/>
    <col min="34" max="34" width="13.453125" bestFit="1" customWidth="1"/>
    <col min="35" max="35" width="12.453125" bestFit="1" customWidth="1"/>
  </cols>
  <sheetData>
    <row r="1" spans="1:34" ht="26" x14ac:dyDescent="0.6">
      <c r="A1" s="276" t="str">
        <f ca="1">"CheatSheet - $"&amp;LeagueInfo!F3&amp;" - "&amp;LeagueInfo!N5&amp;" PPR - "&amp;LeagueInfo!F2&amp;" Team - "&amp;LeagueInfo!D3&amp;"QB (" &amp; ROUND(QBCount,0) &amp;") / "&amp;LeagueInfo!D4&amp;"RB ("&amp;ROUND(RBCount,0)&amp;") / "&amp;LeagueInfo!D5&amp;"WR ("&amp;ROUND(WRCount,0)&amp;") / "&amp;LeagueInfo!D6&amp;"TE ("&amp;ROUND(TECount,0)&amp;") / "&amp;LeagueInfo!D7&amp;"FLX / "&amp;LeagueInfo!D9&amp;"DST / "&amp;LeagueInfo!D8&amp;"PK / "&amp;LeagueInfo!F5&amp;"BN"</f>
        <v>CheatSheet - $200 - 0.5 PPR - 12 Team - 2QB (32) / 2RB (50) / 2WR (65) / 1TE (21) / 1FLX / 1DST / 1PK / 6BN</v>
      </c>
      <c r="B1" s="277"/>
      <c r="C1" s="277"/>
      <c r="D1" s="277"/>
      <c r="E1" s="277"/>
      <c r="F1" s="277"/>
      <c r="G1" s="277"/>
      <c r="H1" s="277"/>
      <c r="I1" s="277"/>
      <c r="J1" s="277"/>
      <c r="K1" s="277"/>
      <c r="L1" s="277"/>
      <c r="M1" s="277"/>
      <c r="N1" s="277"/>
      <c r="O1" s="277"/>
      <c r="P1" s="277"/>
      <c r="Q1" s="277"/>
      <c r="R1" s="277"/>
      <c r="S1" s="277"/>
      <c r="T1" s="277"/>
      <c r="U1" s="277"/>
      <c r="V1" s="277"/>
      <c r="W1" s="277"/>
      <c r="X1" s="277"/>
      <c r="Y1" s="277"/>
      <c r="Z1" s="277"/>
      <c r="AA1" s="277"/>
      <c r="AB1" s="277"/>
      <c r="AC1" s="277"/>
      <c r="AD1" s="277"/>
      <c r="AE1" s="277"/>
    </row>
    <row r="2" spans="1:34" ht="36" customHeight="1" thickBot="1" x14ac:dyDescent="0.4">
      <c r="A2" s="17"/>
      <c r="B2" s="17"/>
      <c r="C2" s="18"/>
      <c r="D2" s="18"/>
      <c r="E2" s="18"/>
      <c r="F2" s="18"/>
      <c r="G2" s="18"/>
      <c r="H2" s="19"/>
      <c r="I2" s="17"/>
      <c r="J2" s="17"/>
      <c r="K2" s="17"/>
      <c r="L2" s="18"/>
      <c r="M2" s="20"/>
      <c r="N2" s="18"/>
      <c r="O2" s="18"/>
      <c r="P2" s="18" t="s">
        <v>325</v>
      </c>
      <c r="Q2" s="19"/>
      <c r="R2" s="17"/>
      <c r="S2" s="17"/>
      <c r="T2" s="17"/>
      <c r="U2" s="18"/>
      <c r="V2" s="20"/>
      <c r="W2" s="18"/>
      <c r="X2" s="18"/>
      <c r="Y2" s="18"/>
      <c r="Z2" s="19"/>
    </row>
    <row r="3" spans="1:34" x14ac:dyDescent="0.35">
      <c r="A3" s="278" t="str">
        <f ca="1">CONCATENATE("QB - Positional Scarcity ",TEXT(QB!$Y$3,"0.00%"))</f>
        <v>QB - Positional Scarcity 100.00%</v>
      </c>
      <c r="B3" s="279"/>
      <c r="C3" s="279"/>
      <c r="D3" s="279"/>
      <c r="E3" s="279"/>
      <c r="F3" s="279"/>
      <c r="G3" s="279"/>
      <c r="H3" s="280"/>
      <c r="I3" s="17"/>
      <c r="J3" s="278" t="str">
        <f ca="1">CONCATENATE("RB - Positional Scarcity ",TEXT('RB'!$Y$3,"0.00%"))</f>
        <v>RB - Positional Scarcity 100.00%</v>
      </c>
      <c r="K3" s="279"/>
      <c r="L3" s="279"/>
      <c r="M3" s="279"/>
      <c r="N3" s="279"/>
      <c r="O3" s="279"/>
      <c r="P3" s="279"/>
      <c r="Q3" s="280"/>
      <c r="R3" s="17"/>
      <c r="S3" s="278" t="str">
        <f ca="1">CONCATENATE("WR - Positional Scarcity ",TEXT(WR!$Y$3,"0.00%"))</f>
        <v>WR - Positional Scarcity 100.00%</v>
      </c>
      <c r="T3" s="279"/>
      <c r="U3" s="279"/>
      <c r="V3" s="279"/>
      <c r="W3" s="279"/>
      <c r="X3" s="279"/>
      <c r="Y3" s="279"/>
      <c r="Z3" s="280"/>
      <c r="AB3" s="278" t="s">
        <v>326</v>
      </c>
      <c r="AC3" s="279"/>
      <c r="AD3" s="279"/>
      <c r="AE3" s="279"/>
    </row>
    <row r="4" spans="1:34" ht="15" thickBot="1" x14ac:dyDescent="0.4">
      <c r="A4" s="100" t="s">
        <v>327</v>
      </c>
      <c r="B4" s="101" t="s">
        <v>170</v>
      </c>
      <c r="C4" s="101" t="s">
        <v>169</v>
      </c>
      <c r="D4" s="101" t="s">
        <v>328</v>
      </c>
      <c r="E4" s="101" t="s">
        <v>11</v>
      </c>
      <c r="F4" s="101" t="s">
        <v>187</v>
      </c>
      <c r="G4" s="101" t="s">
        <v>329</v>
      </c>
      <c r="H4" s="102" t="s">
        <v>181</v>
      </c>
      <c r="I4" s="18"/>
      <c r="J4" s="100" t="s">
        <v>327</v>
      </c>
      <c r="K4" s="101" t="s">
        <v>170</v>
      </c>
      <c r="L4" s="101" t="s">
        <v>169</v>
      </c>
      <c r="M4" s="101" t="s">
        <v>328</v>
      </c>
      <c r="N4" s="101" t="s">
        <v>11</v>
      </c>
      <c r="O4" s="101" t="s">
        <v>187</v>
      </c>
      <c r="P4" s="101" t="s">
        <v>329</v>
      </c>
      <c r="Q4" s="102" t="s">
        <v>181</v>
      </c>
      <c r="R4" s="18"/>
      <c r="S4" s="100" t="s">
        <v>327</v>
      </c>
      <c r="T4" s="101" t="s">
        <v>170</v>
      </c>
      <c r="U4" s="101" t="s">
        <v>169</v>
      </c>
      <c r="V4" s="101" t="s">
        <v>328</v>
      </c>
      <c r="W4" s="101" t="s">
        <v>11</v>
      </c>
      <c r="X4" s="101" t="s">
        <v>187</v>
      </c>
      <c r="Y4" s="101" t="s">
        <v>329</v>
      </c>
      <c r="Z4" s="102" t="s">
        <v>181</v>
      </c>
      <c r="AB4" s="100" t="s">
        <v>330</v>
      </c>
      <c r="AC4" s="101" t="s">
        <v>82</v>
      </c>
      <c r="AD4" s="112" t="s">
        <v>17</v>
      </c>
      <c r="AE4" s="104" t="s">
        <v>11</v>
      </c>
      <c r="AF4" s="197"/>
      <c r="AG4" s="197"/>
      <c r="AH4" s="197"/>
    </row>
    <row r="5" spans="1:34" x14ac:dyDescent="0.35">
      <c r="A5" s="23" t="s">
        <v>342</v>
      </c>
      <c r="B5" s="105" t="str">
        <f>INDEX(QB!F$3:F$38,MATCH(A5,QB!B$3:B$38,0))</f>
        <v>BUF</v>
      </c>
      <c r="C5" s="27">
        <f>INDEX(QB!E$3:E$38,MATCH(A5,QB!B$3:B$38,0))</f>
        <v>12</v>
      </c>
      <c r="D5" s="182" t="str">
        <f>IF(INDEX(Auction!$H$13:$H$426,MATCH(A5,Auction!$A$13:$A$426,0))&gt;0,"x","")</f>
        <v/>
      </c>
      <c r="E5" s="24">
        <f ca="1">IF(D5="",INDEX(QB!$Z$3:$Z$38,MATCH(A5,QB!$B$3:$B$38,0)),0)</f>
        <v>144.71600000000001</v>
      </c>
      <c r="F5" s="24" t="str">
        <f ca="1">INDEX(QB!$AA$3:$AA$38,MATCH(A5,QB!$B$3:$B$38,0))</f>
        <v>QB1</v>
      </c>
      <c r="G5" s="37">
        <f t="shared" ref="G5:G34" ca="1" si="0">IF(D5="",IFERROR(E5/(SUMIFS($E$5:$E$34,$E$5:$E$34,"&gt;0",$D$5:$D$34,"")),1),0)</f>
        <v>7.1218293646770722E-2</v>
      </c>
      <c r="H5" s="29">
        <f ca="1">IF(LeagueInfo!$H$7="Starter/Bench",INDEX(QB!$T$3:$T$38,MATCH(A5,QB!$B$3:$B$38,0))*InflationPct,INDEX(QB!$AB$3:$AB$38,MATCH(A5,QB!$B$3:$B$38,0))*InflationPct)</f>
        <v>46.212739638769918</v>
      </c>
      <c r="I5" s="22"/>
      <c r="J5" s="40" t="s">
        <v>97</v>
      </c>
      <c r="K5" s="60" t="str">
        <f>INDEX('RB'!$F$3:$F$131,MATCH(J5,'RB'!$B$3:$B$131,0))</f>
        <v>SF</v>
      </c>
      <c r="L5" s="41">
        <f>INDEX('RB'!$E$3:$E$131,MATCH(J5,'RB'!$B$3:$B$131,0))</f>
        <v>9</v>
      </c>
      <c r="M5" s="178" t="str">
        <f>IF(INDEX(Auction!$H$13:$H$426,MATCH(J5,Auction!$A$13:$A$426,0))&gt;0,"x","")</f>
        <v/>
      </c>
      <c r="N5" s="42">
        <f ca="1">IF(M5="",INDEX('RB'!Z$3:Z$131,MATCH(J5,'RB'!$B$3:$B$131,0)),0)</f>
        <v>182.15000000000003</v>
      </c>
      <c r="O5" s="43" t="str">
        <f ca="1">INDEX('RB'!AA$3:AA$131,MATCH(J5,'RB'!$B$3:$B$131,0))</f>
        <v>RB1</v>
      </c>
      <c r="P5" s="44">
        <f t="shared" ref="P5:P36" ca="1" si="1">IF(M5="",IFERROR(N5/(SUMIFS($N$5:$N$64,$N$5:$N$64,"&gt;0",$M$5:$M$64,"")),1),0)</f>
        <v>8.0509176896982337E-2</v>
      </c>
      <c r="Q5" s="45">
        <f ca="1">IF(LeagueInfo!$H$7="Starter/Bench",INDEX('RB'!$T$3:$T$131,MATCH(J5,'RB'!$B$3:$B$131,0))*InflationPct,INDEX('RB'!$AB$3:$AB$131,MATCH(J5,'RB'!$B$3:$B$131,0))*InflationPct)</f>
        <v>58.004454831713801</v>
      </c>
      <c r="S5" s="21" t="s">
        <v>488</v>
      </c>
      <c r="T5" s="75" t="str">
        <f>INDEX(WR!$F$1:$F$167,MATCH(S5,WR!$B$1:$B$167,0))</f>
        <v>DAL</v>
      </c>
      <c r="U5" s="27">
        <f>INDEX(WR!$E$1:$E$167,MATCH(S5,WR!$B$1:$B$167,0))</f>
        <v>7</v>
      </c>
      <c r="V5" s="180" t="str">
        <f>IF(INDEX(Auction!$H$13:$H$426,MATCH(S5,Auction!$A$13:$A$426,0))&gt;0,"x","")</f>
        <v/>
      </c>
      <c r="W5" s="24">
        <f ca="1">IF(V5="",INDEX(WR!Z$3:Z$167,MATCH(S5,WR!$B$3:$B$167,0)),0)</f>
        <v>135.19</v>
      </c>
      <c r="X5" s="24" t="str">
        <f ca="1">INDEX(WR!AA$3:AA$131,MATCH(S5,WR!$B$3:$B$167,0))</f>
        <v>WR1</v>
      </c>
      <c r="Y5" s="37">
        <f t="shared" ref="Y5:Y36" ca="1" si="2">IF(V5="",IFERROR(W5/(SUMIFS($W$5:$W$64,$W$5:$W$64,"&gt;0",$V$5:$V$64,"")),1),0)</f>
        <v>5.5383606960333474E-2</v>
      </c>
      <c r="Z5" s="29">
        <f ca="1">IF(LeagueInfo!$H$7="Starter/Bench",INDEX(WR!$T$3:$T$167,MATCH(S5,WR!$B$3:$B$167,0))*InflationPct,INDEX(WR!$AB$3:$AB$167,MATCH(S5,WR!$B$3:$B$167,0))*InflationPct)</f>
        <v>43.112172959634535</v>
      </c>
      <c r="AB5" s="21">
        <f ca="1">RANK($AE5,$AE$5:$AE$64,0)</f>
        <v>1</v>
      </c>
      <c r="AC5" s="105" t="str">
        <f ca="1">IFERROR(INDEX($A$5:$A$34,MATCH(AE5,($E$5:$E$34),0)),IFERROR(INDEX($A$37:$A$64,MATCH(AE5,($E$37:$E$64),0)),IFERROR(INDEX($J$5:$J$64,MATCH(AE5,($N$5:$N$64),0)),IFERROR(INDEX($S$5:$S$64,MATCH(AE5,($W$5:$W$64),0)),0))))</f>
        <v>Christian McCaffrey</v>
      </c>
      <c r="AD5" s="75" t="str">
        <f t="shared" ref="AD5:AD21" ca="1" si="3">IF(IFERROR(INDEX($S$5:$S$64,MATCH($AC5,$S$5:$S$64,0)),0)&lt;&gt;0,"WR",IF(IFERROR(INDEX($J$5:$J$64,MATCH($AC5,$J$5:$J$64,0)),0)&lt;&gt;0,"RB",IF(IFERROR(INDEX($A$5:$A$34,MATCH($AC5,$A$5:$A$34,0)),0)&lt;&gt;0,"QB",IF(IFERROR(INDEX($A$37:$A$64,MATCH($AC5,$A$37:$A$64,0)),0)&lt;&gt;0,"TE"))))</f>
        <v>RB</v>
      </c>
      <c r="AE5" s="108">
        <f ca="1">LARGE(($E$5:$E$34,$E$37:$E$64,$N$5:$N$64,$W$5:$W$64),ROW(AE5)-4)</f>
        <v>182.15000000000003</v>
      </c>
    </row>
    <row r="6" spans="1:34" x14ac:dyDescent="0.35">
      <c r="A6" s="23" t="s">
        <v>513</v>
      </c>
      <c r="B6" s="59" t="str">
        <f>INDEX(QB!F$3:F$38,MATCH(A6,QB!B$3:B$38,0))</f>
        <v>PHI</v>
      </c>
      <c r="C6" s="28">
        <f>INDEX(QB!E$3:E$38,MATCH(A6,QB!B$3:B$38,0))</f>
        <v>5</v>
      </c>
      <c r="D6" s="177" t="str">
        <f>IF(INDEX(Auction!$H$13:$H$426,MATCH(A6,Auction!$A$13:$A$426,0))&gt;0,"x","")</f>
        <v/>
      </c>
      <c r="E6" s="24">
        <f ca="1">IF(D6="",INDEX(QB!$Z$3:$Z$38,MATCH(A6,QB!$B$3:$B$38,0)),0)</f>
        <v>144.51599999999996</v>
      </c>
      <c r="F6" s="24" t="str">
        <f ca="1">INDEX(QB!$AA$3:$AA$38,MATCH(A6,QB!$B$3:$B$38,0))</f>
        <v>QB1</v>
      </c>
      <c r="G6" s="38">
        <f t="shared" ca="1" si="0"/>
        <v>7.1119868740545031E-2</v>
      </c>
      <c r="H6" s="30">
        <f ca="1">IF(LeagueInfo!$H$7="Starter/Bench",INDEX(QB!$T$3:$T$38,MATCH(A6,QB!$B$3:$B$38,0))*InflationPct,INDEX(QB!$AB$3:$AB$38,MATCH(A6,QB!$B$3:$B$38,0))*InflationPct)</f>
        <v>46.149501291414488</v>
      </c>
      <c r="I6" s="22"/>
      <c r="J6" s="46" t="s">
        <v>613</v>
      </c>
      <c r="K6" s="55" t="str">
        <f>INDEX('RB'!$F$3:$F$131,MATCH(J6,'RB'!$B$3:$B$131,0))</f>
        <v>NYJ</v>
      </c>
      <c r="L6" s="47">
        <f>INDEX('RB'!$E$3:$E$131,MATCH(J6,'RB'!$B$3:$B$131,0))</f>
        <v>12</v>
      </c>
      <c r="M6" s="178" t="str">
        <f>IF(INDEX(Auction!$H$13:$H$426,MATCH(J6,Auction!$A$13:$A$426,0))&gt;0,"x","")</f>
        <v/>
      </c>
      <c r="N6" s="42">
        <f ca="1">IF(M6="",INDEX('RB'!Z$3:Z$131,MATCH(J6,'RB'!$B$3:$B$131,0)),0)</f>
        <v>134.45999999999998</v>
      </c>
      <c r="O6" s="42" t="str">
        <f ca="1">INDEX('RB'!AA$3:AA$131,MATCH(J6,'RB'!$B$3:$B$131,0))</f>
        <v>RB2</v>
      </c>
      <c r="P6" s="48">
        <f t="shared" ca="1" si="1"/>
        <v>5.9430490944651339E-2</v>
      </c>
      <c r="Q6" s="49">
        <f ca="1">IF(LeagueInfo!$H$7="Starter/Bench",INDEX('RB'!$T$3:$T$131,MATCH(J6,'RB'!$B$3:$B$131,0))*InflationPct,INDEX('RB'!$AB$3:$AB$131,MATCH(J6,'RB'!$B$3:$B$131,0))*InflationPct)</f>
        <v>42.925270904814283</v>
      </c>
      <c r="S6" s="23" t="s">
        <v>102</v>
      </c>
      <c r="T6" s="57" t="str">
        <f>INDEX(WR!$F$1:$F$167,MATCH(S6,WR!$B$1:$B$167,0))</f>
        <v>MIA</v>
      </c>
      <c r="U6" s="28">
        <f>INDEX(WR!$E$1:$E$167,MATCH(S6,WR!$B$1:$B$167,0))</f>
        <v>6</v>
      </c>
      <c r="V6" s="180" t="str">
        <f>IF(INDEX(Auction!$H$13:$H$426,MATCH(S6,Auction!$A$13:$A$426,0))&gt;0,"x","")</f>
        <v/>
      </c>
      <c r="W6" s="24">
        <f ca="1">IF(V6="",INDEX(WR!Z$3:Z$167,MATCH(S6,WR!$B$3:$B$167,0)),0)</f>
        <v>131.18</v>
      </c>
      <c r="X6" s="24" t="str">
        <f ca="1">INDEX(WR!AA$3:AA$131,MATCH(S6,WR!$B$3:$B$167,0))</f>
        <v>WR1</v>
      </c>
      <c r="Y6" s="37">
        <f t="shared" ca="1" si="2"/>
        <v>5.3740820778582332E-2</v>
      </c>
      <c r="Z6" s="30">
        <f ca="1">IF(LeagueInfo!$H$7="Starter/Bench",INDEX(WR!$T$3:$T$167,MATCH(S6,WR!$B$3:$B$167,0))*InflationPct,INDEX(WR!$AB$3:$AB$167,MATCH(S6,WR!$B$3:$B$167,0))*InflationPct)</f>
        <v>41.844244095158402</v>
      </c>
      <c r="AB6" s="23">
        <f t="shared" ref="AB6:AB64" ca="1" si="4">RANK($AE6,$AE$5:$AE$64,0)</f>
        <v>2</v>
      </c>
      <c r="AC6" s="106" t="str">
        <f ca="1">IFERROR(INDEX($A$5:$A$34,MATCH(AE6,($E$5:$E$34),0)),IFERROR(INDEX($A$37:$A$64,MATCH(AE6,($E$37:$E$64),0)),IFERROR(INDEX($J$5:$J$64,MATCH(AE6,($N$5:$N$64),0)),IFERROR(INDEX($S$5:$S$64,MATCH(AE6,($W$5:$W$64),0)),0))))</f>
        <v>Josh Allen</v>
      </c>
      <c r="AD6" s="106" t="str">
        <f t="shared" ca="1" si="3"/>
        <v>QB</v>
      </c>
      <c r="AE6" s="109">
        <f ca="1">LARGE(($E$5:$E$34,$E$37:$E$64,$N$5:$N$64,$W$5:$W$64),ROW(AE6)-4)</f>
        <v>144.71600000000001</v>
      </c>
    </row>
    <row r="7" spans="1:34" x14ac:dyDescent="0.35">
      <c r="A7" s="23" t="s">
        <v>345</v>
      </c>
      <c r="B7" s="59" t="str">
        <f>INDEX(QB!F$3:F$38,MATCH(A7,QB!B$3:B$38,0))</f>
        <v>BAL</v>
      </c>
      <c r="C7" s="28">
        <f>INDEX(QB!E$3:E$38,MATCH(A7,QB!B$3:B$38,0))</f>
        <v>14</v>
      </c>
      <c r="D7" s="177" t="str">
        <f>IF(INDEX(Auction!$H$13:$H$426,MATCH(A7,Auction!$A$13:$A$426,0))&gt;0,"x","")</f>
        <v/>
      </c>
      <c r="E7" s="24">
        <f ca="1">IF(D7="",INDEX(QB!$Z$3:$Z$38,MATCH(A7,QB!$B$3:$B$38,0)),0)</f>
        <v>123.45400000000002</v>
      </c>
      <c r="F7" s="24" t="str">
        <f ca="1">INDEX(QB!$AA$3:$AA$38,MATCH(A7,QB!$B$3:$B$38,0))</f>
        <v>QB1</v>
      </c>
      <c r="G7" s="38">
        <f t="shared" ca="1" si="0"/>
        <v>6.0754741865919698E-2</v>
      </c>
      <c r="H7" s="30">
        <f ca="1">IF(LeagueInfo!$H$7="Starter/Bench",INDEX(QB!$T$3:$T$38,MATCH(A7,QB!$B$3:$B$38,0))*InflationPct,INDEX(QB!$AB$3:$AB$38,MATCH(A7,QB!$B$3:$B$38,0))*InflationPct)</f>
        <v>39.489870931415389</v>
      </c>
      <c r="I7" s="22"/>
      <c r="J7" s="46" t="s">
        <v>710</v>
      </c>
      <c r="K7" s="55" t="str">
        <f>INDEX('RB'!$F$3:$F$131,MATCH(J7,'RB'!$B$3:$B$131,0))</f>
        <v>ATL</v>
      </c>
      <c r="L7" s="47">
        <f>INDEX('RB'!$E$3:$E$131,MATCH(J7,'RB'!$B$3:$B$131,0))</f>
        <v>12</v>
      </c>
      <c r="M7" s="178" t="str">
        <f>IF(INDEX(Auction!$H$13:$H$426,MATCH(J7,Auction!$A$13:$A$426,0))&gt;0,"x","")</f>
        <v/>
      </c>
      <c r="N7" s="42">
        <f ca="1">IF(M7="",INDEX('RB'!Z$3:Z$131,MATCH(J7,'RB'!$B$3:$B$131,0)),0)</f>
        <v>129.80000000000001</v>
      </c>
      <c r="O7" s="42" t="str">
        <f ca="1">INDEX('RB'!AA$3:AA$131,MATCH(J7,'RB'!$B$3:$B$131,0))</f>
        <v>RB2</v>
      </c>
      <c r="P7" s="48">
        <f t="shared" ca="1" si="1"/>
        <v>5.7370799677344535E-2</v>
      </c>
      <c r="Q7" s="49">
        <f ca="1">IF(LeagueInfo!$H$7="Starter/Bench",INDEX('RB'!$T$3:$T$131,MATCH(J7,'RB'!$B$3:$B$131,0))*InflationPct,INDEX('RB'!$AB$3:$AB$131,MATCH(J7,'RB'!$B$3:$B$131,0))*InflationPct)</f>
        <v>41.451817411433041</v>
      </c>
      <c r="S7" s="23" t="s">
        <v>550</v>
      </c>
      <c r="T7" s="57" t="str">
        <f>INDEX(WR!$F$1:$F$167,MATCH(S7,WR!$B$1:$B$167,0))</f>
        <v>CIN</v>
      </c>
      <c r="U7" s="28">
        <f>INDEX(WR!$E$1:$E$167,MATCH(S7,WR!$B$1:$B$167,0))</f>
        <v>12</v>
      </c>
      <c r="V7" s="180" t="str">
        <f>IF(INDEX(Auction!$H$13:$H$426,MATCH(S7,Auction!$A$13:$A$426,0))&gt;0,"x","")</f>
        <v/>
      </c>
      <c r="W7" s="24">
        <f ca="1">IF(V7="",INDEX(WR!Z$3:Z$167,MATCH(S7,WR!$B$3:$B$167,0)),0)</f>
        <v>104.69000000000001</v>
      </c>
      <c r="X7" s="24" t="str">
        <f ca="1">INDEX(WR!AA$3:AA$131,MATCH(S7,WR!$B$3:$B$167,0))</f>
        <v>WR2</v>
      </c>
      <c r="Y7" s="37">
        <f t="shared" ca="1" si="2"/>
        <v>4.2888599842276144E-2</v>
      </c>
      <c r="Z7" s="30">
        <f ca="1">IF(LeagueInfo!$H$7="Starter/Bench",INDEX(WR!$T$3:$T$167,MATCH(S7,WR!$B$3:$B$167,0))*InflationPct,INDEX(WR!$AB$3:$AB$167,MATCH(S7,WR!$B$3:$B$167,0))*InflationPct)</f>
        <v>33.468324987933237</v>
      </c>
      <c r="AB7" s="23">
        <f t="shared" ca="1" si="4"/>
        <v>3</v>
      </c>
      <c r="AC7" s="106" t="str">
        <f t="shared" ref="AC7:AC64" ca="1" si="5">IFERROR(INDEX($A$5:$A$34,MATCH(AE7,($E$5:$E$34),0)),IFERROR(INDEX($A$37:$A$64,MATCH(AE7,($E$37:$E$64),0)),IFERROR(INDEX($J$5:$J$64,MATCH(AE7,($N$5:$N$64),0)),IFERROR(INDEX($S$5:$S$64,MATCH(AE7,($W$5:$W$64),0)),0))))</f>
        <v>Jalen Hurts</v>
      </c>
      <c r="AD7" s="106" t="str">
        <f t="shared" ca="1" si="3"/>
        <v>QB</v>
      </c>
      <c r="AE7" s="109">
        <f ca="1">LARGE(($E$5:$E$34,$E$37:$E$64,$N$5:$N$64,$W$5:$W$64),ROW(AE7)-4)</f>
        <v>144.51599999999996</v>
      </c>
    </row>
    <row r="8" spans="1:34" x14ac:dyDescent="0.35">
      <c r="A8" s="23" t="s">
        <v>531</v>
      </c>
      <c r="B8" s="59" t="str">
        <f>INDEX(QB!F$3:F$38,MATCH(A8,QB!B$3:B$38,0))</f>
        <v>KC</v>
      </c>
      <c r="C8" s="28">
        <f>INDEX(QB!E$3:E$38,MATCH(A8,QB!B$3:B$38,0))</f>
        <v>6</v>
      </c>
      <c r="D8" s="177" t="str">
        <f>IF(INDEX(Auction!$H$13:$H$426,MATCH(A8,Auction!$A$13:$A$426,0))&gt;0,"x","")</f>
        <v/>
      </c>
      <c r="E8" s="24">
        <f ca="1">IF(D8="",INDEX(QB!$Z$3:$Z$38,MATCH(A8,QB!$B$3:$B$38,0)),0)</f>
        <v>120.85600000000001</v>
      </c>
      <c r="F8" s="24" t="str">
        <f ca="1">INDEX(QB!$AA$3:$AA$38,MATCH(A8,QB!$B$3:$B$38,0))</f>
        <v>QB2</v>
      </c>
      <c r="G8" s="38">
        <f t="shared" ca="1" si="0"/>
        <v>5.9476202334048225E-2</v>
      </c>
      <c r="H8" s="30">
        <f ca="1">IF(LeagueInfo!$H$7="Starter/Bench",INDEX(QB!$T$3:$T$38,MATCH(A8,QB!$B$3:$B$38,0))*InflationPct,INDEX(QB!$AB$3:$AB$38,MATCH(A8,QB!$B$3:$B$38,0))*InflationPct)</f>
        <v>38.668404799268501</v>
      </c>
      <c r="I8" s="17"/>
      <c r="J8" s="46" t="s">
        <v>351</v>
      </c>
      <c r="K8" s="55" t="str">
        <f>INDEX('RB'!$F$3:$F$131,MATCH(J8,'RB'!$B$3:$B$131,0))</f>
        <v>PHI</v>
      </c>
      <c r="L8" s="47">
        <f>INDEX('RB'!$E$3:$E$131,MATCH(J8,'RB'!$B$3:$B$131,0))</f>
        <v>5</v>
      </c>
      <c r="M8" s="178" t="str">
        <f>IF(INDEX(Auction!$H$13:$H$426,MATCH(J8,Auction!$A$13:$A$426,0))&gt;0,"x","")</f>
        <v/>
      </c>
      <c r="N8" s="42">
        <f ca="1">IF(M8="",INDEX('RB'!Z$3:Z$131,MATCH(J8,'RB'!$B$3:$B$131,0)),0)</f>
        <v>108.20999999999997</v>
      </c>
      <c r="O8" s="42" t="str">
        <f ca="1">INDEX('RB'!AA$3:AA$131,MATCH(J8,'RB'!$B$3:$B$131,0))</f>
        <v>RB3</v>
      </c>
      <c r="P8" s="48">
        <f t="shared" ca="1" si="1"/>
        <v>4.7828152797268486E-2</v>
      </c>
      <c r="Q8" s="49">
        <f ca="1">IF(LeagueInfo!$H$7="Starter/Bench",INDEX('RB'!$T$3:$T$131,MATCH(J8,'RB'!$B$3:$B$131,0))*InflationPct,INDEX('RB'!$AB$3:$AB$131,MATCH(J8,'RB'!$B$3:$B$131,0))*InflationPct)</f>
        <v>34.625237814415613</v>
      </c>
      <c r="S8" s="23" t="s">
        <v>557</v>
      </c>
      <c r="T8" s="57" t="str">
        <f>INDEX(WR!$F$1:$F$167,MATCH(S8,WR!$B$1:$B$167,0))</f>
        <v>DET</v>
      </c>
      <c r="U8" s="28">
        <f>INDEX(WR!$E$1:$E$167,MATCH(S8,WR!$B$1:$B$167,0))</f>
        <v>5</v>
      </c>
      <c r="V8" s="180" t="str">
        <f>IF(INDEX(Auction!$H$13:$H$426,MATCH(S8,Auction!$A$13:$A$426,0))&gt;0,"x","")</f>
        <v/>
      </c>
      <c r="W8" s="24">
        <f ca="1">IF(V8="",INDEX(WR!Z$3:Z$167,MATCH(S8,WR!$B$3:$B$167,0)),0)</f>
        <v>102.36999999999996</v>
      </c>
      <c r="X8" s="24" t="str">
        <f ca="1">INDEX(WR!AA$3:AA$131,MATCH(S8,WR!$B$3:$B$167,0))</f>
        <v>WR2</v>
      </c>
      <c r="Y8" s="37">
        <f t="shared" ca="1" si="2"/>
        <v>4.1938159956574718E-2</v>
      </c>
      <c r="Z8" s="30">
        <f ca="1">IF(LeagueInfo!$H$7="Starter/Bench",INDEX(WR!$T$3:$T$167,MATCH(S8,WR!$B$3:$B$167,0))*InflationPct,INDEX(WR!$AB$3:$AB$167,MATCH(S8,WR!$B$3:$B$167,0))*InflationPct)</f>
        <v>32.734760158610371</v>
      </c>
      <c r="AB8" s="23">
        <f t="shared" ca="1" si="4"/>
        <v>4</v>
      </c>
      <c r="AC8" s="106" t="str">
        <f t="shared" ca="1" si="5"/>
        <v>CeeDee Lamb</v>
      </c>
      <c r="AD8" s="106" t="str">
        <f t="shared" ca="1" si="3"/>
        <v>WR</v>
      </c>
      <c r="AE8" s="109">
        <f ca="1">LARGE(($E$5:$E$34,$E$37:$E$64,$N$5:$N$64,$W$5:$W$64),ROW(AE8)-4)</f>
        <v>135.19</v>
      </c>
    </row>
    <row r="9" spans="1:34" x14ac:dyDescent="0.35">
      <c r="A9" s="23" t="s">
        <v>734</v>
      </c>
      <c r="B9" s="59" t="str">
        <f>INDEX(QB!F$3:F$38,MATCH(A9,QB!B$3:B$38,0))</f>
        <v>IND</v>
      </c>
      <c r="C9" s="28">
        <f>INDEX(QB!E$3:E$38,MATCH(A9,QB!B$3:B$38,0))</f>
        <v>14</v>
      </c>
      <c r="D9" s="177" t="str">
        <f>IF(INDEX(Auction!$H$13:$H$426,MATCH(A9,Auction!$A$13:$A$426,0))&gt;0,"x","")</f>
        <v/>
      </c>
      <c r="E9" s="24">
        <f ca="1">IF(D9="",INDEX(QB!$Z$3:$Z$38,MATCH(A9,QB!$B$3:$B$38,0)),0)</f>
        <v>94.730000000000032</v>
      </c>
      <c r="F9" s="24" t="str">
        <f ca="1">INDEX(QB!$AA$3:$AA$38,MATCH(A9,QB!$B$3:$B$38,0))</f>
        <v>QB2</v>
      </c>
      <c r="G9" s="38">
        <f t="shared" ca="1" si="0"/>
        <v>4.6618956833788888E-2</v>
      </c>
      <c r="H9" s="30">
        <f ca="1">IF(LeagueInfo!$H$7="Starter/Bench",INDEX(QB!$T$3:$T$38,MATCH(A9,QB!$B$3:$B$38,0))*InflationPct,INDEX(QB!$AB$3:$AB$38,MATCH(A9,QB!$B$3:$B$38,0))*InflationPct)</f>
        <v>30.407579484230212</v>
      </c>
      <c r="I9" s="17"/>
      <c r="J9" s="46" t="s">
        <v>516</v>
      </c>
      <c r="K9" s="55" t="str">
        <f>INDEX('RB'!$F$3:$F$131,MATCH(J9,'RB'!$B$3:$B$131,0))</f>
        <v>IND</v>
      </c>
      <c r="L9" s="47">
        <f>INDEX('RB'!$E$3:$E$131,MATCH(J9,'RB'!$B$3:$B$131,0))</f>
        <v>14</v>
      </c>
      <c r="M9" s="178" t="str">
        <f>IF(INDEX(Auction!$H$13:$H$426,MATCH(J9,Auction!$A$13:$A$426,0))&gt;0,"x","")</f>
        <v/>
      </c>
      <c r="N9" s="42">
        <f ca="1">IF(M9="",INDEX('RB'!Z$3:Z$131,MATCH(J9,'RB'!$B$3:$B$131,0)),0)</f>
        <v>107.57999999999997</v>
      </c>
      <c r="O9" s="42" t="str">
        <f ca="1">INDEX('RB'!AA$3:AA$131,MATCH(J9,'RB'!$B$3:$B$131,0))</f>
        <v>RB3</v>
      </c>
      <c r="P9" s="48">
        <f t="shared" ca="1" si="1"/>
        <v>4.7549696681731299E-2</v>
      </c>
      <c r="Q9" s="49">
        <f ca="1">IF(LeagueInfo!$H$7="Starter/Bench",INDEX('RB'!$T$3:$T$131,MATCH(J9,'RB'!$B$3:$B$131,0))*InflationPct,INDEX('RB'!$AB$3:$AB$131,MATCH(J9,'RB'!$B$3:$B$131,0))*InflationPct)</f>
        <v>34.426037020246042</v>
      </c>
      <c r="S9" s="23" t="s">
        <v>490</v>
      </c>
      <c r="T9" s="57" t="str">
        <f>INDEX(WR!$F$1:$F$167,MATCH(S9,WR!$B$1:$B$167,0))</f>
        <v>MIN</v>
      </c>
      <c r="U9" s="28">
        <f>INDEX(WR!$E$1:$E$167,MATCH(S9,WR!$B$1:$B$167,0))</f>
        <v>6</v>
      </c>
      <c r="V9" s="180" t="str">
        <f>IF(INDEX(Auction!$H$13:$H$426,MATCH(S9,Auction!$A$13:$A$426,0))&gt;0,"x","")</f>
        <v/>
      </c>
      <c r="W9" s="24">
        <f ca="1">IF(V9="",INDEX(WR!Z$3:Z$167,MATCH(S9,WR!$B$3:$B$167,0)),0)</f>
        <v>100.92999999999998</v>
      </c>
      <c r="X9" s="24" t="str">
        <f ca="1">INDEX(WR!AA$3:AA$131,MATCH(S9,WR!$B$3:$B$167,0))</f>
        <v>WR2</v>
      </c>
      <c r="Y9" s="37">
        <f t="shared" ca="1" si="2"/>
        <v>4.1348231751656604E-2</v>
      </c>
      <c r="Z9" s="30">
        <f ca="1">IF(LeagueInfo!$H$7="Starter/Bench",INDEX(WR!$T$3:$T$167,MATCH(S9,WR!$B$3:$B$167,0))*InflationPct,INDEX(WR!$AB$3:$AB$167,MATCH(S9,WR!$B$3:$B$167,0))*InflationPct)</f>
        <v>32.279444057651361</v>
      </c>
      <c r="AB9" s="23">
        <f t="shared" ca="1" si="4"/>
        <v>5</v>
      </c>
      <c r="AC9" s="106" t="str">
        <f t="shared" ca="1" si="5"/>
        <v>Breece Hall</v>
      </c>
      <c r="AD9" s="106" t="str">
        <f t="shared" ca="1" si="3"/>
        <v>RB</v>
      </c>
      <c r="AE9" s="109">
        <f ca="1">LARGE(($E$5:$E$34,$E$37:$E$64,$N$5:$N$64,$W$5:$W$64),ROW(AE9)-4)</f>
        <v>134.45999999999998</v>
      </c>
    </row>
    <row r="10" spans="1:34" x14ac:dyDescent="0.35">
      <c r="A10" s="23" t="s">
        <v>115</v>
      </c>
      <c r="B10" s="59" t="str">
        <f>INDEX(QB!F$3:F$38,MATCH(A10,QB!B$3:B$38,0))</f>
        <v>DAL</v>
      </c>
      <c r="C10" s="28">
        <f>INDEX(QB!E$3:E$38,MATCH(A10,QB!B$3:B$38,0))</f>
        <v>7</v>
      </c>
      <c r="D10" s="177" t="str">
        <f>IF(INDEX(Auction!$H$13:$H$426,MATCH(A10,Auction!$A$13:$A$426,0))&gt;0,"x","")</f>
        <v/>
      </c>
      <c r="E10" s="24">
        <f ca="1">IF(D10="",INDEX(QB!$Z$3:$Z$38,MATCH(A10,QB!$B$3:$B$38,0)),0)</f>
        <v>91.565999999999931</v>
      </c>
      <c r="F10" s="24" t="str">
        <f ca="1">INDEX(QB!$AA$3:$AA$38,MATCH(A10,QB!$B$3:$B$38,0))</f>
        <v>QB2</v>
      </c>
      <c r="G10" s="38">
        <f t="shared" ca="1" si="0"/>
        <v>4.506187481729873E-2</v>
      </c>
      <c r="H10" s="30">
        <f ca="1">IF(LeagueInfo!$H$7="Starter/Bench",INDEX(QB!$T$3:$T$38,MATCH(A10,QB!$B$3:$B$38,0))*InflationPct,INDEX(QB!$AB$3:$AB$38,MATCH(A10,QB!$B$3:$B$38,0))*InflationPct)</f>
        <v>29.407148829067459</v>
      </c>
      <c r="I10" s="22"/>
      <c r="J10" s="46" t="s">
        <v>107</v>
      </c>
      <c r="K10" s="55" t="str">
        <f>INDEX('RB'!$F$3:$F$131,MATCH(J10,'RB'!$B$3:$B$131,0))</f>
        <v>BAL</v>
      </c>
      <c r="L10" s="47">
        <f>INDEX('RB'!$E$3:$E$131,MATCH(J10,'RB'!$B$3:$B$131,0))</f>
        <v>14</v>
      </c>
      <c r="M10" s="178" t="str">
        <f>IF(INDEX(Auction!$H$13:$H$426,MATCH(J10,Auction!$A$13:$A$426,0))&gt;0,"x","")</f>
        <v/>
      </c>
      <c r="N10" s="42">
        <f ca="1">IF(M10="",INDEX('RB'!Z$3:Z$131,MATCH(J10,'RB'!$B$3:$B$131,0)),0)</f>
        <v>89.819999999999951</v>
      </c>
      <c r="O10" s="42" t="str">
        <f ca="1">INDEX('RB'!AA$3:AA$131,MATCH(J10,'RB'!$B$3:$B$131,0))</f>
        <v>RB3</v>
      </c>
      <c r="P10" s="48">
        <f t="shared" ca="1" si="1"/>
        <v>3.9699886186587693E-2</v>
      </c>
      <c r="Q10" s="49">
        <f ca="1">IF(LeagueInfo!$H$7="Starter/Bench",INDEX('RB'!$T$3:$T$131,MATCH(J10,'RB'!$B$3:$B$131,0))*InflationPct,INDEX('RB'!$AB$3:$AB$131,MATCH(J10,'RB'!$B$3:$B$131,0))*InflationPct)</f>
        <v>28.810471775084892</v>
      </c>
      <c r="S10" s="23" t="s">
        <v>789</v>
      </c>
      <c r="T10" s="57" t="str">
        <f>INDEX(WR!$F$1:$F$167,MATCH(S10,WR!$B$1:$B$167,0))</f>
        <v>LAR</v>
      </c>
      <c r="U10" s="28">
        <f>INDEX(WR!$E$1:$E$167,MATCH(S10,WR!$B$1:$B$167,0))</f>
        <v>6</v>
      </c>
      <c r="V10" s="180" t="str">
        <f>IF(INDEX(Auction!$H$13:$H$426,MATCH(S10,Auction!$A$13:$A$426,0))&gt;0,"x","")</f>
        <v/>
      </c>
      <c r="W10" s="24">
        <f ca="1">IF(V10="",INDEX(WR!Z$3:Z$167,MATCH(S10,WR!$B$3:$B$167,0)),0)</f>
        <v>86.419999999999987</v>
      </c>
      <c r="X10" s="24" t="str">
        <f ca="1">INDEX(WR!AA$3:AA$131,MATCH(S10,WR!$B$3:$B$167,0))</f>
        <v>WR3</v>
      </c>
      <c r="Y10" s="37">
        <f t="shared" ca="1" si="2"/>
        <v>3.540388574237753E-2</v>
      </c>
      <c r="Z10" s="30">
        <f ca="1">IF(LeagueInfo!$H$7="Starter/Bench",INDEX(WR!$T$3:$T$167,MATCH(S10,WR!$B$3:$B$167,0))*InflationPct,INDEX(WR!$AB$3:$AB$167,MATCH(S10,WR!$B$3:$B$167,0))*InflationPct)</f>
        <v>27.691501957015763</v>
      </c>
      <c r="AB10" s="23">
        <f t="shared" ca="1" si="4"/>
        <v>6</v>
      </c>
      <c r="AC10" s="106" t="str">
        <f t="shared" ca="1" si="5"/>
        <v>Tyreek Hill</v>
      </c>
      <c r="AD10" s="106" t="str">
        <f t="shared" ca="1" si="3"/>
        <v>WR</v>
      </c>
      <c r="AE10" s="109">
        <f ca="1">LARGE(($E$5:$E$34,$E$37:$E$64,$N$5:$N$64,$W$5:$W$64),ROW(AE10)-4)</f>
        <v>131.18</v>
      </c>
    </row>
    <row r="11" spans="1:34" x14ac:dyDescent="0.35">
      <c r="A11" s="23" t="s">
        <v>732</v>
      </c>
      <c r="B11" s="59" t="str">
        <f>INDEX(QB!F$3:F$38,MATCH(A11,QB!B$3:B$38,0))</f>
        <v>HOU</v>
      </c>
      <c r="C11" s="28">
        <f>INDEX(QB!E$3:E$38,MATCH(A11,QB!B$3:B$38,0))</f>
        <v>14</v>
      </c>
      <c r="D11" s="177" t="str">
        <f>IF(INDEX(Auction!$H$13:$H$426,MATCH(A11,Auction!$A$13:$A$426,0))&gt;0,"x","")</f>
        <v/>
      </c>
      <c r="E11" s="24">
        <f ca="1">IF(D11="",INDEX(QB!$Z$3:$Z$38,MATCH(A11,QB!$B$3:$B$38,0)),0)</f>
        <v>90.635999999999925</v>
      </c>
      <c r="F11" s="24" t="str">
        <f ca="1">INDEX(QB!$AA$3:$AA$38,MATCH(A11,QB!$B$3:$B$38,0))</f>
        <v>QB2</v>
      </c>
      <c r="G11" s="38">
        <f t="shared" ca="1" si="0"/>
        <v>4.460419900334936E-2</v>
      </c>
      <c r="H11" s="30">
        <f ca="1">IF(LeagueInfo!$H$7="Starter/Bench",INDEX(QB!$T$3:$T$38,MATCH(A11,QB!$B$3:$B$38,0))*InflationPct,INDEX(QB!$AB$3:$AB$38,MATCH(A11,QB!$B$3:$B$38,0))*InflationPct)</f>
        <v>29.113090513864762</v>
      </c>
      <c r="I11" s="22"/>
      <c r="J11" s="46" t="s">
        <v>626</v>
      </c>
      <c r="K11" s="55" t="str">
        <f>INDEX('RB'!$F$3:$F$131,MATCH(J11,'RB'!$B$3:$B$131,0))</f>
        <v>LAR</v>
      </c>
      <c r="L11" s="47">
        <f>INDEX('RB'!$E$3:$E$131,MATCH(J11,'RB'!$B$3:$B$131,0))</f>
        <v>6</v>
      </c>
      <c r="M11" s="178" t="str">
        <f>IF(INDEX(Auction!$H$13:$H$426,MATCH(J11,Auction!$A$13:$A$426,0))&gt;0,"x","")</f>
        <v/>
      </c>
      <c r="N11" s="42">
        <f ca="1">IF(M11="",INDEX('RB'!Z$3:Z$131,MATCH(J11,'RB'!$B$3:$B$131,0)),0)</f>
        <v>89.429999999999993</v>
      </c>
      <c r="O11" s="42" t="str">
        <f ca="1">INDEX('RB'!AA$3:AA$131,MATCH(J11,'RB'!$B$3:$B$131,0))</f>
        <v>RB3</v>
      </c>
      <c r="P11" s="48">
        <f t="shared" ca="1" si="1"/>
        <v>3.9527508591255166E-2</v>
      </c>
      <c r="Q11" s="49">
        <f ca="1">IF(LeagueInfo!$H$7="Starter/Bench",INDEX('RB'!$T$3:$T$131,MATCH(J11,'RB'!$B$3:$B$131,0))*InflationPct,INDEX('RB'!$AB$3:$AB$131,MATCH(J11,'RB'!$B$3:$B$131,0))*InflationPct)</f>
        <v>28.687156997741841</v>
      </c>
      <c r="S11" s="23" t="s">
        <v>434</v>
      </c>
      <c r="T11" s="57" t="str">
        <f>INDEX(WR!$F$1:$F$167,MATCH(S11,WR!$B$1:$B$167,0))</f>
        <v>PHI</v>
      </c>
      <c r="U11" s="28">
        <f>INDEX(WR!$E$1:$E$167,MATCH(S11,WR!$B$1:$B$167,0))</f>
        <v>5</v>
      </c>
      <c r="V11" s="180" t="str">
        <f>IF(INDEX(Auction!$H$13:$H$426,MATCH(S11,Auction!$A$13:$A$426,0))&gt;0,"x","")</f>
        <v/>
      </c>
      <c r="W11" s="24">
        <f ca="1">IF(V11="",INDEX(WR!Z$3:Z$167,MATCH(S11,WR!$B$3:$B$167,0)),0)</f>
        <v>85.65</v>
      </c>
      <c r="X11" s="24" t="str">
        <f ca="1">INDEX(WR!AA$3:AA$131,MATCH(S11,WR!$B$3:$B$167,0))</f>
        <v>WR3</v>
      </c>
      <c r="Y11" s="37">
        <f t="shared" ca="1" si="2"/>
        <v>3.5088438021692155E-2</v>
      </c>
      <c r="Z11" s="30">
        <f ca="1">IF(LeagueInfo!$H$7="Starter/Bench",INDEX(WR!$T$3:$T$167,MATCH(S11,WR!$B$3:$B$167,0))*InflationPct,INDEX(WR!$AB$3:$AB$167,MATCH(S11,WR!$B$3:$B$167,0))*InflationPct)</f>
        <v>27.44803431969741</v>
      </c>
      <c r="AB11" s="23">
        <f t="shared" ca="1" si="4"/>
        <v>7</v>
      </c>
      <c r="AC11" s="106" t="str">
        <f t="shared" ca="1" si="5"/>
        <v>Bijan Robinson</v>
      </c>
      <c r="AD11" s="106" t="str">
        <f t="shared" ca="1" si="3"/>
        <v>RB</v>
      </c>
      <c r="AE11" s="109">
        <f ca="1">LARGE(($E$5:$E$34,$E$37:$E$64,$N$5:$N$64,$W$5:$W$64),ROW(AE11)-4)</f>
        <v>129.80000000000001</v>
      </c>
    </row>
    <row r="12" spans="1:34" x14ac:dyDescent="0.35">
      <c r="A12" s="23" t="s">
        <v>510</v>
      </c>
      <c r="B12" s="59" t="str">
        <f>INDEX(QB!F$3:F$38,MATCH(A12,QB!B$3:B$38,0))</f>
        <v>CIN</v>
      </c>
      <c r="C12" s="28">
        <f>INDEX(QB!E$3:E$38,MATCH(A12,QB!B$3:B$38,0))</f>
        <v>12</v>
      </c>
      <c r="D12" s="177" t="str">
        <f>IF(INDEX(Auction!$H$13:$H$426,MATCH(A12,Auction!$A$13:$A$426,0))&gt;0,"x","")</f>
        <v/>
      </c>
      <c r="E12" s="24">
        <f ca="1">IF(D12="",INDEX(QB!$Z$3:$Z$38,MATCH(A12,QB!$B$3:$B$38,0)),0)</f>
        <v>88.174000000000049</v>
      </c>
      <c r="F12" s="24" t="str">
        <f ca="1">INDEX(QB!$AA$3:$AA$38,MATCH(A12,QB!$B$3:$B$38,0))</f>
        <v>QB2</v>
      </c>
      <c r="G12" s="38">
        <f t="shared" ca="1" si="0"/>
        <v>4.3392588407711416E-2</v>
      </c>
      <c r="H12" s="30">
        <f ca="1">IF(LeagueInfo!$H$7="Starter/Bench",INDEX(QB!$T$3:$T$38,MATCH(A12,QB!$B$3:$B$38,0))*InflationPct,INDEX(QB!$AB$3:$AB$38,MATCH(A12,QB!$B$3:$B$38,0))*InflationPct)</f>
        <v>28.334626457919605</v>
      </c>
      <c r="I12" s="22"/>
      <c r="J12" s="46" t="s">
        <v>724</v>
      </c>
      <c r="K12" s="55" t="str">
        <f>INDEX('RB'!$F$3:$F$131,MATCH(J12,'RB'!$B$3:$B$131,0))</f>
        <v>DET</v>
      </c>
      <c r="L12" s="47">
        <f>INDEX('RB'!$E$3:$E$131,MATCH(J12,'RB'!$B$3:$B$131,0))</f>
        <v>5</v>
      </c>
      <c r="M12" s="178" t="str">
        <f>IF(INDEX(Auction!$H$13:$H$426,MATCH(J12,Auction!$A$13:$A$426,0))&gt;0,"x","")</f>
        <v/>
      </c>
      <c r="N12" s="42">
        <f ca="1">IF(M12="",INDEX('RB'!Z$3:Z$131,MATCH(J12,'RB'!$B$3:$B$131,0)),0)</f>
        <v>87.649999999999991</v>
      </c>
      <c r="O12" s="42" t="str">
        <f ca="1">INDEX('RB'!AA$3:AA$131,MATCH(J12,'RB'!$B$3:$B$131,0))</f>
        <v>RB4</v>
      </c>
      <c r="P12" s="48">
        <f t="shared" ca="1" si="1"/>
        <v>3.8740759566404062E-2</v>
      </c>
      <c r="Q12" s="49">
        <f ca="1">IF(LeagueInfo!$H$7="Starter/Bench",INDEX('RB'!$T$3:$T$131,MATCH(J12,'RB'!$B$3:$B$131,0))*InflationPct,INDEX('RB'!$AB$3:$AB$131,MATCH(J12,'RB'!$B$3:$B$131,0))*InflationPct)</f>
        <v>28.124335706278615</v>
      </c>
      <c r="S12" s="23" t="s">
        <v>590</v>
      </c>
      <c r="T12" s="57" t="str">
        <f>INDEX(WR!$F$1:$F$167,MATCH(S12,WR!$B$1:$B$167,0))</f>
        <v>NYJ</v>
      </c>
      <c r="U12" s="28">
        <f>INDEX(WR!$E$1:$E$167,MATCH(S12,WR!$B$1:$B$167,0))</f>
        <v>12</v>
      </c>
      <c r="V12" s="180" t="str">
        <f>IF(INDEX(Auction!$H$13:$H$426,MATCH(S12,Auction!$A$13:$A$426,0))&gt;0,"x","")</f>
        <v/>
      </c>
      <c r="W12" s="24">
        <f ca="1">IF(V12="",INDEX(WR!Z$3:Z$167,MATCH(S12,WR!$B$3:$B$167,0)),0)</f>
        <v>76.38</v>
      </c>
      <c r="X12" s="24" t="str">
        <f ca="1">INDEX(WR!AA$3:AA$131,MATCH(S12,WR!$B$3:$B$167,0))</f>
        <v>WR3</v>
      </c>
      <c r="Y12" s="37">
        <f t="shared" ca="1" si="2"/>
        <v>3.1290775202531776E-2</v>
      </c>
      <c r="Z12" s="30">
        <f ca="1">IF(LeagueInfo!$H$7="Starter/Bench",INDEX(WR!$T$3:$T$167,MATCH(S12,WR!$B$3:$B$167,0))*InflationPct,INDEX(WR!$AB$3:$AB$167,MATCH(S12,WR!$B$3:$B$167,0))*InflationPct)</f>
        <v>24.516936919773766</v>
      </c>
      <c r="AB12" s="23">
        <f t="shared" ca="1" si="4"/>
        <v>8</v>
      </c>
      <c r="AC12" s="106" t="str">
        <f t="shared" ca="1" si="5"/>
        <v>Lamar Jackson</v>
      </c>
      <c r="AD12" s="106" t="str">
        <f t="shared" ca="1" si="3"/>
        <v>QB</v>
      </c>
      <c r="AE12" s="109">
        <f ca="1">LARGE(($E$5:$E$34,$E$37:$E$64,$N$5:$N$64,$W$5:$W$64),ROW(AE12)-4)</f>
        <v>123.45400000000002</v>
      </c>
    </row>
    <row r="13" spans="1:34" x14ac:dyDescent="0.35">
      <c r="A13" s="23" t="s">
        <v>412</v>
      </c>
      <c r="B13" s="59" t="str">
        <f>INDEX(QB!F$3:F$38,MATCH(A13,QB!B$3:B$38,0))</f>
        <v>ARI</v>
      </c>
      <c r="C13" s="28">
        <f>INDEX(QB!E$3:E$38,MATCH(A13,QB!B$3:B$38,0))</f>
        <v>11</v>
      </c>
      <c r="D13" s="177" t="str">
        <f>IF(INDEX(Auction!$H$13:$H$426,MATCH(A13,Auction!$A$13:$A$426,0))&gt;0,"x","")</f>
        <v/>
      </c>
      <c r="E13" s="24">
        <f ca="1">IF(D13="",INDEX(QB!$Z$3:$Z$38,MATCH(A13,QB!$B$3:$B$38,0)),0)</f>
        <v>86.762000000000015</v>
      </c>
      <c r="F13" s="24" t="str">
        <f ca="1">INDEX(QB!$AA$3:$AA$38,MATCH(A13,QB!$B$3:$B$38,0))</f>
        <v>QB2</v>
      </c>
      <c r="G13" s="38">
        <f t="shared" ca="1" si="0"/>
        <v>4.2697708569758165E-2</v>
      </c>
      <c r="H13" s="30">
        <f ca="1">IF(LeagueInfo!$H$7="Starter/Bench",INDEX(QB!$T$3:$T$38,MATCH(A13,QB!$B$3:$B$38,0))*InflationPct,INDEX(QB!$AB$3:$AB$38,MATCH(A13,QB!$B$3:$B$38,0))*InflationPct)</f>
        <v>27.888163725590339</v>
      </c>
      <c r="I13" s="22"/>
      <c r="J13" s="46" t="s">
        <v>614</v>
      </c>
      <c r="K13" s="55" t="str">
        <f>INDEX('RB'!$F$3:$F$131,MATCH(J13,'RB'!$B$3:$B$131,0))</f>
        <v>JAC</v>
      </c>
      <c r="L13" s="47">
        <f>INDEX('RB'!$E$3:$E$131,MATCH(J13,'RB'!$B$3:$B$131,0))</f>
        <v>12</v>
      </c>
      <c r="M13" s="178" t="str">
        <f>IF(INDEX(Auction!$H$13:$H$426,MATCH(J13,Auction!$A$13:$A$426,0))&gt;0,"x","")</f>
        <v/>
      </c>
      <c r="N13" s="42">
        <f ca="1">IF(M13="",INDEX('RB'!Z$3:Z$131,MATCH(J13,'RB'!$B$3:$B$131,0)),0)</f>
        <v>81.659999999999982</v>
      </c>
      <c r="O13" s="42" t="str">
        <f ca="1">INDEX('RB'!AA$3:AA$131,MATCH(J13,'RB'!$B$3:$B$131,0))</f>
        <v>RB4</v>
      </c>
      <c r="P13" s="48">
        <f t="shared" ca="1" si="1"/>
        <v>3.6093216499629835E-2</v>
      </c>
      <c r="Q13" s="49">
        <f ca="1">IF(LeagueInfo!$H$7="Starter/Bench",INDEX('RB'!$T$3:$T$131,MATCH(J13,'RB'!$B$3:$B$131,0))*InflationPct,INDEX('RB'!$AB$3:$AB$131,MATCH(J13,'RB'!$B$3:$B$131,0))*InflationPct)</f>
        <v>26.230347202983832</v>
      </c>
      <c r="S13" s="23" t="s">
        <v>589</v>
      </c>
      <c r="T13" s="57" t="str">
        <f>INDEX(WR!$F$1:$F$167,MATCH(S13,WR!$B$1:$B$167,0))</f>
        <v>NO</v>
      </c>
      <c r="U13" s="28">
        <f>INDEX(WR!$E$1:$E$167,MATCH(S13,WR!$B$1:$B$167,0))</f>
        <v>12</v>
      </c>
      <c r="V13" s="180" t="str">
        <f>IF(INDEX(Auction!$H$13:$H$426,MATCH(S13,Auction!$A$13:$A$426,0))&gt;0,"x","")</f>
        <v/>
      </c>
      <c r="W13" s="24">
        <f ca="1">IF(V13="",INDEX(WR!Z$3:Z$167,MATCH(S13,WR!$B$3:$B$167,0)),0)</f>
        <v>63.980000000000025</v>
      </c>
      <c r="X13" s="24" t="str">
        <f ca="1">INDEX(WR!AA$3:AA$131,MATCH(S13,WR!$B$3:$B$167,0))</f>
        <v>WR4</v>
      </c>
      <c r="Y13" s="37">
        <f t="shared" ca="1" si="2"/>
        <v>2.6210837882403561E-2</v>
      </c>
      <c r="Z13" s="30">
        <f ca="1">IF(LeagueInfo!$H$7="Starter/Bench",INDEX(WR!$T$3:$T$167,MATCH(S13,WR!$B$3:$B$167,0))*InflationPct,INDEX(WR!$AB$3:$AB$167,MATCH(S13,WR!$B$3:$B$167,0))*InflationPct)</f>
        <v>20.596159383737835</v>
      </c>
      <c r="AB13" s="23">
        <f t="shared" ca="1" si="4"/>
        <v>9</v>
      </c>
      <c r="AC13" s="106" t="str">
        <f t="shared" ca="1" si="5"/>
        <v>Patrick Mahomes II</v>
      </c>
      <c r="AD13" s="106" t="str">
        <f t="shared" ca="1" si="3"/>
        <v>QB</v>
      </c>
      <c r="AE13" s="109">
        <f ca="1">LARGE(($E$5:$E$34,$E$37:$E$64,$N$5:$N$64,$W$5:$W$64),ROW(AE13)-4)</f>
        <v>120.85600000000001</v>
      </c>
    </row>
    <row r="14" spans="1:34" x14ac:dyDescent="0.35">
      <c r="A14" s="23" t="s">
        <v>514</v>
      </c>
      <c r="B14" s="59" t="str">
        <f>INDEX(QB!F$3:F$38,MATCH(A14,QB!B$3:B$38,0))</f>
        <v>GB</v>
      </c>
      <c r="C14" s="28">
        <f>INDEX(QB!E$3:E$38,MATCH(A14,QB!B$3:B$38,0))</f>
        <v>10</v>
      </c>
      <c r="D14" s="177" t="str">
        <f>IF(INDEX(Auction!$H$13:$H$426,MATCH(A14,Auction!$A$13:$A$426,0))&gt;0,"x","")</f>
        <v/>
      </c>
      <c r="E14" s="24">
        <f ca="1">IF(D14="",INDEX(QB!$Z$3:$Z$38,MATCH(A14,QB!$B$3:$B$38,0)),0)</f>
        <v>78.197999999999936</v>
      </c>
      <c r="F14" s="24" t="str">
        <f ca="1">INDEX(QB!$AA$3:$AA$38,MATCH(A14,QB!$B$3:$B$38,0))</f>
        <v>QB3</v>
      </c>
      <c r="G14" s="38">
        <f t="shared" ca="1" si="0"/>
        <v>3.8483154085174914E-2</v>
      </c>
      <c r="H14" s="30">
        <f ca="1">IF(LeagueInfo!$H$7="Starter/Bench",INDEX(QB!$T$3:$T$38,MATCH(A14,QB!$B$3:$B$38,0))*InflationPct,INDEX(QB!$AB$3:$AB$38,MATCH(A14,QB!$B$3:$B$38,0))*InflationPct)</f>
        <v>25.180297691831303</v>
      </c>
      <c r="I14" s="17"/>
      <c r="J14" s="46" t="s">
        <v>421</v>
      </c>
      <c r="K14" s="61" t="str">
        <f>INDEX('RB'!$F$3:$F$131,MATCH(J14,'RB'!$B$3:$B$131,0))</f>
        <v>GB</v>
      </c>
      <c r="L14" s="47">
        <f>INDEX('RB'!$E$3:$E$131,MATCH(J14,'RB'!$B$3:$B$131,0))</f>
        <v>10</v>
      </c>
      <c r="M14" s="178" t="str">
        <f>IF(INDEX(Auction!$H$13:$H$426,MATCH(J14,Auction!$A$13:$A$426,0))&gt;0,"x","")</f>
        <v/>
      </c>
      <c r="N14" s="42">
        <f ca="1">IF(M14="",INDEX('RB'!Z$3:Z$131,MATCH(J14,'RB'!$B$3:$B$131,0)),0)</f>
        <v>78.139999999999972</v>
      </c>
      <c r="O14" s="42" t="str">
        <f ca="1">INDEX('RB'!AA$3:AA$131,MATCH(J14,'RB'!$B$3:$B$131,0))</f>
        <v>RB4</v>
      </c>
      <c r="P14" s="48">
        <f t="shared" ca="1" si="1"/>
        <v>3.4537398203295065E-2</v>
      </c>
      <c r="Q14" s="49">
        <f ca="1">IF(LeagueInfo!$H$7="Starter/Bench",INDEX('RB'!$T$3:$T$131,MATCH(J14,'RB'!$B$3:$B$131,0))*InflationPct,INDEX('RB'!$AB$3:$AB$131,MATCH(J14,'RB'!$B$3:$B$131,0))*InflationPct)</f>
        <v>25.117352289528469</v>
      </c>
      <c r="S14" s="23" t="s">
        <v>907</v>
      </c>
      <c r="T14" s="57" t="str">
        <f>INDEX(WR!$F$1:$F$167,MATCH(S14,WR!$B$1:$B$167,0))</f>
        <v>ARI</v>
      </c>
      <c r="U14" s="28">
        <f>INDEX(WR!$E$1:$E$167,MATCH(S14,WR!$B$1:$B$167,0))</f>
        <v>11</v>
      </c>
      <c r="V14" s="180" t="str">
        <f>IF(INDEX(Auction!$H$13:$H$426,MATCH(S14,Auction!$A$13:$A$426,0))&gt;0,"x","")</f>
        <v/>
      </c>
      <c r="W14" s="24">
        <f ca="1">IF(V14="",INDEX(WR!Z$3:Z$167,MATCH(S14,WR!$B$3:$B$167,0)),0)</f>
        <v>60.57</v>
      </c>
      <c r="X14" s="24" t="str">
        <f ca="1">INDEX(WR!AA$3:AA$131,MATCH(S14,WR!$B$3:$B$167,0))</f>
        <v>WR4</v>
      </c>
      <c r="Y14" s="37">
        <f t="shared" ca="1" si="2"/>
        <v>2.4813855119368285E-2</v>
      </c>
      <c r="Z14" s="30">
        <f ca="1">IF(LeagueInfo!$H$7="Starter/Bench",INDEX(WR!$T$3:$T$167,MATCH(S14,WR!$B$3:$B$167,0))*InflationPct,INDEX(WR!$AB$3:$AB$167,MATCH(S14,WR!$B$3:$B$167,0))*InflationPct)</f>
        <v>19.517945561327945</v>
      </c>
      <c r="AB14" s="23">
        <f t="shared" ca="1" si="4"/>
        <v>10</v>
      </c>
      <c r="AC14" s="106" t="str">
        <f t="shared" ca="1" si="5"/>
        <v>Saquon Barkley</v>
      </c>
      <c r="AD14" s="106" t="str">
        <f t="shared" ca="1" si="3"/>
        <v>RB</v>
      </c>
      <c r="AE14" s="109">
        <f ca="1">LARGE(($E$5:$E$34,$E$37:$E$64,$N$5:$N$64,$W$5:$W$64),ROW(AE14)-4)</f>
        <v>108.20999999999997</v>
      </c>
    </row>
    <row r="15" spans="1:34" x14ac:dyDescent="0.35">
      <c r="A15" s="23" t="s">
        <v>764</v>
      </c>
      <c r="B15" s="59" t="str">
        <f>INDEX(QB!F$3:F$38,MATCH(A15,QB!B$3:B$38,0))</f>
        <v>SF</v>
      </c>
      <c r="C15" s="28">
        <f>INDEX(QB!E$3:E$38,MATCH(A15,QB!B$3:B$38,0))</f>
        <v>9</v>
      </c>
      <c r="D15" s="177" t="str">
        <f>IF(INDEX(Auction!$H$13:$H$426,MATCH(A15,Auction!$A$13:$A$426,0))&gt;0,"x","")</f>
        <v/>
      </c>
      <c r="E15" s="24">
        <f ca="1">IF(D15="",INDEX(QB!$Z$3:$Z$38,MATCH(A15,QB!$B$3:$B$38,0)),0)</f>
        <v>77.287999999999968</v>
      </c>
      <c r="F15" s="24" t="str">
        <f ca="1">INDEX(QB!$AA$3:$AA$38,MATCH(A15,QB!$B$3:$B$38,0))</f>
        <v>QB3</v>
      </c>
      <c r="G15" s="38">
        <f t="shared" ca="1" si="0"/>
        <v>3.8035320761848124E-2</v>
      </c>
      <c r="H15" s="30">
        <f ca="1">IF(LeagueInfo!$H$7="Starter/Bench",INDEX(QB!$T$3:$T$38,MATCH(A15,QB!$B$3:$B$38,0))*InflationPct,INDEX(QB!$AB$3:$AB$38,MATCH(A15,QB!$B$3:$B$38,0))*InflationPct)</f>
        <v>24.892563211364159</v>
      </c>
      <c r="I15" s="22"/>
      <c r="J15" s="46" t="s">
        <v>629</v>
      </c>
      <c r="K15" s="55" t="str">
        <f>INDEX('RB'!$F$3:$F$131,MATCH(J15,'RB'!$B$3:$B$131,0))</f>
        <v>KC</v>
      </c>
      <c r="L15" s="47">
        <f>INDEX('RB'!$E$3:$E$131,MATCH(J15,'RB'!$B$3:$B$131,0))</f>
        <v>6</v>
      </c>
      <c r="M15" s="178" t="str">
        <f>IF(INDEX(Auction!$H$13:$H$426,MATCH(J15,Auction!$A$13:$A$426,0))&gt;0,"x","")</f>
        <v/>
      </c>
      <c r="N15" s="42">
        <f ca="1">IF(M15="",INDEX('RB'!Z$3:Z$131,MATCH(J15,'RB'!$B$3:$B$131,0)),0)</f>
        <v>77.949999999999974</v>
      </c>
      <c r="O15" s="42" t="str">
        <f ca="1">INDEX('RB'!AA$3:AA$131,MATCH(J15,'RB'!$B$3:$B$131,0))</f>
        <v>RB4</v>
      </c>
      <c r="P15" s="48">
        <f t="shared" ca="1" si="1"/>
        <v>3.4453419374799725E-2</v>
      </c>
      <c r="Q15" s="49">
        <f ca="1">IF(LeagueInfo!$H$7="Starter/Bench",INDEX('RB'!$T$3:$T$131,MATCH(J15,'RB'!$B$3:$B$131,0))*InflationPct,INDEX('RB'!$AB$3:$AB$131,MATCH(J15,'RB'!$B$3:$B$131,0))*InflationPct)</f>
        <v>25.057275859540823</v>
      </c>
      <c r="S15" s="23" t="s">
        <v>90</v>
      </c>
      <c r="T15" s="57" t="str">
        <f>INDEX(WR!$F$1:$F$167,MATCH(S15,WR!$B$1:$B$167,0))</f>
        <v>TB</v>
      </c>
      <c r="U15" s="28">
        <f>INDEX(WR!$E$1:$E$167,MATCH(S15,WR!$B$1:$B$167,0))</f>
        <v>11</v>
      </c>
      <c r="V15" s="180" t="str">
        <f>IF(INDEX(Auction!$H$13:$H$426,MATCH(S15,Auction!$A$13:$A$426,0))&gt;0,"x","")</f>
        <v/>
      </c>
      <c r="W15" s="24">
        <f ca="1">IF(V15="",INDEX(WR!Z$3:Z$167,MATCH(S15,WR!$B$3:$B$167,0)),0)</f>
        <v>60.000000000000007</v>
      </c>
      <c r="X15" s="24" t="str">
        <f ca="1">INDEX(WR!AA$3:AA$131,MATCH(S15,WR!$B$3:$B$167,0))</f>
        <v>WR4</v>
      </c>
      <c r="Y15" s="37">
        <f t="shared" ca="1" si="2"/>
        <v>2.45803418715882E-2</v>
      </c>
      <c r="Z15" s="30">
        <f ca="1">IF(LeagueInfo!$H$7="Starter/Bench",INDEX(WR!$T$3:$T$167,MATCH(S15,WR!$B$3:$B$167,0))*InflationPct,INDEX(WR!$AB$3:$AB$167,MATCH(S15,WR!$B$3:$B$167,0))*InflationPct)</f>
        <v>19.337716271365004</v>
      </c>
      <c r="AB15" s="23">
        <f t="shared" ca="1" si="4"/>
        <v>11</v>
      </c>
      <c r="AC15" s="106" t="str">
        <f t="shared" ca="1" si="5"/>
        <v>Jonathan Taylor</v>
      </c>
      <c r="AD15" s="106" t="str">
        <f t="shared" ca="1" si="3"/>
        <v>RB</v>
      </c>
      <c r="AE15" s="109">
        <f ca="1">LARGE(($E$5:$E$34,$E$37:$E$64,$N$5:$N$64,$W$5:$W$64),ROW(AE15)-4)</f>
        <v>107.57999999999997</v>
      </c>
    </row>
    <row r="16" spans="1:34" x14ac:dyDescent="0.35">
      <c r="A16" s="23" t="s">
        <v>851</v>
      </c>
      <c r="B16" s="59" t="str">
        <f>INDEX(QB!F$3:F$38,MATCH(A16,QB!B$3:B$38,0))</f>
        <v>WAS</v>
      </c>
      <c r="C16" s="28">
        <f>INDEX(QB!E$3:E$38,MATCH(A16,QB!B$3:B$38,0))</f>
        <v>14</v>
      </c>
      <c r="D16" s="177" t="str">
        <f>IF(INDEX(Auction!$H$13:$H$426,MATCH(A16,Auction!$A$13:$A$426,0))&gt;0,"x","")</f>
        <v/>
      </c>
      <c r="E16" s="24">
        <f ca="1">IF(D16="",INDEX(QB!$Z$3:$Z$38,MATCH(A16,QB!$B$3:$B$38,0)),0)</f>
        <v>74.319999999999951</v>
      </c>
      <c r="F16" s="24" t="str">
        <f ca="1">INDEX(QB!$AA$3:$AA$38,MATCH(A16,QB!$B$3:$B$38,0))</f>
        <v>QB3</v>
      </c>
      <c r="G16" s="38">
        <f t="shared" ca="1" si="0"/>
        <v>3.6574695153459166E-2</v>
      </c>
      <c r="H16" s="30">
        <f ca="1">IF(LeagueInfo!$H$7="Starter/Bench",INDEX(QB!$T$3:$T$38,MATCH(A16,QB!$B$3:$B$38,0))*InflationPct,INDEX(QB!$AB$3:$AB$38,MATCH(A16,QB!$B$3:$B$38,0))*InflationPct)</f>
        <v>23.954106136609745</v>
      </c>
      <c r="I16" s="17"/>
      <c r="J16" s="46" t="s">
        <v>615</v>
      </c>
      <c r="K16" s="55" t="str">
        <f>INDEX('RB'!$F$3:$F$131,MATCH(J16,'RB'!$B$3:$B$131,0))</f>
        <v>BUF</v>
      </c>
      <c r="L16" s="47">
        <f>INDEX('RB'!$E$3:$E$131,MATCH(J16,'RB'!$B$3:$B$131,0))</f>
        <v>12</v>
      </c>
      <c r="M16" s="178" t="str">
        <f>IF(INDEX(Auction!$H$13:$H$426,MATCH(J16,Auction!$A$13:$A$426,0))&gt;0,"x","")</f>
        <v/>
      </c>
      <c r="N16" s="42">
        <f ca="1">IF(M16="",INDEX('RB'!Z$3:Z$131,MATCH(J16,'RB'!$B$3:$B$131,0)),0)</f>
        <v>75.209999999999994</v>
      </c>
      <c r="O16" s="42" t="str">
        <f ca="1">INDEX('RB'!AA$3:AA$131,MATCH(J16,'RB'!$B$3:$B$131,0))</f>
        <v>RB4</v>
      </c>
      <c r="P16" s="48">
        <f t="shared" ca="1" si="1"/>
        <v>3.3242356269130059E-2</v>
      </c>
      <c r="Q16" s="49">
        <f ca="1">IF(LeagueInfo!$H$7="Starter/Bench",INDEX('RB'!$T$3:$T$131,MATCH(J16,'RB'!$B$3:$B$131,0))*InflationPct,INDEX('RB'!$AB$3:$AB$131,MATCH(J16,'RB'!$B$3:$B$131,0))*InflationPct)</f>
        <v>24.190910500771594</v>
      </c>
      <c r="S16" s="23" t="s">
        <v>906</v>
      </c>
      <c r="T16" s="57" t="str">
        <f>INDEX(WR!$F$1:$F$167,MATCH(S16,WR!$B$1:$B$167,0))</f>
        <v>SF</v>
      </c>
      <c r="U16" s="28">
        <f>INDEX(WR!$E$1:$E$167,MATCH(S16,WR!$B$1:$B$167,0))</f>
        <v>9</v>
      </c>
      <c r="V16" s="180" t="str">
        <f>IF(INDEX(Auction!$H$13:$H$426,MATCH(S16,Auction!$A$13:$A$426,0))&gt;0,"x","")</f>
        <v/>
      </c>
      <c r="W16" s="24">
        <f ca="1">IF(V16="",INDEX(WR!Z$3:Z$167,MATCH(S16,WR!$B$3:$B$167,0)),0)</f>
        <v>59.560000000000009</v>
      </c>
      <c r="X16" s="24" t="str">
        <f ca="1">INDEX(WR!AA$3:AA$131,MATCH(S16,WR!$B$3:$B$167,0))</f>
        <v>WR4</v>
      </c>
      <c r="Y16" s="37">
        <f t="shared" ca="1" si="2"/>
        <v>2.4400086031196554E-2</v>
      </c>
      <c r="Z16" s="30">
        <f ca="1">IF(LeagueInfo!$H$7="Starter/Bench",INDEX(WR!$T$3:$T$167,MATCH(S16,WR!$B$3:$B$167,0))*InflationPct,INDEX(WR!$AB$3:$AB$167,MATCH(S16,WR!$B$3:$B$167,0))*InflationPct)</f>
        <v>19.198591907183086</v>
      </c>
      <c r="AB16" s="23">
        <f t="shared" ca="1" si="4"/>
        <v>12</v>
      </c>
      <c r="AC16" s="106" t="str">
        <f t="shared" ca="1" si="5"/>
        <v>Ja'Marr Chase</v>
      </c>
      <c r="AD16" s="106" t="str">
        <f t="shared" ca="1" si="3"/>
        <v>WR</v>
      </c>
      <c r="AE16" s="109">
        <f ca="1">LARGE(($E$5:$E$34,$E$37:$E$64,$N$5:$N$64,$W$5:$W$64),ROW(AE16)-4)</f>
        <v>104.69000000000001</v>
      </c>
    </row>
    <row r="17" spans="1:31" x14ac:dyDescent="0.35">
      <c r="A17" s="23" t="s">
        <v>852</v>
      </c>
      <c r="B17" s="59" t="str">
        <f>INDEX(QB!F$3:F$38,MATCH(A17,QB!B$3:B$38,0))</f>
        <v>CHI</v>
      </c>
      <c r="C17" s="28">
        <f>INDEX(QB!E$3:E$38,MATCH(A17,QB!B$3:B$38,0))</f>
        <v>7</v>
      </c>
      <c r="D17" s="177" t="str">
        <f>IF(INDEX(Auction!$H$13:$H$426,MATCH(A17,Auction!$A$13:$A$426,0))&gt;0,"x","")</f>
        <v/>
      </c>
      <c r="E17" s="24">
        <f ca="1">IF(D17="",INDEX(QB!$Z$3:$Z$38,MATCH(A17,QB!$B$3:$B$38,0)),0)</f>
        <v>70.859999999999971</v>
      </c>
      <c r="F17" s="24" t="str">
        <f ca="1">INDEX(QB!$AA$3:$AA$38,MATCH(A17,QB!$B$3:$B$38,0))</f>
        <v>QB3</v>
      </c>
      <c r="G17" s="38">
        <f t="shared" ca="1" si="0"/>
        <v>3.4871944275755073E-2</v>
      </c>
      <c r="H17" s="30">
        <f ca="1">IF(LeagueInfo!$H$7="Starter/Bench",INDEX(QB!$T$3:$T$38,MATCH(A17,QB!$B$3:$B$38,0))*InflationPct,INDEX(QB!$AB$3:$AB$38,MATCH(A17,QB!$B$3:$B$38,0))*InflationPct)</f>
        <v>22.860082727361014</v>
      </c>
      <c r="I17" s="18"/>
      <c r="J17" s="46" t="s">
        <v>229</v>
      </c>
      <c r="K17" s="55" t="str">
        <f>INDEX('RB'!$F$3:$F$131,MATCH(J17,'RB'!$B$3:$B$131,0))</f>
        <v>NO</v>
      </c>
      <c r="L17" s="47">
        <f>INDEX('RB'!$E$3:$E$131,MATCH(J17,'RB'!$B$3:$B$131,0))</f>
        <v>12</v>
      </c>
      <c r="M17" s="178" t="str">
        <f>IF(INDEX(Auction!$H$13:$H$426,MATCH(J17,Auction!$A$13:$A$426,0))&gt;0,"x","")</f>
        <v/>
      </c>
      <c r="N17" s="42">
        <f ca="1">IF(M17="",INDEX('RB'!Z$3:Z$131,MATCH(J17,'RB'!$B$3:$B$131,0)),0)</f>
        <v>75.11999999999999</v>
      </c>
      <c r="O17" s="42" t="str">
        <f ca="1">INDEX('RB'!AA$3:AA$131,MATCH(J17,'RB'!$B$3:$B$131,0))</f>
        <v>RB4</v>
      </c>
      <c r="P17" s="48">
        <f t="shared" ca="1" si="1"/>
        <v>3.3202576824053316E-2</v>
      </c>
      <c r="Q17" s="49">
        <f ca="1">IF(LeagueInfo!$H$7="Starter/Bench",INDEX('RB'!$T$3:$T$131,MATCH(J17,'RB'!$B$3:$B$131,0))*InflationPct,INDEX('RB'!$AB$3:$AB$131,MATCH(J17,'RB'!$B$3:$B$131,0))*InflationPct)</f>
        <v>24.162453244461656</v>
      </c>
      <c r="S17" s="23" t="s">
        <v>588</v>
      </c>
      <c r="T17" s="57" t="str">
        <f>INDEX(WR!$F$1:$F$167,MATCH(S17,WR!$B$1:$B$167,0))</f>
        <v>ATL</v>
      </c>
      <c r="U17" s="28">
        <f>INDEX(WR!$E$1:$E$167,MATCH(S17,WR!$B$1:$B$167,0))</f>
        <v>12</v>
      </c>
      <c r="V17" s="180" t="str">
        <f>IF(INDEX(Auction!$H$13:$H$426,MATCH(S17,Auction!$A$13:$A$426,0))&gt;0,"x","")</f>
        <v/>
      </c>
      <c r="W17" s="24">
        <f ca="1">IF(V17="",INDEX(WR!Z$3:Z$167,MATCH(S17,WR!$B$3:$B$167,0)),0)</f>
        <v>59.409999999999975</v>
      </c>
      <c r="X17" s="24" t="str">
        <f ca="1">INDEX(WR!AA$3:AA$131,MATCH(S17,WR!$B$3:$B$167,0))</f>
        <v>WR4</v>
      </c>
      <c r="Y17" s="37">
        <f t="shared" ca="1" si="2"/>
        <v>2.4338635176517572E-2</v>
      </c>
      <c r="Z17" s="30">
        <f ca="1">IF(LeagueInfo!$H$7="Starter/Bench",INDEX(WR!$T$3:$T$167,MATCH(S17,WR!$B$3:$B$167,0))*InflationPct,INDEX(WR!$AB$3:$AB$167,MATCH(S17,WR!$B$3:$B$167,0))*InflationPct)</f>
        <v>19.151163146666512</v>
      </c>
      <c r="AB17" s="23">
        <f t="shared" ca="1" si="4"/>
        <v>13</v>
      </c>
      <c r="AC17" s="106" t="str">
        <f t="shared" ca="1" si="5"/>
        <v>Amon-Ra St. Brown</v>
      </c>
      <c r="AD17" s="106" t="str">
        <f t="shared" ca="1" si="3"/>
        <v>WR</v>
      </c>
      <c r="AE17" s="109">
        <f ca="1">LARGE(($E$5:$E$34,$E$37:$E$64,$N$5:$N$64,$W$5:$W$64),ROW(AE17)-4)</f>
        <v>102.36999999999996</v>
      </c>
    </row>
    <row r="18" spans="1:31" x14ac:dyDescent="0.35">
      <c r="A18" s="23" t="s">
        <v>532</v>
      </c>
      <c r="B18" s="59" t="str">
        <f>INDEX(QB!F$3:F$38,MATCH(A18,QB!B$3:B$38,0))</f>
        <v>JAC</v>
      </c>
      <c r="C18" s="28">
        <f>INDEX(QB!E$3:E$38,MATCH(A18,QB!B$3:B$38,0))</f>
        <v>12</v>
      </c>
      <c r="D18" s="177" t="str">
        <f>IF(INDEX(Auction!$H$13:$H$426,MATCH(A18,Auction!$A$13:$A$426,0))&gt;0,"x","")</f>
        <v/>
      </c>
      <c r="E18" s="24">
        <f ca="1">IF(D18="",INDEX(QB!$Z$3:$Z$38,MATCH(A18,QB!$B$3:$B$38,0)),0)</f>
        <v>70.643999999999963</v>
      </c>
      <c r="F18" s="24" t="str">
        <f ca="1">INDEX(QB!$AA$3:$AA$38,MATCH(A18,QB!$B$3:$B$38,0))</f>
        <v>QB3</v>
      </c>
      <c r="G18" s="38">
        <f t="shared" ca="1" si="0"/>
        <v>3.4765645377031348E-2</v>
      </c>
      <c r="H18" s="30">
        <f ca="1">IF(LeagueInfo!$H$7="Starter/Bench",INDEX(QB!$T$3:$T$38,MATCH(A18,QB!$B$3:$B$38,0))*InflationPct,INDEX(QB!$AB$3:$AB$38,MATCH(A18,QB!$B$3:$B$38,0))*InflationPct)</f>
        <v>22.791785312217158</v>
      </c>
      <c r="I18" s="22"/>
      <c r="J18" s="46" t="s">
        <v>780</v>
      </c>
      <c r="K18" s="55" t="str">
        <f>INDEX('RB'!$F$3:$F$131,MATCH(J18,'RB'!$B$3:$B$131,0))</f>
        <v>MIA</v>
      </c>
      <c r="L18" s="47">
        <f>INDEX('RB'!$E$3:$E$131,MATCH(J18,'RB'!$B$3:$B$131,0))</f>
        <v>6</v>
      </c>
      <c r="M18" s="178" t="str">
        <f>IF(INDEX(Auction!$H$13:$H$426,MATCH(J18,Auction!$A$13:$A$426,0))&gt;0,"x","")</f>
        <v/>
      </c>
      <c r="N18" s="42">
        <f ca="1">IF(M18="",INDEX('RB'!Z$3:Z$131,MATCH(J18,'RB'!$B$3:$B$131,0)),0)</f>
        <v>74.199999999999974</v>
      </c>
      <c r="O18" s="42" t="str">
        <f ca="1">INDEX('RB'!AA$3:AA$131,MATCH(J18,'RB'!$B$3:$B$131,0))</f>
        <v>RB4</v>
      </c>
      <c r="P18" s="48">
        <f t="shared" ca="1" si="1"/>
        <v>3.2795942496602178E-2</v>
      </c>
      <c r="Q18" s="49">
        <f ca="1">IF(LeagueInfo!$H$7="Starter/Bench",INDEX('RB'!$T$3:$T$131,MATCH(J18,'RB'!$B$3:$B$131,0))*InflationPct,INDEX('RB'!$AB$3:$AB$131,MATCH(J18,'RB'!$B$3:$B$131,0))*InflationPct)</f>
        <v>23.871556846626724</v>
      </c>
      <c r="S18" s="23" t="s">
        <v>559</v>
      </c>
      <c r="T18" s="57" t="str">
        <f>INDEX(WR!$F$1:$F$167,MATCH(S18,WR!$B$1:$B$167,0))</f>
        <v>HOU</v>
      </c>
      <c r="U18" s="28">
        <f>INDEX(WR!$E$1:$E$167,MATCH(S18,WR!$B$1:$B$167,0))</f>
        <v>14</v>
      </c>
      <c r="V18" s="180" t="str">
        <f>IF(INDEX(Auction!$H$13:$H$426,MATCH(S18,Auction!$A$13:$A$426,0))&gt;0,"x","")</f>
        <v/>
      </c>
      <c r="W18" s="24">
        <f ca="1">IF(V18="",INDEX(WR!Z$3:Z$167,MATCH(S18,WR!$B$3:$B$167,0)),0)</f>
        <v>59.35</v>
      </c>
      <c r="X18" s="24" t="str">
        <f ca="1">INDEX(WR!AA$3:AA$131,MATCH(S18,WR!$B$3:$B$167,0))</f>
        <v>WR4</v>
      </c>
      <c r="Y18" s="37">
        <f t="shared" ca="1" si="2"/>
        <v>2.4314054834645993E-2</v>
      </c>
      <c r="Z18" s="30">
        <f ca="1">IF(LeagueInfo!$H$7="Starter/Bench",INDEX(WR!$T$3:$T$167,MATCH(S18,WR!$B$3:$B$167,0))*InflationPct,INDEX(WR!$AB$3:$AB$167,MATCH(S18,WR!$B$3:$B$167,0))*InflationPct)</f>
        <v>19.132191642459894</v>
      </c>
      <c r="AB18" s="23">
        <f t="shared" ca="1" si="4"/>
        <v>14</v>
      </c>
      <c r="AC18" s="106" t="str">
        <f t="shared" ca="1" si="5"/>
        <v>Justin Jefferson</v>
      </c>
      <c r="AD18" s="106" t="str">
        <f t="shared" ca="1" si="3"/>
        <v>WR</v>
      </c>
      <c r="AE18" s="109">
        <f ca="1">LARGE(($E$5:$E$34,$E$37:$E$64,$N$5:$N$64,$W$5:$W$64),ROW(AE18)-4)</f>
        <v>100.92999999999998</v>
      </c>
    </row>
    <row r="19" spans="1:31" x14ac:dyDescent="0.35">
      <c r="A19" s="23" t="s">
        <v>137</v>
      </c>
      <c r="B19" s="59" t="str">
        <f>INDEX(QB!F$3:F$38,MATCH(A19,QB!B$3:B$38,0))</f>
        <v>CLE</v>
      </c>
      <c r="C19" s="28">
        <f>INDEX(QB!E$3:E$38,MATCH(A19,QB!B$3:B$38,0))</f>
        <v>10</v>
      </c>
      <c r="D19" s="177" t="str">
        <f>IF(INDEX(Auction!$H$13:$H$426,MATCH(A19,Auction!$A$13:$A$426,0))&gt;0,"x","")</f>
        <v/>
      </c>
      <c r="E19" s="24">
        <f ca="1">IF(D19="",INDEX(QB!$Z$3:$Z$38,MATCH(A19,QB!$B$3:$B$38,0)),0)</f>
        <v>62.961999999999946</v>
      </c>
      <c r="F19" s="24" t="str">
        <f ca="1">INDEX(QB!$AA$3:$AA$38,MATCH(A19,QB!$B$3:$B$38,0))</f>
        <v>QB3</v>
      </c>
      <c r="G19" s="38">
        <f t="shared" ca="1" si="0"/>
        <v>3.0985144728903333E-2</v>
      </c>
      <c r="H19" s="30">
        <f ca="1">IF(LeagueInfo!$H$7="Starter/Bench",INDEX(QB!$T$3:$T$38,MATCH(A19,QB!$B$3:$B$38,0))*InflationPct,INDEX(QB!$AB$3:$AB$38,MATCH(A19,QB!$B$3:$B$38,0))*InflationPct)</f>
        <v>20.362800390295536</v>
      </c>
      <c r="I19" s="22"/>
      <c r="J19" s="46" t="s">
        <v>617</v>
      </c>
      <c r="K19" s="55" t="str">
        <f>INDEX('RB'!$F$3:$F$131,MATCH(J19,'RB'!$B$3:$B$131,0))</f>
        <v>TB</v>
      </c>
      <c r="L19" s="47">
        <f>INDEX('RB'!$E$3:$E$131,MATCH(J19,'RB'!$B$3:$B$131,0))</f>
        <v>11</v>
      </c>
      <c r="M19" s="178" t="str">
        <f>IF(INDEX(Auction!$H$13:$H$426,MATCH(J19,Auction!$A$13:$A$426,0))&gt;0,"x","")</f>
        <v/>
      </c>
      <c r="N19" s="42">
        <f ca="1">IF(M19="",INDEX('RB'!Z$3:Z$131,MATCH(J19,'RB'!$B$3:$B$131,0)),0)</f>
        <v>73.83</v>
      </c>
      <c r="O19" s="42" t="str">
        <f ca="1">INDEX('RB'!AA$3:AA$131,MATCH(J19,'RB'!$B$3:$B$131,0))</f>
        <v>RB4</v>
      </c>
      <c r="P19" s="48">
        <f t="shared" ca="1" si="1"/>
        <v>3.2632404777953358E-2</v>
      </c>
      <c r="Q19" s="49">
        <f ca="1">IF(LeagueInfo!$H$7="Starter/Bench",INDEX('RB'!$T$3:$T$131,MATCH(J19,'RB'!$B$3:$B$131,0))*InflationPct,INDEX('RB'!$AB$3:$AB$131,MATCH(J19,'RB'!$B$3:$B$131,0))*InflationPct)</f>
        <v>23.754565904019209</v>
      </c>
      <c r="S19" s="23" t="s">
        <v>100</v>
      </c>
      <c r="T19" s="57" t="str">
        <f>INDEX(WR!$F$1:$F$167,MATCH(S19,WR!$B$1:$B$167,0))</f>
        <v>LV</v>
      </c>
      <c r="U19" s="28">
        <f>INDEX(WR!$E$1:$E$167,MATCH(S19,WR!$B$1:$B$167,0))</f>
        <v>10</v>
      </c>
      <c r="V19" s="180" t="str">
        <f>IF(INDEX(Auction!$H$13:$H$426,MATCH(S19,Auction!$A$13:$A$426,0))&gt;0,"x","")</f>
        <v/>
      </c>
      <c r="W19" s="24">
        <f ca="1">IF(V19="",INDEX(WR!Z$3:Z$167,MATCH(S19,WR!$B$3:$B$167,0)),0)</f>
        <v>58.26</v>
      </c>
      <c r="X19" s="24" t="str">
        <f ca="1">INDEX(WR!AA$3:AA$131,MATCH(S19,WR!$B$3:$B$167,0))</f>
        <v>WR4</v>
      </c>
      <c r="Y19" s="37">
        <f t="shared" ca="1" si="2"/>
        <v>2.386751195731214E-2</v>
      </c>
      <c r="Z19" s="30">
        <f ca="1">IF(LeagueInfo!$H$7="Starter/Bench",INDEX(WR!$T$3:$T$167,MATCH(S19,WR!$B$3:$B$167,0))*InflationPct,INDEX(WR!$AB$3:$AB$167,MATCH(S19,WR!$B$3:$B$167,0))*InflationPct)</f>
        <v>18.78754264937286</v>
      </c>
      <c r="AB19" s="23">
        <f t="shared" ca="1" si="4"/>
        <v>15</v>
      </c>
      <c r="AC19" s="106" t="str">
        <f t="shared" ca="1" si="5"/>
        <v>Anthony Richardson</v>
      </c>
      <c r="AD19" s="106" t="str">
        <f t="shared" ca="1" si="3"/>
        <v>QB</v>
      </c>
      <c r="AE19" s="109">
        <f ca="1">LARGE(($E$5:$E$34,$E$37:$E$64,$N$5:$N$64,$W$5:$W$64),ROW(AE19)-4)</f>
        <v>94.730000000000032</v>
      </c>
    </row>
    <row r="20" spans="1:31" x14ac:dyDescent="0.35">
      <c r="A20" s="23" t="s">
        <v>512</v>
      </c>
      <c r="B20" s="59" t="str">
        <f>INDEX(QB!F$3:F$38,MATCH(A20,QB!B$3:B$38,0))</f>
        <v>LAC</v>
      </c>
      <c r="C20" s="28">
        <f>INDEX(QB!E$3:E$38,MATCH(A20,QB!B$3:B$38,0))</f>
        <v>5</v>
      </c>
      <c r="D20" s="177" t="str">
        <f>IF(INDEX(Auction!$H$13:$H$426,MATCH(A20,Auction!$A$13:$A$426,0))&gt;0,"x","")</f>
        <v/>
      </c>
      <c r="E20" s="24">
        <f ca="1">IF(D20="",INDEX(QB!$Z$3:$Z$38,MATCH(A20,QB!$B$3:$B$38,0)),0)</f>
        <v>62.755999999999986</v>
      </c>
      <c r="F20" s="24" t="str">
        <f ca="1">INDEX(QB!$AA$3:$AA$38,MATCH(A20,QB!$B$3:$B$38,0))</f>
        <v>QB3</v>
      </c>
      <c r="G20" s="38">
        <f t="shared" ca="1" si="0"/>
        <v>3.0883767075490912E-2</v>
      </c>
      <c r="H20" s="30">
        <f ca="1">IF(LeagueInfo!$H$7="Starter/Bench",INDEX(QB!$T$3:$T$38,MATCH(A20,QB!$B$3:$B$38,0))*InflationPct,INDEX(QB!$AB$3:$AB$38,MATCH(A20,QB!$B$3:$B$38,0))*InflationPct)</f>
        <v>20.297664892519467</v>
      </c>
      <c r="I20" s="22"/>
      <c r="J20" s="46" t="s">
        <v>98</v>
      </c>
      <c r="K20" s="55" t="str">
        <f>INDEX('RB'!$F$3:$F$131,MATCH(J20,'RB'!$B$3:$B$131,0))</f>
        <v>HOU</v>
      </c>
      <c r="L20" s="47">
        <f>INDEX('RB'!$E$3:$E$131,MATCH(J20,'RB'!$B$3:$B$131,0))</f>
        <v>14</v>
      </c>
      <c r="M20" s="178" t="str">
        <f>IF(INDEX(Auction!$H$13:$H$426,MATCH(J20,Auction!$A$13:$A$426,0))&gt;0,"x","")</f>
        <v/>
      </c>
      <c r="N20" s="42">
        <f ca="1">IF(M20="",INDEX('RB'!Z$3:Z$131,MATCH(J20,'RB'!$B$3:$B$131,0)),0)</f>
        <v>70.199999999999974</v>
      </c>
      <c r="O20" s="42" t="str">
        <f ca="1">INDEX('RB'!AA$3:AA$131,MATCH(J20,'RB'!$B$3:$B$131,0))</f>
        <v>RB4</v>
      </c>
      <c r="P20" s="48">
        <f t="shared" ca="1" si="1"/>
        <v>3.1027967159858123E-2</v>
      </c>
      <c r="Q20" s="49">
        <f ca="1">IF(LeagueInfo!$H$7="Starter/Bench",INDEX('RB'!$T$3:$T$131,MATCH(J20,'RB'!$B$3:$B$131,0))*InflationPct,INDEX('RB'!$AB$3:$AB$131,MATCH(J20,'RB'!$B$3:$B$131,0))*InflationPct)</f>
        <v>22.606789899518361</v>
      </c>
      <c r="S20" s="23" t="s">
        <v>239</v>
      </c>
      <c r="T20" s="57" t="str">
        <f>INDEX(WR!$F$1:$F$167,MATCH(S20,WR!$B$1:$B$167,0))</f>
        <v>LAR</v>
      </c>
      <c r="U20" s="28">
        <f>INDEX(WR!$E$1:$E$167,MATCH(S20,WR!$B$1:$B$167,0))</f>
        <v>6</v>
      </c>
      <c r="V20" s="180" t="str">
        <f>IF(INDEX(Auction!$H$13:$H$426,MATCH(S20,Auction!$A$13:$A$426,0))&gt;0,"x","")</f>
        <v/>
      </c>
      <c r="W20" s="24">
        <f ca="1">IF(V20="",INDEX(WR!Z$3:Z$167,MATCH(S20,WR!$B$3:$B$167,0)),0)</f>
        <v>54.85000000000003</v>
      </c>
      <c r="X20" s="24" t="str">
        <f ca="1">INDEX(WR!AA$3:AA$131,MATCH(S20,WR!$B$3:$B$167,0))</f>
        <v>WR4</v>
      </c>
      <c r="Y20" s="37">
        <f t="shared" ca="1" si="2"/>
        <v>2.2470529194276889E-2</v>
      </c>
      <c r="Z20" s="30">
        <f ca="1">IF(LeagueInfo!$H$7="Starter/Bench",INDEX(WR!$T$3:$T$167,MATCH(S20,WR!$B$3:$B$167,0))*InflationPct,INDEX(WR!$AB$3:$AB$167,MATCH(S20,WR!$B$3:$B$167,0))*InflationPct)</f>
        <v>17.709328826962988</v>
      </c>
      <c r="AB20" s="23">
        <f t="shared" ca="1" si="4"/>
        <v>16</v>
      </c>
      <c r="AC20" s="106" t="str">
        <f t="shared" ca="1" si="5"/>
        <v>Dak Prescott</v>
      </c>
      <c r="AD20" s="106" t="str">
        <f t="shared" ca="1" si="3"/>
        <v>QB</v>
      </c>
      <c r="AE20" s="109">
        <f ca="1">LARGE(($E$5:$E$34,$E$37:$E$64,$N$5:$N$64,$W$5:$W$64),ROW(AE20)-4)</f>
        <v>91.565999999999931</v>
      </c>
    </row>
    <row r="21" spans="1:31" x14ac:dyDescent="0.35">
      <c r="A21" s="23" t="s">
        <v>215</v>
      </c>
      <c r="B21" s="59" t="str">
        <f>INDEX(QB!F$3:F$38,MATCH(A21,QB!B$3:B$38,0))</f>
        <v>DET</v>
      </c>
      <c r="C21" s="28">
        <f>INDEX(QB!E$3:E$38,MATCH(A21,QB!B$3:B$38,0))</f>
        <v>5</v>
      </c>
      <c r="D21" s="177" t="str">
        <f>IF(INDEX(Auction!$H$13:$H$426,MATCH(A21,Auction!$A$13:$A$426,0))&gt;0,"x","")</f>
        <v/>
      </c>
      <c r="E21" s="24">
        <f ca="1">IF(D21="",INDEX(QB!$Z$3:$Z$38,MATCH(A21,QB!$B$3:$B$38,0)),0)</f>
        <v>61.035999999999959</v>
      </c>
      <c r="F21" s="24" t="str">
        <f ca="1">INDEX(QB!$AA$3:$AA$38,MATCH(A21,QB!$B$3:$B$38,0))</f>
        <v>QB3</v>
      </c>
      <c r="G21" s="38">
        <f t="shared" ca="1" si="0"/>
        <v>3.0037312881950131E-2</v>
      </c>
      <c r="H21" s="30">
        <f ca="1">IF(LeagueInfo!$H$7="Starter/Bench",INDEX(QB!$T$3:$T$38,MATCH(A21,QB!$B$3:$B$38,0))*InflationPct,INDEX(QB!$AB$3:$AB$38,MATCH(A21,QB!$B$3:$B$38,0))*InflationPct)</f>
        <v>19.753815105262859</v>
      </c>
      <c r="I21" s="22"/>
      <c r="J21" s="46" t="s">
        <v>779</v>
      </c>
      <c r="K21" s="55" t="str">
        <f>INDEX('RB'!$F$3:$F$131,MATCH(J21,'RB'!$B$3:$B$131,0))</f>
        <v>SEA</v>
      </c>
      <c r="L21" s="47">
        <f>INDEX('RB'!$E$3:$E$131,MATCH(J21,'RB'!$B$3:$B$131,0))</f>
        <v>10</v>
      </c>
      <c r="M21" s="178" t="str">
        <f>IF(INDEX(Auction!$H$13:$H$426,MATCH(J21,Auction!$A$13:$A$426,0))&gt;0,"x","")</f>
        <v/>
      </c>
      <c r="N21" s="42">
        <f ca="1">IF(M21="",INDEX('RB'!Z$3:Z$131,MATCH(J21,'RB'!$B$3:$B$131,0)),0)</f>
        <v>62.17</v>
      </c>
      <c r="O21" s="42" t="str">
        <f ca="1">INDEX('RB'!AA$3:AA$131,MATCH(J21,'RB'!$B$3:$B$131,0))</f>
        <v>RB5</v>
      </c>
      <c r="P21" s="48">
        <f t="shared" ca="1" si="1"/>
        <v>2.7478756671344449E-2</v>
      </c>
      <c r="Q21" s="49">
        <f ca="1">IF(LeagueInfo!$H$7="Starter/Bench",INDEX('RB'!$T$3:$T$131,MATCH(J21,'RB'!$B$3:$B$131,0))*InflationPct,INDEX('RB'!$AB$3:$AB$131,MATCH(J21,'RB'!$B$3:$B$131,0))*InflationPct)</f>
        <v>20.067770253198322</v>
      </c>
      <c r="S21" s="23" t="s">
        <v>551</v>
      </c>
      <c r="T21" s="57" t="str">
        <f>INDEX(WR!$F$1:$F$167,MATCH(S21,WR!$B$1:$B$167,0))</f>
        <v>PHI</v>
      </c>
      <c r="U21" s="28">
        <f>INDEX(WR!$E$1:$E$167,MATCH(S21,WR!$B$1:$B$167,0))</f>
        <v>5</v>
      </c>
      <c r="V21" s="180" t="str">
        <f>IF(INDEX(Auction!$H$13:$H$426,MATCH(S21,Auction!$A$13:$A$426,0))&gt;0,"x","")</f>
        <v/>
      </c>
      <c r="W21" s="24">
        <f ca="1">IF(V21="",INDEX(WR!Z$3:Z$167,MATCH(S21,WR!$B$3:$B$167,0)),0)</f>
        <v>52.189999999999976</v>
      </c>
      <c r="X21" s="24" t="str">
        <f ca="1">INDEX(WR!AA$3:AA$131,MATCH(S21,WR!$B$3:$B$167,0))</f>
        <v>WR4</v>
      </c>
      <c r="Y21" s="37">
        <f t="shared" ca="1" si="2"/>
        <v>2.1380800704636459E-2</v>
      </c>
      <c r="Z21" s="30">
        <f ca="1">IF(LeagueInfo!$H$7="Starter/Bench",INDEX(WR!$T$3:$T$167,MATCH(S21,WR!$B$3:$B$167,0))*InflationPct,INDEX(WR!$AB$3:$AB$167,MATCH(S21,WR!$B$3:$B$167,0))*InflationPct)</f>
        <v>16.868258807135909</v>
      </c>
      <c r="AB21" s="23">
        <f t="shared" ca="1" si="4"/>
        <v>17</v>
      </c>
      <c r="AC21" s="106" t="str">
        <f t="shared" ca="1" si="5"/>
        <v>C.J. Stroud</v>
      </c>
      <c r="AD21" s="106" t="str">
        <f t="shared" ca="1" si="3"/>
        <v>QB</v>
      </c>
      <c r="AE21" s="109">
        <f ca="1">LARGE(($E$5:$E$34,$E$37:$E$64,$N$5:$N$64,$W$5:$W$64),ROW(AE21)-4)</f>
        <v>90.635999999999925</v>
      </c>
    </row>
    <row r="22" spans="1:31" x14ac:dyDescent="0.35">
      <c r="A22" s="23" t="s">
        <v>511</v>
      </c>
      <c r="B22" s="59" t="str">
        <f>INDEX(QB!F$3:F$38,MATCH(A22,QB!B$3:B$38,0))</f>
        <v>MIA</v>
      </c>
      <c r="C22" s="28">
        <f>INDEX(QB!E$3:E$38,MATCH(A22,QB!B$3:B$38,0))</f>
        <v>6</v>
      </c>
      <c r="D22" s="177" t="str">
        <f>IF(INDEX(Auction!$H$13:$H$426,MATCH(A22,Auction!$A$13:$A$426,0))&gt;0,"x","")</f>
        <v/>
      </c>
      <c r="E22" s="24">
        <f ca="1">IF(D22="",INDEX(QB!$Z$3:$Z$38,MATCH(A22,QB!$B$3:$B$38,0)),0)</f>
        <v>56.512000000000015</v>
      </c>
      <c r="F22" s="24" t="str">
        <f ca="1">INDEX(QB!$AA$3:$AA$38,MATCH(A22,QB!$B$3:$B$38,0))</f>
        <v>QB3</v>
      </c>
      <c r="G22" s="38">
        <f t="shared" ca="1" si="0"/>
        <v>2.7810941503125488E-2</v>
      </c>
      <c r="H22" s="30">
        <f ca="1">IF(LeagueInfo!$H$7="Starter/Bench",INDEX(QB!$T$3:$T$38,MATCH(A22,QB!$B$3:$B$38,0))*InflationPct,INDEX(QB!$AB$3:$AB$38,MATCH(A22,QB!$B$3:$B$38,0))*InflationPct)</f>
        <v>18.323363688083315</v>
      </c>
      <c r="I22" s="22"/>
      <c r="J22" s="46" t="s">
        <v>232</v>
      </c>
      <c r="K22" s="55" t="str">
        <f>INDEX('RB'!$F$3:$F$131,MATCH(J22,'RB'!$B$3:$B$131,0))</f>
        <v>MIN</v>
      </c>
      <c r="L22" s="47">
        <f>INDEX('RB'!$E$3:$E$131,MATCH(J22,'RB'!$B$3:$B$131,0))</f>
        <v>6</v>
      </c>
      <c r="M22" s="178" t="str">
        <f>IF(INDEX(Auction!$H$13:$H$426,MATCH(J22,Auction!$A$13:$A$426,0))&gt;0,"x","")</f>
        <v/>
      </c>
      <c r="N22" s="42">
        <f ca="1">IF(M22="",INDEX('RB'!Z$3:Z$131,MATCH(J22,'RB'!$B$3:$B$131,0)),0)</f>
        <v>48.589999999999989</v>
      </c>
      <c r="O22" s="42" t="str">
        <f ca="1">INDEX('RB'!AA$3:AA$131,MATCH(J22,'RB'!$B$3:$B$131,0))</f>
        <v>RB5</v>
      </c>
      <c r="P22" s="48">
        <f t="shared" ca="1" si="1"/>
        <v>2.147648040309838E-2</v>
      </c>
      <c r="Q22" s="49">
        <f ca="1">IF(LeagueInfo!$H$7="Starter/Bench",INDEX('RB'!$T$3:$T$131,MATCH(J22,'RB'!$B$3:$B$131,0))*InflationPct,INDEX('RB'!$AB$3:$AB$131,MATCH(J22,'RB'!$B$3:$B$131,0))*InflationPct)</f>
        <v>15.773886467765411</v>
      </c>
      <c r="S22" s="23" t="s">
        <v>586</v>
      </c>
      <c r="T22" s="57" t="str">
        <f>INDEX(WR!$F$1:$F$167,MATCH(S22,WR!$B$1:$B$167,0))</f>
        <v>SEA</v>
      </c>
      <c r="U22" s="28">
        <f>INDEX(WR!$E$1:$E$167,MATCH(S22,WR!$B$1:$B$167,0))</f>
        <v>10</v>
      </c>
      <c r="V22" s="180" t="str">
        <f>IF(INDEX(Auction!$H$13:$H$426,MATCH(S22,Auction!$A$13:$A$426,0))&gt;0,"x","")</f>
        <v/>
      </c>
      <c r="W22" s="24">
        <f ca="1">IF(V22="",INDEX(WR!Z$3:Z$167,MATCH(S22,WR!$B$3:$B$167,0)),0)</f>
        <v>52.069999999999972</v>
      </c>
      <c r="X22" s="24" t="str">
        <f ca="1">INDEX(WR!AA$3:AA$131,MATCH(S22,WR!$B$3:$B$167,0))</f>
        <v>WR4</v>
      </c>
      <c r="Y22" s="37">
        <f t="shared" ca="1" si="2"/>
        <v>2.1331640020893279E-2</v>
      </c>
      <c r="Z22" s="30">
        <f ca="1">IF(LeagueInfo!$H$7="Starter/Bench",INDEX(WR!$T$3:$T$167,MATCH(S22,WR!$B$3:$B$167,0))*InflationPct,INDEX(WR!$AB$3:$AB$167,MATCH(S22,WR!$B$3:$B$167,0))*InflationPct)</f>
        <v>16.830315798722658</v>
      </c>
      <c r="AB22" s="23">
        <f t="shared" ca="1" si="4"/>
        <v>18</v>
      </c>
      <c r="AC22" s="106" t="str">
        <f t="shared" ca="1" si="5"/>
        <v>Derrick Henry</v>
      </c>
      <c r="AD22" s="106" t="str">
        <f t="shared" ref="AD22:AD64" ca="1" si="6">IF(IFERROR(INDEX($S$5:$S$64,MATCH($AC22,$S$5:$S$64,0)),0)&lt;&gt;0,"WR",IF(IFERROR(INDEX($J$5:$J$64,MATCH($AC22,$J$5:$J$64,0)),0)&lt;&gt;0,"RB",IF(IFERROR(INDEX($A$5:$A$34,MATCH($AC22,$A$5:$A$34,0)),0)&lt;&gt;0,"QB",IF(IFERROR(INDEX($A$37:$A$64,MATCH($AC22,$A$37:$A$64,0)),0)&lt;&gt;0,"TE"))))</f>
        <v>RB</v>
      </c>
      <c r="AE22" s="109">
        <f ca="1">LARGE(($E$5:$E$34,$E$37:$E$64,$N$5:$N$64,$W$5:$W$64),ROW(AE22)-4)</f>
        <v>89.819999999999951</v>
      </c>
    </row>
    <row r="23" spans="1:31" x14ac:dyDescent="0.35">
      <c r="A23" s="23" t="s">
        <v>344</v>
      </c>
      <c r="B23" s="59" t="str">
        <f>INDEX(QB!F$3:F$38,MATCH(A23,QB!B$3:B$38,0))</f>
        <v>TB</v>
      </c>
      <c r="C23" s="28">
        <f>INDEX(QB!E$3:E$38,MATCH(A23,QB!B$3:B$38,0))</f>
        <v>11</v>
      </c>
      <c r="D23" s="177" t="str">
        <f>IF(INDEX(Auction!$H$13:$H$426,MATCH(A23,Auction!$A$13:$A$426,0))&gt;0,"x","")</f>
        <v/>
      </c>
      <c r="E23" s="24">
        <f ca="1">IF(D23="",INDEX(QB!$Z$3:$Z$38,MATCH(A23,QB!$B$3:$B$38,0)),0)</f>
        <v>51.717999999999918</v>
      </c>
      <c r="F23" s="24" t="str">
        <f ca="1">INDEX(QB!$AA$3:$AA$38,MATCH(A23,QB!$B$3:$B$38,0))</f>
        <v>QB3</v>
      </c>
      <c r="G23" s="38">
        <f t="shared" ca="1" si="0"/>
        <v>2.5451696500896119E-2</v>
      </c>
      <c r="H23" s="30">
        <f ca="1">IF(LeagueInfo!$H$7="Starter/Bench",INDEX(QB!$T$3:$T$38,MATCH(A23,QB!$B$3:$B$38,0))*InflationPct,INDEX(QB!$AB$3:$AB$38,MATCH(A23,QB!$B$3:$B$38,0))*InflationPct)</f>
        <v>16.807540501973907</v>
      </c>
      <c r="I23" s="22"/>
      <c r="J23" s="46" t="s">
        <v>422</v>
      </c>
      <c r="K23" s="55" t="str">
        <f>INDEX('RB'!$F$3:$F$131,MATCH(J23,'RB'!$B$3:$B$131,0))</f>
        <v>DET</v>
      </c>
      <c r="L23" s="47">
        <f>INDEX('RB'!$E$3:$E$131,MATCH(J23,'RB'!$B$3:$B$131,0))</f>
        <v>5</v>
      </c>
      <c r="M23" s="178" t="str">
        <f>IF(INDEX(Auction!$H$13:$H$426,MATCH(J23,Auction!$A$13:$A$426,0))&gt;0,"x","")</f>
        <v/>
      </c>
      <c r="N23" s="42">
        <f ca="1">IF(M23="",INDEX('RB'!Z$3:Z$131,MATCH(J23,'RB'!$B$3:$B$131,0)),0)</f>
        <v>47.059999999999988</v>
      </c>
      <c r="O23" s="42" t="str">
        <f ca="1">INDEX('RB'!AA$3:AA$131,MATCH(J23,'RB'!$B$3:$B$131,0))</f>
        <v>RB5</v>
      </c>
      <c r="P23" s="48">
        <f t="shared" ca="1" si="1"/>
        <v>2.080022983679378E-2</v>
      </c>
      <c r="Q23" s="49">
        <f ca="1">IF(LeagueInfo!$H$7="Starter/Bench",INDEX('RB'!$T$3:$T$131,MATCH(J23,'RB'!$B$3:$B$131,0))*InflationPct,INDEX('RB'!$AB$3:$AB$131,MATCH(J23,'RB'!$B$3:$B$131,0))*InflationPct)</f>
        <v>15.290113110496462</v>
      </c>
      <c r="S23" s="23" t="s">
        <v>492</v>
      </c>
      <c r="T23" s="57" t="str">
        <f>INDEX(WR!$F$1:$F$167,MATCH(S23,WR!$B$1:$B$167,0))</f>
        <v>SF</v>
      </c>
      <c r="U23" s="28">
        <f>INDEX(WR!$E$1:$E$167,MATCH(S23,WR!$B$1:$B$167,0))</f>
        <v>9</v>
      </c>
      <c r="V23" s="180" t="str">
        <f>IF(INDEX(Auction!$H$13:$H$426,MATCH(S23,Auction!$A$13:$A$426,0))&gt;0,"x","")</f>
        <v/>
      </c>
      <c r="W23" s="24">
        <f ca="1">IF(V23="",INDEX(WR!Z$3:Z$167,MATCH(S23,WR!$B$3:$B$167,0)),0)</f>
        <v>50.739999999999988</v>
      </c>
      <c r="X23" s="24" t="str">
        <f ca="1">INDEX(WR!AA$3:AA$131,MATCH(S23,WR!$B$3:$B$167,0))</f>
        <v>WR4</v>
      </c>
      <c r="Y23" s="37">
        <f t="shared" ca="1" si="2"/>
        <v>2.0786775776073081E-2</v>
      </c>
      <c r="Z23" s="30">
        <f ca="1">IF(LeagueInfo!$H$7="Starter/Bench",INDEX(WR!$T$3:$T$167,MATCH(S23,WR!$B$3:$B$167,0))*InflationPct,INDEX(WR!$AB$3:$AB$167,MATCH(S23,WR!$B$3:$B$167,0))*InflationPct)</f>
        <v>16.40978078880913</v>
      </c>
      <c r="AB23" s="23">
        <f t="shared" ca="1" si="4"/>
        <v>19</v>
      </c>
      <c r="AC23" s="106" t="str">
        <f t="shared" ca="1" si="5"/>
        <v>Kyren Williams</v>
      </c>
      <c r="AD23" s="106" t="str">
        <f t="shared" ca="1" si="6"/>
        <v>RB</v>
      </c>
      <c r="AE23" s="109">
        <f ca="1">LARGE(($E$5:$E$34,$E$37:$E$64,$N$5:$N$64,$W$5:$W$64),ROW(AE23)-4)</f>
        <v>89.429999999999993</v>
      </c>
    </row>
    <row r="24" spans="1:31" x14ac:dyDescent="0.35">
      <c r="A24" s="23" t="s">
        <v>119</v>
      </c>
      <c r="B24" s="59" t="str">
        <f>INDEX(QB!F$3:F$38,MATCH(A24,QB!B$3:B$38,0))</f>
        <v>ATL</v>
      </c>
      <c r="C24" s="28">
        <f>INDEX(QB!E$3:E$38,MATCH(A24,QB!B$3:B$38,0))</f>
        <v>12</v>
      </c>
      <c r="D24" s="177" t="str">
        <f>IF(INDEX(Auction!$H$13:$H$426,MATCH(A24,Auction!$A$13:$A$426,0))&gt;0,"x","")</f>
        <v/>
      </c>
      <c r="E24" s="24">
        <f ca="1">IF(D24="",INDEX(QB!$Z$3:$Z$38,MATCH(A24,QB!$B$3:$B$38,0)),0)</f>
        <v>51.713999999999956</v>
      </c>
      <c r="F24" s="24" t="str">
        <f ca="1">INDEX(QB!$AA$3:$AA$38,MATCH(A24,QB!$B$3:$B$38,0))</f>
        <v>QB3</v>
      </c>
      <c r="G24" s="38">
        <f t="shared" ca="1" si="0"/>
        <v>2.5449728002771621E-2</v>
      </c>
      <c r="H24" s="30">
        <f ca="1">IF(LeagueInfo!$H$7="Starter/Bench",INDEX(QB!$T$3:$T$38,MATCH(A24,QB!$B$3:$B$38,0))*InflationPct,INDEX(QB!$AB$3:$AB$38,MATCH(A24,QB!$B$3:$B$38,0))*InflationPct)</f>
        <v>16.806275735026812</v>
      </c>
      <c r="I24" s="22"/>
      <c r="J24" s="46" t="s">
        <v>545</v>
      </c>
      <c r="K24" s="55" t="str">
        <f>INDEX('RB'!$F$3:$F$131,MATCH(J24,'RB'!$B$3:$B$131,0))</f>
        <v>NE</v>
      </c>
      <c r="L24" s="47">
        <f>INDEX('RB'!$E$3:$E$131,MATCH(J24,'RB'!$B$3:$B$131,0))</f>
        <v>14</v>
      </c>
      <c r="M24" s="178" t="str">
        <f>IF(INDEX(Auction!$H$13:$H$426,MATCH(J24,Auction!$A$13:$A$426,0))&gt;0,"x","")</f>
        <v/>
      </c>
      <c r="N24" s="42">
        <f ca="1">IF(M24="",INDEX('RB'!Z$3:Z$131,MATCH(J24,'RB'!$B$3:$B$131,0)),0)</f>
        <v>41.65000000000002</v>
      </c>
      <c r="O24" s="42" t="str">
        <f ca="1">INDEX('RB'!AA$3:AA$131,MATCH(J24,'RB'!$B$3:$B$131,0))</f>
        <v>RB5</v>
      </c>
      <c r="P24" s="48">
        <f t="shared" ca="1" si="1"/>
        <v>1.8409043193847462E-2</v>
      </c>
      <c r="Q24" s="49">
        <f ca="1">IF(LeagueInfo!$H$7="Starter/Bench",INDEX('RB'!$T$3:$T$131,MATCH(J24,'RB'!$B$3:$B$131,0))*InflationPct,INDEX('RB'!$AB$3:$AB$131,MATCH(J24,'RB'!$B$3:$B$131,0))*InflationPct)</f>
        <v>13.579515814532405</v>
      </c>
      <c r="S24" s="23" t="s">
        <v>552</v>
      </c>
      <c r="T24" s="57" t="str">
        <f>INDEX(WR!$F$1:$F$167,MATCH(S24,WR!$B$1:$B$167,0))</f>
        <v>MIA</v>
      </c>
      <c r="U24" s="28">
        <f>INDEX(WR!$E$1:$E$167,MATCH(S24,WR!$B$1:$B$167,0))</f>
        <v>6</v>
      </c>
      <c r="V24" s="180" t="str">
        <f>IF(INDEX(Auction!$H$13:$H$426,MATCH(S24,Auction!$A$13:$A$426,0))&gt;0,"x","")</f>
        <v/>
      </c>
      <c r="W24" s="24">
        <f ca="1">IF(V24="",INDEX(WR!Z$3:Z$167,MATCH(S24,WR!$B$3:$B$167,0)),0)</f>
        <v>49.829999999999991</v>
      </c>
      <c r="X24" s="24" t="str">
        <f ca="1">INDEX(WR!AA$3:AA$131,MATCH(S24,WR!$B$3:$B$167,0))</f>
        <v>WR4</v>
      </c>
      <c r="Y24" s="37">
        <f t="shared" ca="1" si="2"/>
        <v>2.0413973924353995E-2</v>
      </c>
      <c r="Z24" s="30">
        <f ca="1">IF(LeagueInfo!$H$7="Starter/Bench",INDEX(WR!$T$3:$T$167,MATCH(S24,WR!$B$3:$B$167,0))*InflationPct,INDEX(WR!$AB$3:$AB$167,MATCH(S24,WR!$B$3:$B$167,0))*InflationPct)</f>
        <v>16.122046308341979</v>
      </c>
      <c r="AB24" s="23">
        <f t="shared" ca="1" si="4"/>
        <v>20</v>
      </c>
      <c r="AC24" s="106" t="str">
        <f t="shared" ca="1" si="5"/>
        <v>Joe Burrow</v>
      </c>
      <c r="AD24" s="106" t="str">
        <f t="shared" ca="1" si="6"/>
        <v>QB</v>
      </c>
      <c r="AE24" s="109">
        <f ca="1">LARGE(($E$5:$E$34,$E$37:$E$64,$N$5:$N$64,$W$5:$W$64),ROW(AE24)-4)</f>
        <v>88.174000000000049</v>
      </c>
    </row>
    <row r="25" spans="1:31" x14ac:dyDescent="0.35">
      <c r="A25" s="23" t="s">
        <v>129</v>
      </c>
      <c r="B25" s="59" t="str">
        <f>INDEX(QB!F$3:F$38,MATCH(A25,QB!B$3:B$38,0))</f>
        <v>LAR</v>
      </c>
      <c r="C25" s="28">
        <f>INDEX(QB!E$3:E$38,MATCH(A25,QB!B$3:B$38,0))</f>
        <v>6</v>
      </c>
      <c r="D25" s="177" t="str">
        <f>IF(INDEX(Auction!$H$13:$H$426,MATCH(A25,Auction!$A$13:$A$426,0))&gt;0,"x","")</f>
        <v/>
      </c>
      <c r="E25" s="24">
        <f ca="1">IF(D25="",INDEX(QB!$Z$3:$Z$38,MATCH(A25,QB!$B$3:$B$38,0)),0)</f>
        <v>50.128000000000057</v>
      </c>
      <c r="F25" s="24" t="str">
        <f ca="1">INDEX(QB!$AA$3:$AA$38,MATCH(A25,QB!$B$3:$B$38,0))</f>
        <v>QB3</v>
      </c>
      <c r="G25" s="38">
        <f t="shared" ca="1" si="0"/>
        <v>2.4669218496402103E-2</v>
      </c>
      <c r="H25" s="30">
        <f ca="1">IF(LeagueInfo!$H$7="Starter/Bench",INDEX(QB!$T$3:$T$38,MATCH(A25,QB!$B$3:$B$38,0))*InflationPct,INDEX(QB!$AB$3:$AB$38,MATCH(A25,QB!$B$3:$B$38,0))*InflationPct)</f>
        <v>16.304795640498376</v>
      </c>
      <c r="I25" s="17"/>
      <c r="J25" s="46" t="s">
        <v>621</v>
      </c>
      <c r="K25" s="55" t="str">
        <f>INDEX('RB'!$F$3:$F$131,MATCH(J25,'RB'!$B$3:$B$131,0))</f>
        <v>LV</v>
      </c>
      <c r="L25" s="47">
        <f>INDEX('RB'!$E$3:$E$131,MATCH(J25,'RB'!$B$3:$B$131,0))</f>
        <v>10</v>
      </c>
      <c r="M25" s="178" t="str">
        <f>IF(INDEX(Auction!$H$13:$H$426,MATCH(J25,Auction!$A$13:$A$426,0))&gt;0,"x","")</f>
        <v/>
      </c>
      <c r="N25" s="42">
        <f ca="1">IF(M25="",INDEX('RB'!Z$3:Z$131,MATCH(J25,'RB'!$B$3:$B$131,0)),0)</f>
        <v>41.14</v>
      </c>
      <c r="O25" s="42" t="str">
        <f ca="1">INDEX('RB'!AA$3:AA$131,MATCH(J25,'RB'!$B$3:$B$131,0))</f>
        <v>RB6</v>
      </c>
      <c r="P25" s="48">
        <f t="shared" ca="1" si="1"/>
        <v>1.8183626338412587E-2</v>
      </c>
      <c r="Q25" s="49">
        <f ca="1">IF(LeagueInfo!$H$7="Starter/Bench",INDEX('RB'!$T$3:$T$131,MATCH(J25,'RB'!$B$3:$B$131,0))*InflationPct,INDEX('RB'!$AB$3:$AB$131,MATCH(J25,'RB'!$B$3:$B$131,0))*InflationPct)</f>
        <v>13.418258028776084</v>
      </c>
      <c r="S25" s="23" t="s">
        <v>120</v>
      </c>
      <c r="T25" s="57" t="str">
        <f>INDEX(WR!$F$1:$F$167,MATCH(S25,WR!$B$1:$B$167,0))</f>
        <v>HOU</v>
      </c>
      <c r="U25" s="28">
        <f>INDEX(WR!$E$1:$E$167,MATCH(S25,WR!$B$1:$B$167,0))</f>
        <v>14</v>
      </c>
      <c r="V25" s="180" t="str">
        <f>IF(INDEX(Auction!$H$13:$H$426,MATCH(S25,Auction!$A$13:$A$426,0))&gt;0,"x","")</f>
        <v/>
      </c>
      <c r="W25" s="24">
        <f ca="1">IF(V25="",INDEX(WR!Z$3:Z$167,MATCH(S25,WR!$B$3:$B$167,0)),0)</f>
        <v>45.48</v>
      </c>
      <c r="X25" s="24" t="str">
        <f ca="1">INDEX(WR!AA$3:AA$131,MATCH(S25,WR!$B$3:$B$167,0))</f>
        <v>WR5</v>
      </c>
      <c r="Y25" s="37">
        <f t="shared" ca="1" si="2"/>
        <v>1.8631899138663852E-2</v>
      </c>
      <c r="Z25" s="30">
        <f ca="1">IF(LeagueInfo!$H$7="Starter/Bench",INDEX(WR!$T$3:$T$167,MATCH(S25,WR!$B$3:$B$167,0))*InflationPct,INDEX(WR!$AB$3:$AB$167,MATCH(S25,WR!$B$3:$B$167,0))*InflationPct)</f>
        <v>14.746612253361629</v>
      </c>
      <c r="AB25" s="23">
        <f t="shared" ca="1" si="4"/>
        <v>21</v>
      </c>
      <c r="AC25" s="106" t="str">
        <f t="shared" ca="1" si="5"/>
        <v>Jahmyr Gibbs</v>
      </c>
      <c r="AD25" s="106" t="str">
        <f t="shared" ca="1" si="6"/>
        <v>RB</v>
      </c>
      <c r="AE25" s="109">
        <f ca="1">LARGE(($E$5:$E$34,$E$37:$E$64,$N$5:$N$64,$W$5:$W$64),ROW(AE25)-4)</f>
        <v>87.649999999999991</v>
      </c>
    </row>
    <row r="26" spans="1:31" x14ac:dyDescent="0.35">
      <c r="A26" s="23" t="s">
        <v>95</v>
      </c>
      <c r="B26" s="59" t="str">
        <f>INDEX(QB!F$3:F$38,MATCH(A26,QB!B$3:B$38,0))</f>
        <v>NYJ</v>
      </c>
      <c r="C26" s="28">
        <f>INDEX(QB!E$3:E$38,MATCH(A26,QB!B$3:B$38,0))</f>
        <v>12</v>
      </c>
      <c r="D26" s="177" t="str">
        <f>IF(INDEX(Auction!$H$13:$H$426,MATCH(A26,Auction!$A$13:$A$426,0))&gt;0,"x","")</f>
        <v/>
      </c>
      <c r="E26" s="24">
        <f ca="1">IF(D26="",INDEX(QB!$Z$3:$Z$38,MATCH(A26,QB!$B$3:$B$38,0)),0)</f>
        <v>46.742000000000033</v>
      </c>
      <c r="F26" s="24" t="str">
        <f ca="1">INDEX(QB!$AA$3:$AA$38,MATCH(A26,QB!$B$3:$B$38,0))</f>
        <v>QB4</v>
      </c>
      <c r="G26" s="38">
        <f t="shared" ca="1" si="0"/>
        <v>2.3002884834001491E-2</v>
      </c>
      <c r="H26" s="30">
        <f ca="1">IF(LeagueInfo!$H$7="Starter/Bench",INDEX(QB!$T$3:$T$38,MATCH(A26,QB!$B$3:$B$38,0))*InflationPct,INDEX(QB!$AB$3:$AB$38,MATCH(A26,QB!$B$3:$B$38,0))*InflationPct)</f>
        <v>15.234170419771136</v>
      </c>
      <c r="I26" s="17"/>
      <c r="J26" s="46" t="s">
        <v>230</v>
      </c>
      <c r="K26" s="55" t="str">
        <f>INDEX('RB'!$F$3:$F$131,MATCH(J26,'RB'!$B$3:$B$131,0))</f>
        <v>ARI</v>
      </c>
      <c r="L26" s="47">
        <f>INDEX('RB'!$E$3:$E$131,MATCH(J26,'RB'!$B$3:$B$131,0))</f>
        <v>11</v>
      </c>
      <c r="M26" s="178" t="str">
        <f>IF(INDEX(Auction!$H$13:$H$426,MATCH(J26,Auction!$A$13:$A$426,0))&gt;0,"x","")</f>
        <v/>
      </c>
      <c r="N26" s="42">
        <f ca="1">IF(M26="",INDEX('RB'!Z$3:Z$131,MATCH(J26,'RB'!$B$3:$B$131,0)),0)</f>
        <v>40.230000000000004</v>
      </c>
      <c r="O26" s="42" t="str">
        <f ca="1">INDEX('RB'!AA$3:AA$131,MATCH(J26,'RB'!$B$3:$B$131,0))</f>
        <v>RB6</v>
      </c>
      <c r="P26" s="48">
        <f t="shared" ca="1" si="1"/>
        <v>1.7781411949303317E-2</v>
      </c>
      <c r="Q26" s="49">
        <f ca="1">IF(LeagueInfo!$H$7="Starter/Bench",INDEX('RB'!$T$3:$T$131,MATCH(J26,'RB'!$B$3:$B$131,0))*InflationPct,INDEX('RB'!$AB$3:$AB$131,MATCH(J26,'RB'!$B$3:$B$131,0))*InflationPct)</f>
        <v>13.130523548308929</v>
      </c>
      <c r="S26" s="23" t="s">
        <v>585</v>
      </c>
      <c r="T26" s="57" t="str">
        <f>INDEX(WR!$F$1:$F$167,MATCH(S26,WR!$B$1:$B$167,0))</f>
        <v>CHI</v>
      </c>
      <c r="U26" s="28">
        <f>INDEX(WR!$E$1:$E$167,MATCH(S26,WR!$B$1:$B$167,0))</f>
        <v>7</v>
      </c>
      <c r="V26" s="180" t="str">
        <f>IF(INDEX(Auction!$H$13:$H$426,MATCH(S26,Auction!$A$13:$A$426,0))&gt;0,"x","")</f>
        <v/>
      </c>
      <c r="W26" s="24">
        <f ca="1">IF(V26="",INDEX(WR!Z$3:Z$167,MATCH(S26,WR!$B$3:$B$167,0)),0)</f>
        <v>45.1</v>
      </c>
      <c r="X26" s="24" t="str">
        <f ca="1">INDEX(WR!AA$3:AA$131,MATCH(S26,WR!$B$3:$B$167,0))</f>
        <v>WR5</v>
      </c>
      <c r="Y26" s="37">
        <f t="shared" ca="1" si="2"/>
        <v>1.8476223640143796E-2</v>
      </c>
      <c r="Z26" s="30">
        <f ca="1">IF(LeagueInfo!$H$7="Starter/Bench",INDEX(WR!$T$3:$T$167,MATCH(S26,WR!$B$3:$B$167,0))*InflationPct,INDEX(WR!$AB$3:$AB$167,MATCH(S26,WR!$B$3:$B$167,0))*InflationPct)</f>
        <v>14.626459393386337</v>
      </c>
      <c r="AB26" s="23">
        <f t="shared" ca="1" si="4"/>
        <v>22</v>
      </c>
      <c r="AC26" s="106" t="str">
        <f t="shared" ca="1" si="5"/>
        <v>Kyler Murray</v>
      </c>
      <c r="AD26" s="106" t="str">
        <f t="shared" ca="1" si="6"/>
        <v>QB</v>
      </c>
      <c r="AE26" s="109">
        <f ca="1">LARGE(($E$5:$E$34,$E$37:$E$64,$N$5:$N$64,$W$5:$W$64),ROW(AE26)-4)</f>
        <v>86.762000000000015</v>
      </c>
    </row>
    <row r="27" spans="1:31" x14ac:dyDescent="0.35">
      <c r="A27" s="23" t="s">
        <v>222</v>
      </c>
      <c r="B27" s="59" t="str">
        <f>INDEX(QB!F$3:F$38,MATCH(A27,QB!B$3:B$38,0))</f>
        <v>SEA</v>
      </c>
      <c r="C27" s="28">
        <f>INDEX(QB!E$3:E$38,MATCH(A27,QB!B$3:B$38,0))</f>
        <v>10</v>
      </c>
      <c r="D27" s="177" t="str">
        <f>IF(INDEX(Auction!$H$13:$H$426,MATCH(A27,Auction!$A$13:$A$426,0))&gt;0,"x","")</f>
        <v/>
      </c>
      <c r="E27" s="24">
        <f ca="1">IF(D27="",INDEX(QB!$Z$3:$Z$38,MATCH(A27,QB!$B$3:$B$38,0)),0)</f>
        <v>43.257999999999996</v>
      </c>
      <c r="F27" s="24" t="str">
        <f ca="1">INDEX(QB!$AA$3:$AA$38,MATCH(A27,QB!$B$3:$B$38,0))</f>
        <v>QB4</v>
      </c>
      <c r="G27" s="38">
        <f t="shared" ca="1" si="0"/>
        <v>2.1288322967550288E-2</v>
      </c>
      <c r="H27" s="30">
        <f ca="1">IF(LeagueInfo!$H$7="Starter/Bench",INDEX(QB!$T$3:$T$38,MATCH(A27,QB!$B$3:$B$38,0))*InflationPct,INDEX(QB!$AB$3:$AB$38,MATCH(A27,QB!$B$3:$B$38,0))*InflationPct)</f>
        <v>14.132558408839735</v>
      </c>
      <c r="I27" s="22"/>
      <c r="J27" s="46" t="s">
        <v>540</v>
      </c>
      <c r="K27" s="55" t="str">
        <f>INDEX('RB'!$F$3:$F$131,MATCH(J27,'RB'!$B$3:$B$131,0))</f>
        <v>PIT</v>
      </c>
      <c r="L27" s="47">
        <f>INDEX('RB'!$E$3:$E$131,MATCH(J27,'RB'!$B$3:$B$131,0))</f>
        <v>9</v>
      </c>
      <c r="M27" s="178" t="str">
        <f>IF(INDEX(Auction!$H$13:$H$426,MATCH(J27,Auction!$A$13:$A$426,0))&gt;0,"x","")</f>
        <v/>
      </c>
      <c r="N27" s="42">
        <f ca="1">IF(M27="",INDEX('RB'!Z$3:Z$131,MATCH(J27,'RB'!$B$3:$B$131,0)),0)</f>
        <v>38.989999999999966</v>
      </c>
      <c r="O27" s="42" t="str">
        <f ca="1">INDEX('RB'!AA$3:AA$131,MATCH(J27,'RB'!$B$3:$B$131,0))</f>
        <v>RB6</v>
      </c>
      <c r="P27" s="48">
        <f t="shared" ca="1" si="1"/>
        <v>1.7233339594912644E-2</v>
      </c>
      <c r="Q27" s="49">
        <f ca="1">IF(LeagueInfo!$H$7="Starter/Bench",INDEX('RB'!$T$3:$T$131,MATCH(J27,'RB'!$B$3:$B$131,0))*InflationPct,INDEX('RB'!$AB$3:$AB$131,MATCH(J27,'RB'!$B$3:$B$131,0))*InflationPct)</f>
        <v>12.738445794705324</v>
      </c>
      <c r="S27" s="23" t="s">
        <v>92</v>
      </c>
      <c r="T27" s="57" t="str">
        <f>INDEX(WR!$F$1:$F$167,MATCH(S27,WR!$B$1:$B$167,0))</f>
        <v>CLE</v>
      </c>
      <c r="U27" s="28">
        <f>INDEX(WR!$E$1:$E$167,MATCH(S27,WR!$B$1:$B$167,0))</f>
        <v>10</v>
      </c>
      <c r="V27" s="180" t="str">
        <f>IF(INDEX(Auction!$H$13:$H$426,MATCH(S27,Auction!$A$13:$A$426,0))&gt;0,"x","")</f>
        <v/>
      </c>
      <c r="W27" s="24">
        <f ca="1">IF(V27="",INDEX(WR!Z$3:Z$167,MATCH(S27,WR!$B$3:$B$167,0)),0)</f>
        <v>44.049999999999962</v>
      </c>
      <c r="X27" s="24" t="str">
        <f ca="1">INDEX(WR!AA$3:AA$131,MATCH(S27,WR!$B$3:$B$167,0))</f>
        <v>WR5</v>
      </c>
      <c r="Y27" s="37">
        <f t="shared" ca="1" si="2"/>
        <v>1.8046067657390988E-2</v>
      </c>
      <c r="Z27" s="30">
        <f ca="1">IF(LeagueInfo!$H$7="Starter/Bench",INDEX(WR!$T$3:$T$167,MATCH(S27,WR!$B$3:$B$167,0))*InflationPct,INDEX(WR!$AB$3:$AB$167,MATCH(S27,WR!$B$3:$B$167,0))*InflationPct)</f>
        <v>14.294458069770378</v>
      </c>
      <c r="AB27" s="23">
        <f t="shared" ca="1" si="4"/>
        <v>23</v>
      </c>
      <c r="AC27" s="106" t="str">
        <f t="shared" ca="1" si="5"/>
        <v>Puka Nacua</v>
      </c>
      <c r="AD27" s="106" t="str">
        <f t="shared" ca="1" si="6"/>
        <v>WR</v>
      </c>
      <c r="AE27" s="109">
        <f ca="1">LARGE(($E$5:$E$34,$E$37:$E$64,$N$5:$N$64,$W$5:$W$64),ROW(AE27)-4)</f>
        <v>86.419999999999987</v>
      </c>
    </row>
    <row r="28" spans="1:31" x14ac:dyDescent="0.35">
      <c r="A28" s="23" t="s">
        <v>774</v>
      </c>
      <c r="B28" s="59" t="str">
        <f>INDEX(QB!F$3:F$38,MATCH(A28,QB!B$3:B$38,0))</f>
        <v>TEN</v>
      </c>
      <c r="C28" s="28">
        <f>INDEX(QB!E$3:E$38,MATCH(A28,QB!B$3:B$38,0))</f>
        <v>5</v>
      </c>
      <c r="D28" s="177" t="str">
        <f>IF(INDEX(Auction!$H$13:$H$426,MATCH(A28,Auction!$A$13:$A$426,0))&gt;0,"x","")</f>
        <v/>
      </c>
      <c r="E28" s="24">
        <f ca="1">IF(D28="",INDEX(QB!$Z$3:$Z$38,MATCH(A28,QB!$B$3:$B$38,0)),0)</f>
        <v>33.030000000000015</v>
      </c>
      <c r="F28" s="24" t="str">
        <f ca="1">INDEX(QB!$AA$3:$AA$38,MATCH(A28,QB!$B$3:$B$38,0))</f>
        <v>QB4</v>
      </c>
      <c r="G28" s="38">
        <f t="shared" ca="1" si="0"/>
        <v>1.6254873263169507E-2</v>
      </c>
      <c r="H28" s="30">
        <f ca="1">IF(LeagueInfo!$H$7="Starter/Bench",INDEX(QB!$T$3:$T$38,MATCH(A28,QB!$B$3:$B$38,0))*InflationPct,INDEX(QB!$AB$3:$AB$38,MATCH(A28,QB!$B$3:$B$38,0))*InflationPct)</f>
        <v>10.898549325083648</v>
      </c>
      <c r="I28" s="17"/>
      <c r="J28" s="46" t="s">
        <v>233</v>
      </c>
      <c r="K28" s="55" t="str">
        <f>INDEX('RB'!$F$3:$F$131,MATCH(J28,'RB'!$B$3:$B$131,0))</f>
        <v>MIA</v>
      </c>
      <c r="L28" s="47">
        <f>INDEX('RB'!$E$3:$E$131,MATCH(J28,'RB'!$B$3:$B$131,0))</f>
        <v>6</v>
      </c>
      <c r="M28" s="178" t="str">
        <f>IF(INDEX(Auction!$H$13:$H$426,MATCH(J28,Auction!$A$13:$A$426,0))&gt;0,"x","")</f>
        <v/>
      </c>
      <c r="N28" s="42">
        <f ca="1">IF(M28="",INDEX('RB'!Z$3:Z$131,MATCH(J28,'RB'!$B$3:$B$131,0)),0)</f>
        <v>34.389999999999972</v>
      </c>
      <c r="O28" s="42" t="str">
        <f ca="1">INDEX('RB'!AA$3:AA$131,MATCH(J28,'RB'!$B$3:$B$131,0))</f>
        <v>RB6</v>
      </c>
      <c r="P28" s="48">
        <f t="shared" ca="1" si="1"/>
        <v>1.5200167957656986E-2</v>
      </c>
      <c r="Q28" s="49">
        <f ca="1">IF(LeagueInfo!$H$7="Starter/Bench",INDEX('RB'!$T$3:$T$131,MATCH(J28,'RB'!$B$3:$B$131,0))*InflationPct,INDEX('RB'!$AB$3:$AB$131,MATCH(J28,'RB'!$B$3:$B$131,0))*InflationPct)</f>
        <v>11.283963805530705</v>
      </c>
      <c r="S28" s="23" t="s">
        <v>491</v>
      </c>
      <c r="T28" s="57" t="str">
        <f>INDEX(WR!$F$1:$F$167,MATCH(S28,WR!$B$1:$B$167,0))</f>
        <v>IND</v>
      </c>
      <c r="U28" s="28">
        <f>INDEX(WR!$E$1:$E$167,MATCH(S28,WR!$B$1:$B$167,0))</f>
        <v>14</v>
      </c>
      <c r="V28" s="180" t="str">
        <f>IF(INDEX(Auction!$H$13:$H$426,MATCH(S28,Auction!$A$13:$A$426,0))&gt;0,"x","")</f>
        <v/>
      </c>
      <c r="W28" s="24">
        <f ca="1">IF(V28="",INDEX(WR!Z$3:Z$167,MATCH(S28,WR!$B$3:$B$167,0)),0)</f>
        <v>43.359999999999992</v>
      </c>
      <c r="X28" s="24" t="str">
        <f ca="1">INDEX(WR!AA$3:AA$131,MATCH(S28,WR!$B$3:$B$167,0))</f>
        <v>WR5</v>
      </c>
      <c r="Y28" s="37">
        <f t="shared" ca="1" si="2"/>
        <v>1.7763393725867736E-2</v>
      </c>
      <c r="Z28" s="30">
        <f ca="1">IF(LeagueInfo!$H$7="Starter/Bench",INDEX(WR!$T$3:$T$167,MATCH(S28,WR!$B$3:$B$167,0))*InflationPct,INDEX(WR!$AB$3:$AB$167,MATCH(S28,WR!$B$3:$B$167,0))*InflationPct)</f>
        <v>14.076285771394193</v>
      </c>
      <c r="AB28" s="23">
        <f t="shared" ca="1" si="4"/>
        <v>24</v>
      </c>
      <c r="AC28" s="106" t="str">
        <f t="shared" ca="1" si="5"/>
        <v>A.J. Brown</v>
      </c>
      <c r="AD28" s="106" t="str">
        <f t="shared" ca="1" si="6"/>
        <v>WR</v>
      </c>
      <c r="AE28" s="109">
        <f ca="1">LARGE(($E$5:$E$34,$E$37:$E$64,$N$5:$N$64,$W$5:$W$64),ROW(AE28)-4)</f>
        <v>85.65</v>
      </c>
    </row>
    <row r="29" spans="1:31" x14ac:dyDescent="0.35">
      <c r="A29" s="23" t="s">
        <v>414</v>
      </c>
      <c r="B29" s="59" t="str">
        <f>INDEX(QB!F$3:F$38,MATCH(A29,QB!B$3:B$38,0))</f>
        <v>NYG</v>
      </c>
      <c r="C29" s="28">
        <f>INDEX(QB!E$3:E$38,MATCH(A29,QB!B$3:B$38,0))</f>
        <v>11</v>
      </c>
      <c r="D29" s="177" t="str">
        <f>IF(INDEX(Auction!$H$13:$H$426,MATCH(A29,Auction!$A$13:$A$426,0))&gt;0,"x","")</f>
        <v/>
      </c>
      <c r="E29" s="24">
        <f ca="1">IF(D29="",INDEX(QB!$Z$3:$Z$38,MATCH(A29,QB!$B$3:$B$38,0)),0)</f>
        <v>31.40300000000002</v>
      </c>
      <c r="F29" s="24" t="str">
        <f ca="1">INDEX(QB!$AA$3:$AA$38,MATCH(A29,QB!$B$3:$B$38,0))</f>
        <v>QB4</v>
      </c>
      <c r="G29" s="38">
        <f t="shared" ca="1" si="0"/>
        <v>1.5454186651023678E-2</v>
      </c>
      <c r="H29" s="30">
        <f ca="1">IF(LeagueInfo!$H$7="Starter/Bench",INDEX(QB!$T$3:$T$38,MATCH(A29,QB!$B$3:$B$38,0))*InflationPct,INDEX(QB!$AB$3:$AB$38,MATCH(A29,QB!$B$3:$B$38,0))*InflationPct)</f>
        <v>10.36170585696645</v>
      </c>
      <c r="I29" s="17"/>
      <c r="J29" s="46" t="s">
        <v>541</v>
      </c>
      <c r="K29" s="55" t="str">
        <f>INDEX('RB'!$F$3:$F$131,MATCH(J29,'RB'!$B$3:$B$131,0))</f>
        <v>DEN</v>
      </c>
      <c r="L29" s="47">
        <f>INDEX('RB'!$E$3:$E$131,MATCH(J29,'RB'!$B$3:$B$131,0))</f>
        <v>14</v>
      </c>
      <c r="M29" s="178" t="str">
        <f>IF(INDEX(Auction!$H$13:$H$426,MATCH(J29,Auction!$A$13:$A$426,0))&gt;0,"x","")</f>
        <v/>
      </c>
      <c r="N29" s="42">
        <f ca="1">IF(M29="",INDEX('RB'!Z$3:Z$131,MATCH(J29,'RB'!$B$3:$B$131,0)),0)</f>
        <v>30.690000000000012</v>
      </c>
      <c r="O29" s="42" t="str">
        <f ca="1">INDEX('RB'!AA$3:AA$131,MATCH(J29,'RB'!$B$3:$B$131,0))</f>
        <v>RB6</v>
      </c>
      <c r="P29" s="48">
        <f t="shared" ca="1" si="1"/>
        <v>1.3564790771168754E-2</v>
      </c>
      <c r="Q29" s="49">
        <f ca="1">IF(LeagueInfo!$H$7="Starter/Bench",INDEX('RB'!$T$3:$T$131,MATCH(J29,'RB'!$B$3:$B$131,0))*InflationPct,INDEX('RB'!$AB$3:$AB$131,MATCH(J29,'RB'!$B$3:$B$131,0))*InflationPct)</f>
        <v>10.114054379455478</v>
      </c>
      <c r="S29" s="23" t="s">
        <v>493</v>
      </c>
      <c r="T29" s="57" t="str">
        <f>INDEX(WR!$F$1:$F$167,MATCH(S29,WR!$B$1:$B$167,0))</f>
        <v>CIN</v>
      </c>
      <c r="U29" s="28">
        <f>INDEX(WR!$E$1:$E$167,MATCH(S29,WR!$B$1:$B$167,0))</f>
        <v>12</v>
      </c>
      <c r="V29" s="180" t="str">
        <f>IF(INDEX(Auction!$H$13:$H$426,MATCH(S29,Auction!$A$13:$A$426,0))&gt;0,"x","")</f>
        <v/>
      </c>
      <c r="W29" s="24">
        <f ca="1">IF(V29="",INDEX(WR!Z$3:Z$167,MATCH(S29,WR!$B$3:$B$167,0)),0)</f>
        <v>43.169999999999995</v>
      </c>
      <c r="X29" s="24" t="str">
        <f ca="1">INDEX(WR!AA$3:AA$131,MATCH(S29,WR!$B$3:$B$167,0))</f>
        <v>WR5</v>
      </c>
      <c r="Y29" s="37">
        <f t="shared" ca="1" si="2"/>
        <v>1.7685555976607707E-2</v>
      </c>
      <c r="Z29" s="30">
        <f ca="1">IF(LeagueInfo!$H$7="Starter/Bench",INDEX(WR!$T$3:$T$167,MATCH(S29,WR!$B$3:$B$167,0))*InflationPct,INDEX(WR!$AB$3:$AB$167,MATCH(S29,WR!$B$3:$B$167,0))*InflationPct)</f>
        <v>14.016209341406547</v>
      </c>
      <c r="AB29" s="23">
        <f t="shared" ca="1" si="4"/>
        <v>25</v>
      </c>
      <c r="AC29" s="106" t="str">
        <f t="shared" ca="1" si="5"/>
        <v>Travis Etienne Jr.</v>
      </c>
      <c r="AD29" s="106" t="str">
        <f t="shared" ca="1" si="6"/>
        <v>RB</v>
      </c>
      <c r="AE29" s="109">
        <f ca="1">LARGE(($E$5:$E$34,$E$37:$E$64,$N$5:$N$64,$W$5:$W$64),ROW(AE29)-4)</f>
        <v>81.659999999999982</v>
      </c>
    </row>
    <row r="30" spans="1:31" x14ac:dyDescent="0.35">
      <c r="A30" s="23" t="s">
        <v>117</v>
      </c>
      <c r="B30" s="59" t="str">
        <f>INDEX(QB!F$3:F$38,MATCH(A30,QB!B$3:B$38,0))</f>
        <v>NO</v>
      </c>
      <c r="C30" s="28">
        <f>INDEX(QB!E$3:E$38,MATCH(A30,QB!B$3:B$38,0))</f>
        <v>12</v>
      </c>
      <c r="D30" s="177" t="str">
        <f>IF(INDEX(Auction!$H$13:$H$426,MATCH(A30,Auction!$A$13:$A$426,0))&gt;0,"x","")</f>
        <v/>
      </c>
      <c r="E30" s="24">
        <f ca="1">IF(D30="",INDEX(QB!$Z$3:$Z$38,MATCH(A30,QB!$B$3:$B$38,0)),0)</f>
        <v>30.786000000000001</v>
      </c>
      <c r="F30" s="24" t="str">
        <f ca="1">INDEX(QB!$AA$3:$AA$38,MATCH(A30,QB!$B$3:$B$38,0))</f>
        <v>QB4</v>
      </c>
      <c r="G30" s="38">
        <f t="shared" ca="1" si="0"/>
        <v>1.5150545815317475E-2</v>
      </c>
      <c r="H30" s="30">
        <f ca="1">IF(LeagueInfo!$H$7="Starter/Bench",INDEX(QB!$T$3:$T$38,MATCH(A30,QB!$B$3:$B$38,0))*InflationPct,INDEX(QB!$AB$3:$AB$38,MATCH(A30,QB!$B$3:$B$38,0))*InflationPct)</f>
        <v>10.158121087557525</v>
      </c>
      <c r="I30" s="17"/>
      <c r="J30" s="46" t="s">
        <v>517</v>
      </c>
      <c r="K30" s="55" t="str">
        <f>INDEX('RB'!$F$3:$F$131,MATCH(J30,'RB'!$B$3:$B$131,0))</f>
        <v>CHI</v>
      </c>
      <c r="L30" s="47">
        <f>INDEX('RB'!$E$3:$E$131,MATCH(J30,'RB'!$B$3:$B$131,0))</f>
        <v>7</v>
      </c>
      <c r="M30" s="178" t="str">
        <f>IF(INDEX(Auction!$H$13:$H$426,MATCH(J30,Auction!$A$13:$A$426,0))&gt;0,"x","")</f>
        <v/>
      </c>
      <c r="N30" s="42">
        <f ca="1">IF(M30="",INDEX('RB'!Z$3:Z$131,MATCH(J30,'RB'!$B$3:$B$131,0)),0)</f>
        <v>29.790000000000006</v>
      </c>
      <c r="O30" s="42" t="str">
        <f ca="1">INDEX('RB'!AA$3:AA$131,MATCH(J30,'RB'!$B$3:$B$131,0))</f>
        <v>RB6</v>
      </c>
      <c r="P30" s="48">
        <f t="shared" ca="1" si="1"/>
        <v>1.3166996320401339E-2</v>
      </c>
      <c r="Q30" s="49">
        <f ca="1">IF(LeagueInfo!$H$7="Starter/Bench",INDEX('RB'!$T$3:$T$131,MATCH(J30,'RB'!$B$3:$B$131,0))*InflationPct,INDEX('RB'!$AB$3:$AB$131,MATCH(J30,'RB'!$B$3:$B$131,0))*InflationPct)</f>
        <v>9.8294818163560933</v>
      </c>
      <c r="S30" s="23" t="s">
        <v>908</v>
      </c>
      <c r="T30" s="57" t="str">
        <f>INDEX(WR!$F$1:$F$167,MATCH(S30,WR!$B$1:$B$167,0))</f>
        <v>NYG</v>
      </c>
      <c r="U30" s="28">
        <f>INDEX(WR!$E$1:$E$167,MATCH(S30,WR!$B$1:$B$167,0))</f>
        <v>11</v>
      </c>
      <c r="V30" s="180" t="str">
        <f>IF(INDEX(Auction!$H$13:$H$426,MATCH(S30,Auction!$A$13:$A$426,0))&gt;0,"x","")</f>
        <v/>
      </c>
      <c r="W30" s="24">
        <f ca="1">IF(V30="",INDEX(WR!Z$3:Z$167,MATCH(S30,WR!$B$3:$B$167,0)),0)</f>
        <v>42.399999999999984</v>
      </c>
      <c r="X30" s="24" t="str">
        <f ca="1">INDEX(WR!AA$3:AA$131,MATCH(S30,WR!$B$3:$B$167,0))</f>
        <v>WR5</v>
      </c>
      <c r="Y30" s="37">
        <f t="shared" ca="1" si="2"/>
        <v>1.737010825592232E-2</v>
      </c>
      <c r="Z30" s="30">
        <f ca="1">IF(LeagueInfo!$H$7="Starter/Bench",INDEX(WR!$T$3:$T$167,MATCH(S30,WR!$B$3:$B$167,0))*InflationPct,INDEX(WR!$AB$3:$AB$167,MATCH(S30,WR!$B$3:$B$167,0))*InflationPct)</f>
        <v>13.772741704088183</v>
      </c>
      <c r="AB30" s="23">
        <f t="shared" ca="1" si="4"/>
        <v>26</v>
      </c>
      <c r="AC30" s="106" t="str">
        <f t="shared" ca="1" si="5"/>
        <v>Jordan Love</v>
      </c>
      <c r="AD30" s="106" t="str">
        <f t="shared" ca="1" si="6"/>
        <v>QB</v>
      </c>
      <c r="AE30" s="109">
        <f ca="1">LARGE(($E$5:$E$34,$E$37:$E$64,$N$5:$N$64,$W$5:$W$64),ROW(AE30)-4)</f>
        <v>78.197999999999936</v>
      </c>
    </row>
    <row r="31" spans="1:31" x14ac:dyDescent="0.35">
      <c r="A31" s="23" t="s">
        <v>343</v>
      </c>
      <c r="B31" s="59" t="str">
        <f>INDEX(QB!F$3:F$38,MATCH(A31,QB!B$3:B$38,0))</f>
        <v>MIN</v>
      </c>
      <c r="C31" s="28">
        <f>INDEX(QB!E$3:E$38,MATCH(A31,QB!B$3:B$38,0))</f>
        <v>6</v>
      </c>
      <c r="D31" s="177" t="str">
        <f>IF(INDEX(Auction!$H$13:$H$426,MATCH(A31,Auction!$A$13:$A$426,0))&gt;0,"x","")</f>
        <v/>
      </c>
      <c r="E31" s="24">
        <f ca="1">IF(D31="",INDEX(QB!$Z$3:$Z$38,MATCH(A31,QB!$B$3:$B$38,0)),0)</f>
        <v>30.486999999999995</v>
      </c>
      <c r="F31" s="24" t="str">
        <f ca="1">INDEX(QB!$AA$3:$AA$38,MATCH(A31,QB!$B$3:$B$38,0))</f>
        <v>QB4</v>
      </c>
      <c r="G31" s="38">
        <f t="shared" ca="1" si="0"/>
        <v>1.5003400580510093E-2</v>
      </c>
      <c r="H31" s="30">
        <f ca="1">IF(LeagueInfo!$H$7="Starter/Bench",INDEX(QB!$T$3:$T$38,MATCH(A31,QB!$B$3:$B$38,0))*InflationPct,INDEX(QB!$AB$3:$AB$38,MATCH(A31,QB!$B$3:$B$38,0))*InflationPct)</f>
        <v>10.059463314375567</v>
      </c>
      <c r="I31" s="22"/>
      <c r="J31" s="46" t="s">
        <v>427</v>
      </c>
      <c r="K31" s="55" t="str">
        <f>INDEX('RB'!$F$3:$F$131,MATCH(J31,'RB'!$B$3:$B$131,0))</f>
        <v>TEN</v>
      </c>
      <c r="L31" s="47">
        <f>INDEX('RB'!$E$3:$E$131,MATCH(J31,'RB'!$B$3:$B$131,0))</f>
        <v>5</v>
      </c>
      <c r="M31" s="178" t="str">
        <f>IF(INDEX(Auction!$H$13:$H$426,MATCH(J31,Auction!$A$13:$A$426,0))&gt;0,"x","")</f>
        <v/>
      </c>
      <c r="N31" s="42">
        <f ca="1">IF(M31="",INDEX('RB'!Z$3:Z$131,MATCH(J31,'RB'!$B$3:$B$131,0)),0)</f>
        <v>29.75500000000001</v>
      </c>
      <c r="O31" s="42" t="str">
        <f ca="1">INDEX('RB'!AA$3:AA$131,MATCH(J31,'RB'!$B$3:$B$131,0))</f>
        <v>RB6</v>
      </c>
      <c r="P31" s="48">
        <f t="shared" ca="1" si="1"/>
        <v>1.3151526536204831E-2</v>
      </c>
      <c r="Q31" s="49">
        <f ca="1">IF(LeagueInfo!$H$7="Starter/Bench",INDEX('RB'!$T$3:$T$131,MATCH(J31,'RB'!$B$3:$B$131,0))*InflationPct,INDEX('RB'!$AB$3:$AB$131,MATCH(J31,'RB'!$B$3:$B$131,0))*InflationPct)</f>
        <v>9.8179332475889769</v>
      </c>
      <c r="S31" s="23" t="s">
        <v>597</v>
      </c>
      <c r="T31" s="57" t="str">
        <f>INDEX(WR!$F$1:$F$167,MATCH(S31,WR!$B$1:$B$167,0))</f>
        <v>PIT</v>
      </c>
      <c r="U31" s="28">
        <f>INDEX(WR!$E$1:$E$167,MATCH(S31,WR!$B$1:$B$167,0))</f>
        <v>9</v>
      </c>
      <c r="V31" s="180" t="str">
        <f>IF(INDEX(Auction!$H$13:$H$426,MATCH(S31,Auction!$A$13:$A$426,0))&gt;0,"x","")</f>
        <v/>
      </c>
      <c r="W31" s="24">
        <f ca="1">IF(V31="",INDEX(WR!Z$3:Z$167,MATCH(S31,WR!$B$3:$B$167,0)),0)</f>
        <v>40.789999999999971</v>
      </c>
      <c r="X31" s="24" t="str">
        <f ca="1">INDEX(WR!AA$3:AA$131,MATCH(S31,WR!$B$3:$B$167,0))</f>
        <v>WR5</v>
      </c>
      <c r="Y31" s="37">
        <f t="shared" ca="1" si="2"/>
        <v>1.6710535749034697E-2</v>
      </c>
      <c r="Z31" s="30">
        <f ca="1">IF(LeagueInfo!$H$7="Starter/Bench",INDEX(WR!$T$3:$T$167,MATCH(S31,WR!$B$3:$B$167,0))*InflationPct,INDEX(WR!$AB$3:$AB$167,MATCH(S31,WR!$B$3:$B$167,0))*InflationPct)</f>
        <v>13.263673007877061</v>
      </c>
      <c r="AB31" s="23">
        <f t="shared" ca="1" si="4"/>
        <v>27</v>
      </c>
      <c r="AC31" s="106" t="str">
        <f t="shared" ca="1" si="5"/>
        <v>Josh Jacobs</v>
      </c>
      <c r="AD31" s="106" t="str">
        <f t="shared" ca="1" si="6"/>
        <v>RB</v>
      </c>
      <c r="AE31" s="109">
        <f ca="1">LARGE(($E$5:$E$34,$E$37:$E$64,$N$5:$N$64,$W$5:$W$64),ROW(AE31)-4)</f>
        <v>78.139999999999972</v>
      </c>
    </row>
    <row r="32" spans="1:31" x14ac:dyDescent="0.35">
      <c r="A32" s="23" t="s">
        <v>854</v>
      </c>
      <c r="B32" s="59" t="str">
        <f>INDEX(QB!F$3:F$38,MATCH(A32,QB!B$3:B$38,0))</f>
        <v>DEN</v>
      </c>
      <c r="C32" s="28">
        <f>INDEX(QB!E$3:E$38,MATCH(A32,QB!B$3:B$38,0))</f>
        <v>14</v>
      </c>
      <c r="D32" s="177" t="str">
        <f>IF(INDEX(Auction!$H$13:$H$426,MATCH(A32,Auction!$A$13:$A$426,0))&gt;0,"x","")</f>
        <v/>
      </c>
      <c r="E32" s="24">
        <f ca="1">IF(D32="",INDEX(QB!$Z$3:$Z$38,MATCH(A32,QB!$B$3:$B$38,0)),0)</f>
        <v>22.420000000000016</v>
      </c>
      <c r="F32" s="24" t="str">
        <f ca="1">INDEX(QB!$AA$3:$AA$38,MATCH(A32,QB!$B$3:$B$38,0))</f>
        <v>QB4</v>
      </c>
      <c r="G32" s="38">
        <f t="shared" ca="1" si="0"/>
        <v>1.103343198789768E-2</v>
      </c>
      <c r="H32" s="30">
        <f ca="1">IF(LeagueInfo!$H$7="Starter/Bench",INDEX(QB!$T$3:$T$38,MATCH(A32,QB!$B$3:$B$38,0))*InflationPct,INDEX(QB!$AB$3:$AB$38,MATCH(A32,QB!$B$3:$B$38,0))*InflationPct)</f>
        <v>7.3976831931085512</v>
      </c>
      <c r="I32" s="22"/>
      <c r="J32" s="46" t="s">
        <v>688</v>
      </c>
      <c r="K32" s="55" t="str">
        <f>INDEX('RB'!$F$3:$F$131,MATCH(J32,'RB'!$B$3:$B$131,0))</f>
        <v>PIT</v>
      </c>
      <c r="L32" s="47">
        <f>INDEX('RB'!$E$3:$E$131,MATCH(J32,'RB'!$B$3:$B$131,0))</f>
        <v>9</v>
      </c>
      <c r="M32" s="178" t="str">
        <f>IF(INDEX(Auction!$H$13:$H$426,MATCH(J32,Auction!$A$13:$A$426,0))&gt;0,"x","")</f>
        <v/>
      </c>
      <c r="N32" s="42">
        <f ca="1">IF(M32="",INDEX('RB'!Z$3:Z$131,MATCH(J32,'RB'!$B$3:$B$131,0)),0)</f>
        <v>26.199999999999989</v>
      </c>
      <c r="O32" s="42" t="str">
        <f ca="1">INDEX('RB'!AA$3:AA$131,MATCH(J32,'RB'!$B$3:$B$131,0))</f>
        <v>RB6</v>
      </c>
      <c r="P32" s="48">
        <f t="shared" ca="1" si="1"/>
        <v>1.1580238455673544E-2</v>
      </c>
      <c r="Q32" s="49">
        <f ca="1">IF(LeagueInfo!$H$7="Starter/Bench",INDEX('RB'!$T$3:$T$131,MATCH(J32,'RB'!$B$3:$B$131,0))*InflationPct,INDEX('RB'!$AB$3:$AB$131,MATCH(J32,'RB'!$B$3:$B$131,0))*InflationPct)</f>
        <v>8.6449286199573514</v>
      </c>
      <c r="S32" s="23" t="s">
        <v>711</v>
      </c>
      <c r="T32" s="57" t="str">
        <f>INDEX(WR!$F$1:$F$167,MATCH(S32,WR!$B$1:$B$167,0))</f>
        <v>BAL</v>
      </c>
      <c r="U32" s="28">
        <f>INDEX(WR!$E$1:$E$167,MATCH(S32,WR!$B$1:$B$167,0))</f>
        <v>14</v>
      </c>
      <c r="V32" s="180" t="str">
        <f>IF(INDEX(Auction!$H$13:$H$426,MATCH(S32,Auction!$A$13:$A$426,0))&gt;0,"x","")</f>
        <v/>
      </c>
      <c r="W32" s="24">
        <f ca="1">IF(V32="",INDEX(WR!Z$3:Z$167,MATCH(S32,WR!$B$3:$B$167,0)),0)</f>
        <v>40.199999999999996</v>
      </c>
      <c r="X32" s="24" t="str">
        <f ca="1">INDEX(WR!AA$3:AA$131,MATCH(S32,WR!$B$3:$B$167,0))</f>
        <v>WR5</v>
      </c>
      <c r="Y32" s="37">
        <f t="shared" ca="1" si="2"/>
        <v>1.6468829053964091E-2</v>
      </c>
      <c r="Z32" s="30">
        <f ca="1">IF(LeagueInfo!$H$7="Starter/Bench",INDEX(WR!$T$3:$T$167,MATCH(S32,WR!$B$3:$B$167,0))*InflationPct,INDEX(WR!$AB$3:$AB$167,MATCH(S32,WR!$B$3:$B$167,0))*InflationPct)</f>
        <v>13.077119883178586</v>
      </c>
      <c r="AB32" s="23">
        <f t="shared" ca="1" si="4"/>
        <v>28</v>
      </c>
      <c r="AC32" s="106" t="str">
        <f t="shared" ca="1" si="5"/>
        <v>Isiah Pacheco</v>
      </c>
      <c r="AD32" s="106" t="str">
        <f t="shared" ca="1" si="6"/>
        <v>RB</v>
      </c>
      <c r="AE32" s="109">
        <f ca="1">LARGE(($E$5:$E$34,$E$37:$E$64,$N$5:$N$64,$W$5:$W$64),ROW(AE32)-4)</f>
        <v>77.949999999999974</v>
      </c>
    </row>
    <row r="33" spans="1:31" x14ac:dyDescent="0.35">
      <c r="A33" s="23" t="s">
        <v>713</v>
      </c>
      <c r="B33" s="59" t="str">
        <f>INDEX(QB!F$3:F$38,MATCH(A33,QB!B$3:B$38,0))</f>
        <v>CAR</v>
      </c>
      <c r="C33" s="28">
        <f>INDEX(QB!E$3:E$38,MATCH(A33,QB!B$3:B$38,0))</f>
        <v>11</v>
      </c>
      <c r="D33" s="177" t="str">
        <f>IF(INDEX(Auction!$H$13:$H$426,MATCH(A33,Auction!$A$13:$A$426,0))&gt;0,"x","")</f>
        <v/>
      </c>
      <c r="E33" s="24">
        <f ca="1">IF(D33="",INDEX(QB!$Z$3:$Z$38,MATCH(A33,QB!$B$3:$B$38,0)),0)</f>
        <v>21.933999999999983</v>
      </c>
      <c r="F33" s="24" t="str">
        <f ca="1">INDEX(QB!$AA$3:$AA$38,MATCH(A33,QB!$B$3:$B$38,0))</f>
        <v>QB4</v>
      </c>
      <c r="G33" s="38">
        <f t="shared" ca="1" si="0"/>
        <v>1.0794259465769285E-2</v>
      </c>
      <c r="H33" s="30">
        <f ca="1">IF(LeagueInfo!$H$7="Starter/Bench",INDEX(QB!$T$3:$T$38,MATCH(A33,QB!$B$3:$B$38,0))*InflationPct,INDEX(QB!$AB$3:$AB$38,MATCH(A33,QB!$B$3:$B$38,0))*InflationPct)</f>
        <v>7.2373230667994077</v>
      </c>
      <c r="I33" s="22"/>
      <c r="J33" s="46" t="s">
        <v>620</v>
      </c>
      <c r="K33" s="55" t="str">
        <f>INDEX('RB'!$F$3:$F$131,MATCH(J33,'RB'!$B$3:$B$131,0))</f>
        <v>WAS</v>
      </c>
      <c r="L33" s="47">
        <f>INDEX('RB'!$E$3:$E$131,MATCH(J33,'RB'!$B$3:$B$131,0))</f>
        <v>14</v>
      </c>
      <c r="M33" s="178" t="str">
        <f>IF(INDEX(Auction!$H$13:$H$426,MATCH(J33,Auction!$A$13:$A$426,0))&gt;0,"x","")</f>
        <v/>
      </c>
      <c r="N33" s="42">
        <f ca="1">IF(M33="",INDEX('RB'!Z$3:Z$131,MATCH(J33,'RB'!$B$3:$B$131,0)),0)</f>
        <v>26.025000000000006</v>
      </c>
      <c r="O33" s="42" t="str">
        <f ca="1">INDEX('RB'!AA$3:AA$131,MATCH(J33,'RB'!$B$3:$B$131,0))</f>
        <v>RB6</v>
      </c>
      <c r="P33" s="48">
        <f t="shared" ca="1" si="1"/>
        <v>1.1502889534690999E-2</v>
      </c>
      <c r="Q33" s="49">
        <f ca="1">IF(LeagueInfo!$H$7="Starter/Bench",INDEX('RB'!$T$3:$T$131,MATCH(J33,'RB'!$B$3:$B$131,0))*InflationPct,INDEX('RB'!$AB$3:$AB$131,MATCH(J33,'RB'!$B$3:$B$131,0))*InflationPct)</f>
        <v>8.587185776121764</v>
      </c>
      <c r="S33" s="23" t="s">
        <v>790</v>
      </c>
      <c r="T33" s="57" t="str">
        <f>INDEX(WR!$F$1:$F$167,MATCH(S33,WR!$B$1:$B$167,0))</f>
        <v>HOU</v>
      </c>
      <c r="U33" s="28">
        <f>INDEX(WR!$E$1:$E$167,MATCH(S33,WR!$B$1:$B$167,0))</f>
        <v>14</v>
      </c>
      <c r="V33" s="180" t="str">
        <f>IF(INDEX(Auction!$H$13:$H$426,MATCH(S33,Auction!$A$13:$A$426,0))&gt;0,"x","")</f>
        <v/>
      </c>
      <c r="W33" s="24">
        <f ca="1">IF(V33="",INDEX(WR!Z$3:Z$167,MATCH(S33,WR!$B$3:$B$167,0)),0)</f>
        <v>39.240000000000016</v>
      </c>
      <c r="X33" s="24" t="str">
        <f ca="1">INDEX(WR!AA$3:AA$131,MATCH(S33,WR!$B$3:$B$167,0))</f>
        <v>WR5</v>
      </c>
      <c r="Y33" s="37">
        <f t="shared" ca="1" si="2"/>
        <v>1.6075543584018689E-2</v>
      </c>
      <c r="Z33" s="30">
        <f ca="1">IF(LeagueInfo!$H$7="Starter/Bench",INDEX(WR!$T$3:$T$167,MATCH(S33,WR!$B$3:$B$167,0))*InflationPct,INDEX(WR!$AB$3:$AB$167,MATCH(S33,WR!$B$3:$B$167,0))*InflationPct)</f>
        <v>12.773575815872583</v>
      </c>
      <c r="AB33" s="23">
        <f t="shared" ca="1" si="4"/>
        <v>29</v>
      </c>
      <c r="AC33" s="106" t="str">
        <f t="shared" ca="1" si="5"/>
        <v>Brock Purdy</v>
      </c>
      <c r="AD33" s="106" t="str">
        <f t="shared" ca="1" si="6"/>
        <v>QB</v>
      </c>
      <c r="AE33" s="109">
        <f ca="1">LARGE(($E$5:$E$34,$E$37:$E$64,$N$5:$N$64,$W$5:$W$64),ROW(AE33)-4)</f>
        <v>77.287999999999968</v>
      </c>
    </row>
    <row r="34" spans="1:31" ht="15" thickBot="1" x14ac:dyDescent="0.4">
      <c r="A34" s="23" t="s">
        <v>106</v>
      </c>
      <c r="B34" s="59" t="str">
        <f>INDEX(QB!F$3:F$38,MATCH(A34,QB!B$3:B$38,0))</f>
        <v>PIT</v>
      </c>
      <c r="C34" s="28">
        <f>INDEX(QB!E$3:E$38,MATCH(A34,QB!B$3:B$38,0))</f>
        <v>9</v>
      </c>
      <c r="D34" s="177" t="str">
        <f>IF(INDEX(Auction!$H$13:$H$426,MATCH(A34,Auction!$A$13:$A$426,0))&gt;0,"x","")</f>
        <v/>
      </c>
      <c r="E34" s="24">
        <f ca="1">IF(D34="",INDEX(QB!$Z$3:$Z$38,MATCH(A34,QB!$B$3:$B$38,0)),0)</f>
        <v>18.400000000000006</v>
      </c>
      <c r="F34" s="24" t="str">
        <f ca="1">INDEX(QB!$AA$3:$AA$38,MATCH(A34,QB!$B$3:$B$38,0))</f>
        <v>QB4</v>
      </c>
      <c r="G34" s="38">
        <f t="shared" ca="1" si="0"/>
        <v>9.0550913727616977E-3</v>
      </c>
      <c r="H34" s="30">
        <f ca="1">IF(LeagueInfo!$H$7="Starter/Bench",INDEX(QB!$T$3:$T$38,MATCH(A34,QB!$B$3:$B$38,0))*InflationPct,INDEX(QB!$AB$3:$AB$38,MATCH(A34,QB!$B$3:$B$38,0))*InflationPct)</f>
        <v>6.0712475804280679</v>
      </c>
      <c r="I34" s="17"/>
      <c r="J34" s="46" t="s">
        <v>426</v>
      </c>
      <c r="K34" s="55" t="str">
        <f>INDEX('RB'!$F$3:$F$131,MATCH(J34,'RB'!$B$3:$B$131,0))</f>
        <v>NYG</v>
      </c>
      <c r="L34" s="47">
        <f>INDEX('RB'!$E$3:$E$131,MATCH(J34,'RB'!$B$3:$B$131,0))</f>
        <v>11</v>
      </c>
      <c r="M34" s="178" t="str">
        <f>IF(INDEX(Auction!$H$13:$H$426,MATCH(J34,Auction!$A$13:$A$426,0))&gt;0,"x","")</f>
        <v/>
      </c>
      <c r="N34" s="42">
        <f ca="1">IF(M34="",INDEX('RB'!Z$3:Z$131,MATCH(J34,'RB'!$B$3:$B$131,0)),0)</f>
        <v>25.524999999999991</v>
      </c>
      <c r="O34" s="42" t="str">
        <f ca="1">INDEX('RB'!AA$3:AA$131,MATCH(J34,'RB'!$B$3:$B$131,0))</f>
        <v>RB6</v>
      </c>
      <c r="P34" s="48">
        <f t="shared" ca="1" si="1"/>
        <v>1.1281892617597985E-2</v>
      </c>
      <c r="Q34" s="49">
        <f ca="1">IF(LeagueInfo!$H$7="Starter/Bench",INDEX('RB'!$T$3:$T$131,MATCH(J34,'RB'!$B$3:$B$131,0))*InflationPct,INDEX('RB'!$AB$3:$AB$131,MATCH(J34,'RB'!$B$3:$B$131,0))*InflationPct)</f>
        <v>8.4222062223057801</v>
      </c>
      <c r="S34" s="23" t="s">
        <v>240</v>
      </c>
      <c r="T34" s="57" t="str">
        <f>INDEX(WR!$F$1:$F$167,MATCH(S34,WR!$B$1:$B$167,0))</f>
        <v>TB</v>
      </c>
      <c r="U34" s="28">
        <f>INDEX(WR!$E$1:$E$167,MATCH(S34,WR!$B$1:$B$167,0))</f>
        <v>11</v>
      </c>
      <c r="V34" s="180" t="str">
        <f>IF(INDEX(Auction!$H$13:$H$426,MATCH(S34,Auction!$A$13:$A$426,0))&gt;0,"x","")</f>
        <v/>
      </c>
      <c r="W34" s="24">
        <f ca="1">IF(V34="",INDEX(WR!Z$3:Z$167,MATCH(S34,WR!$B$3:$B$167,0)),0)</f>
        <v>35.740000000000016</v>
      </c>
      <c r="X34" s="24" t="str">
        <f ca="1">INDEX(WR!AA$3:AA$131,MATCH(S34,WR!$B$3:$B$167,0))</f>
        <v>WR5</v>
      </c>
      <c r="Y34" s="37">
        <f t="shared" ca="1" si="2"/>
        <v>1.4641690308176043E-2</v>
      </c>
      <c r="Z34" s="30">
        <f ca="1">IF(LeagueInfo!$H$7="Starter/Bench",INDEX(WR!$T$3:$T$167,MATCH(S34,WR!$B$3:$B$167,0))*InflationPct,INDEX(WR!$AB$3:$AB$167,MATCH(S34,WR!$B$3:$B$167,0))*InflationPct)</f>
        <v>11.666904737152763</v>
      </c>
      <c r="AB34" s="23">
        <f t="shared" ca="1" si="4"/>
        <v>30</v>
      </c>
      <c r="AC34" s="106" t="str">
        <f t="shared" ca="1" si="5"/>
        <v>Garrett Wilson</v>
      </c>
      <c r="AD34" s="106" t="str">
        <f t="shared" ca="1" si="6"/>
        <v>WR</v>
      </c>
      <c r="AE34" s="109">
        <f ca="1">LARGE(($E$5:$E$34,$E$37:$E$64,$N$5:$N$64,$W$5:$W$64),ROW(AE34)-4)</f>
        <v>76.38</v>
      </c>
    </row>
    <row r="35" spans="1:31" x14ac:dyDescent="0.35">
      <c r="A35" s="278" t="str">
        <f ca="1">CONCATENATE("TE - Positional Scarcity ",TEXT(TE!$Y$3,"0.00%"))</f>
        <v>TE - Positional Scarcity 100.00%</v>
      </c>
      <c r="B35" s="279"/>
      <c r="C35" s="279"/>
      <c r="D35" s="279"/>
      <c r="E35" s="279"/>
      <c r="F35" s="279"/>
      <c r="G35" s="279"/>
      <c r="H35" s="280"/>
      <c r="I35" s="22"/>
      <c r="J35" s="46" t="s">
        <v>520</v>
      </c>
      <c r="K35" s="55" t="str">
        <f>INDEX('RB'!$F$3:$F$131,MATCH(J35,'RB'!$B$3:$B$131,0))</f>
        <v>CIN</v>
      </c>
      <c r="L35" s="47">
        <f>INDEX('RB'!$E$3:$E$131,MATCH(J35,'RB'!$B$3:$B$131,0))</f>
        <v>12</v>
      </c>
      <c r="M35" s="178" t="str">
        <f>IF(INDEX(Auction!$H$13:$H$426,MATCH(J35,Auction!$A$13:$A$426,0))&gt;0,"x","")</f>
        <v/>
      </c>
      <c r="N35" s="42">
        <f ca="1">IF(M35="",INDEX('RB'!Z$3:Z$131,MATCH(J35,'RB'!$B$3:$B$131,0)),0)</f>
        <v>23.784999999999997</v>
      </c>
      <c r="O35" s="42" t="str">
        <f ca="1">INDEX('RB'!AA$3:AA$131,MATCH(J35,'RB'!$B$3:$B$131,0))</f>
        <v>RB6</v>
      </c>
      <c r="P35" s="48">
        <f t="shared" ca="1" si="1"/>
        <v>1.0512823346114326E-2</v>
      </c>
      <c r="Q35" s="49">
        <f ca="1">IF(LeagueInfo!$H$7="Starter/Bench",INDEX('RB'!$T$3:$T$131,MATCH(J35,'RB'!$B$3:$B$131,0))*InflationPct,INDEX('RB'!$AB$3:$AB$131,MATCH(J35,'RB'!$B$3:$B$131,0))*InflationPct)</f>
        <v>7.8480773750261701</v>
      </c>
      <c r="S35" s="23" t="s">
        <v>359</v>
      </c>
      <c r="T35" s="57" t="str">
        <f>INDEX(WR!$F$1:$F$167,MATCH(S35,WR!$B$1:$B$167,0))</f>
        <v>TEN</v>
      </c>
      <c r="U35" s="28">
        <f>INDEX(WR!$E$1:$E$167,MATCH(S35,WR!$B$1:$B$167,0))</f>
        <v>5</v>
      </c>
      <c r="V35" s="180" t="str">
        <f>IF(INDEX(Auction!$H$13:$H$426,MATCH(S35,Auction!$A$13:$A$426,0))&gt;0,"x","")</f>
        <v/>
      </c>
      <c r="W35" s="24">
        <f ca="1">IF(V35="",INDEX(WR!Z$3:Z$167,MATCH(S35,WR!$B$3:$B$167,0)),0)</f>
        <v>35.699999999999996</v>
      </c>
      <c r="X35" s="24" t="str">
        <f ca="1">INDEX(WR!AA$3:AA$131,MATCH(S35,WR!$B$3:$B$167,0))</f>
        <v>WR5</v>
      </c>
      <c r="Y35" s="37">
        <f t="shared" ca="1" si="2"/>
        <v>1.4625303413594977E-2</v>
      </c>
      <c r="Z35" s="30">
        <f ca="1">IF(LeagueInfo!$H$7="Starter/Bench",INDEX(WR!$T$3:$T$167,MATCH(S35,WR!$B$3:$B$167,0))*InflationPct,INDEX(WR!$AB$3:$AB$167,MATCH(S35,WR!$B$3:$B$167,0))*InflationPct)</f>
        <v>11.654257067681673</v>
      </c>
      <c r="AB35" s="23">
        <f t="shared" ca="1" si="4"/>
        <v>31</v>
      </c>
      <c r="AC35" s="106" t="str">
        <f t="shared" ca="1" si="5"/>
        <v>Travis Kelce</v>
      </c>
      <c r="AD35" s="106" t="str">
        <f t="shared" ca="1" si="6"/>
        <v>TE</v>
      </c>
      <c r="AE35" s="109">
        <f ca="1">LARGE(($E$5:$E$34,$E$37:$E$64,$N$5:$N$64,$W$5:$W$64),ROW(AE35)-4)</f>
        <v>76.17</v>
      </c>
    </row>
    <row r="36" spans="1:31" ht="15" thickBot="1" x14ac:dyDescent="0.4">
      <c r="A36" s="100" t="s">
        <v>327</v>
      </c>
      <c r="B36" s="101" t="s">
        <v>170</v>
      </c>
      <c r="C36" s="101" t="s">
        <v>169</v>
      </c>
      <c r="D36" s="101" t="s">
        <v>328</v>
      </c>
      <c r="E36" s="101" t="s">
        <v>11</v>
      </c>
      <c r="F36" s="101" t="s">
        <v>187</v>
      </c>
      <c r="G36" s="101" t="s">
        <v>329</v>
      </c>
      <c r="H36" s="102" t="s">
        <v>181</v>
      </c>
      <c r="I36" s="22"/>
      <c r="J36" s="46" t="s">
        <v>775</v>
      </c>
      <c r="K36" s="55" t="str">
        <f>INDEX('RB'!$F$3:$F$131,MATCH(J36,'RB'!$B$3:$B$131,0))</f>
        <v>TEN</v>
      </c>
      <c r="L36" s="47">
        <f>INDEX('RB'!$E$3:$E$131,MATCH(J36,'RB'!$B$3:$B$131,0))</f>
        <v>5</v>
      </c>
      <c r="M36" s="178" t="str">
        <f>IF(INDEX(Auction!$H$13:$H$426,MATCH(J36,Auction!$A$13:$A$426,0))&gt;0,"x","")</f>
        <v/>
      </c>
      <c r="N36" s="42">
        <f ca="1">IF(M36="",INDEX('RB'!Z$3:Z$131,MATCH(J36,'RB'!$B$3:$B$131,0)),0)</f>
        <v>21.539999999999992</v>
      </c>
      <c r="O36" s="42" t="str">
        <f ca="1">INDEX('RB'!AA$3:AA$131,MATCH(J36,'RB'!$B$3:$B$131,0))</f>
        <v>RB6</v>
      </c>
      <c r="P36" s="48">
        <f t="shared" ca="1" si="1"/>
        <v>9.5205471883667223E-3</v>
      </c>
      <c r="Q36" s="49">
        <f ca="1">IF(LeagueInfo!$H$7="Starter/Bench",INDEX('RB'!$T$3:$T$131,MATCH(J36,'RB'!$B$3:$B$131,0))*InflationPct,INDEX('RB'!$AB$3:$AB$131,MATCH(J36,'RB'!$B$3:$B$131,0))*InflationPct)</f>
        <v>7.1073191783924186</v>
      </c>
      <c r="S36" s="23" t="s">
        <v>743</v>
      </c>
      <c r="T36" s="57" t="str">
        <f>INDEX(WR!$F$1:$F$167,MATCH(S36,WR!$B$1:$B$167,0))</f>
        <v>KC</v>
      </c>
      <c r="U36" s="28">
        <f>INDEX(WR!$E$1:$E$167,MATCH(S36,WR!$B$1:$B$167,0))</f>
        <v>6</v>
      </c>
      <c r="V36" s="180" t="str">
        <f>IF(INDEX(Auction!$H$13:$H$426,MATCH(S36,Auction!$A$13:$A$426,0))&gt;0,"x","")</f>
        <v/>
      </c>
      <c r="W36" s="24">
        <f ca="1">IF(V36="",INDEX(WR!Z$3:Z$167,MATCH(S36,WR!$B$3:$B$167,0)),0)</f>
        <v>33.280000000000008</v>
      </c>
      <c r="X36" s="24" t="str">
        <f ca="1">INDEX(WR!AA$3:AA$131,MATCH(S36,WR!$B$3:$B$167,0))</f>
        <v>WR5</v>
      </c>
      <c r="Y36" s="37">
        <f t="shared" ca="1" si="2"/>
        <v>1.3633896291440925E-2</v>
      </c>
      <c r="Z36" s="30">
        <f ca="1">IF(LeagueInfo!$H$7="Starter/Bench",INDEX(WR!$T$3:$T$167,MATCH(S36,WR!$B$3:$B$167,0))*InflationPct,INDEX(WR!$AB$3:$AB$167,MATCH(S36,WR!$B$3:$B$167,0))*InflationPct)</f>
        <v>10.889073064681114</v>
      </c>
      <c r="AB36" s="23">
        <f t="shared" ca="1" si="4"/>
        <v>32</v>
      </c>
      <c r="AC36" s="106" t="str">
        <f t="shared" ca="1" si="5"/>
        <v>James Cook</v>
      </c>
      <c r="AD36" s="106" t="str">
        <f t="shared" ca="1" si="6"/>
        <v>RB</v>
      </c>
      <c r="AE36" s="109">
        <f ca="1">LARGE(($E$5:$E$34,$E$37:$E$64,$N$5:$N$64,$W$5:$W$64),ROW(AE36)-4)</f>
        <v>75.209999999999994</v>
      </c>
    </row>
    <row r="37" spans="1:31" x14ac:dyDescent="0.35">
      <c r="A37" s="21" t="s">
        <v>99</v>
      </c>
      <c r="B37" s="75" t="str">
        <f>INDEX(TE!F$3:F$112,MATCH(A37,TE!B$3:B$112,0))</f>
        <v>KC</v>
      </c>
      <c r="C37" s="28">
        <f>INDEX(TE!E$3:E$112,MATCH(A37,TE!B$3:B$112,0))</f>
        <v>6</v>
      </c>
      <c r="D37" s="182" t="str">
        <f>IF(INDEX(Auction!$H$13:$H$426,MATCH(A37,Auction!$A$13:$A$426,0))&gt;0,"x","")</f>
        <v/>
      </c>
      <c r="E37" s="24">
        <f ca="1">IF(D37="",INDEX(TE!Z$3:Z$112,MATCH(A37,TE!$B$3:$B$112,0)),0)</f>
        <v>76.17</v>
      </c>
      <c r="F37" s="24" t="str">
        <f ca="1">INDEX(TE!AA$3:AA$112,MATCH(A37,TE!$B$3:$B$112,0))</f>
        <v>TE1</v>
      </c>
      <c r="G37" s="37">
        <f t="shared" ref="G37:G64" ca="1" si="7">IF(D37="",IFERROR(E37/(SUMIFS($E$37:$E$64,$E$37:$E$64,"&gt;0",$D$37:$D$64,"")),1),0)</f>
        <v>0.12982121248274331</v>
      </c>
      <c r="H37" s="29">
        <f ca="1">IF(LeagueInfo!$H$7="Starter/Bench",INDEX(TE!$T$3:$T$112,MATCH(A37,TE!$B$3:$B$112,0))*InflationPct,INDEX(TE!$AB$3:$AB$112,MATCH(A37,TE!$B$3:$B$112,0))*InflationPct)</f>
        <v>24.31823222113529</v>
      </c>
      <c r="I37" s="22"/>
      <c r="J37" s="46" t="s">
        <v>355</v>
      </c>
      <c r="K37" s="55" t="str">
        <f>INDEX('RB'!$F$3:$F$131,MATCH(J37,'RB'!$B$3:$B$131,0))</f>
        <v>WAS</v>
      </c>
      <c r="L37" s="47">
        <f>INDEX('RB'!$E$3:$E$131,MATCH(J37,'RB'!$B$3:$B$131,0))</f>
        <v>14</v>
      </c>
      <c r="M37" s="178" t="str">
        <f>IF(INDEX(Auction!$H$13:$H$426,MATCH(J37,Auction!$A$13:$A$426,0))&gt;0,"x","")</f>
        <v/>
      </c>
      <c r="N37" s="42">
        <f ca="1">IF(M37="",INDEX('RB'!Z$3:Z$131,MATCH(J37,'RB'!$B$3:$B$131,0)),0)</f>
        <v>21.174999999999997</v>
      </c>
      <c r="O37" s="42" t="str">
        <f ca="1">INDEX('RB'!AA$3:AA$131,MATCH(J37,'RB'!$B$3:$B$131,0))</f>
        <v>RB6</v>
      </c>
      <c r="P37" s="48">
        <f t="shared" ref="P37:P64" ca="1" si="8">IF(M37="",IFERROR(N37/(SUMIFS($N$5:$N$64,$N$5:$N$64,"&gt;0",$M$5:$M$64,"")),1),0)</f>
        <v>9.35921943888883E-3</v>
      </c>
      <c r="Q37" s="49">
        <f ca="1">IF(LeagueInfo!$H$7="Starter/Bench",INDEX('RB'!$T$3:$T$131,MATCH(J37,'RB'!$B$3:$B$131,0))*InflationPct,INDEX('RB'!$AB$3:$AB$131,MATCH(J37,'RB'!$B$3:$B$131,0))*InflationPct)</f>
        <v>6.9868841041067551</v>
      </c>
      <c r="S37" s="23" t="s">
        <v>362</v>
      </c>
      <c r="T37" s="57" t="str">
        <f>INDEX(WR!$F$1:$F$167,MATCH(S37,WR!$B$1:$B$167,0))</f>
        <v>JAC</v>
      </c>
      <c r="U37" s="28">
        <f>INDEX(WR!$E$1:$E$167,MATCH(S37,WR!$B$1:$B$167,0))</f>
        <v>12</v>
      </c>
      <c r="V37" s="180" t="str">
        <f>IF(INDEX(Auction!$H$13:$H$426,MATCH(S37,Auction!$A$13:$A$426,0))&gt;0,"x","")</f>
        <v/>
      </c>
      <c r="W37" s="24">
        <f ca="1">IF(V37="",INDEX(WR!Z$3:Z$167,MATCH(S37,WR!$B$3:$B$167,0)),0)</f>
        <v>32.370000000000012</v>
      </c>
      <c r="X37" s="24" t="str">
        <f ca="1">INDEX(WR!AA$3:AA$131,MATCH(S37,WR!$B$3:$B$167,0))</f>
        <v>WR5</v>
      </c>
      <c r="Y37" s="37">
        <f t="shared" ref="Y37:Y64" ca="1" si="9">IF(V37="",IFERROR(W37/(SUMIFS($W$5:$W$64,$W$5:$W$64,"&gt;0",$V$5:$V$64,"")),1),0)</f>
        <v>1.3261094439721838E-2</v>
      </c>
      <c r="Z37" s="30">
        <f ca="1">IF(LeagueInfo!$H$7="Starter/Bench",INDEX(WR!$T$3:$T$167,MATCH(S37,WR!$B$3:$B$167,0))*InflationPct,INDEX(WR!$AB$3:$AB$167,MATCH(S37,WR!$B$3:$B$167,0))*InflationPct)</f>
        <v>10.601338584213963</v>
      </c>
      <c r="AB37" s="23">
        <f t="shared" ca="1" si="4"/>
        <v>33</v>
      </c>
      <c r="AC37" s="106" t="str">
        <f t="shared" ca="1" si="5"/>
        <v>Alvin Kamara</v>
      </c>
      <c r="AD37" s="106" t="str">
        <f t="shared" ca="1" si="6"/>
        <v>RB</v>
      </c>
      <c r="AE37" s="109">
        <f ca="1">LARGE(($E$5:$E$34,$E$37:$E$64,$N$5:$N$64,$W$5:$W$64),ROW(AE37)-4)</f>
        <v>75.11999999999999</v>
      </c>
    </row>
    <row r="38" spans="1:31" x14ac:dyDescent="0.35">
      <c r="A38" s="23" t="s">
        <v>725</v>
      </c>
      <c r="B38" s="57" t="str">
        <f>INDEX(TE!F$3:F$112,MATCH(A38,TE!B$3:B$112,0))</f>
        <v>DET</v>
      </c>
      <c r="C38" s="28">
        <f>INDEX(TE!E$3:E$112,MATCH(A38,TE!B$3:B$112,0))</f>
        <v>5</v>
      </c>
      <c r="D38" s="177" t="str">
        <f>IF(INDEX(Auction!$H$13:$H$426,MATCH(A38,Auction!$A$13:$A$426,0))&gt;0,"x","")</f>
        <v/>
      </c>
      <c r="E38" s="24">
        <f ca="1">IF(D38="",INDEX(TE!Z$3:Z$112,MATCH(A38,TE!$B$3:$B$112,0)),0)</f>
        <v>69.86</v>
      </c>
      <c r="F38" s="33" t="str">
        <f ca="1">INDEX(TE!AA$3:AA$112,MATCH(A38,TE!$B$3:$B$112,0))</f>
        <v>TE1</v>
      </c>
      <c r="G38" s="38">
        <f t="shared" ca="1" si="7"/>
        <v>0.11906669166396806</v>
      </c>
      <c r="H38" s="30">
        <f ca="1">IF(LeagueInfo!$H$7="Starter/Bench",INDEX(TE!$T$3:$T$112,MATCH(A38,TE!$B$3:$B$112,0))*InflationPct,INDEX(TE!$AB$3:$AB$112,MATCH(A38,TE!$B$3:$B$112,0))*InflationPct)</f>
        <v>22.323062362071845</v>
      </c>
      <c r="I38" s="22"/>
      <c r="J38" s="46" t="s">
        <v>717</v>
      </c>
      <c r="K38" s="55" t="str">
        <f>INDEX('RB'!$F$3:$F$131,MATCH(J38,'RB'!$B$3:$B$131,0))</f>
        <v>CIN</v>
      </c>
      <c r="L38" s="47">
        <f>INDEX('RB'!$E$3:$E$131,MATCH(J38,'RB'!$B$3:$B$131,0))</f>
        <v>12</v>
      </c>
      <c r="M38" s="178" t="str">
        <f>IF(INDEX(Auction!$H$13:$H$426,MATCH(J38,Auction!$A$13:$A$426,0))&gt;0,"x","")</f>
        <v/>
      </c>
      <c r="N38" s="42">
        <f ca="1">IF(M38="",INDEX('RB'!Z$3:Z$131,MATCH(J38,'RB'!$B$3:$B$131,0)),0)</f>
        <v>20.740000000000023</v>
      </c>
      <c r="O38" s="42" t="str">
        <f ca="1">INDEX('RB'!AA$3:AA$131,MATCH(J38,'RB'!$B$3:$B$131,0))</f>
        <v>RB6</v>
      </c>
      <c r="P38" s="48">
        <f t="shared" ca="1" si="8"/>
        <v>9.1669521210179256E-3</v>
      </c>
      <c r="Q38" s="49">
        <f ca="1">IF(LeagueInfo!$H$7="Starter/Bench",INDEX('RB'!$T$3:$T$131,MATCH(J38,'RB'!$B$3:$B$131,0))*InflationPct,INDEX('RB'!$AB$3:$AB$131,MATCH(J38,'RB'!$B$3:$B$131,0))*InflationPct)</f>
        <v>6.8433518922868606</v>
      </c>
      <c r="S38" s="23" t="s">
        <v>435</v>
      </c>
      <c r="T38" s="57" t="str">
        <f>INDEX(WR!$F$1:$F$167,MATCH(S38,WR!$B$1:$B$167,0))</f>
        <v>WAS</v>
      </c>
      <c r="U38" s="28">
        <f>INDEX(WR!$E$1:$E$167,MATCH(S38,WR!$B$1:$B$167,0))</f>
        <v>14</v>
      </c>
      <c r="V38" s="180" t="str">
        <f>IF(INDEX(Auction!$H$13:$H$426,MATCH(S38,Auction!$A$13:$A$426,0))&gt;0,"x","")</f>
        <v/>
      </c>
      <c r="W38" s="24">
        <f ca="1">IF(V38="",INDEX(WR!Z$3:Z$167,MATCH(S38,WR!$B$3:$B$167,0)),0)</f>
        <v>26.6</v>
      </c>
      <c r="X38" s="24" t="str">
        <f ca="1">INDEX(WR!AA$3:AA$131,MATCH(S38,WR!$B$3:$B$167,0))</f>
        <v>WR6</v>
      </c>
      <c r="Y38" s="37">
        <f t="shared" ca="1" si="9"/>
        <v>1.0897284896404102E-2</v>
      </c>
      <c r="Z38" s="30">
        <f ca="1">IF(LeagueInfo!$H$7="Starter/Bench",INDEX(WR!$T$3:$T$167,MATCH(S38,WR!$B$3:$B$167,0))*InflationPct,INDEX(WR!$AB$3:$AB$167,MATCH(S38,WR!$B$3:$B$167,0))*InflationPct)</f>
        <v>8.7769122630101393</v>
      </c>
      <c r="AB38" s="23">
        <f t="shared" ca="1" si="4"/>
        <v>34</v>
      </c>
      <c r="AC38" s="106" t="str">
        <f t="shared" ca="1" si="5"/>
        <v>Jayden Daniels</v>
      </c>
      <c r="AD38" s="106" t="str">
        <f t="shared" ca="1" si="6"/>
        <v>QB</v>
      </c>
      <c r="AE38" s="109">
        <f ca="1">LARGE(($E$5:$E$34,$E$37:$E$64,$N$5:$N$64,$W$5:$W$64),ROW(AE38)-4)</f>
        <v>74.319999999999951</v>
      </c>
    </row>
    <row r="39" spans="1:31" x14ac:dyDescent="0.35">
      <c r="A39" s="23" t="s">
        <v>371</v>
      </c>
      <c r="B39" s="57" t="str">
        <f>INDEX(TE!F$3:F$112,MATCH(A39,TE!B$3:B$112,0))</f>
        <v>BAL</v>
      </c>
      <c r="C39" s="28">
        <f>INDEX(TE!E$3:E$112,MATCH(A39,TE!B$3:B$112,0))</f>
        <v>14</v>
      </c>
      <c r="D39" s="177" t="str">
        <f>IF(INDEX(Auction!$H$13:$H$426,MATCH(A39,Auction!$A$13:$A$426,0))&gt;0,"x","")</f>
        <v/>
      </c>
      <c r="E39" s="24">
        <f ca="1">IF(D39="",INDEX(TE!Z$3:Z$112,MATCH(A39,TE!$B$3:$B$112,0)),0)</f>
        <v>61.470000000000013</v>
      </c>
      <c r="F39" s="33" t="str">
        <f ca="1">INDEX(TE!AA$3:AA$112,MATCH(A39,TE!$B$3:$B$112,0))</f>
        <v>TE1</v>
      </c>
      <c r="G39" s="38">
        <f t="shared" ca="1" si="7"/>
        <v>0.10476709900635726</v>
      </c>
      <c r="H39" s="30">
        <f ca="1">IF(LeagueInfo!$H$7="Starter/Bench",INDEX(TE!$T$3:$T$112,MATCH(A39,TE!$B$3:$B$112,0))*InflationPct,INDEX(TE!$AB$3:$AB$112,MATCH(A39,TE!$B$3:$B$112,0))*InflationPct)</f>
        <v>19.670213690512046</v>
      </c>
      <c r="I39" s="22"/>
      <c r="J39" s="46" t="s">
        <v>406</v>
      </c>
      <c r="K39" s="55" t="str">
        <f>INDEX('RB'!$F$3:$F$131,MATCH(J39,'RB'!$B$3:$B$131,0))</f>
        <v>LAC</v>
      </c>
      <c r="L39" s="47">
        <f>INDEX('RB'!$E$3:$E$131,MATCH(J39,'RB'!$B$3:$B$131,0))</f>
        <v>5</v>
      </c>
      <c r="M39" s="178" t="str">
        <f>IF(INDEX(Auction!$H$13:$H$426,MATCH(J39,Auction!$A$13:$A$426,0))&gt;0,"x","")</f>
        <v/>
      </c>
      <c r="N39" s="42">
        <f ca="1">IF(M39="",INDEX('RB'!Z$3:Z$131,MATCH(J39,'RB'!$B$3:$B$131,0)),0)</f>
        <v>18.375</v>
      </c>
      <c r="O39" s="42" t="str">
        <f ca="1">INDEX('RB'!AA$3:AA$131,MATCH(J39,'RB'!$B$3:$B$131,0))</f>
        <v>RB6</v>
      </c>
      <c r="P39" s="48">
        <f t="shared" ca="1" si="8"/>
        <v>8.1216367031679941E-3</v>
      </c>
      <c r="Q39" s="49">
        <f ca="1">IF(LeagueInfo!$H$7="Starter/Bench",INDEX('RB'!$T$3:$T$131,MATCH(J39,'RB'!$B$3:$B$131,0))*InflationPct,INDEX('RB'!$AB$3:$AB$131,MATCH(J39,'RB'!$B$3:$B$131,0))*InflationPct)</f>
        <v>6.0629986027372675</v>
      </c>
      <c r="S39" s="23" t="s">
        <v>101</v>
      </c>
      <c r="T39" s="57" t="str">
        <f>INDEX(WR!$F$1:$F$167,MATCH(S39,WR!$B$1:$B$167,0))</f>
        <v>CHI</v>
      </c>
      <c r="U39" s="28">
        <f>INDEX(WR!$E$1:$E$167,MATCH(S39,WR!$B$1:$B$167,0))</f>
        <v>7</v>
      </c>
      <c r="V39" s="180" t="str">
        <f>IF(INDEX(Auction!$H$13:$H$426,MATCH(S39,Auction!$A$13:$A$426,0))&gt;0,"x","")</f>
        <v/>
      </c>
      <c r="W39" s="24">
        <f ca="1">IF(V39="",INDEX(WR!Z$3:Z$167,MATCH(S39,WR!$B$3:$B$167,0)),0)</f>
        <v>24.419999999999995</v>
      </c>
      <c r="X39" s="24" t="str">
        <f ca="1">INDEX(WR!AA$3:AA$131,MATCH(S39,WR!$B$3:$B$167,0))</f>
        <v>WR6</v>
      </c>
      <c r="Y39" s="37">
        <f t="shared" ca="1" si="9"/>
        <v>1.0004199141736395E-2</v>
      </c>
      <c r="Z39" s="30">
        <f ca="1">IF(LeagueInfo!$H$7="Starter/Bench",INDEX(WR!$T$3:$T$167,MATCH(S39,WR!$B$3:$B$167,0))*InflationPct,INDEX(WR!$AB$3:$AB$167,MATCH(S39,WR!$B$3:$B$167,0))*InflationPct)</f>
        <v>8.0576014083724647</v>
      </c>
      <c r="AB39" s="23">
        <f t="shared" ca="1" si="4"/>
        <v>35</v>
      </c>
      <c r="AC39" s="106" t="str">
        <f t="shared" ca="1" si="5"/>
        <v>De'Von Achane</v>
      </c>
      <c r="AD39" s="106" t="str">
        <f t="shared" ca="1" si="6"/>
        <v>RB</v>
      </c>
      <c r="AE39" s="109">
        <f ca="1">LARGE(($E$5:$E$34,$E$37:$E$64,$N$5:$N$64,$W$5:$W$64),ROW(AE39)-4)</f>
        <v>74.199999999999974</v>
      </c>
    </row>
    <row r="40" spans="1:31" x14ac:dyDescent="0.35">
      <c r="A40" s="23" t="s">
        <v>634</v>
      </c>
      <c r="B40" s="57" t="str">
        <f>INDEX(TE!F$3:F$112,MATCH(A40,TE!B$3:B$112,0))</f>
        <v>ARI</v>
      </c>
      <c r="C40" s="28">
        <f>INDEX(TE!E$3:E$112,MATCH(A40,TE!B$3:B$112,0))</f>
        <v>11</v>
      </c>
      <c r="D40" s="177" t="str">
        <f>IF(INDEX(Auction!$H$13:$H$426,MATCH(A40,Auction!$A$13:$A$426,0))&gt;0,"x","")</f>
        <v/>
      </c>
      <c r="E40" s="24">
        <f ca="1">IF(D40="",INDEX(TE!Z$3:Z$112,MATCH(A40,TE!$B$3:$B$112,0)),0)</f>
        <v>52.820000000000007</v>
      </c>
      <c r="F40" s="33" t="str">
        <f ca="1">INDEX(TE!AA$3:AA$112,MATCH(A40,TE!$B$3:$B$112,0))</f>
        <v>TE2</v>
      </c>
      <c r="G40" s="38">
        <f t="shared" ca="1" si="7"/>
        <v>9.0024372368891992E-2</v>
      </c>
      <c r="H40" s="30">
        <f ca="1">IF(LeagueInfo!$H$7="Starter/Bench",INDEX(TE!$T$3:$T$112,MATCH(A40,TE!$B$3:$B$112,0))*InflationPct,INDEX(TE!$AB$3:$AB$112,MATCH(A40,TE!$B$3:$B$112,0))*InflationPct)</f>
        <v>16.935155167390199</v>
      </c>
      <c r="I40" s="22"/>
      <c r="J40" s="46" t="s">
        <v>88</v>
      </c>
      <c r="K40" s="55" t="str">
        <f>INDEX('RB'!$F$3:$F$131,MATCH(J40,'RB'!$B$3:$B$131,0))</f>
        <v>DAL</v>
      </c>
      <c r="L40" s="47">
        <f>INDEX('RB'!$E$3:$E$131,MATCH(J40,'RB'!$B$3:$B$131,0))</f>
        <v>7</v>
      </c>
      <c r="M40" s="178" t="str">
        <f>IF(INDEX(Auction!$H$13:$H$426,MATCH(J40,Auction!$A$13:$A$426,0))&gt;0,"x","")</f>
        <v/>
      </c>
      <c r="N40" s="42">
        <f ca="1">IF(M40="",INDEX('RB'!Z$3:Z$131,MATCH(J40,'RB'!$B$3:$B$131,0)),0)</f>
        <v>18.310000000000002</v>
      </c>
      <c r="O40" s="42" t="str">
        <f ca="1">INDEX('RB'!AA$3:AA$131,MATCH(J40,'RB'!$B$3:$B$131,0))</f>
        <v>RB6</v>
      </c>
      <c r="P40" s="48">
        <f t="shared" ca="1" si="8"/>
        <v>8.0929071039459038E-3</v>
      </c>
      <c r="Q40" s="49">
        <f ca="1">IF(LeagueInfo!$H$7="Starter/Bench",INDEX('RB'!$T$3:$T$131,MATCH(J40,'RB'!$B$3:$B$131,0))*InflationPct,INDEX('RB'!$AB$3:$AB$131,MATCH(J40,'RB'!$B$3:$B$131,0))*InflationPct)</f>
        <v>6.0415512607411905</v>
      </c>
      <c r="S40" s="23" t="s">
        <v>437</v>
      </c>
      <c r="T40" s="57" t="str">
        <f>INDEX(WR!$F$1:$F$167,MATCH(S40,WR!$B$1:$B$167,0))</f>
        <v>CAR</v>
      </c>
      <c r="U40" s="28">
        <f>INDEX(WR!$E$1:$E$167,MATCH(S40,WR!$B$1:$B$167,0))</f>
        <v>11</v>
      </c>
      <c r="V40" s="180" t="str">
        <f>IF(INDEX(Auction!$H$13:$H$426,MATCH(S40,Auction!$A$13:$A$426,0))&gt;0,"x","")</f>
        <v/>
      </c>
      <c r="W40" s="24">
        <f ca="1">IF(V40="",INDEX(WR!Z$3:Z$167,MATCH(S40,WR!$B$3:$B$167,0)),0)</f>
        <v>23.975000000000016</v>
      </c>
      <c r="X40" s="24" t="str">
        <f ca="1">INDEX(WR!AA$3:AA$131,MATCH(S40,WR!$B$3:$B$167,0))</f>
        <v>WR6</v>
      </c>
      <c r="Y40" s="37">
        <f t="shared" ca="1" si="9"/>
        <v>9.8218949395221244E-3</v>
      </c>
      <c r="Z40" s="30">
        <f ca="1">IF(LeagueInfo!$H$7="Starter/Bench",INDEX(WR!$T$3:$T$167,MATCH(S40,WR!$B$3:$B$167,0))*InflationPct,INDEX(WR!$AB$3:$AB$167,MATCH(S40,WR!$B$3:$B$167,0))*InflationPct)</f>
        <v>7.9107696054762489</v>
      </c>
      <c r="AB40" s="23">
        <f t="shared" ca="1" si="4"/>
        <v>36</v>
      </c>
      <c r="AC40" s="106" t="str">
        <f t="shared" ca="1" si="5"/>
        <v>Rachaad White</v>
      </c>
      <c r="AD40" s="106" t="str">
        <f t="shared" ca="1" si="6"/>
        <v>RB</v>
      </c>
      <c r="AE40" s="109">
        <f ca="1">LARGE(($E$5:$E$34,$E$37:$E$64,$N$5:$N$64,$W$5:$W$64),ROW(AE40)-4)</f>
        <v>73.83</v>
      </c>
    </row>
    <row r="41" spans="1:31" x14ac:dyDescent="0.35">
      <c r="A41" s="23" t="s">
        <v>257</v>
      </c>
      <c r="B41" s="57" t="str">
        <f>INDEX(TE!F$3:F$112,MATCH(A41,TE!B$3:B$112,0))</f>
        <v>SF</v>
      </c>
      <c r="C41" s="28">
        <f>INDEX(TE!E$3:E$112,MATCH(A41,TE!B$3:B$112,0))</f>
        <v>9</v>
      </c>
      <c r="D41" s="177" t="str">
        <f>IF(INDEX(Auction!$H$13:$H$426,MATCH(A41,Auction!$A$13:$A$426,0))&gt;0,"x","")</f>
        <v/>
      </c>
      <c r="E41" s="24">
        <f ca="1">IF(D41="",INDEX(TE!Z$3:Z$112,MATCH(A41,TE!$B$3:$B$112,0)),0)</f>
        <v>48.290000000000006</v>
      </c>
      <c r="F41" s="33" t="str">
        <f ca="1">INDEX(TE!AA$3:AA$112,MATCH(A41,TE!$B$3:$B$112,0))</f>
        <v>TE2</v>
      </c>
      <c r="G41" s="38">
        <f t="shared" ca="1" si="7"/>
        <v>8.2303614950658729E-2</v>
      </c>
      <c r="H41" s="30">
        <f ca="1">IF(LeagueInfo!$H$7="Starter/Bench",INDEX(TE!$T$3:$T$112,MATCH(A41,TE!$B$3:$B$112,0))*InflationPct,INDEX(TE!$AB$3:$AB$112,MATCH(A41,TE!$B$3:$B$112,0))*InflationPct)</f>
        <v>15.502806599789976</v>
      </c>
      <c r="I41" s="22"/>
      <c r="J41" s="46" t="s">
        <v>627</v>
      </c>
      <c r="K41" s="55" t="str">
        <f>INDEX('RB'!$F$3:$F$131,MATCH(J41,'RB'!$B$3:$B$131,0))</f>
        <v>CLE</v>
      </c>
      <c r="L41" s="47">
        <f>INDEX('RB'!$E$3:$E$131,MATCH(J41,'RB'!$B$3:$B$131,0))</f>
        <v>10</v>
      </c>
      <c r="M41" s="178" t="str">
        <f>IF(INDEX(Auction!$H$13:$H$426,MATCH(J41,Auction!$A$13:$A$426,0))&gt;0,"x","")</f>
        <v/>
      </c>
      <c r="N41" s="42">
        <f ca="1">IF(M41="",INDEX('RB'!Z$3:Z$131,MATCH(J41,'RB'!$B$3:$B$131,0)),0)</f>
        <v>17.225000000000009</v>
      </c>
      <c r="O41" s="42" t="str">
        <f ca="1">INDEX('RB'!AA$3:AA$131,MATCH(J41,'RB'!$B$3:$B$131,0))</f>
        <v>RB7</v>
      </c>
      <c r="P41" s="48">
        <f t="shared" ca="1" si="8"/>
        <v>7.613343793854083E-3</v>
      </c>
      <c r="Q41" s="49">
        <f ca="1">IF(LeagueInfo!$H$7="Starter/Bench",INDEX('RB'!$T$3:$T$131,MATCH(J41,'RB'!$B$3:$B$131,0))*InflationPct,INDEX('RB'!$AB$3:$AB$131,MATCH(J41,'RB'!$B$3:$B$131,0))*InflationPct)</f>
        <v>5.6835456289605162</v>
      </c>
      <c r="S41" s="23" t="s">
        <v>727</v>
      </c>
      <c r="T41" s="57" t="str">
        <f>INDEX(WR!$F$1:$F$167,MATCH(S41,WR!$B$1:$B$167,0))</f>
        <v>GB</v>
      </c>
      <c r="U41" s="28">
        <f>INDEX(WR!$E$1:$E$167,MATCH(S41,WR!$B$1:$B$167,0))</f>
        <v>10</v>
      </c>
      <c r="V41" s="180" t="str">
        <f>IF(INDEX(Auction!$H$13:$H$426,MATCH(S41,Auction!$A$13:$A$426,0))&gt;0,"x","")</f>
        <v/>
      </c>
      <c r="W41" s="24">
        <f ca="1">IF(V41="",INDEX(WR!Z$3:Z$167,MATCH(S41,WR!$B$3:$B$167,0)),0)</f>
        <v>23.870000000000012</v>
      </c>
      <c r="X41" s="24" t="str">
        <f ca="1">INDEX(WR!AA$3:AA$131,MATCH(S41,WR!$B$3:$B$167,0))</f>
        <v>WR6</v>
      </c>
      <c r="Y41" s="37">
        <f t="shared" ca="1" si="9"/>
        <v>9.7788793412468423E-3</v>
      </c>
      <c r="Z41" s="30">
        <f ca="1">IF(LeagueInfo!$H$7="Starter/Bench",INDEX(WR!$T$3:$T$167,MATCH(S41,WR!$B$3:$B$167,0))*InflationPct,INDEX(WR!$AB$3:$AB$167,MATCH(S41,WR!$B$3:$B$167,0))*InflationPct)</f>
        <v>7.8761238991748916</v>
      </c>
      <c r="AB41" s="23">
        <f t="shared" ca="1" si="4"/>
        <v>37</v>
      </c>
      <c r="AC41" s="106" t="str">
        <f t="shared" ca="1" si="5"/>
        <v>Caleb Williams</v>
      </c>
      <c r="AD41" s="106" t="str">
        <f t="shared" ca="1" si="6"/>
        <v>QB</v>
      </c>
      <c r="AE41" s="109">
        <f ca="1">LARGE(($E$5:$E$34,$E$37:$E$64,$N$5:$N$64,$W$5:$W$64),ROW(AE41)-4)</f>
        <v>70.859999999999971</v>
      </c>
    </row>
    <row r="42" spans="1:31" x14ac:dyDescent="0.35">
      <c r="A42" s="23" t="s">
        <v>712</v>
      </c>
      <c r="B42" s="57" t="str">
        <f>INDEX(TE!F$3:F$112,MATCH(A42,TE!B$3:B$112,0))</f>
        <v>BUF</v>
      </c>
      <c r="C42" s="28">
        <f>INDEX(TE!E$3:E$112,MATCH(A42,TE!B$3:B$112,0))</f>
        <v>12</v>
      </c>
      <c r="D42" s="177" t="str">
        <f>IF(INDEX(Auction!$H$13:$H$426,MATCH(A42,Auction!$A$13:$A$426,0))&gt;0,"x","")</f>
        <v/>
      </c>
      <c r="E42" s="24">
        <f ca="1">IF(D42="",INDEX(TE!Z$3:Z$112,MATCH(A42,TE!$B$3:$B$112,0)),0)</f>
        <v>46.320000000000007</v>
      </c>
      <c r="F42" s="33" t="str">
        <f ca="1">INDEX(TE!AA$3:AA$112,MATCH(A42,TE!$B$3:$B$112,0))</f>
        <v>TE3</v>
      </c>
      <c r="G42" s="38">
        <f t="shared" ca="1" si="7"/>
        <v>7.8946022872530802E-2</v>
      </c>
      <c r="H42" s="30">
        <f ca="1">IF(LeagueInfo!$H$7="Starter/Bench",INDEX(TE!$T$3:$T$112,MATCH(A42,TE!$B$3:$B$112,0))*InflationPct,INDEX(TE!$AB$3:$AB$112,MATCH(A42,TE!$B$3:$B$112,0))*InflationPct)</f>
        <v>14.879908878339105</v>
      </c>
      <c r="I42" s="17"/>
      <c r="J42" s="46" t="s">
        <v>354</v>
      </c>
      <c r="K42" s="55" t="str">
        <f>INDEX('RB'!$F$3:$F$131,MATCH(J42,'RB'!$B$3:$B$131,0))</f>
        <v>CLE</v>
      </c>
      <c r="L42" s="47">
        <f>INDEX('RB'!$E$3:$E$131,MATCH(J42,'RB'!$B$3:$B$131,0))</f>
        <v>10</v>
      </c>
      <c r="M42" s="178" t="str">
        <f>IF(INDEX(Auction!$H$13:$H$426,MATCH(J42,Auction!$A$13:$A$426,0))&gt;0,"x","")</f>
        <v/>
      </c>
      <c r="N42" s="42">
        <f ca="1">IF(M42="",INDEX('RB'!Z$3:Z$131,MATCH(J42,'RB'!$B$3:$B$131,0)),0)</f>
        <v>11.969999999999999</v>
      </c>
      <c r="O42" s="42" t="str">
        <f ca="1">INDEX('RB'!AA$3:AA$131,MATCH(J42,'RB'!$B$3:$B$131,0))</f>
        <v>RB7</v>
      </c>
      <c r="P42" s="48">
        <f t="shared" ca="1" si="8"/>
        <v>5.2906661952065786E-3</v>
      </c>
      <c r="Q42" s="49">
        <f ca="1">IF(LeagueInfo!$H$7="Starter/Bench",INDEX('RB'!$T$3:$T$131,MATCH(J42,'RB'!$B$3:$B$131,0))*InflationPct,INDEX('RB'!$AB$3:$AB$131,MATCH(J42,'RB'!$B$3:$B$131,0))*InflationPct)</f>
        <v>3.9496105183545622</v>
      </c>
      <c r="S42" s="23" t="s">
        <v>360</v>
      </c>
      <c r="T42" s="57" t="str">
        <f>INDEX(WR!$F$1:$F$167,MATCH(S42,WR!$B$1:$B$167,0))</f>
        <v>DEN</v>
      </c>
      <c r="U42" s="28">
        <f>INDEX(WR!$E$1:$E$167,MATCH(S42,WR!$B$1:$B$167,0))</f>
        <v>14</v>
      </c>
      <c r="V42" s="180" t="str">
        <f>IF(INDEX(Auction!$H$13:$H$426,MATCH(S42,Auction!$A$13:$A$426,0))&gt;0,"x","")</f>
        <v/>
      </c>
      <c r="W42" s="24">
        <f ca="1">IF(V42="",INDEX(WR!Z$3:Z$167,MATCH(S42,WR!$B$3:$B$167,0)),0)</f>
        <v>19.630000000000003</v>
      </c>
      <c r="X42" s="24" t="str">
        <f ca="1">INDEX(WR!AA$3:AA$131,MATCH(S42,WR!$B$3:$B$167,0))</f>
        <v>WR6</v>
      </c>
      <c r="Y42" s="37">
        <f t="shared" ca="1" si="9"/>
        <v>8.0418685156546064E-3</v>
      </c>
      <c r="Z42" s="30">
        <f ca="1">IF(LeagueInfo!$H$7="Starter/Bench",INDEX(WR!$T$3:$T$167,MATCH(S42,WR!$B$3:$B$167,0))*InflationPct,INDEX(WR!$AB$3:$AB$167,MATCH(S42,WR!$B$3:$B$167,0))*InflationPct)</f>
        <v>6.4770972828153779</v>
      </c>
      <c r="AB42" s="23">
        <f t="shared" ca="1" si="4"/>
        <v>38</v>
      </c>
      <c r="AC42" s="106" t="str">
        <f t="shared" ca="1" si="5"/>
        <v>Trevor Lawrence</v>
      </c>
      <c r="AD42" s="106" t="str">
        <f t="shared" ca="1" si="6"/>
        <v>QB</v>
      </c>
      <c r="AE42" s="109">
        <f ca="1">LARGE(($E$5:$E$34,$E$37:$E$64,$N$5:$N$64,$W$5:$W$64),ROW(AE42)-4)</f>
        <v>70.643999999999963</v>
      </c>
    </row>
    <row r="43" spans="1:31" x14ac:dyDescent="0.35">
      <c r="A43" s="23" t="s">
        <v>567</v>
      </c>
      <c r="B43" s="57" t="str">
        <f>INDEX(TE!F$3:F$112,MATCH(A43,TE!B$3:B$112,0))</f>
        <v>ATL</v>
      </c>
      <c r="C43" s="28">
        <f>INDEX(TE!E$3:E$112,MATCH(A43,TE!B$3:B$112,0))</f>
        <v>12</v>
      </c>
      <c r="D43" s="177" t="str">
        <f>IF(INDEX(Auction!$H$13:$H$426,MATCH(A43,Auction!$A$13:$A$426,0))&gt;0,"x","")</f>
        <v/>
      </c>
      <c r="E43" s="24">
        <f ca="1">IF(D43="",INDEX(TE!Z$3:Z$112,MATCH(A43,TE!$B$3:$B$112,0)),0)</f>
        <v>43.939999999999984</v>
      </c>
      <c r="F43" s="33" t="str">
        <f ca="1">INDEX(TE!AA$3:AA$112,MATCH(A43,TE!$B$3:$B$112,0))</f>
        <v>TE3</v>
      </c>
      <c r="G43" s="38">
        <f t="shared" ca="1" si="7"/>
        <v>7.4889642595401582E-2</v>
      </c>
      <c r="H43" s="30">
        <f ca="1">IF(LeagueInfo!$H$7="Starter/Bench",INDEX(TE!$T$3:$T$112,MATCH(A43,TE!$B$3:$B$112,0))*InflationPct,INDEX(TE!$AB$3:$AB$112,MATCH(A43,TE!$B$3:$B$112,0))*InflationPct)</f>
        <v>14.127372544809619</v>
      </c>
      <c r="I43" s="17"/>
      <c r="J43" s="46" t="s">
        <v>861</v>
      </c>
      <c r="K43" s="55" t="str">
        <f>INDEX('RB'!$F$3:$F$131,MATCH(J43,'RB'!$B$3:$B$131,0))</f>
        <v>CAR</v>
      </c>
      <c r="L43" s="47">
        <f>INDEX('RB'!$E$3:$E$131,MATCH(J43,'RB'!$B$3:$B$131,0))</f>
        <v>11</v>
      </c>
      <c r="M43" s="178" t="str">
        <f>IF(INDEX(Auction!$H$13:$H$426,MATCH(J43,Auction!$A$13:$A$426,0))&gt;0,"x","")</f>
        <v/>
      </c>
      <c r="N43" s="42">
        <f ca="1">IF(M43="",INDEX('RB'!Z$3:Z$131,MATCH(J43,'RB'!$B$3:$B$131,0)),0)</f>
        <v>10.340000000000003</v>
      </c>
      <c r="O43" s="42" t="str">
        <f ca="1">INDEX('RB'!AA$3:AA$131,MATCH(J43,'RB'!$B$3:$B$131,0))</f>
        <v>RB7</v>
      </c>
      <c r="P43" s="48">
        <f t="shared" ca="1" si="8"/>
        <v>4.5702162454833786E-3</v>
      </c>
      <c r="Q43" s="49">
        <f ca="1">IF(LeagueInfo!$H$7="Starter/Bench",INDEX('RB'!$T$3:$T$131,MATCH(J43,'RB'!$B$3:$B$131,0))*InflationPct,INDEX('RB'!$AB$3:$AB$131,MATCH(J43,'RB'!$B$3:$B$131,0))*InflationPct)</f>
        <v>3.4117771729144688</v>
      </c>
      <c r="S43" s="23" t="s">
        <v>769</v>
      </c>
      <c r="T43" s="57" t="str">
        <f>INDEX(WR!$F$1:$F$167,MATCH(S43,WR!$B$1:$B$167,0))</f>
        <v>SEA</v>
      </c>
      <c r="U43" s="28">
        <f>INDEX(WR!$E$1:$E$167,MATCH(S43,WR!$B$1:$B$167,0))</f>
        <v>10</v>
      </c>
      <c r="V43" s="180" t="str">
        <f>IF(INDEX(Auction!$H$13:$H$426,MATCH(S43,Auction!$A$13:$A$426,0))&gt;0,"x","")</f>
        <v/>
      </c>
      <c r="W43" s="24">
        <f ca="1">IF(V43="",INDEX(WR!Z$3:Z$167,MATCH(S43,WR!$B$3:$B$167,0)),0)</f>
        <v>19.47000000000002</v>
      </c>
      <c r="X43" s="24" t="str">
        <f ca="1">INDEX(WR!AA$3:AA$131,MATCH(S43,WR!$B$3:$B$167,0))</f>
        <v>WR6</v>
      </c>
      <c r="Y43" s="37">
        <f t="shared" ca="1" si="9"/>
        <v>7.9763209373303785E-3</v>
      </c>
      <c r="Z43" s="30">
        <f ca="1">IF(LeagueInfo!$H$7="Starter/Bench",INDEX(WR!$T$3:$T$167,MATCH(S43,WR!$B$3:$B$167,0))*InflationPct,INDEX(WR!$AB$3:$AB$167,MATCH(S43,WR!$B$3:$B$167,0))*InflationPct)</f>
        <v>6.4243038255942704</v>
      </c>
      <c r="AB43" s="23">
        <f t="shared" ca="1" si="4"/>
        <v>39</v>
      </c>
      <c r="AC43" s="106" t="str">
        <f t="shared" ca="1" si="5"/>
        <v>Joe Mixon</v>
      </c>
      <c r="AD43" s="106" t="str">
        <f t="shared" ca="1" si="6"/>
        <v>RB</v>
      </c>
      <c r="AE43" s="109">
        <f ca="1">LARGE(($E$5:$E$34,$E$37:$E$64,$N$5:$N$64,$W$5:$W$64),ROW(AE43)-4)</f>
        <v>70.199999999999974</v>
      </c>
    </row>
    <row r="44" spans="1:31" x14ac:dyDescent="0.35">
      <c r="A44" s="23" t="s">
        <v>145</v>
      </c>
      <c r="B44" s="57" t="str">
        <f>INDEX(TE!F$3:F$112,MATCH(A44,TE!B$3:B$112,0))</f>
        <v>JAC</v>
      </c>
      <c r="C44" s="28">
        <f>INDEX(TE!E$3:E$112,MATCH(A44,TE!B$3:B$112,0))</f>
        <v>12</v>
      </c>
      <c r="D44" s="177" t="str">
        <f>IF(INDEX(Auction!$H$13:$H$426,MATCH(A44,Auction!$A$13:$A$426,0))&gt;0,"x","")</f>
        <v/>
      </c>
      <c r="E44" s="24">
        <f ca="1">IF(D44="",INDEX(TE!Z$3:Z$112,MATCH(A44,TE!$B$3:$B$112,0)),0)</f>
        <v>38.129999999999981</v>
      </c>
      <c r="F44" s="33" t="str">
        <f ca="1">INDEX(TE!AA$3:AA$112,MATCH(A44,TE!$B$3:$B$112,0))</f>
        <v>TE3</v>
      </c>
      <c r="G44" s="38">
        <f t="shared" ca="1" si="7"/>
        <v>6.4987302507115666E-2</v>
      </c>
      <c r="H44" s="30">
        <f ca="1">IF(LeagueInfo!$H$7="Starter/Bench",INDEX(TE!$T$3:$T$112,MATCH(A44,TE!$B$3:$B$112,0))*InflationPct,INDEX(TE!$AB$3:$AB$112,MATCH(A44,TE!$B$3:$B$112,0))*InflationPct)</f>
        <v>12.290298554134715</v>
      </c>
      <c r="I44" s="17"/>
      <c r="J44" s="46" t="s">
        <v>544</v>
      </c>
      <c r="K44" s="55" t="str">
        <f>INDEX('RB'!$F$3:$F$131,MATCH(J44,'RB'!$B$3:$B$131,0))</f>
        <v>CAR</v>
      </c>
      <c r="L44" s="47">
        <f>INDEX('RB'!$E$3:$E$131,MATCH(J44,'RB'!$B$3:$B$131,0))</f>
        <v>11</v>
      </c>
      <c r="M44" s="178" t="str">
        <f>IF(INDEX(Auction!$H$13:$H$426,MATCH(J44,Auction!$A$13:$A$426,0))&gt;0,"x","")</f>
        <v/>
      </c>
      <c r="N44" s="42">
        <f ca="1">IF(M44="",INDEX('RB'!Z$3:Z$131,MATCH(J44,'RB'!$B$3:$B$131,0)),0)</f>
        <v>8.4099999999999966</v>
      </c>
      <c r="O44" s="42" t="str">
        <f ca="1">INDEX('RB'!AA$3:AA$131,MATCH(J44,'RB'!$B$3:$B$131,0))</f>
        <v>RB7</v>
      </c>
      <c r="P44" s="48">
        <f t="shared" ca="1" si="8"/>
        <v>3.7171681455043706E-3</v>
      </c>
      <c r="Q44" s="49">
        <f ca="1">IF(LeagueInfo!$H$7="Starter/Bench",INDEX('RB'!$T$3:$T$131,MATCH(J44,'RB'!$B$3:$B$131,0))*InflationPct,INDEX('RB'!$AB$3:$AB$131,MATCH(J44,'RB'!$B$3:$B$131,0))*InflationPct)</f>
        <v>2.7749560951847836</v>
      </c>
      <c r="S44" s="23" t="s">
        <v>93</v>
      </c>
      <c r="T44" s="57" t="str">
        <f>INDEX(WR!$F$1:$F$167,MATCH(S44,WR!$B$1:$B$167,0))</f>
        <v>TEN</v>
      </c>
      <c r="U44" s="28">
        <f>INDEX(WR!$E$1:$E$167,MATCH(S44,WR!$B$1:$B$167,0))</f>
        <v>5</v>
      </c>
      <c r="V44" s="180" t="str">
        <f>IF(INDEX(Auction!$H$13:$H$426,MATCH(S44,Auction!$A$13:$A$426,0))&gt;0,"x","")</f>
        <v/>
      </c>
      <c r="W44" s="24">
        <f ca="1">IF(V44="",INDEX(WR!Z$3:Z$167,MATCH(S44,WR!$B$3:$B$167,0)),0)</f>
        <v>19.099999999999987</v>
      </c>
      <c r="X44" s="24" t="str">
        <f ca="1">INDEX(WR!AA$3:AA$131,MATCH(S44,WR!$B$3:$B$167,0))</f>
        <v>WR6</v>
      </c>
      <c r="Y44" s="37">
        <f t="shared" ca="1" si="9"/>
        <v>7.8247421624555707E-3</v>
      </c>
      <c r="Z44" s="30">
        <f ca="1">IF(LeagueInfo!$H$7="Starter/Bench",INDEX(WR!$T$3:$T$167,MATCH(S44,WR!$B$3:$B$167,0))*InflationPct,INDEX(WR!$AB$3:$AB$167,MATCH(S44,WR!$B$3:$B$167,0))*InflationPct)</f>
        <v>6.3022189557704342</v>
      </c>
      <c r="AB44" s="23">
        <f t="shared" ca="1" si="4"/>
        <v>40</v>
      </c>
      <c r="AC44" s="106" t="str">
        <f t="shared" ca="1" si="5"/>
        <v>Sam LaPorta</v>
      </c>
      <c r="AD44" s="106" t="str">
        <f t="shared" ca="1" si="6"/>
        <v>TE</v>
      </c>
      <c r="AE44" s="109">
        <f ca="1">LARGE(($E$5:$E$34,$E$37:$E$64,$N$5:$N$64,$W$5:$W$64),ROW(AE44)-4)</f>
        <v>69.86</v>
      </c>
    </row>
    <row r="45" spans="1:31" x14ac:dyDescent="0.35">
      <c r="A45" s="23" t="s">
        <v>638</v>
      </c>
      <c r="B45" s="57" t="str">
        <f>INDEX(TE!F$3:F$112,MATCH(A45,TE!B$3:B$112,0))</f>
        <v>DAL</v>
      </c>
      <c r="C45" s="28">
        <f>INDEX(TE!E$3:E$112,MATCH(A45,TE!B$3:B$112,0))</f>
        <v>7</v>
      </c>
      <c r="D45" s="177" t="str">
        <f>IF(INDEX(Auction!$H$13:$H$426,MATCH(A45,Auction!$A$13:$A$426,0))&gt;0,"x","")</f>
        <v/>
      </c>
      <c r="E45" s="24">
        <f ca="1">IF(D45="",INDEX(TE!Z$3:Z$112,MATCH(A45,TE!$B$3:$B$112,0)),0)</f>
        <v>35.779999999999987</v>
      </c>
      <c r="F45" s="33" t="str">
        <f ca="1">INDEX(TE!AA$3:AA$112,MATCH(A45,TE!$B$3:$B$112,0))</f>
        <v>TE3</v>
      </c>
      <c r="G45" s="38">
        <f t="shared" ca="1" si="7"/>
        <v>6.0982053073815858E-2</v>
      </c>
      <c r="H45" s="30">
        <f ca="1">IF(LeagueInfo!$H$7="Starter/Bench",INDEX(TE!$T$3:$T$112,MATCH(A45,TE!$B$3:$B$112,0))*InflationPct,INDEX(TE!$AB$3:$AB$112,MATCH(A45,TE!$B$3:$B$112,0))*InflationPct)</f>
        <v>11.547247972708551</v>
      </c>
      <c r="I45" s="17"/>
      <c r="J45" s="46" t="s">
        <v>519</v>
      </c>
      <c r="K45" s="55" t="str">
        <f>INDEX('RB'!$F$3:$F$131,MATCH(J45,'RB'!$B$3:$B$131,0))</f>
        <v>LAC</v>
      </c>
      <c r="L45" s="47">
        <f>INDEX('RB'!$E$3:$E$131,MATCH(J45,'RB'!$B$3:$B$131,0))</f>
        <v>5</v>
      </c>
      <c r="M45" s="178" t="str">
        <f>IF(INDEX(Auction!$H$13:$H$426,MATCH(J45,Auction!$A$13:$A$426,0))&gt;0,"x","")</f>
        <v/>
      </c>
      <c r="N45" s="42">
        <f ca="1">IF(M45="",INDEX('RB'!Z$3:Z$131,MATCH(J45,'RB'!$B$3:$B$131,0)),0)</f>
        <v>7.2500000000000071</v>
      </c>
      <c r="O45" s="42" t="str">
        <f ca="1">INDEX('RB'!AA$3:AA$131,MATCH(J45,'RB'!$B$3:$B$131,0))</f>
        <v>RB7</v>
      </c>
      <c r="P45" s="48">
        <f t="shared" ca="1" si="8"/>
        <v>3.2044552978485997E-3</v>
      </c>
      <c r="Q45" s="49">
        <f ca="1">IF(LeagueInfo!$H$7="Starter/Bench",INDEX('RB'!$T$3:$T$131,MATCH(J45,'RB'!$B$3:$B$131,0))*InflationPct,INDEX('RB'!$AB$3:$AB$131,MATCH(J45,'RB'!$B$3:$B$131,0))*InflationPct)</f>
        <v>2.3922035303317131</v>
      </c>
      <c r="S45" s="23" t="s">
        <v>595</v>
      </c>
      <c r="T45" s="57" t="str">
        <f>INDEX(WR!$F$1:$F$167,MATCH(S45,WR!$B$1:$B$167,0))</f>
        <v>GB</v>
      </c>
      <c r="U45" s="28">
        <f>INDEX(WR!$E$1:$E$167,MATCH(S45,WR!$B$1:$B$167,0))</f>
        <v>10</v>
      </c>
      <c r="V45" s="180" t="str">
        <f>IF(INDEX(Auction!$H$13:$H$426,MATCH(S45,Auction!$A$13:$A$426,0))&gt;0,"x","")</f>
        <v/>
      </c>
      <c r="W45" s="24">
        <f ca="1">IF(V45="",INDEX(WR!Z$3:Z$167,MATCH(S45,WR!$B$3:$B$167,0)),0)</f>
        <v>18.695</v>
      </c>
      <c r="X45" s="24" t="str">
        <f ca="1">INDEX(WR!AA$3:AA$131,MATCH(S45,WR!$B$3:$B$167,0))</f>
        <v>WR6</v>
      </c>
      <c r="Y45" s="37">
        <f t="shared" ca="1" si="9"/>
        <v>7.658824854822356E-3</v>
      </c>
      <c r="Z45" s="30">
        <f ca="1">IF(LeagueInfo!$H$7="Starter/Bench",INDEX(WR!$T$3:$T$167,MATCH(S45,WR!$B$3:$B$167,0))*InflationPct,INDEX(WR!$AB$3:$AB$167,MATCH(S45,WR!$B$3:$B$167,0))*InflationPct)</f>
        <v>6.168585517179495</v>
      </c>
      <c r="AB45" s="23">
        <f t="shared" ca="1" si="4"/>
        <v>41</v>
      </c>
      <c r="AC45" s="106" t="str">
        <f t="shared" ca="1" si="5"/>
        <v>Chris Olave</v>
      </c>
      <c r="AD45" s="106" t="str">
        <f t="shared" ca="1" si="6"/>
        <v>WR</v>
      </c>
      <c r="AE45" s="109">
        <f ca="1">LARGE(($E$5:$E$34,$E$37:$E$64,$N$5:$N$64,$W$5:$W$64),ROW(AE45)-4)</f>
        <v>63.980000000000025</v>
      </c>
    </row>
    <row r="46" spans="1:31" x14ac:dyDescent="0.35">
      <c r="A46" s="23" t="s">
        <v>142</v>
      </c>
      <c r="B46" s="57" t="str">
        <f>INDEX(TE!F$3:F$112,MATCH(A46,TE!B$3:B$112,0))</f>
        <v>CLE</v>
      </c>
      <c r="C46" s="28">
        <f>INDEX(TE!E$3:E$112,MATCH(A46,TE!B$3:B$112,0))</f>
        <v>10</v>
      </c>
      <c r="D46" s="177" t="str">
        <f>IF(INDEX(Auction!$H$13:$H$426,MATCH(A46,Auction!$A$13:$A$426,0))&gt;0,"x","")</f>
        <v/>
      </c>
      <c r="E46" s="24">
        <f ca="1">IF(D46="",INDEX(TE!Z$3:Z$112,MATCH(A46,TE!$B$3:$B$112,0)),0)</f>
        <v>34.959999999999994</v>
      </c>
      <c r="F46" s="33" t="str">
        <f ca="1">INDEX(TE!AA$3:AA$112,MATCH(A46,TE!$B$3:$B$112,0))</f>
        <v>TE3</v>
      </c>
      <c r="G46" s="38">
        <f t="shared" ca="1" si="7"/>
        <v>5.9584476675813382E-2</v>
      </c>
      <c r="H46" s="30">
        <f ca="1">IF(LeagueInfo!$H$7="Starter/Bench",INDEX(TE!$T$3:$T$112,MATCH(A46,TE!$B$3:$B$112,0))*InflationPct,INDEX(TE!$AB$3:$AB$112,MATCH(A46,TE!$B$3:$B$112,0))*InflationPct)</f>
        <v>11.287970748551338</v>
      </c>
      <c r="I46" s="22"/>
      <c r="J46" s="46" t="s">
        <v>628</v>
      </c>
      <c r="K46" s="55" t="str">
        <f>INDEX('RB'!$F$3:$F$131,MATCH(J46,'RB'!$B$3:$B$131,0))</f>
        <v>MIN</v>
      </c>
      <c r="L46" s="47">
        <f>INDEX('RB'!$E$3:$E$131,MATCH(J46,'RB'!$B$3:$B$131,0))</f>
        <v>6</v>
      </c>
      <c r="M46" s="178" t="str">
        <f>IF(INDEX(Auction!$H$13:$H$426,MATCH(J46,Auction!$A$13:$A$426,0))&gt;0,"x","")</f>
        <v/>
      </c>
      <c r="N46" s="42">
        <f ca="1">IF(M46="",INDEX('RB'!Z$3:Z$131,MATCH(J46,'RB'!$B$3:$B$131,0)),0)</f>
        <v>4.9949999999999903</v>
      </c>
      <c r="O46" s="42" t="str">
        <f ca="1">INDEX('RB'!AA$3:AA$131,MATCH(J46,'RB'!$B$3:$B$131,0))</f>
        <v>RB7</v>
      </c>
      <c r="P46" s="48">
        <f t="shared" ca="1" si="8"/>
        <v>2.2077592017591321E-3</v>
      </c>
      <c r="Q46" s="49">
        <f ca="1">IF(LeagueInfo!$H$7="Starter/Bench",INDEX('RB'!$T$3:$T$131,MATCH(J46,'RB'!$B$3:$B$131,0))*InflationPct,INDEX('RB'!$AB$3:$AB$131,MATCH(J46,'RB'!$B$3:$B$131,0))*InflationPct)</f>
        <v>1.6481457426216377</v>
      </c>
      <c r="S46" s="23" t="s">
        <v>753</v>
      </c>
      <c r="T46" s="57" t="str">
        <f>INDEX(WR!$F$1:$F$167,MATCH(S46,WR!$B$1:$B$167,0))</f>
        <v>MIN</v>
      </c>
      <c r="U46" s="28">
        <f>INDEX(WR!$E$1:$E$167,MATCH(S46,WR!$B$1:$B$167,0))</f>
        <v>6</v>
      </c>
      <c r="V46" s="180" t="str">
        <f>IF(INDEX(Auction!$H$13:$H$426,MATCH(S46,Auction!$A$13:$A$426,0))&gt;0,"x","")</f>
        <v/>
      </c>
      <c r="W46" s="24">
        <f ca="1">IF(V46="",INDEX(WR!Z$3:Z$167,MATCH(S46,WR!$B$3:$B$167,0)),0)</f>
        <v>18.605000000000011</v>
      </c>
      <c r="X46" s="24" t="str">
        <f ca="1">INDEX(WR!AA$3:AA$131,MATCH(S46,WR!$B$3:$B$167,0))</f>
        <v>WR6</v>
      </c>
      <c r="Y46" s="37">
        <f t="shared" ca="1" si="9"/>
        <v>7.6219543420149782E-3</v>
      </c>
      <c r="Z46" s="30">
        <f ca="1">IF(LeagueInfo!$H$7="Starter/Bench",INDEX(WR!$T$3:$T$167,MATCH(S46,WR!$B$3:$B$167,0))*InflationPct,INDEX(WR!$AB$3:$AB$167,MATCH(S46,WR!$B$3:$B$167,0))*InflationPct)</f>
        <v>6.1388891974926221</v>
      </c>
      <c r="AB46" s="23">
        <f t="shared" ca="1" si="4"/>
        <v>42</v>
      </c>
      <c r="AC46" s="106" t="str">
        <f t="shared" ca="1" si="5"/>
        <v>Deshaun Watson</v>
      </c>
      <c r="AD46" s="106" t="str">
        <f t="shared" ca="1" si="6"/>
        <v>QB</v>
      </c>
      <c r="AE46" s="109">
        <f ca="1">LARGE(($E$5:$E$34,$E$37:$E$64,$N$5:$N$64,$W$5:$W$64),ROW(AE46)-4)</f>
        <v>62.961999999999946</v>
      </c>
    </row>
    <row r="47" spans="1:31" x14ac:dyDescent="0.35">
      <c r="A47" s="23" t="s">
        <v>936</v>
      </c>
      <c r="B47" s="57" t="str">
        <f>INDEX(TE!F$3:F$112,MATCH(A47,TE!B$3:B$112,0))</f>
        <v>LV</v>
      </c>
      <c r="C47" s="28">
        <f>INDEX(TE!E$3:E$112,MATCH(A47,TE!B$3:B$112,0))</f>
        <v>10</v>
      </c>
      <c r="D47" s="177" t="str">
        <f>IF(INDEX(Auction!$H$13:$H$426,MATCH(A47,Auction!$A$13:$A$426,0))&gt;0,"x","")</f>
        <v/>
      </c>
      <c r="E47" s="24">
        <f ca="1">IF(D47="",INDEX(TE!Z$3:Z$112,MATCH(A47,TE!$B$3:$B$112,0)),0)</f>
        <v>18.539999999999992</v>
      </c>
      <c r="F47" s="33" t="str">
        <f ca="1">INDEX(TE!AA$3:AA$112,MATCH(A47,TE!$B$3:$B$112,0))</f>
        <v>TE5</v>
      </c>
      <c r="G47" s="38">
        <f t="shared" ca="1" si="7"/>
        <v>3.1598861486544047E-2</v>
      </c>
      <c r="H47" s="30">
        <f ca="1">IF(LeagueInfo!$H$7="Starter/Bench",INDEX(TE!$T$3:$T$112,MATCH(A47,TE!$B$3:$B$112,0))*InflationPct,INDEX(TE!$AB$3:$AB$112,MATCH(A47,TE!$B$3:$B$112,0))*InflationPct)</f>
        <v>6.0961024306714915</v>
      </c>
      <c r="I47" s="22"/>
      <c r="J47" s="46" t="s">
        <v>529</v>
      </c>
      <c r="K47" s="55" t="str">
        <f>INDEX('RB'!$F$3:$F$131,MATCH(J47,'RB'!$B$3:$B$131,0))</f>
        <v>DAL</v>
      </c>
      <c r="L47" s="47">
        <f>INDEX('RB'!$E$3:$E$131,MATCH(J47,'RB'!$B$3:$B$131,0))</f>
        <v>7</v>
      </c>
      <c r="M47" s="178" t="str">
        <f>IF(INDEX(Auction!$H$13:$H$426,MATCH(J47,Auction!$A$13:$A$426,0))&gt;0,"x","")</f>
        <v/>
      </c>
      <c r="N47" s="42">
        <f ca="1">IF(M47="",INDEX('RB'!Z$3:Z$131,MATCH(J47,'RB'!$B$3:$B$131,0)),0)</f>
        <v>4.3400000000000034</v>
      </c>
      <c r="O47" s="42" t="str">
        <f ca="1">INDEX('RB'!AA$3:AA$131,MATCH(J47,'RB'!$B$3:$B$131,0))</f>
        <v>RB7</v>
      </c>
      <c r="P47" s="48">
        <f t="shared" ca="1" si="8"/>
        <v>1.9182532403672992E-3</v>
      </c>
      <c r="Q47" s="49">
        <f ca="1">IF(LeagueInfo!$H$7="Starter/Bench",INDEX('RB'!$T$3:$T$131,MATCH(J47,'RB'!$B$3:$B$131,0))*InflationPct,INDEX('RB'!$AB$3:$AB$131,MATCH(J47,'RB'!$B$3:$B$131,0))*InflationPct)</f>
        <v>1.4320225271227081</v>
      </c>
      <c r="S47" s="23" t="s">
        <v>910</v>
      </c>
      <c r="T47" s="57" t="str">
        <f>INDEX(WR!$F$1:$F$167,MATCH(S47,WR!$B$1:$B$167,0))</f>
        <v>KC</v>
      </c>
      <c r="U47" s="28">
        <f>INDEX(WR!$E$1:$E$167,MATCH(S47,WR!$B$1:$B$167,0))</f>
        <v>6</v>
      </c>
      <c r="V47" s="180" t="str">
        <f>IF(INDEX(Auction!$H$13:$H$426,MATCH(S47,Auction!$A$13:$A$426,0))&gt;0,"x","")</f>
        <v/>
      </c>
      <c r="W47" s="24">
        <f ca="1">IF(V47="",INDEX(WR!Z$3:Z$167,MATCH(S47,WR!$B$3:$B$167,0)),0)</f>
        <v>18.074999999999996</v>
      </c>
      <c r="X47" s="24" t="str">
        <f ca="1">INDEX(WR!AA$3:AA$131,MATCH(S47,WR!$B$3:$B$167,0))</f>
        <v>WR6</v>
      </c>
      <c r="Y47" s="37">
        <f t="shared" ca="1" si="9"/>
        <v>7.4048279888159433E-3</v>
      </c>
      <c r="Z47" s="30">
        <f ca="1">IF(LeagueInfo!$H$7="Starter/Bench",INDEX(WR!$T$3:$T$167,MATCH(S47,WR!$B$3:$B$167,0))*InflationPct,INDEX(WR!$AB$3:$AB$167,MATCH(S47,WR!$B$3:$B$167,0))*InflationPct)</f>
        <v>5.9640108704476775</v>
      </c>
      <c r="AB47" s="23">
        <f t="shared" ca="1" si="4"/>
        <v>43</v>
      </c>
      <c r="AC47" s="106" t="str">
        <f t="shared" ca="1" si="5"/>
        <v>Justin Herbert</v>
      </c>
      <c r="AD47" s="106" t="str">
        <f t="shared" ca="1" si="6"/>
        <v>QB</v>
      </c>
      <c r="AE47" s="109">
        <f ca="1">LARGE(($E$5:$E$34,$E$37:$E$64,$N$5:$N$64,$W$5:$W$64),ROW(AE47)-4)</f>
        <v>62.755999999999986</v>
      </c>
    </row>
    <row r="48" spans="1:31" x14ac:dyDescent="0.35">
      <c r="A48" s="23" t="s">
        <v>370</v>
      </c>
      <c r="B48" s="57" t="str">
        <f>INDEX(TE!F$3:F$112,MATCH(A48,TE!B$3:B$112,0))</f>
        <v>PHI</v>
      </c>
      <c r="C48" s="28">
        <f>INDEX(TE!E$3:E$112,MATCH(A48,TE!B$3:B$112,0))</f>
        <v>5</v>
      </c>
      <c r="D48" s="177" t="str">
        <f>IF(INDEX(Auction!$H$13:$H$426,MATCH(A48,Auction!$A$13:$A$426,0))&gt;0,"x","")</f>
        <v/>
      </c>
      <c r="E48" s="24">
        <f ca="1">IF(D48="",INDEX(TE!Z$3:Z$112,MATCH(A48,TE!$B$3:$B$112,0)),0)</f>
        <v>16.989999999999995</v>
      </c>
      <c r="F48" s="33" t="str">
        <f ca="1">INDEX(TE!AA$3:AA$112,MATCH(A48,TE!$B$3:$B$112,0))</f>
        <v>TE5</v>
      </c>
      <c r="G48" s="38">
        <f t="shared" ca="1" si="7"/>
        <v>2.8957101222027153E-2</v>
      </c>
      <c r="H48" s="30">
        <f ca="1">IF(LeagueInfo!$H$7="Starter/Bench",INDEX(TE!$T$3:$T$112,MATCH(A48,TE!$B$3:$B$112,0))*InflationPct,INDEX(TE!$AB$3:$AB$112,MATCH(A48,TE!$B$3:$B$112,0))*InflationPct)</f>
        <v>5.6060052386670005</v>
      </c>
      <c r="I48" s="17"/>
      <c r="J48" s="46" t="s">
        <v>863</v>
      </c>
      <c r="K48" s="55" t="str">
        <f>INDEX('RB'!$F$3:$F$131,MATCH(J48,'RB'!$B$3:$B$131,0))</f>
        <v>LAR</v>
      </c>
      <c r="L48" s="47">
        <f>INDEX('RB'!$E$3:$E$131,MATCH(J48,'RB'!$B$3:$B$131,0))</f>
        <v>6</v>
      </c>
      <c r="M48" s="178" t="str">
        <f>IF(INDEX(Auction!$H$13:$H$426,MATCH(J48,Auction!$A$13:$A$426,0))&gt;0,"x","")</f>
        <v/>
      </c>
      <c r="N48" s="42">
        <f ca="1">IF(M48="",INDEX('RB'!Z$3:Z$131,MATCH(J48,'RB'!$B$3:$B$131,0)),0)</f>
        <v>3.6149999999999878</v>
      </c>
      <c r="O48" s="42" t="str">
        <f ca="1">INDEX('RB'!AA$3:AA$131,MATCH(J48,'RB'!$B$3:$B$131,0))</f>
        <v>RB7</v>
      </c>
      <c r="P48" s="48">
        <f t="shared" ca="1" si="8"/>
        <v>1.5978077105824327E-3</v>
      </c>
      <c r="Q48" s="49">
        <f ca="1">IF(LeagueInfo!$H$7="Starter/Bench",INDEX('RB'!$T$3:$T$131,MATCH(J48,'RB'!$B$3:$B$131,0))*InflationPct,INDEX('RB'!$AB$3:$AB$131,MATCH(J48,'RB'!$B$3:$B$131,0))*InflationPct)</f>
        <v>1.1928021740895318</v>
      </c>
      <c r="S48" s="23" t="s">
        <v>912</v>
      </c>
      <c r="T48" s="57" t="str">
        <f>INDEX(WR!$F$1:$F$167,MATCH(S48,WR!$B$1:$B$167,0))</f>
        <v>CHI</v>
      </c>
      <c r="U48" s="28">
        <f>INDEX(WR!$E$1:$E$167,MATCH(S48,WR!$B$1:$B$167,0))</f>
        <v>7</v>
      </c>
      <c r="V48" s="180" t="str">
        <f>IF(INDEX(Auction!$H$13:$H$426,MATCH(S48,Auction!$A$13:$A$426,0))&gt;0,"x","")</f>
        <v/>
      </c>
      <c r="W48" s="24">
        <f ca="1">IF(V48="",INDEX(WR!Z$3:Z$167,MATCH(S48,WR!$B$3:$B$167,0)),0)</f>
        <v>17.285000000000018</v>
      </c>
      <c r="X48" s="24" t="str">
        <f ca="1">INDEX(WR!AA$3:AA$131,MATCH(S48,WR!$B$3:$B$167,0))</f>
        <v>WR6</v>
      </c>
      <c r="Y48" s="37">
        <f t="shared" ca="1" si="9"/>
        <v>7.0811868208400406E-3</v>
      </c>
      <c r="Z48" s="30">
        <f ca="1">IF(LeagueInfo!$H$7="Starter/Bench",INDEX(WR!$T$3:$T$167,MATCH(S48,WR!$B$3:$B$167,0))*InflationPct,INDEX(WR!$AB$3:$AB$167,MATCH(S48,WR!$B$3:$B$167,0))*InflationPct)</f>
        <v>5.7033431754184365</v>
      </c>
      <c r="AB48" s="23">
        <f t="shared" ca="1" si="4"/>
        <v>44</v>
      </c>
      <c r="AC48" s="106" t="str">
        <f t="shared" ca="1" si="5"/>
        <v>Kenneth Walker III</v>
      </c>
      <c r="AD48" s="106" t="str">
        <f t="shared" ca="1" si="6"/>
        <v>RB</v>
      </c>
      <c r="AE48" s="109">
        <f ca="1">LARGE(($E$5:$E$34,$E$37:$E$64,$N$5:$N$64,$W$5:$W$64),ROW(AE48)-4)</f>
        <v>62.17</v>
      </c>
    </row>
    <row r="49" spans="1:31" x14ac:dyDescent="0.35">
      <c r="A49" s="23" t="s">
        <v>376</v>
      </c>
      <c r="B49" s="57" t="str">
        <f>INDEX(TE!F$3:F$112,MATCH(A49,TE!B$3:B$112,0))</f>
        <v>HOU</v>
      </c>
      <c r="C49" s="28">
        <f>INDEX(TE!E$3:E$112,MATCH(A49,TE!B$3:B$112,0))</f>
        <v>14</v>
      </c>
      <c r="D49" s="177" t="str">
        <f>IF(INDEX(Auction!$H$13:$H$426,MATCH(A49,Auction!$A$13:$A$426,0))&gt;0,"x","")</f>
        <v/>
      </c>
      <c r="E49" s="24">
        <f ca="1">IF(D49="",INDEX(TE!Z$3:Z$112,MATCH(A49,TE!$B$3:$B$112,0)),0)</f>
        <v>13.095000000000006</v>
      </c>
      <c r="F49" s="33" t="str">
        <f ca="1">INDEX(TE!AA$3:AA$112,MATCH(A49,TE!$B$3:$B$112,0))</f>
        <v>TE5</v>
      </c>
      <c r="G49" s="38">
        <f t="shared" ca="1" si="7"/>
        <v>2.2318613331515354E-2</v>
      </c>
      <c r="H49" s="30">
        <f ca="1">IF(LeagueInfo!$H$7="Starter/Bench",INDEX(TE!$T$3:$T$112,MATCH(A49,TE!$B$3:$B$112,0))*InflationPct,INDEX(TE!$AB$3:$AB$112,MATCH(A49,TE!$B$3:$B$112,0))*InflationPct)</f>
        <v>4.3208145144405199</v>
      </c>
      <c r="I49" s="22"/>
      <c r="J49" s="46" t="s">
        <v>619</v>
      </c>
      <c r="K49" s="55" t="str">
        <f>INDEX('RB'!$F$3:$F$131,MATCH(J49,'RB'!$B$3:$B$131,0))</f>
        <v>ATL</v>
      </c>
      <c r="L49" s="47">
        <f>INDEX('RB'!$E$3:$E$131,MATCH(J49,'RB'!$B$3:$B$131,0))</f>
        <v>12</v>
      </c>
      <c r="M49" s="178" t="str">
        <f>IF(INDEX(Auction!$H$13:$H$426,MATCH(J49,Auction!$A$13:$A$426,0))&gt;0,"x","")</f>
        <v/>
      </c>
      <c r="N49" s="42">
        <f ca="1">IF(M49="",INDEX('RB'!Z$3:Z$131,MATCH(J49,'RB'!$B$3:$B$131,0)),0)</f>
        <v>3.490000000000002</v>
      </c>
      <c r="O49" s="42" t="str">
        <f ca="1">INDEX('RB'!AA$3:AA$131,MATCH(J49,'RB'!$B$3:$B$131,0))</f>
        <v>RB7</v>
      </c>
      <c r="P49" s="48">
        <f t="shared" ca="1" si="8"/>
        <v>1.5425584813091872E-3</v>
      </c>
      <c r="Q49" s="49">
        <f ca="1">IF(LeagueInfo!$H$7="Starter/Bench",INDEX('RB'!$T$3:$T$131,MATCH(J49,'RB'!$B$3:$B$131,0))*InflationPct,INDEX('RB'!$AB$3:$AB$131,MATCH(J49,'RB'!$B$3:$B$131,0))*InflationPct)</f>
        <v>1.1515572856355414</v>
      </c>
      <c r="S49" s="23" t="s">
        <v>914</v>
      </c>
      <c r="T49" s="57" t="str">
        <f>INDEX(WR!$F$1:$F$167,MATCH(S49,WR!$B$1:$B$167,0))</f>
        <v>JAC</v>
      </c>
      <c r="U49" s="28">
        <f>INDEX(WR!$E$1:$E$167,MATCH(S49,WR!$B$1:$B$167,0))</f>
        <v>12</v>
      </c>
      <c r="V49" s="180" t="str">
        <f>IF(INDEX(Auction!$H$13:$H$426,MATCH(S49,Auction!$A$13:$A$426,0))&gt;0,"x","")</f>
        <v/>
      </c>
      <c r="W49" s="24">
        <f ca="1">IF(V49="",INDEX(WR!Z$3:Z$167,MATCH(S49,WR!$B$3:$B$167,0)),0)</f>
        <v>15.860000000000007</v>
      </c>
      <c r="X49" s="24" t="str">
        <f ca="1">INDEX(WR!AA$3:AA$131,MATCH(S49,WR!$B$3:$B$167,0))</f>
        <v>WR6</v>
      </c>
      <c r="Y49" s="37">
        <f t="shared" ca="1" si="9"/>
        <v>6.4974037013898166E-3</v>
      </c>
      <c r="Z49" s="30">
        <f ca="1">IF(LeagueInfo!$H$7="Starter/Bench",INDEX(WR!$T$3:$T$167,MATCH(S49,WR!$B$3:$B$167,0))*InflationPct,INDEX(WR!$AB$3:$AB$167,MATCH(S49,WR!$B$3:$B$167,0))*InflationPct)</f>
        <v>5.2331514470428901</v>
      </c>
      <c r="AB49" s="23">
        <f t="shared" ca="1" si="4"/>
        <v>45</v>
      </c>
      <c r="AC49" s="106" t="str">
        <f t="shared" ca="1" si="5"/>
        <v>Mark Andrews</v>
      </c>
      <c r="AD49" s="106" t="str">
        <f t="shared" ca="1" si="6"/>
        <v>TE</v>
      </c>
      <c r="AE49" s="109">
        <f ca="1">LARGE(($E$5:$E$34,$E$37:$E$64,$N$5:$N$64,$W$5:$W$64),ROW(AE49)-4)</f>
        <v>61.470000000000013</v>
      </c>
    </row>
    <row r="50" spans="1:31" x14ac:dyDescent="0.35">
      <c r="A50" s="23" t="s">
        <v>569</v>
      </c>
      <c r="B50" s="57" t="str">
        <f>INDEX(TE!F$3:F$112,MATCH(A50,TE!B$3:B$112,0))</f>
        <v>PIT</v>
      </c>
      <c r="C50" s="28">
        <f>INDEX(TE!E$3:E$112,MATCH(A50,TE!B$3:B$112,0))</f>
        <v>9</v>
      </c>
      <c r="D50" s="177" t="str">
        <f>IF(INDEX(Auction!$H$13:$H$426,MATCH(A50,Auction!$A$13:$A$426,0))&gt;0,"x","")</f>
        <v/>
      </c>
      <c r="E50" s="24">
        <f ca="1">IF(D50="",INDEX(TE!Z$3:Z$112,MATCH(A50,TE!$B$3:$B$112,0)),0)</f>
        <v>8.6999999999999886</v>
      </c>
      <c r="F50" s="33" t="str">
        <f ca="1">INDEX(TE!AA$3:AA$112,MATCH(A50,TE!$B$3:$B$112,0))</f>
        <v>TE5</v>
      </c>
      <c r="G50" s="38">
        <f t="shared" ca="1" si="7"/>
        <v>1.4827944710514183E-2</v>
      </c>
      <c r="H50" s="30">
        <f ca="1">IF(LeagueInfo!$H$7="Starter/Bench",INDEX(TE!$T$3:$T$112,MATCH(A50,TE!$B$3:$B$112,0))*InflationPct,INDEX(TE!$AB$3:$AB$112,MATCH(A50,TE!$B$3:$B$112,0))*InflationPct)</f>
        <v>2.8706442363980496</v>
      </c>
      <c r="I50" s="22"/>
      <c r="J50" s="46" t="s">
        <v>499</v>
      </c>
      <c r="K50" s="55" t="str">
        <f>INDEX('RB'!$F$3:$F$131,MATCH(J50,'RB'!$B$3:$B$131,0))</f>
        <v>NE</v>
      </c>
      <c r="L50" s="47">
        <f>INDEX('RB'!$E$3:$E$131,MATCH(J50,'RB'!$B$3:$B$131,0))</f>
        <v>14</v>
      </c>
      <c r="M50" s="178" t="str">
        <f>IF(INDEX(Auction!$H$13:$H$426,MATCH(J50,Auction!$A$13:$A$426,0))&gt;0,"x","")</f>
        <v/>
      </c>
      <c r="N50" s="42">
        <f ca="1">IF(M50="",INDEX('RB'!Z$3:Z$131,MATCH(J50,'RB'!$B$3:$B$131,0)),0)</f>
        <v>3.2049999999999983</v>
      </c>
      <c r="O50" s="42" t="str">
        <f ca="1">INDEX('RB'!AA$3:AA$131,MATCH(J50,'RB'!$B$3:$B$131,0))</f>
        <v>RB7</v>
      </c>
      <c r="P50" s="48">
        <f t="shared" ca="1" si="8"/>
        <v>1.4165902385661719E-3</v>
      </c>
      <c r="Q50" s="49">
        <f ca="1">IF(LeagueInfo!$H$7="Starter/Bench",INDEX('RB'!$T$3:$T$131,MATCH(J50,'RB'!$B$3:$B$131,0))*InflationPct,INDEX('RB'!$AB$3:$AB$131,MATCH(J50,'RB'!$B$3:$B$131,0))*InflationPct)</f>
        <v>1.0575189399604317</v>
      </c>
      <c r="S50" s="23" t="s">
        <v>911</v>
      </c>
      <c r="T50" s="57" t="str">
        <f>INDEX(WR!$F$1:$F$167,MATCH(S50,WR!$B$1:$B$167,0))</f>
        <v>LAC</v>
      </c>
      <c r="U50" s="28">
        <f>INDEX(WR!$E$1:$E$167,MATCH(S50,WR!$B$1:$B$167,0))</f>
        <v>5</v>
      </c>
      <c r="V50" s="180" t="str">
        <f>IF(INDEX(Auction!$H$13:$H$426,MATCH(S50,Auction!$A$13:$A$426,0))&gt;0,"x","")</f>
        <v/>
      </c>
      <c r="W50" s="24">
        <f ca="1">IF(V50="",INDEX(WR!Z$3:Z$167,MATCH(S50,WR!$B$3:$B$167,0)),0)</f>
        <v>15.760000000000012</v>
      </c>
      <c r="X50" s="24" t="str">
        <f ca="1">INDEX(WR!AA$3:AA$131,MATCH(S50,WR!$B$3:$B$167,0))</f>
        <v>WR6</v>
      </c>
      <c r="Y50" s="37">
        <f t="shared" ca="1" si="9"/>
        <v>6.4564364649371715E-3</v>
      </c>
      <c r="Z50" s="30">
        <f ca="1">IF(LeagueInfo!$H$7="Starter/Bench",INDEX(WR!$T$3:$T$167,MATCH(S50,WR!$B$3:$B$167,0))*InflationPct,INDEX(WR!$AB$3:$AB$167,MATCH(S50,WR!$B$3:$B$167,0))*InflationPct)</f>
        <v>5.2001555362796958</v>
      </c>
      <c r="AB50" s="23">
        <f t="shared" ca="1" si="4"/>
        <v>46</v>
      </c>
      <c r="AC50" s="106" t="str">
        <f t="shared" ca="1" si="5"/>
        <v>Jared Goff</v>
      </c>
      <c r="AD50" s="106" t="str">
        <f t="shared" ca="1" si="6"/>
        <v>QB</v>
      </c>
      <c r="AE50" s="109">
        <f ca="1">LARGE(($E$5:$E$34,$E$37:$E$64,$N$5:$N$64,$W$5:$W$64),ROW(AE50)-4)</f>
        <v>61.035999999999959</v>
      </c>
    </row>
    <row r="51" spans="1:31" x14ac:dyDescent="0.35">
      <c r="A51" s="23" t="s">
        <v>448</v>
      </c>
      <c r="B51" s="57" t="str">
        <f>INDEX(TE!F$3:F$112,MATCH(A51,TE!B$3:B$112,0))</f>
        <v>MIN</v>
      </c>
      <c r="C51" s="28">
        <f>INDEX(TE!E$3:E$112,MATCH(A51,TE!B$3:B$112,0))</f>
        <v>6</v>
      </c>
      <c r="D51" s="177" t="str">
        <f>IF(INDEX(Auction!$H$13:$H$426,MATCH(A51,Auction!$A$13:$A$426,0))&gt;0,"x","")</f>
        <v/>
      </c>
      <c r="E51" s="24">
        <f ca="1">IF(D51="",INDEX(TE!Z$3:Z$112,MATCH(A51,TE!$B$3:$B$112,0)),0)</f>
        <v>5.4699999999999989</v>
      </c>
      <c r="F51" s="33" t="str">
        <f ca="1">INDEX(TE!AA$3:AA$112,MATCH(A51,TE!$B$3:$B$112,0))</f>
        <v>TE6</v>
      </c>
      <c r="G51" s="38">
        <f t="shared" ca="1" si="7"/>
        <v>9.3228571915531799E-3</v>
      </c>
      <c r="H51" s="30">
        <f ca="1">IF(LeagueInfo!$H$7="Starter/Bench",INDEX(TE!$T$3:$T$112,MATCH(A51,TE!$B$3:$B$112,0))*InflationPct,INDEX(TE!$AB$3:$AB$112,MATCH(A51,TE!$B$3:$B$112,0))*InflationPct)</f>
        <v>1.8048763187468215</v>
      </c>
      <c r="I51" s="22"/>
      <c r="J51" s="46" t="s">
        <v>830</v>
      </c>
      <c r="K51" s="55" t="str">
        <f>INDEX('RB'!$F$3:$F$131,MATCH(J51,'RB'!$B$3:$B$131,0))</f>
        <v>DEN</v>
      </c>
      <c r="L51" s="47">
        <f>INDEX('RB'!$E$3:$E$131,MATCH(J51,'RB'!$B$3:$B$131,0))</f>
        <v>14</v>
      </c>
      <c r="M51" s="178" t="str">
        <f>IF(INDEX(Auction!$H$13:$H$426,MATCH(J51,Auction!$A$13:$A$426,0))&gt;0,"x","")</f>
        <v/>
      </c>
      <c r="N51" s="42">
        <f ca="1">IF(M51="",INDEX('RB'!Z$3:Z$131,MATCH(J51,'RB'!$B$3:$B$131,0)),0)</f>
        <v>2.9400000000000119</v>
      </c>
      <c r="O51" s="42" t="str">
        <f ca="1">INDEX('RB'!AA$3:AA$131,MATCH(J51,'RB'!$B$3:$B$131,0))</f>
        <v>RB7</v>
      </c>
      <c r="P51" s="48">
        <f t="shared" ca="1" si="8"/>
        <v>1.2994618725068845E-3</v>
      </c>
      <c r="Q51" s="49">
        <f ca="1">IF(LeagueInfo!$H$7="Starter/Bench",INDEX('RB'!$T$3:$T$131,MATCH(J51,'RB'!$B$3:$B$131,0))*InflationPct,INDEX('RB'!$AB$3:$AB$131,MATCH(J51,'RB'!$B$3:$B$131,0))*InflationPct)</f>
        <v>0.97007977643796672</v>
      </c>
      <c r="S51" s="23" t="s">
        <v>489</v>
      </c>
      <c r="T51" s="57" t="str">
        <f>INDEX(WR!$F$1:$F$167,MATCH(S51,WR!$B$1:$B$167,0))</f>
        <v>CLE</v>
      </c>
      <c r="U51" s="28">
        <f>INDEX(WR!$E$1:$E$167,MATCH(S51,WR!$B$1:$B$167,0))</f>
        <v>10</v>
      </c>
      <c r="V51" s="180" t="str">
        <f>IF(INDEX(Auction!$H$13:$H$426,MATCH(S51,Auction!$A$13:$A$426,0))&gt;0,"x","")</f>
        <v/>
      </c>
      <c r="W51" s="24">
        <f ca="1">IF(V51="",INDEX(WR!Z$3:Z$167,MATCH(S51,WR!$B$3:$B$167,0)),0)</f>
        <v>14.215000000000011</v>
      </c>
      <c r="X51" s="24" t="str">
        <f ca="1">INDEX(WR!AA$3:AA$131,MATCH(S51,WR!$B$3:$B$167,0))</f>
        <v>WR6</v>
      </c>
      <c r="Y51" s="37">
        <f t="shared" ca="1" si="9"/>
        <v>5.8234926617437748E-3</v>
      </c>
      <c r="Z51" s="30">
        <f ca="1">IF(LeagueInfo!$H$7="Starter/Bench",INDEX(WR!$T$3:$T$167,MATCH(S51,WR!$B$3:$B$167,0))*InflationPct,INDEX(WR!$AB$3:$AB$167,MATCH(S51,WR!$B$3:$B$167,0))*InflationPct)</f>
        <v>4.6903687149883169</v>
      </c>
      <c r="AB51" s="23">
        <f t="shared" ca="1" si="4"/>
        <v>47</v>
      </c>
      <c r="AC51" s="106" t="str">
        <f t="shared" ca="1" si="5"/>
        <v>Marvin Harrison Jr.</v>
      </c>
      <c r="AD51" s="106" t="str">
        <f t="shared" ca="1" si="6"/>
        <v>WR</v>
      </c>
      <c r="AE51" s="109">
        <f ca="1">LARGE(($E$5:$E$34,$E$37:$E$64,$N$5:$N$64,$W$5:$W$64),ROW(AE51)-4)</f>
        <v>60.57</v>
      </c>
    </row>
    <row r="52" spans="1:31" x14ac:dyDescent="0.35">
      <c r="A52" s="23" t="s">
        <v>480</v>
      </c>
      <c r="B52" s="57" t="str">
        <f>INDEX(TE!F$3:F$112,MATCH(A52,TE!B$3:B$112,0))</f>
        <v>CHI</v>
      </c>
      <c r="C52" s="28">
        <f>INDEX(TE!E$3:E$112,MATCH(A52,TE!B$3:B$112,0))</f>
        <v>7</v>
      </c>
      <c r="D52" s="177" t="str">
        <f>IF(INDEX(Auction!$H$13:$H$426,MATCH(A52,Auction!$A$13:$A$426,0))&gt;0,"x","")</f>
        <v/>
      </c>
      <c r="E52" s="24">
        <f ca="1">IF(D52="",INDEX(TE!Z$3:Z$112,MATCH(A52,TE!$B$3:$B$112,0)),0)</f>
        <v>4.5799999999999983</v>
      </c>
      <c r="F52" s="33" t="str">
        <f ca="1">INDEX(TE!AA$3:AA$112,MATCH(A52,TE!$B$3:$B$112,0))</f>
        <v>TE6</v>
      </c>
      <c r="G52" s="38">
        <f t="shared" ca="1" si="7"/>
        <v>7.8059754912821865E-3</v>
      </c>
      <c r="H52" s="30">
        <f ca="1">IF(LeagueInfo!$H$7="Starter/Bench",INDEX(TE!$T$3:$T$112,MATCH(A52,TE!$B$3:$B$112,0))*InflationPct,INDEX(TE!$AB$3:$AB$112,MATCH(A52,TE!$B$3:$B$112,0))*InflationPct)</f>
        <v>1.5112127129543769</v>
      </c>
      <c r="I52" s="17"/>
      <c r="J52" s="46" t="s">
        <v>862</v>
      </c>
      <c r="K52" s="55" t="str">
        <f>INDEX('RB'!$F$3:$F$131,MATCH(J52,'RB'!$B$3:$B$131,0))</f>
        <v>ARI</v>
      </c>
      <c r="L52" s="47">
        <f>INDEX('RB'!$E$3:$E$131,MATCH(J52,'RB'!$B$3:$B$131,0))</f>
        <v>11</v>
      </c>
      <c r="M52" s="178" t="str">
        <f>IF(INDEX(Auction!$H$13:$H$426,MATCH(J52,Auction!$A$13:$A$426,0))&gt;0,"x","")</f>
        <v/>
      </c>
      <c r="N52" s="42">
        <f ca="1">IF(M52="",INDEX('RB'!Z$3:Z$131,MATCH(J52,'RB'!$B$3:$B$131,0)),0)</f>
        <v>1.7650000000000006</v>
      </c>
      <c r="O52" s="42" t="str">
        <f ca="1">INDEX('RB'!AA$3:AA$131,MATCH(J52,'RB'!$B$3:$B$131,0))</f>
        <v>RB7</v>
      </c>
      <c r="P52" s="48">
        <f t="shared" ca="1" si="8"/>
        <v>7.8011911733831378E-4</v>
      </c>
      <c r="Q52" s="49">
        <f ca="1">IF(LeagueInfo!$H$7="Starter/Bench",INDEX('RB'!$T$3:$T$131,MATCH(J52,'RB'!$B$3:$B$131,0))*InflationPct,INDEX('RB'!$AB$3:$AB$131,MATCH(J52,'RB'!$B$3:$B$131,0))*InflationPct)</f>
        <v>0.5823778249704098</v>
      </c>
      <c r="S52" s="23" t="s">
        <v>596</v>
      </c>
      <c r="T52" s="57" t="str">
        <f>INDEX(WR!$F$1:$F$167,MATCH(S52,WR!$B$1:$B$167,0))</f>
        <v>DET</v>
      </c>
      <c r="U52" s="28">
        <f>INDEX(WR!$E$1:$E$167,MATCH(S52,WR!$B$1:$B$167,0))</f>
        <v>5</v>
      </c>
      <c r="V52" s="180" t="str">
        <f>IF(INDEX(Auction!$H$13:$H$426,MATCH(S52,Auction!$A$13:$A$426,0))&gt;0,"x","")</f>
        <v/>
      </c>
      <c r="W52" s="24">
        <f ca="1">IF(V52="",INDEX(WR!Z$3:Z$167,MATCH(S52,WR!$B$3:$B$167,0)),0)</f>
        <v>14.184999999999995</v>
      </c>
      <c r="X52" s="24" t="str">
        <f ca="1">INDEX(WR!AA$3:AA$131,MATCH(S52,WR!$B$3:$B$167,0))</f>
        <v>WR6</v>
      </c>
      <c r="Y52" s="37">
        <f t="shared" ca="1" si="9"/>
        <v>5.8112024908079747E-3</v>
      </c>
      <c r="Z52" s="30">
        <f ca="1">IF(LeagueInfo!$H$7="Starter/Bench",INDEX(WR!$T$3:$T$167,MATCH(S52,WR!$B$3:$B$167,0))*InflationPct,INDEX(WR!$AB$3:$AB$167,MATCH(S52,WR!$B$3:$B$167,0))*InflationPct)</f>
        <v>4.6804699417593527</v>
      </c>
      <c r="AB52" s="23">
        <f t="shared" ca="1" si="4"/>
        <v>48</v>
      </c>
      <c r="AC52" s="106" t="str">
        <f t="shared" ca="1" si="5"/>
        <v>Mike Evans</v>
      </c>
      <c r="AD52" s="106" t="str">
        <f t="shared" ca="1" si="6"/>
        <v>WR</v>
      </c>
      <c r="AE52" s="109">
        <f ca="1">LARGE(($E$5:$E$34,$E$37:$E$64,$N$5:$N$64,$W$5:$W$64),ROW(AE52)-4)</f>
        <v>60.000000000000007</v>
      </c>
    </row>
    <row r="53" spans="1:31" x14ac:dyDescent="0.35">
      <c r="A53" s="23" t="s">
        <v>446</v>
      </c>
      <c r="B53" s="57" t="str">
        <f>INDEX(TE!F$3:F$112,MATCH(A53,TE!B$3:B$112,0))</f>
        <v>NE</v>
      </c>
      <c r="C53" s="28">
        <f>INDEX(TE!E$3:E$112,MATCH(A53,TE!B$3:B$112,0))</f>
        <v>14</v>
      </c>
      <c r="D53" s="177" t="str">
        <f>IF(INDEX(Auction!$H$13:$H$426,MATCH(A53,Auction!$A$13:$A$426,0))&gt;0,"x","")</f>
        <v/>
      </c>
      <c r="E53" s="24">
        <f ca="1">IF(D53="",INDEX(TE!Z$3:Z$112,MATCH(A53,TE!$B$3:$B$112,0)),0)</f>
        <v>4.3949999999999889</v>
      </c>
      <c r="F53" s="33" t="str">
        <f ca="1">INDEX(TE!AA$3:AA$112,MATCH(A53,TE!$B$3:$B$112,0))</f>
        <v>TE6</v>
      </c>
      <c r="G53" s="38">
        <f t="shared" ca="1" si="7"/>
        <v>7.490668621001121E-3</v>
      </c>
      <c r="H53" s="30">
        <f ca="1">IF(LeagueInfo!$H$7="Starter/Bench",INDEX(TE!$T$3:$T$112,MATCH(A53,TE!$B$3:$B$112,0))*InflationPct,INDEX(TE!$AB$3:$AB$112,MATCH(A53,TE!$B$3:$B$112,0))*InflationPct)</f>
        <v>1.450170278042461</v>
      </c>
      <c r="I53" s="22"/>
      <c r="J53" s="46" t="s">
        <v>767</v>
      </c>
      <c r="K53" s="55" t="str">
        <f>INDEX('RB'!$F$3:$F$131,MATCH(J53,'RB'!$B$3:$B$131,0))</f>
        <v>SEA</v>
      </c>
      <c r="L53" s="47">
        <f>INDEX('RB'!$E$3:$E$131,MATCH(J53,'RB'!$B$3:$B$131,0))</f>
        <v>10</v>
      </c>
      <c r="M53" s="178" t="str">
        <f>IF(INDEX(Auction!$H$13:$H$426,MATCH(J53,Auction!$A$13:$A$426,0))&gt;0,"x","")</f>
        <v/>
      </c>
      <c r="N53" s="42">
        <f ca="1">IF(M53="",INDEX('RB'!Z$3:Z$131,MATCH(J53,'RB'!$B$3:$B$131,0)),0)</f>
        <v>1.3900000000000006</v>
      </c>
      <c r="O53" s="42" t="str">
        <f ca="1">INDEX('RB'!AA$3:AA$131,MATCH(J53,'RB'!$B$3:$B$131,0))</f>
        <v>RB7</v>
      </c>
      <c r="P53" s="48">
        <f t="shared" ca="1" si="8"/>
        <v>6.1437142951855869E-4</v>
      </c>
      <c r="Q53" s="49">
        <f ca="1">IF(LeagueInfo!$H$7="Starter/Bench",INDEX('RB'!$T$3:$T$131,MATCH(J53,'RB'!$B$3:$B$131,0))*InflationPct,INDEX('RB'!$AB$3:$AB$131,MATCH(J53,'RB'!$B$3:$B$131,0))*InflationPct)</f>
        <v>0.45864315960842478</v>
      </c>
      <c r="S53" s="23" t="s">
        <v>139</v>
      </c>
      <c r="T53" s="57" t="str">
        <f>INDEX(WR!$F$1:$F$167,MATCH(S53,WR!$B$1:$B$167,0))</f>
        <v>SEA</v>
      </c>
      <c r="U53" s="28">
        <f>INDEX(WR!$E$1:$E$167,MATCH(S53,WR!$B$1:$B$167,0))</f>
        <v>10</v>
      </c>
      <c r="V53" s="180" t="str">
        <f>IF(INDEX(Auction!$H$13:$H$426,MATCH(S53,Auction!$A$13:$A$426,0))&gt;0,"x","")</f>
        <v/>
      </c>
      <c r="W53" s="24">
        <f ca="1">IF(V53="",INDEX(WR!Z$3:Z$167,MATCH(S53,WR!$B$3:$B$167,0)),0)</f>
        <v>13.515000000000008</v>
      </c>
      <c r="X53" s="24" t="str">
        <f ca="1">INDEX(WR!AA$3:AA$131,MATCH(S53,WR!$B$3:$B$167,0))</f>
        <v>WR6</v>
      </c>
      <c r="Y53" s="37">
        <f t="shared" ca="1" si="9"/>
        <v>5.5367220065752447E-3</v>
      </c>
      <c r="Z53" s="30">
        <f ca="1">IF(LeagueInfo!$H$7="Starter/Bench",INDEX(WR!$T$3:$T$167,MATCH(S53,WR!$B$3:$B$167,0))*InflationPct,INDEX(WR!$AB$3:$AB$167,MATCH(S53,WR!$B$3:$B$167,0))*InflationPct)</f>
        <v>4.4593973396459434</v>
      </c>
      <c r="AB53" s="23">
        <f t="shared" ca="1" si="4"/>
        <v>49</v>
      </c>
      <c r="AC53" s="106" t="str">
        <f t="shared" ca="1" si="5"/>
        <v>Deebo Samuel Sr.</v>
      </c>
      <c r="AD53" s="106" t="str">
        <f t="shared" ca="1" si="6"/>
        <v>WR</v>
      </c>
      <c r="AE53" s="109">
        <f ca="1">LARGE(($E$5:$E$34,$E$37:$E$64,$N$5:$N$64,$W$5:$W$64),ROW(AE53)-4)</f>
        <v>59.560000000000009</v>
      </c>
    </row>
    <row r="54" spans="1:31" x14ac:dyDescent="0.35">
      <c r="A54" s="23" t="s">
        <v>377</v>
      </c>
      <c r="B54" s="57" t="str">
        <f>INDEX(TE!F$3:F$112,MATCH(A54,TE!B$3:B$112,0))</f>
        <v>NYJ</v>
      </c>
      <c r="C54" s="28">
        <f>INDEX(TE!E$3:E$112,MATCH(A54,TE!B$3:B$112,0))</f>
        <v>12</v>
      </c>
      <c r="D54" s="177" t="str">
        <f>IF(INDEX(Auction!$H$13:$H$426,MATCH(A54,Auction!$A$13:$A$426,0))&gt;0,"x","")</f>
        <v/>
      </c>
      <c r="E54" s="24">
        <f ca="1">IF(D54="",INDEX(TE!Z$3:Z$112,MATCH(A54,TE!$B$3:$B$112,0)),0)</f>
        <v>4.3299999999999912</v>
      </c>
      <c r="F54" s="33" t="str">
        <f ca="1">INDEX(TE!AA$3:AA$112,MATCH(A54,TE!$B$3:$B$112,0))</f>
        <v>TE6</v>
      </c>
      <c r="G54" s="38">
        <f t="shared" ca="1" si="7"/>
        <v>7.379885126037513E-3</v>
      </c>
      <c r="H54" s="30">
        <f ca="1">IF(LeagueInfo!$H$7="Starter/Bench",INDEX(TE!$T$3:$T$112,MATCH(A54,TE!$B$3:$B$112,0))*InflationPct,INDEX(TE!$AB$3:$AB$112,MATCH(A54,TE!$B$3:$B$112,0))*InflationPct)</f>
        <v>1.4287229360463845</v>
      </c>
      <c r="I54" s="22"/>
      <c r="J54" s="46" t="s">
        <v>548</v>
      </c>
      <c r="K54" s="55" t="str">
        <f>INDEX('RB'!$F$3:$F$131,MATCH(J54,'RB'!$B$3:$B$131,0))</f>
        <v>CHI</v>
      </c>
      <c r="L54" s="47">
        <f>INDEX('RB'!$E$3:$E$131,MATCH(J54,'RB'!$B$3:$B$131,0))</f>
        <v>7</v>
      </c>
      <c r="M54" s="178" t="str">
        <f>IF(INDEX(Auction!$H$13:$H$426,MATCH(J54,Auction!$A$13:$A$426,0))&gt;0,"x","")</f>
        <v/>
      </c>
      <c r="N54" s="42">
        <f ca="1">IF(M54="",INDEX('RB'!Z$3:Z$131,MATCH(J54,'RB'!$B$3:$B$131,0)),0)</f>
        <v>0</v>
      </c>
      <c r="O54" s="42" t="str">
        <f ca="1">INDEX('RB'!AA$3:AA$131,MATCH(J54,'RB'!$B$3:$B$131,0))</f>
        <v>RB7</v>
      </c>
      <c r="P54" s="48">
        <f t="shared" ca="1" si="8"/>
        <v>0</v>
      </c>
      <c r="Q54" s="49">
        <f ca="1">IF(LeagueInfo!$H$7="Starter/Bench",INDEX('RB'!$T$3:$T$131,MATCH(J54,'RB'!$B$3:$B$131,0))*InflationPct,INDEX('RB'!$AB$3:$AB$131,MATCH(J54,'RB'!$B$3:$B$131,0))*InflationPct)</f>
        <v>0</v>
      </c>
      <c r="S54" s="23" t="s">
        <v>433</v>
      </c>
      <c r="T54" s="57" t="str">
        <f>INDEX(WR!$F$1:$F$167,MATCH(S54,WR!$B$1:$B$167,0))</f>
        <v>KC</v>
      </c>
      <c r="U54" s="28">
        <f>INDEX(WR!$E$1:$E$167,MATCH(S54,WR!$B$1:$B$167,0))</f>
        <v>6</v>
      </c>
      <c r="V54" s="180" t="str">
        <f>IF(INDEX(Auction!$H$13:$H$426,MATCH(S54,Auction!$A$13:$A$426,0))&gt;0,"x","")</f>
        <v/>
      </c>
      <c r="W54" s="24">
        <f ca="1">IF(V54="",INDEX(WR!Z$3:Z$167,MATCH(S54,WR!$B$3:$B$167,0)),0)</f>
        <v>13.149999999999999</v>
      </c>
      <c r="X54" s="24" t="str">
        <f ca="1">INDEX(WR!AA$3:AA$131,MATCH(S54,WR!$B$3:$B$167,0))</f>
        <v>WR6</v>
      </c>
      <c r="Y54" s="37">
        <f t="shared" ca="1" si="9"/>
        <v>5.3871915935230792E-3</v>
      </c>
      <c r="Z54" s="30">
        <f ca="1">IF(LeagueInfo!$H$7="Starter/Bench",INDEX(WR!$T$3:$T$167,MATCH(S54,WR!$B$3:$B$167,0))*InflationPct,INDEX(WR!$AB$3:$AB$167,MATCH(S54,WR!$B$3:$B$167,0))*InflationPct)</f>
        <v>4.3389622653602755</v>
      </c>
      <c r="AB54" s="23">
        <f t="shared" ca="1" si="4"/>
        <v>50</v>
      </c>
      <c r="AC54" s="106" t="str">
        <f t="shared" ca="1" si="5"/>
        <v>Drake London</v>
      </c>
      <c r="AD54" s="106" t="str">
        <f t="shared" ca="1" si="6"/>
        <v>WR</v>
      </c>
      <c r="AE54" s="109">
        <f ca="1">LARGE(($E$5:$E$34,$E$37:$E$64,$N$5:$N$64,$W$5:$W$64),ROW(AE54)-4)</f>
        <v>59.409999999999975</v>
      </c>
    </row>
    <row r="55" spans="1:31" x14ac:dyDescent="0.35">
      <c r="A55" s="23" t="s">
        <v>633</v>
      </c>
      <c r="B55" s="57" t="str">
        <f>INDEX(TE!F$3:F$112,MATCH(A55,TE!B$3:B$112,0))</f>
        <v>TB</v>
      </c>
      <c r="C55" s="28">
        <f>INDEX(TE!E$3:E$112,MATCH(A55,TE!B$3:B$112,0))</f>
        <v>11</v>
      </c>
      <c r="D55" s="177" t="str">
        <f>IF(INDEX(Auction!$H$13:$H$426,MATCH(A55,Auction!$A$13:$A$426,0))&gt;0,"x","")</f>
        <v/>
      </c>
      <c r="E55" s="24">
        <f ca="1">IF(D55="",INDEX(TE!Z$3:Z$112,MATCH(A55,TE!$B$3:$B$112,0)),0)</f>
        <v>2.0699999999999932</v>
      </c>
      <c r="F55" s="33" t="str">
        <f ca="1">INDEX(TE!AA$3:AA$112,MATCH(A55,TE!$B$3:$B$112,0))</f>
        <v>TE6</v>
      </c>
      <c r="G55" s="38">
        <f t="shared" ca="1" si="7"/>
        <v>3.5280282242257815E-3</v>
      </c>
      <c r="H55" s="30">
        <f ca="1">IF(LeagueInfo!$H$7="Starter/Bench",INDEX(TE!$T$3:$T$112,MATCH(A55,TE!$B$3:$B$112,0))*InflationPct,INDEX(TE!$AB$3:$AB$112,MATCH(A55,TE!$B$3:$B$112,0))*InflationPct)</f>
        <v>0.68301535279815517</v>
      </c>
      <c r="I55" s="22"/>
      <c r="J55" s="46" t="s">
        <v>869</v>
      </c>
      <c r="K55" s="55" t="str">
        <f>INDEX('RB'!$F$3:$F$131,MATCH(J55,'RB'!$B$3:$B$131,0))</f>
        <v>TB</v>
      </c>
      <c r="L55" s="47">
        <f>INDEX('RB'!$E$3:$E$131,MATCH(J55,'RB'!$B$3:$B$131,0))</f>
        <v>11</v>
      </c>
      <c r="M55" s="178" t="str">
        <f>IF(INDEX(Auction!$H$13:$H$426,MATCH(J55,Auction!$A$13:$A$426,0))&gt;0,"x","")</f>
        <v/>
      </c>
      <c r="N55" s="42">
        <f ca="1">IF(M55="",INDEX('RB'!Z$3:Z$131,MATCH(J55,'RB'!$B$3:$B$131,0)),0)</f>
        <v>-6.5949999999999989</v>
      </c>
      <c r="O55" s="42" t="str">
        <f ca="1">INDEX('RB'!AA$3:AA$131,MATCH(J55,'RB'!$B$3:$B$131,0))</f>
        <v>RB8</v>
      </c>
      <c r="P55" s="48">
        <f t="shared" ca="1" si="8"/>
        <v>-2.914949336456757E-3</v>
      </c>
      <c r="Q55" s="49">
        <f ca="1">IF(LeagueInfo!$H$7="Starter/Bench",INDEX('RB'!$T$3:$T$131,MATCH(J55,'RB'!$B$3:$B$131,0))*InflationPct,INDEX('RB'!$AB$3:$AB$131,MATCH(J55,'RB'!$B$3:$B$131,0))*InflationPct)</f>
        <v>-2.1760803148327765</v>
      </c>
      <c r="S55" s="23" t="s">
        <v>578</v>
      </c>
      <c r="T55" s="57" t="str">
        <f>INDEX(WR!$F$1:$F$167,MATCH(S55,WR!$B$1:$B$167,0))</f>
        <v>LAC</v>
      </c>
      <c r="U55" s="28">
        <f>INDEX(WR!$E$1:$E$167,MATCH(S55,WR!$B$1:$B$167,0))</f>
        <v>5</v>
      </c>
      <c r="V55" s="180" t="str">
        <f>IF(INDEX(Auction!$H$13:$H$426,MATCH(S55,Auction!$A$13:$A$426,0))&gt;0,"x","")</f>
        <v/>
      </c>
      <c r="W55" s="24">
        <f ca="1">IF(V55="",INDEX(WR!Z$3:Z$167,MATCH(S55,WR!$B$3:$B$167,0)),0)</f>
        <v>11.849999999999987</v>
      </c>
      <c r="X55" s="24" t="str">
        <f ca="1">INDEX(WR!AA$3:AA$131,MATCH(S55,WR!$B$3:$B$167,0))</f>
        <v>WR6</v>
      </c>
      <c r="Y55" s="37">
        <f t="shared" ca="1" si="9"/>
        <v>4.854617519638664E-3</v>
      </c>
      <c r="Z55" s="30">
        <f ca="1">IF(LeagueInfo!$H$7="Starter/Bench",INDEX(WR!$T$3:$T$167,MATCH(S55,WR!$B$3:$B$167,0))*InflationPct,INDEX(WR!$AB$3:$AB$167,MATCH(S55,WR!$B$3:$B$167,0))*InflationPct)</f>
        <v>3.9100154254387234</v>
      </c>
      <c r="AB55" s="23">
        <f t="shared" ca="1" si="4"/>
        <v>51</v>
      </c>
      <c r="AC55" s="106" t="str">
        <f t="shared" ca="1" si="5"/>
        <v>Nico Collins</v>
      </c>
      <c r="AD55" s="106" t="str">
        <f t="shared" ca="1" si="6"/>
        <v>WR</v>
      </c>
      <c r="AE55" s="109">
        <f ca="1">LARGE(($E$5:$E$34,$E$37:$E$64,$N$5:$N$64,$W$5:$W$64),ROW(AE55)-4)</f>
        <v>59.35</v>
      </c>
    </row>
    <row r="56" spans="1:31" x14ac:dyDescent="0.35">
      <c r="A56" s="23" t="s">
        <v>729</v>
      </c>
      <c r="B56" s="57" t="str">
        <f>INDEX(TE!F$3:F$112,MATCH(A56,TE!B$3:B$112,0))</f>
        <v>GB</v>
      </c>
      <c r="C56" s="28">
        <f>INDEX(TE!E$3:E$112,MATCH(A56,TE!B$3:B$112,0))</f>
        <v>10</v>
      </c>
      <c r="D56" s="177" t="str">
        <f>IF(INDEX(Auction!$H$13:$H$426,MATCH(A56,Auction!$A$13:$A$426,0))&gt;0,"x","")</f>
        <v/>
      </c>
      <c r="E56" s="24">
        <f ca="1">IF(D56="",INDEX(TE!Z$3:Z$112,MATCH(A56,TE!$B$3:$B$112,0)),0)</f>
        <v>0.82000000000000028</v>
      </c>
      <c r="F56" s="33" t="str">
        <f ca="1">INDEX(TE!AA$3:AA$112,MATCH(A56,TE!$B$3:$B$112,0))</f>
        <v>TE6</v>
      </c>
      <c r="G56" s="38">
        <f t="shared" ca="1" si="7"/>
        <v>1.3975763980024886E-3</v>
      </c>
      <c r="H56" s="30">
        <f ca="1">IF(LeagueInfo!$H$7="Starter/Bench",INDEX(TE!$T$3:$T$112,MATCH(A56,TE!$B$3:$B$112,0))*InflationPct,INDEX(TE!$AB$3:$AB$112,MATCH(A56,TE!$B$3:$B$112,0))*InflationPct)</f>
        <v>0.2705664682582074</v>
      </c>
      <c r="I56" s="22"/>
      <c r="J56" s="46" t="s">
        <v>864</v>
      </c>
      <c r="K56" s="55" t="str">
        <f>INDEX('RB'!$F$3:$F$131,MATCH(J56,'RB'!$B$3:$B$131,0))</f>
        <v>GB</v>
      </c>
      <c r="L56" s="47">
        <f>INDEX('RB'!$E$3:$E$131,MATCH(J56,'RB'!$B$3:$B$131,0))</f>
        <v>10</v>
      </c>
      <c r="M56" s="178" t="str">
        <f>IF(INDEX(Auction!$H$13:$H$426,MATCH(J56,Auction!$A$13:$A$426,0))&gt;0,"x","")</f>
        <v/>
      </c>
      <c r="N56" s="42">
        <f ca="1">IF(M56="",INDEX('RB'!Z$3:Z$131,MATCH(J56,'RB'!$B$3:$B$131,0)),0)</f>
        <v>-9.894999999999996</v>
      </c>
      <c r="O56" s="42" t="str">
        <f ca="1">INDEX('RB'!AA$3:AA$131,MATCH(J56,'RB'!$B$3:$B$131,0))</f>
        <v>RB8</v>
      </c>
      <c r="P56" s="48">
        <f t="shared" ca="1" si="8"/>
        <v>-4.3735289892706001E-3</v>
      </c>
      <c r="Q56" s="49">
        <f ca="1">IF(LeagueInfo!$H$7="Starter/Bench",INDEX('RB'!$T$3:$T$131,MATCH(J56,'RB'!$B$3:$B$131,0))*InflationPct,INDEX('RB'!$AB$3:$AB$131,MATCH(J56,'RB'!$B$3:$B$131,0))*InflationPct)</f>
        <v>-3.264945370018244</v>
      </c>
      <c r="S56" s="23" t="s">
        <v>236</v>
      </c>
      <c r="T56" s="57" t="str">
        <f>INDEX(WR!$F$1:$F$167,MATCH(S56,WR!$B$1:$B$167,0))</f>
        <v>BUF</v>
      </c>
      <c r="U56" s="28">
        <f>INDEX(WR!$E$1:$E$167,MATCH(S56,WR!$B$1:$B$167,0))</f>
        <v>12</v>
      </c>
      <c r="V56" s="180" t="str">
        <f>IF(INDEX(Auction!$H$13:$H$426,MATCH(S56,Auction!$A$13:$A$426,0))&gt;0,"x","")</f>
        <v/>
      </c>
      <c r="W56" s="24">
        <f ca="1">IF(V56="",INDEX(WR!Z$3:Z$167,MATCH(S56,WR!$B$3:$B$167,0)),0)</f>
        <v>11.654999999999994</v>
      </c>
      <c r="X56" s="24" t="str">
        <f ca="1">INDEX(WR!AA$3:AA$131,MATCH(S56,WR!$B$3:$B$167,0))</f>
        <v>WR6</v>
      </c>
      <c r="Y56" s="37">
        <f t="shared" ca="1" si="9"/>
        <v>4.7747314085560049E-3</v>
      </c>
      <c r="Z56" s="30">
        <f ca="1">IF(LeagueInfo!$H$7="Starter/Bench",INDEX(WR!$T$3:$T$167,MATCH(S56,WR!$B$3:$B$167,0))*InflationPct,INDEX(WR!$AB$3:$AB$167,MATCH(S56,WR!$B$3:$B$167,0))*InflationPct)</f>
        <v>3.8456733994504932</v>
      </c>
      <c r="AB56" s="23">
        <f t="shared" ca="1" si="4"/>
        <v>52</v>
      </c>
      <c r="AC56" s="106" t="str">
        <f t="shared" ca="1" si="5"/>
        <v>Davante Adams</v>
      </c>
      <c r="AD56" s="106" t="str">
        <f t="shared" ca="1" si="6"/>
        <v>WR</v>
      </c>
      <c r="AE56" s="109">
        <f ca="1">LARGE(($E$5:$E$34,$E$37:$E$64,$N$5:$N$64,$W$5:$W$64),ROW(AE56)-4)</f>
        <v>58.26</v>
      </c>
    </row>
    <row r="57" spans="1:31" x14ac:dyDescent="0.35">
      <c r="A57" s="23" t="s">
        <v>647</v>
      </c>
      <c r="B57" s="57" t="str">
        <f>INDEX(TE!F$3:F$112,MATCH(A57,TE!B$3:B$112,0))</f>
        <v>TEN</v>
      </c>
      <c r="C57" s="28">
        <f>INDEX(TE!E$3:E$112,MATCH(A57,TE!B$3:B$112,0))</f>
        <v>5</v>
      </c>
      <c r="D57" s="177" t="str">
        <f>IF(INDEX(Auction!$H$13:$H$426,MATCH(A57,Auction!$A$13:$A$426,0))&gt;0,"x","")</f>
        <v/>
      </c>
      <c r="E57" s="24">
        <f ca="1">IF(D57="",INDEX(TE!Z$3:Z$112,MATCH(A57,TE!$B$3:$B$112,0)),0)</f>
        <v>0</v>
      </c>
      <c r="F57" s="33" t="str">
        <f ca="1">INDEX(TE!AA$3:AA$112,MATCH(A57,TE!$B$3:$B$112,0))</f>
        <v>TE6</v>
      </c>
      <c r="G57" s="38">
        <f t="shared" ca="1" si="7"/>
        <v>0</v>
      </c>
      <c r="H57" s="30">
        <f ca="1">IF(LeagueInfo!$H$7="Starter/Bench",INDEX(TE!$T$3:$T$112,MATCH(A57,TE!$B$3:$B$112,0))*InflationPct,INDEX(TE!$AB$3:$AB$112,MATCH(A57,TE!$B$3:$B$112,0))*InflationPct)</f>
        <v>0</v>
      </c>
      <c r="I57" s="22"/>
      <c r="J57" s="46" t="s">
        <v>701</v>
      </c>
      <c r="K57" s="55" t="str">
        <f>INDEX('RB'!$F$3:$F$131,MATCH(J57,'RB'!$B$3:$B$131,0))</f>
        <v>SF</v>
      </c>
      <c r="L57" s="47">
        <f>INDEX('RB'!$E$3:$E$131,MATCH(J57,'RB'!$B$3:$B$131,0))</f>
        <v>9</v>
      </c>
      <c r="M57" s="178" t="str">
        <f>IF(INDEX(Auction!$H$13:$H$426,MATCH(J57,Auction!$A$13:$A$426,0))&gt;0,"x","")</f>
        <v/>
      </c>
      <c r="N57" s="42">
        <f ca="1">IF(M57="",INDEX('RB'!Z$3:Z$131,MATCH(J57,'RB'!$B$3:$B$131,0)),0)</f>
        <v>-10.475000000000009</v>
      </c>
      <c r="O57" s="42" t="str">
        <f ca="1">INDEX('RB'!AA$3:AA$131,MATCH(J57,'RB'!$B$3:$B$131,0))</f>
        <v>RB8</v>
      </c>
      <c r="P57" s="48">
        <f t="shared" ca="1" si="8"/>
        <v>-4.6298854130984932E-3</v>
      </c>
      <c r="Q57" s="49">
        <f ca="1">IF(LeagueInfo!$H$7="Starter/Bench",INDEX('RB'!$T$3:$T$131,MATCH(J57,'RB'!$B$3:$B$131,0))*InflationPct,INDEX('RB'!$AB$3:$AB$131,MATCH(J57,'RB'!$B$3:$B$131,0))*InflationPct)</f>
        <v>-3.4563216524447853</v>
      </c>
      <c r="S57" s="23" t="s">
        <v>466</v>
      </c>
      <c r="T57" s="57" t="str">
        <f>INDEX(WR!$F$1:$F$167,MATCH(S57,WR!$B$1:$B$167,0))</f>
        <v>LV</v>
      </c>
      <c r="U57" s="28">
        <f>INDEX(WR!$E$1:$E$167,MATCH(S57,WR!$B$1:$B$167,0))</f>
        <v>10</v>
      </c>
      <c r="V57" s="180" t="str">
        <f>IF(INDEX(Auction!$H$13:$H$426,MATCH(S57,Auction!$A$13:$A$426,0))&gt;0,"x","")</f>
        <v/>
      </c>
      <c r="W57" s="24">
        <f ca="1">IF(V57="",INDEX(WR!Z$3:Z$167,MATCH(S57,WR!$B$3:$B$167,0)),0)</f>
        <v>11.21</v>
      </c>
      <c r="X57" s="24" t="str">
        <f ca="1">INDEX(WR!AA$3:AA$131,MATCH(S57,WR!$B$3:$B$167,0))</f>
        <v>WR6</v>
      </c>
      <c r="Y57" s="37">
        <f t="shared" ca="1" si="9"/>
        <v>4.5924272063417289E-3</v>
      </c>
      <c r="Z57" s="30">
        <f ca="1">IF(LeagueInfo!$H$7="Starter/Bench",INDEX(WR!$T$3:$T$167,MATCH(S57,WR!$B$3:$B$167,0))*InflationPct,INDEX(WR!$AB$3:$AB$167,MATCH(S57,WR!$B$3:$B$167,0))*InflationPct)</f>
        <v>3.6988415965542734</v>
      </c>
      <c r="AB57" s="23">
        <f t="shared" ca="1" si="4"/>
        <v>53</v>
      </c>
      <c r="AC57" s="106" t="str">
        <f t="shared" ca="1" si="5"/>
        <v>Tua Tagovailoa</v>
      </c>
      <c r="AD57" s="106" t="str">
        <f t="shared" ca="1" si="6"/>
        <v>QB</v>
      </c>
      <c r="AE57" s="109">
        <f ca="1">LARGE(($E$5:$E$34,$E$37:$E$64,$N$5:$N$64,$W$5:$W$64),ROW(AE57)-4)</f>
        <v>56.512000000000015</v>
      </c>
    </row>
    <row r="58" spans="1:31" x14ac:dyDescent="0.35">
      <c r="A58" s="23" t="s">
        <v>562</v>
      </c>
      <c r="B58" s="57" t="str">
        <f>INDEX(TE!F$3:F$112,MATCH(A58,TE!B$3:B$112,0))</f>
        <v>NO</v>
      </c>
      <c r="C58" s="28">
        <f>INDEX(TE!E$3:E$112,MATCH(A58,TE!B$3:B$112,0))</f>
        <v>12</v>
      </c>
      <c r="D58" s="177" t="str">
        <f>IF(INDEX(Auction!$H$13:$H$426,MATCH(A58,Auction!$A$13:$A$426,0))&gt;0,"x","")</f>
        <v/>
      </c>
      <c r="E58" s="24">
        <f ca="1">IF(D58="",INDEX(TE!Z$3:Z$112,MATCH(A58,TE!$B$3:$B$112,0)),0)</f>
        <v>-3.0000000000008242E-2</v>
      </c>
      <c r="F58" s="33" t="str">
        <f ca="1">INDEX(TE!AA$3:AA$112,MATCH(A58,TE!$B$3:$B$112,0))</f>
        <v>TE6</v>
      </c>
      <c r="G58" s="38">
        <f t="shared" ca="1" si="7"/>
        <v>-5.1130843829373367E-5</v>
      </c>
      <c r="H58" s="30">
        <f ca="1">IF(LeagueInfo!$H$7="Starter/Bench",INDEX(TE!$T$3:$T$112,MATCH(A58,TE!$B$3:$B$112,0))*InflationPct,INDEX(TE!$AB$3:$AB$112,MATCH(A58,TE!$B$3:$B$112,0))*InflationPct)</f>
        <v>-9.898773228961523E-3</v>
      </c>
      <c r="I58" s="22"/>
      <c r="J58" s="46" t="s">
        <v>868</v>
      </c>
      <c r="K58" s="55" t="str">
        <f>INDEX('RB'!$F$3:$F$131,MATCH(J58,'RB'!$B$3:$B$131,0))</f>
        <v>BUF</v>
      </c>
      <c r="L58" s="47">
        <f>INDEX('RB'!$E$3:$E$131,MATCH(J58,'RB'!$B$3:$B$131,0))</f>
        <v>12</v>
      </c>
      <c r="M58" s="178" t="str">
        <f>IF(INDEX(Auction!$H$13:$H$426,MATCH(J58,Auction!$A$13:$A$426,0))&gt;0,"x","")</f>
        <v/>
      </c>
      <c r="N58" s="42">
        <f ca="1">IF(M58="",INDEX('RB'!Z$3:Z$131,MATCH(J58,'RB'!$B$3:$B$131,0)),0)</f>
        <v>-11.790000000000006</v>
      </c>
      <c r="O58" s="42" t="str">
        <f ca="1">INDEX('RB'!AA$3:AA$131,MATCH(J58,'RB'!$B$3:$B$131,0))</f>
        <v>RB8</v>
      </c>
      <c r="P58" s="48">
        <f t="shared" ca="1" si="8"/>
        <v>-5.2111073050530995E-3</v>
      </c>
      <c r="Q58" s="49">
        <f ca="1">IF(LeagueInfo!$H$7="Starter/Bench",INDEX('RB'!$T$3:$T$131,MATCH(J58,'RB'!$B$3:$B$131,0))*InflationPct,INDEX('RB'!$AB$3:$AB$131,MATCH(J58,'RB'!$B$3:$B$131,0))*InflationPct)</f>
        <v>-3.8902178789808119</v>
      </c>
      <c r="S58" s="23" t="s">
        <v>607</v>
      </c>
      <c r="T58" s="57" t="str">
        <f>INDEX(WR!$F$1:$F$167,MATCH(S58,WR!$B$1:$B$167,0))</f>
        <v>BUF</v>
      </c>
      <c r="U58" s="28">
        <f>INDEX(WR!$E$1:$E$167,MATCH(S58,WR!$B$1:$B$167,0))</f>
        <v>12</v>
      </c>
      <c r="V58" s="180" t="str">
        <f>IF(INDEX(Auction!$H$13:$H$426,MATCH(S58,Auction!$A$13:$A$426,0))&gt;0,"x","")</f>
        <v/>
      </c>
      <c r="W58" s="24">
        <f ca="1">IF(V58="",INDEX(WR!Z$3:Z$167,MATCH(S58,WR!$B$3:$B$167,0)),0)</f>
        <v>10.669999999999995</v>
      </c>
      <c r="X58" s="24" t="str">
        <f ca="1">INDEX(WR!AA$3:AA$131,MATCH(S58,WR!$B$3:$B$167,0))</f>
        <v>WR6</v>
      </c>
      <c r="Y58" s="37">
        <f t="shared" ca="1" si="9"/>
        <v>4.3712041294974328E-3</v>
      </c>
      <c r="Z58" s="30">
        <f ca="1">IF(LeagueInfo!$H$7="Starter/Bench",INDEX(WR!$T$3:$T$167,MATCH(S58,WR!$B$3:$B$167,0))*InflationPct,INDEX(WR!$AB$3:$AB$167,MATCH(S58,WR!$B$3:$B$167,0))*InflationPct)</f>
        <v>3.5206636784330128</v>
      </c>
      <c r="AB58" s="23">
        <f t="shared" ca="1" si="4"/>
        <v>54</v>
      </c>
      <c r="AC58" s="106" t="str">
        <f t="shared" ca="1" si="5"/>
        <v>Cooper Kupp</v>
      </c>
      <c r="AD58" s="106" t="str">
        <f t="shared" ca="1" si="6"/>
        <v>WR</v>
      </c>
      <c r="AE58" s="109">
        <f ca="1">LARGE(($E$5:$E$34,$E$37:$E$64,$N$5:$N$64,$W$5:$W$64),ROW(AE58)-4)</f>
        <v>54.85000000000003</v>
      </c>
    </row>
    <row r="59" spans="1:31" x14ac:dyDescent="0.35">
      <c r="A59" s="23" t="s">
        <v>447</v>
      </c>
      <c r="B59" s="57" t="str">
        <f>INDEX(TE!F$3:F$112,MATCH(A59,TE!B$3:B$112,0))</f>
        <v>SEA</v>
      </c>
      <c r="C59" s="28">
        <f>INDEX(TE!E$3:E$112,MATCH(A59,TE!B$3:B$112,0))</f>
        <v>10</v>
      </c>
      <c r="D59" s="177" t="str">
        <f>IF(INDEX(Auction!$H$13:$H$426,MATCH(A59,Auction!$A$13:$A$426,0))&gt;0,"x","")</f>
        <v/>
      </c>
      <c r="E59" s="24">
        <f ca="1">IF(D59="",INDEX(TE!Z$3:Z$112,MATCH(A59,TE!$B$3:$B$112,0)),0)</f>
        <v>-1.1500000000000057</v>
      </c>
      <c r="F59" s="33" t="str">
        <f ca="1">INDEX(TE!AA$3:AA$112,MATCH(A59,TE!$B$3:$B$112,0))</f>
        <v>TE6</v>
      </c>
      <c r="G59" s="38">
        <f t="shared" ca="1" si="7"/>
        <v>-1.9600156801254502E-3</v>
      </c>
      <c r="H59" s="30">
        <f ca="1">IF(LeagueInfo!$H$7="Starter/Bench",INDEX(TE!$T$3:$T$112,MATCH(A59,TE!$B$3:$B$112,0))*InflationPct,INDEX(TE!$AB$3:$AB$112,MATCH(A59,TE!$B$3:$B$112,0))*InflationPct)</f>
        <v>-0.37945297377675602</v>
      </c>
      <c r="I59" s="17"/>
      <c r="J59" s="46" t="s">
        <v>424</v>
      </c>
      <c r="K59" s="55" t="str">
        <f>INDEX('RB'!$F$3:$F$131,MATCH(J59,'RB'!$B$3:$B$131,0))</f>
        <v>LV</v>
      </c>
      <c r="L59" s="47">
        <f>INDEX('RB'!$E$3:$E$131,MATCH(J59,'RB'!$B$3:$B$131,0))</f>
        <v>10</v>
      </c>
      <c r="M59" s="178" t="str">
        <f>IF(INDEX(Auction!$H$13:$H$426,MATCH(J59,Auction!$A$13:$A$426,0))&gt;0,"x","")</f>
        <v/>
      </c>
      <c r="N59" s="42">
        <f ca="1">IF(M59="",INDEX('RB'!Z$3:Z$131,MATCH(J59,'RB'!$B$3:$B$131,0)),0)</f>
        <v>-12.229999999999997</v>
      </c>
      <c r="O59" s="42" t="str">
        <f ca="1">INDEX('RB'!AA$3:AA$131,MATCH(J59,'RB'!$B$3:$B$131,0))</f>
        <v>RB8</v>
      </c>
      <c r="P59" s="48">
        <f t="shared" ca="1" si="8"/>
        <v>-5.4055845920949414E-3</v>
      </c>
      <c r="Q59" s="49">
        <f ca="1">IF(LeagueInfo!$H$7="Starter/Bench",INDEX('RB'!$T$3:$T$131,MATCH(J59,'RB'!$B$3:$B$131,0))*InflationPct,INDEX('RB'!$AB$3:$AB$131,MATCH(J59,'RB'!$B$3:$B$131,0))*InflationPct)</f>
        <v>-4.0353998863388716</v>
      </c>
      <c r="S59" s="23" t="s">
        <v>96</v>
      </c>
      <c r="T59" s="57" t="str">
        <f>INDEX(WR!$F$1:$F$167,MATCH(S59,WR!$B$1:$B$167,0))</f>
        <v>DAL</v>
      </c>
      <c r="U59" s="28">
        <f>INDEX(WR!$E$1:$E$167,MATCH(S59,WR!$B$1:$B$167,0))</f>
        <v>7</v>
      </c>
      <c r="V59" s="180" t="str">
        <f>IF(INDEX(Auction!$H$13:$H$426,MATCH(S59,Auction!$A$13:$A$426,0))&gt;0,"x","")</f>
        <v/>
      </c>
      <c r="W59" s="24">
        <f ca="1">IF(V59="",INDEX(WR!Z$3:Z$167,MATCH(S59,WR!$B$3:$B$167,0)),0)</f>
        <v>10.015000000000008</v>
      </c>
      <c r="X59" s="24" t="str">
        <f ca="1">INDEX(WR!AA$3:AA$131,MATCH(S59,WR!$B$3:$B$167,0))</f>
        <v>WR6</v>
      </c>
      <c r="Y59" s="37">
        <f t="shared" ca="1" si="9"/>
        <v>4.1028687307326003E-3</v>
      </c>
      <c r="Z59" s="30">
        <f ca="1">IF(LeagueInfo!$H$7="Starter/Bench",INDEX(WR!$T$3:$T$167,MATCH(S59,WR!$B$3:$B$167,0))*InflationPct,INDEX(WR!$AB$3:$AB$167,MATCH(S59,WR!$B$3:$B$167,0))*InflationPct)</f>
        <v>3.3045404629340833</v>
      </c>
      <c r="AB59" s="23">
        <f t="shared" ca="1" si="4"/>
        <v>55</v>
      </c>
      <c r="AC59" s="106" t="str">
        <f t="shared" ca="1" si="5"/>
        <v>Trey McBride</v>
      </c>
      <c r="AD59" s="106" t="str">
        <f t="shared" ca="1" si="6"/>
        <v>TE</v>
      </c>
      <c r="AE59" s="109">
        <f ca="1">LARGE(($E$5:$E$34,$E$37:$E$64,$N$5:$N$64,$W$5:$W$64),ROW(AE59)-4)</f>
        <v>52.820000000000007</v>
      </c>
    </row>
    <row r="60" spans="1:31" x14ac:dyDescent="0.35">
      <c r="A60" s="23" t="s">
        <v>643</v>
      </c>
      <c r="B60" s="57" t="str">
        <f>INDEX(TE!F$3:F$112,MATCH(A60,TE!B$3:B$112,0))</f>
        <v>BAL</v>
      </c>
      <c r="C60" s="28">
        <f>INDEX(TE!E$3:E$112,MATCH(A60,TE!B$3:B$112,0))</f>
        <v>14</v>
      </c>
      <c r="D60" s="177" t="str">
        <f>IF(INDEX(Auction!$H$13:$H$426,MATCH(A60,Auction!$A$13:$A$426,0))&gt;0,"x","")</f>
        <v/>
      </c>
      <c r="E60" s="24">
        <f ca="1">IF(D60="",INDEX(TE!Z$3:Z$112,MATCH(A60,TE!$B$3:$B$112,0)),0)</f>
        <v>-3.2500000000000071</v>
      </c>
      <c r="F60" s="33" t="str">
        <f ca="1">INDEX(TE!AA$3:AA$112,MATCH(A60,TE!$B$3:$B$112,0))</f>
        <v>TE6</v>
      </c>
      <c r="G60" s="38">
        <f t="shared" ca="1" si="7"/>
        <v>-5.5391747481806052E-3</v>
      </c>
      <c r="H60" s="30">
        <f ca="1">IF(LeagueInfo!$H$7="Starter/Bench",INDEX(TE!$T$3:$T$112,MATCH(A60,TE!$B$3:$B$112,0))*InflationPct,INDEX(TE!$AB$3:$AB$112,MATCH(A60,TE!$B$3:$B$112,0))*InflationPct)</f>
        <v>-1.0723670998038728</v>
      </c>
      <c r="I60" s="17"/>
      <c r="J60" s="46" t="s">
        <v>126</v>
      </c>
      <c r="K60" s="55" t="str">
        <f>INDEX('RB'!$F$3:$F$131,MATCH(J60,'RB'!$B$3:$B$131,0))</f>
        <v>NO</v>
      </c>
      <c r="L60" s="47">
        <f>INDEX('RB'!$E$3:$E$131,MATCH(J60,'RB'!$B$3:$B$131,0))</f>
        <v>12</v>
      </c>
      <c r="M60" s="178" t="str">
        <f>IF(INDEX(Auction!$H$13:$H$426,MATCH(J60,Auction!$A$13:$A$426,0))&gt;0,"x","")</f>
        <v/>
      </c>
      <c r="N60" s="42">
        <f ca="1">IF(M60="",INDEX('RB'!Z$3:Z$131,MATCH(J60,'RB'!$B$3:$B$131,0)),0)</f>
        <v>-12.325000000000003</v>
      </c>
      <c r="O60" s="42" t="str">
        <f ca="1">INDEX('RB'!AA$3:AA$131,MATCH(J60,'RB'!$B$3:$B$131,0))</f>
        <v>RB8</v>
      </c>
      <c r="P60" s="48">
        <f t="shared" ca="1" si="8"/>
        <v>-5.447574006342615E-3</v>
      </c>
      <c r="Q60" s="49">
        <f ca="1">IF(LeagueInfo!$H$7="Starter/Bench",INDEX('RB'!$T$3:$T$131,MATCH(J60,'RB'!$B$3:$B$131,0))*InflationPct,INDEX('RB'!$AB$3:$AB$131,MATCH(J60,'RB'!$B$3:$B$131,0))*InflationPct)</f>
        <v>-4.0667460015639092</v>
      </c>
      <c r="S60" s="23" t="s">
        <v>127</v>
      </c>
      <c r="T60" s="57" t="str">
        <f>INDEX(WR!$F$1:$F$167,MATCH(S60,WR!$B$1:$B$167,0))</f>
        <v>NYJ</v>
      </c>
      <c r="U60" s="28">
        <f>INDEX(WR!$E$1:$E$167,MATCH(S60,WR!$B$1:$B$167,0))</f>
        <v>12</v>
      </c>
      <c r="V60" s="180" t="str">
        <f>IF(INDEX(Auction!$H$13:$H$426,MATCH(S60,Auction!$A$13:$A$426,0))&gt;0,"x","")</f>
        <v/>
      </c>
      <c r="W60" s="24">
        <f ca="1">IF(V60="",INDEX(WR!Z$3:Z$167,MATCH(S60,WR!$B$3:$B$167,0)),0)</f>
        <v>9.93</v>
      </c>
      <c r="X60" s="24" t="str">
        <f ca="1">INDEX(WR!AA$3:AA$131,MATCH(S60,WR!$B$3:$B$167,0))</f>
        <v>WR6</v>
      </c>
      <c r="Y60" s="37">
        <f t="shared" ca="1" si="9"/>
        <v>4.0680465797478466E-3</v>
      </c>
      <c r="Z60" s="30">
        <f ca="1">IF(LeagueInfo!$H$7="Starter/Bench",INDEX(WR!$T$3:$T$167,MATCH(S60,WR!$B$3:$B$167,0))*InflationPct,INDEX(WR!$AB$3:$AB$167,MATCH(S60,WR!$B$3:$B$167,0))*InflationPct)</f>
        <v>3.276493938785364</v>
      </c>
      <c r="AB60" s="23">
        <f t="shared" ca="1" si="4"/>
        <v>56</v>
      </c>
      <c r="AC60" s="106" t="str">
        <f t="shared" ca="1" si="5"/>
        <v>DeVonta Smith</v>
      </c>
      <c r="AD60" s="106" t="str">
        <f t="shared" ca="1" si="6"/>
        <v>WR</v>
      </c>
      <c r="AE60" s="109">
        <f ca="1">LARGE(($E$5:$E$34,$E$37:$E$64,$N$5:$N$64,$W$5:$W$64),ROW(AE60)-4)</f>
        <v>52.189999999999976</v>
      </c>
    </row>
    <row r="61" spans="1:31" x14ac:dyDescent="0.35">
      <c r="A61" s="23" t="s">
        <v>258</v>
      </c>
      <c r="B61" s="57" t="str">
        <f>INDEX(TE!F$3:F$112,MATCH(A61,TE!B$3:B$112,0))</f>
        <v>MIA</v>
      </c>
      <c r="C61" s="28">
        <f>INDEX(TE!E$3:E$112,MATCH(A61,TE!B$3:B$112,0))</f>
        <v>6</v>
      </c>
      <c r="D61" s="177" t="str">
        <f>IF(INDEX(Auction!$H$13:$H$426,MATCH(A61,Auction!$A$13:$A$426,0))&gt;0,"x","")</f>
        <v/>
      </c>
      <c r="E61" s="24">
        <f ca="1">IF(D61="",INDEX(TE!Z$3:Z$112,MATCH(A61,TE!$B$3:$B$112,0)),0)</f>
        <v>-6.8100000000000023</v>
      </c>
      <c r="F61" s="33" t="str">
        <f ca="1">INDEX(TE!AA$3:AA$112,MATCH(A61,TE!$B$3:$B$112,0))</f>
        <v>TE7</v>
      </c>
      <c r="G61" s="38">
        <f t="shared" ca="1" si="7"/>
        <v>-1.160670154926457E-2</v>
      </c>
      <c r="H61" s="30">
        <f ca="1">IF(LeagueInfo!$H$7="Starter/Bench",INDEX(TE!$T$3:$T$112,MATCH(A61,TE!$B$3:$B$112,0))*InflationPct,INDEX(TE!$AB$3:$AB$112,MATCH(A61,TE!$B$3:$B$112,0))*InflationPct)</f>
        <v>-2.247021522973649</v>
      </c>
      <c r="I61" s="22"/>
      <c r="J61" s="46" t="s">
        <v>867</v>
      </c>
      <c r="K61" s="55" t="str">
        <f>INDEX('RB'!$F$3:$F$131,MATCH(J61,'RB'!$B$3:$B$131,0))</f>
        <v>NYJ</v>
      </c>
      <c r="L61" s="47">
        <f>INDEX('RB'!$E$3:$E$131,MATCH(J61,'RB'!$B$3:$B$131,0))</f>
        <v>12</v>
      </c>
      <c r="M61" s="178" t="str">
        <f>IF(INDEX(Auction!$H$13:$H$426,MATCH(J61,Auction!$A$13:$A$426,0))&gt;0,"x","")</f>
        <v/>
      </c>
      <c r="N61" s="42">
        <f ca="1">IF(M61="",INDEX('RB'!Z$3:Z$131,MATCH(J61,'RB'!$B$3:$B$131,0)),0)</f>
        <v>-12.785000000000004</v>
      </c>
      <c r="O61" s="42" t="str">
        <f ca="1">INDEX('RB'!AA$3:AA$131,MATCH(J61,'RB'!$B$3:$B$131,0))</f>
        <v>RB8</v>
      </c>
      <c r="P61" s="48">
        <f t="shared" ca="1" si="8"/>
        <v>-5.6508911700681817E-3</v>
      </c>
      <c r="Q61" s="49">
        <f ca="1">IF(LeagueInfo!$H$7="Starter/Bench",INDEX('RB'!$T$3:$T$131,MATCH(J61,'RB'!$B$3:$B$131,0))*InflationPct,INDEX('RB'!$AB$3:$AB$131,MATCH(J61,'RB'!$B$3:$B$131,0))*InflationPct)</f>
        <v>-4.2185271910746112</v>
      </c>
      <c r="S61" s="23" t="s">
        <v>913</v>
      </c>
      <c r="T61" s="57" t="str">
        <f>INDEX(WR!$F$1:$F$167,MATCH(S61,WR!$B$1:$B$167,0))</f>
        <v>BUF</v>
      </c>
      <c r="U61" s="28">
        <f>INDEX(WR!$E$1:$E$167,MATCH(S61,WR!$B$1:$B$167,0))</f>
        <v>12</v>
      </c>
      <c r="V61" s="180" t="str">
        <f>IF(INDEX(Auction!$H$13:$H$426,MATCH(S61,Auction!$A$13:$A$426,0))&gt;0,"x","")</f>
        <v/>
      </c>
      <c r="W61" s="24">
        <f ca="1">IF(V61="",INDEX(WR!Z$3:Z$167,MATCH(S61,WR!$B$3:$B$167,0)),0)</f>
        <v>8.9750000000000014</v>
      </c>
      <c r="X61" s="24" t="str">
        <f ca="1">INDEX(WR!AA$3:AA$131,MATCH(S61,WR!$B$3:$B$167,0))</f>
        <v>WR6</v>
      </c>
      <c r="Y61" s="37">
        <f t="shared" ca="1" si="9"/>
        <v>3.6768094716250685E-3</v>
      </c>
      <c r="Z61" s="30">
        <f ca="1">IF(LeagueInfo!$H$7="Starter/Bench",INDEX(WR!$T$3:$T$167,MATCH(S61,WR!$B$3:$B$167,0))*InflationPct,INDEX(WR!$AB$3:$AB$167,MATCH(S61,WR!$B$3:$B$167,0))*InflationPct)</f>
        <v>2.9613829909968428</v>
      </c>
      <c r="AB61" s="23">
        <f t="shared" ca="1" si="4"/>
        <v>57</v>
      </c>
      <c r="AC61" s="106" t="str">
        <f t="shared" ca="1" si="5"/>
        <v>DK Metcalf</v>
      </c>
      <c r="AD61" s="106" t="str">
        <f t="shared" ca="1" si="6"/>
        <v>WR</v>
      </c>
      <c r="AE61" s="109">
        <f ca="1">LARGE(($E$5:$E$34,$E$37:$E$64,$N$5:$N$64,$W$5:$W$64),ROW(AE61)-4)</f>
        <v>52.069999999999972</v>
      </c>
    </row>
    <row r="62" spans="1:31" x14ac:dyDescent="0.35">
      <c r="A62" s="23" t="s">
        <v>369</v>
      </c>
      <c r="B62" s="57" t="str">
        <f>INDEX(TE!F$3:F$112,MATCH(A62,TE!B$3:B$112,0))</f>
        <v>LAC</v>
      </c>
      <c r="C62" s="28">
        <f>INDEX(TE!E$3:E$112,MATCH(A62,TE!B$3:B$112,0))</f>
        <v>5</v>
      </c>
      <c r="D62" s="177" t="str">
        <f>IF(INDEX(Auction!$H$13:$H$426,MATCH(A62,Auction!$A$13:$A$426,0))&gt;0,"x","")</f>
        <v/>
      </c>
      <c r="E62" s="24">
        <f ca="1">IF(D62="",INDEX(TE!Z$3:Z$112,MATCH(A62,TE!$B$3:$B$112,0)),0)</f>
        <v>-7.1250000000000071</v>
      </c>
      <c r="F62" s="33" t="str">
        <f ca="1">INDEX(TE!AA$3:AA$112,MATCH(A62,TE!$B$3:$B$112,0))</f>
        <v>TE7</v>
      </c>
      <c r="G62" s="38">
        <f t="shared" ca="1" si="7"/>
        <v>-1.214357540947285E-2</v>
      </c>
      <c r="H62" s="30">
        <f ca="1">IF(LeagueInfo!$H$7="Starter/Bench",INDEX(TE!$T$3:$T$112,MATCH(A62,TE!$B$3:$B$112,0))*InflationPct,INDEX(TE!$AB$3:$AB$112,MATCH(A62,TE!$B$3:$B$112,0))*InflationPct)</f>
        <v>-2.3509586418777184</v>
      </c>
      <c r="I62" s="17"/>
      <c r="J62" s="46" t="s">
        <v>866</v>
      </c>
      <c r="K62" s="55" t="str">
        <f>INDEX('RB'!$F$3:$F$131,MATCH(J62,'RB'!$B$3:$B$131,0))</f>
        <v>NYG</v>
      </c>
      <c r="L62" s="47">
        <f>INDEX('RB'!$E$3:$E$131,MATCH(J62,'RB'!$B$3:$B$131,0))</f>
        <v>11</v>
      </c>
      <c r="M62" s="178" t="str">
        <f>IF(INDEX(Auction!$H$13:$H$426,MATCH(J62,Auction!$A$13:$A$426,0))&gt;0,"x","")</f>
        <v/>
      </c>
      <c r="N62" s="42">
        <f ca="1">IF(M62="",INDEX('RB'!Z$3:Z$131,MATCH(J62,'RB'!$B$3:$B$131,0)),0)</f>
        <v>-13.175000000000004</v>
      </c>
      <c r="O62" s="42" t="str">
        <f ca="1">INDEX('RB'!AA$3:AA$131,MATCH(J62,'RB'!$B$3:$B$131,0))</f>
        <v>RB8</v>
      </c>
      <c r="P62" s="48">
        <f t="shared" ca="1" si="8"/>
        <v>-5.8232687654007275E-3</v>
      </c>
      <c r="Q62" s="49">
        <f ca="1">IF(LeagueInfo!$H$7="Starter/Bench",INDEX('RB'!$T$3:$T$131,MATCH(J62,'RB'!$B$3:$B$131,0))*InflationPct,INDEX('RB'!$AB$3:$AB$131,MATCH(J62,'RB'!$B$3:$B$131,0))*InflationPct)</f>
        <v>-4.3472112430510759</v>
      </c>
      <c r="S62" s="23" t="s">
        <v>138</v>
      </c>
      <c r="T62" s="57" t="str">
        <f>INDEX(WR!$F$1:$F$167,MATCH(S62,WR!$B$1:$B$167,0))</f>
        <v>CAR</v>
      </c>
      <c r="U62" s="28">
        <f>INDEX(WR!$E$1:$E$167,MATCH(S62,WR!$B$1:$B$167,0))</f>
        <v>11</v>
      </c>
      <c r="V62" s="180" t="str">
        <f>IF(INDEX(Auction!$H$13:$H$426,MATCH(S62,Auction!$A$13:$A$426,0))&gt;0,"x","")</f>
        <v/>
      </c>
      <c r="W62" s="24">
        <f ca="1">IF(V62="",INDEX(WR!Z$3:Z$167,MATCH(S62,WR!$B$3:$B$167,0)),0)</f>
        <v>8.7550000000000026</v>
      </c>
      <c r="X62" s="24" t="str">
        <f ca="1">INDEX(WR!AA$3:AA$131,MATCH(S62,WR!$B$3:$B$167,0))</f>
        <v>WR6</v>
      </c>
      <c r="Y62" s="37">
        <f t="shared" ca="1" si="9"/>
        <v>3.5866815514292456E-3</v>
      </c>
      <c r="Z62" s="30">
        <f ca="1">IF(LeagueInfo!$H$7="Starter/Bench",INDEX(WR!$T$3:$T$167,MATCH(S62,WR!$B$3:$B$167,0))*InflationPct,INDEX(WR!$AB$3:$AB$167,MATCH(S62,WR!$B$3:$B$167,0))*InflationPct)</f>
        <v>2.8887919873178118</v>
      </c>
      <c r="AB62" s="23">
        <f t="shared" ca="1" si="4"/>
        <v>58</v>
      </c>
      <c r="AC62" s="106" t="str">
        <f t="shared" ca="1" si="5"/>
        <v>Baker Mayfield</v>
      </c>
      <c r="AD62" s="106" t="str">
        <f t="shared" ca="1" si="6"/>
        <v>QB</v>
      </c>
      <c r="AE62" s="109">
        <f ca="1">LARGE(($E$5:$E$34,$E$37:$E$64,$N$5:$N$64,$W$5:$W$64),ROW(AE62)-4)</f>
        <v>51.717999999999918</v>
      </c>
    </row>
    <row r="63" spans="1:31" x14ac:dyDescent="0.35">
      <c r="A63" s="23" t="s">
        <v>368</v>
      </c>
      <c r="B63" s="57" t="str">
        <f>INDEX(TE!F$3:F$112,MATCH(A63,TE!B$3:B$112,0))</f>
        <v>CIN</v>
      </c>
      <c r="C63" s="28">
        <f>INDEX(TE!E$3:E$112,MATCH(A63,TE!B$3:B$112,0))</f>
        <v>12</v>
      </c>
      <c r="D63" s="177" t="str">
        <f>IF(INDEX(Auction!$H$13:$H$426,MATCH(A63,Auction!$A$13:$A$426,0))&gt;0,"x","")</f>
        <v/>
      </c>
      <c r="E63" s="24">
        <f ca="1">IF(D63="",INDEX(TE!Z$3:Z$112,MATCH(A63,TE!$B$3:$B$112,0)),0)</f>
        <v>-9.6050000000000111</v>
      </c>
      <c r="F63" s="33" t="str">
        <f ca="1">INDEX(TE!AA$3:AA$112,MATCH(A63,TE!$B$3:$B$112,0))</f>
        <v>TE7</v>
      </c>
      <c r="G63" s="38">
        <f t="shared" ca="1" si="7"/>
        <v>-1.6370391832699893E-2</v>
      </c>
      <c r="H63" s="30">
        <f ca="1">IF(LeagueInfo!$H$7="Starter/Bench",INDEX(TE!$T$3:$T$112,MATCH(A63,TE!$B$3:$B$112,0))*InflationPct,INDEX(TE!$AB$3:$AB$112,MATCH(A63,TE!$B$3:$B$112,0))*InflationPct)</f>
        <v>-3.1692572288049807</v>
      </c>
      <c r="I63" s="22"/>
      <c r="J63" s="46" t="s">
        <v>515</v>
      </c>
      <c r="K63" s="55" t="str">
        <f>INDEX('RB'!$F$3:$F$131,MATCH(J63,'RB'!$B$3:$B$131,0))</f>
        <v>KC</v>
      </c>
      <c r="L63" s="47">
        <f>INDEX('RB'!$E$3:$E$131,MATCH(J63,'RB'!$B$3:$B$131,0))</f>
        <v>6</v>
      </c>
      <c r="M63" s="178" t="str">
        <f>IF(INDEX(Auction!$H$13:$H$426,MATCH(J63,Auction!$A$13:$A$426,0))&gt;0,"x","")</f>
        <v/>
      </c>
      <c r="N63" s="42">
        <f ca="1">IF(M63="",INDEX('RB'!Z$3:Z$131,MATCH(J63,'RB'!$B$3:$B$131,0)),0)</f>
        <v>-18.70000000000001</v>
      </c>
      <c r="O63" s="42" t="str">
        <f ca="1">INDEX('RB'!AA$3:AA$131,MATCH(J63,'RB'!$B$3:$B$131,0))</f>
        <v>RB8</v>
      </c>
      <c r="P63" s="48">
        <f t="shared" ca="1" si="8"/>
        <v>-8.2652846992784523E-3</v>
      </c>
      <c r="Q63" s="49">
        <f ca="1">IF(LeagueInfo!$H$7="Starter/Bench",INDEX('RB'!$T$3:$T$131,MATCH(J63,'RB'!$B$3:$B$131,0))*InflationPct,INDEX('RB'!$AB$3:$AB$131,MATCH(J63,'RB'!$B$3:$B$131,0))*InflationPct)</f>
        <v>-6.1702353127176579</v>
      </c>
      <c r="S63" s="23" t="s">
        <v>785</v>
      </c>
      <c r="T63" s="57" t="str">
        <f>INDEX(WR!$F$1:$F$167,MATCH(S63,WR!$B$1:$B$167,0))</f>
        <v>JAC</v>
      </c>
      <c r="U63" s="28">
        <f>INDEX(WR!$E$1:$E$167,MATCH(S63,WR!$B$1:$B$167,0))</f>
        <v>12</v>
      </c>
      <c r="V63" s="180" t="str">
        <f>IF(INDEX(Auction!$H$13:$H$426,MATCH(S63,Auction!$A$13:$A$426,0))&gt;0,"x","")</f>
        <v/>
      </c>
      <c r="W63" s="24">
        <f ca="1">IF(V63="",INDEX(WR!Z$3:Z$167,MATCH(S63,WR!$B$3:$B$167,0)),0)</f>
        <v>8.7349999999999923</v>
      </c>
      <c r="X63" s="24" t="str">
        <f ca="1">INDEX(WR!AA$3:AA$131,MATCH(S63,WR!$B$3:$B$167,0))</f>
        <v>WR6</v>
      </c>
      <c r="Y63" s="37">
        <f t="shared" ca="1" si="9"/>
        <v>3.5784881041387119E-3</v>
      </c>
      <c r="Z63" s="30">
        <f ca="1">IF(LeagueInfo!$H$7="Starter/Bench",INDEX(WR!$T$3:$T$167,MATCH(S63,WR!$B$3:$B$167,0))*InflationPct,INDEX(WR!$AB$3:$AB$167,MATCH(S63,WR!$B$3:$B$167,0))*InflationPct)</f>
        <v>2.8821928051651691</v>
      </c>
      <c r="AB63" s="23">
        <f t="shared" ca="1" si="4"/>
        <v>59</v>
      </c>
      <c r="AC63" s="106" t="str">
        <f t="shared" ca="1" si="5"/>
        <v>Kirk Cousins</v>
      </c>
      <c r="AD63" s="106" t="str">
        <f t="shared" ca="1" si="6"/>
        <v>QB</v>
      </c>
      <c r="AE63" s="109">
        <f ca="1">LARGE(($E$5:$E$34,$E$37:$E$64,$N$5:$N$64,$W$5:$W$64),ROW(AE63)-4)</f>
        <v>51.713999999999956</v>
      </c>
    </row>
    <row r="64" spans="1:31" ht="15" thickBot="1" x14ac:dyDescent="0.4">
      <c r="A64" s="25" t="s">
        <v>128</v>
      </c>
      <c r="B64" s="58" t="str">
        <f>INDEX(TE!F$3:F$112,MATCH(A64,TE!B$3:B$112,0))</f>
        <v>WAS</v>
      </c>
      <c r="C64" s="76">
        <f>INDEX(TE!E$3:E$112,MATCH(A64,TE!B$3:B$112,0))</f>
        <v>14</v>
      </c>
      <c r="D64" s="183" t="str">
        <f>IF(INDEX(Auction!$H$13:$H$426,MATCH(A64,Auction!$A$13:$A$426,0))&gt;0,"x","")</f>
        <v/>
      </c>
      <c r="E64" s="26">
        <f ca="1">IF(D64="",INDEX(TE!Z$3:Z$112,MATCH(A64,TE!$B$3:$B$112,0)),0)</f>
        <v>-10.480000000000004</v>
      </c>
      <c r="F64" s="26" t="str">
        <f ca="1">INDEX(TE!AA$3:AA$112,MATCH(A64,TE!$B$3:$B$112,0))</f>
        <v>TE7</v>
      </c>
      <c r="G64" s="39">
        <f t="shared" ca="1" si="7"/>
        <v>-1.7861708111056196E-2</v>
      </c>
      <c r="H64" s="31">
        <f ca="1">IF(LeagueInfo!$H$7="Starter/Bench",INDEX(TE!$T$3:$T$112,MATCH(A64,TE!$B$3:$B$112,0))*InflationPct,INDEX(TE!$AB$3:$AB$112,MATCH(A64,TE!$B$3:$B$112,0))*InflationPct)</f>
        <v>-3.4579714479829433</v>
      </c>
      <c r="I64" s="22"/>
      <c r="J64" s="50" t="s">
        <v>423</v>
      </c>
      <c r="K64" s="56" t="str">
        <f>INDEX('RB'!$F$3:$F$131,MATCH(J64,'RB'!$B$3:$B$131,0))</f>
        <v>CAR</v>
      </c>
      <c r="L64" s="51">
        <f>INDEX('RB'!$E$3:$E$131,MATCH(J64,'RB'!$B$3:$B$131,0))</f>
        <v>11</v>
      </c>
      <c r="M64" s="179" t="str">
        <f>IF(INDEX(Auction!$H$13:$H$426,MATCH(J64,Auction!$A$13:$A$426,0))&gt;0,"x","")</f>
        <v/>
      </c>
      <c r="N64" s="52">
        <f ca="1">IF(M64="",INDEX('RB'!Z$3:Z$131,MATCH(J64,'RB'!$B$3:$B$131,0)),0)</f>
        <v>-20.205000000000009</v>
      </c>
      <c r="O64" s="52" t="str">
        <f ca="1">INDEX('RB'!AA$3:AA$131,MATCH(J64,'RB'!$B$3:$B$131,0))</f>
        <v>RB8</v>
      </c>
      <c r="P64" s="53">
        <f t="shared" ca="1" si="8"/>
        <v>-8.9304854197284032E-3</v>
      </c>
      <c r="Q64" s="54">
        <f ca="1">IF(LeagueInfo!$H$7="Starter/Bench",INDEX('RB'!$T$3:$T$131,MATCH(J64,'RB'!$B$3:$B$131,0))*InflationPct,INDEX('RB'!$AB$3:$AB$131,MATCH(J64,'RB'!$B$3:$B$131,0))*InflationPct)</f>
        <v>-6.6668237697037576</v>
      </c>
      <c r="S64" s="25" t="s">
        <v>604</v>
      </c>
      <c r="T64" s="58" t="str">
        <f>INDEX(WR!$F$1:$F$167,MATCH(S64,WR!$B$1:$B$167,0))</f>
        <v>GB</v>
      </c>
      <c r="U64" s="76">
        <f>INDEX(WR!$E$1:$E$167,MATCH(S64,WR!$B$1:$B$167,0))</f>
        <v>10</v>
      </c>
      <c r="V64" s="181" t="str">
        <f>IF(INDEX(Auction!$H$13:$H$426,MATCH(S64,Auction!$A$13:$A$426,0))&gt;0,"x","")</f>
        <v/>
      </c>
      <c r="W64" s="26">
        <f ca="1">IF(V64="",INDEX(WR!Z$3:Z$167,MATCH(S64,WR!$B$3:$B$167,0)),0)</f>
        <v>8.2700000000000031</v>
      </c>
      <c r="X64" s="26" t="str">
        <f ca="1">INDEX(WR!AA$3:AA$131,MATCH(S64,WR!$B$3:$B$167,0))</f>
        <v>WR6</v>
      </c>
      <c r="Y64" s="39">
        <f t="shared" ca="1" si="9"/>
        <v>3.3879904546339078E-3</v>
      </c>
      <c r="Z64" s="31">
        <f ca="1">IF(LeagueInfo!$H$7="Starter/Bench",INDEX(WR!$T$3:$T$167,MATCH(S64,WR!$B$3:$B$167,0))*InflationPct,INDEX(WR!$AB$3:$AB$167,MATCH(S64,WR!$B$3:$B$167,0))*InflationPct)</f>
        <v>2.7287618201163113</v>
      </c>
      <c r="AB64" s="25">
        <f t="shared" ca="1" si="4"/>
        <v>60</v>
      </c>
      <c r="AC64" s="107" t="str">
        <f t="shared" ca="1" si="5"/>
        <v>Brandon Aiyuk</v>
      </c>
      <c r="AD64" s="107" t="str">
        <f t="shared" ca="1" si="6"/>
        <v>WR</v>
      </c>
      <c r="AE64" s="110">
        <f ca="1">LARGE(($E$5:$E$34,$E$37:$E$64,$N$5:$N$64,$W$5:$W$64),ROW(AE64)-4)</f>
        <v>50.739999999999988</v>
      </c>
    </row>
  </sheetData>
  <sortState xmlns:xlrd2="http://schemas.microsoft.com/office/spreadsheetml/2017/richdata2" ref="S5:Z64">
    <sortCondition descending="1" ref="W5:W64"/>
  </sortState>
  <mergeCells count="6">
    <mergeCell ref="A1:AE1"/>
    <mergeCell ref="A35:H35"/>
    <mergeCell ref="AB3:AE3"/>
    <mergeCell ref="J3:Q3"/>
    <mergeCell ref="S3:Z3"/>
    <mergeCell ref="A3:H3"/>
  </mergeCells>
  <phoneticPr fontId="20" type="noConversion"/>
  <conditionalFormatting sqref="J5:Q64">
    <cfRule type="expression" dxfId="29" priority="3">
      <formula>NOT($M5="")</formula>
    </cfRule>
    <cfRule type="expression" dxfId="28" priority="12">
      <formula>$N5&gt;=MAX(MAX(IF(($V$5:$V$64=""),$W$5:$W$64)),MAX(IF(($M$5:$M$64=""),$N$5:$N$64)),MAX(IF(($D$5:$D$34=""),$E$5:$E$34)),MAX(IF(($D$37:$D$64=""),$E$37:$E$64)))</formula>
    </cfRule>
    <cfRule type="expression" dxfId="27" priority="22">
      <formula>IF(INDEX(INDIRECT(""&amp;LEFT($J$3,2)&amp;"!$w$2:$w$489"),MATCH($J5,INDIRECT(""&amp;LEFT($J$3,2)&amp;"!$B$2:$B$489"),0))="Upside",TRUE,FALSE)</formula>
    </cfRule>
    <cfRule type="expression" dxfId="26" priority="23">
      <formula>IF(INDEX(INDIRECT(""&amp;LEFT($J$3,2)&amp;"!$w$2:$w$489"),MATCH($J5,INDIRECT(""&amp;LEFT($J$3,2)&amp;"!$B$2:$B$489"),0))="Target",TRUE,FALSE)</formula>
    </cfRule>
    <cfRule type="expression" dxfId="25" priority="38">
      <formula>IF(INDEX(INDIRECT(""&amp;LEFT($J$3,2)&amp;"!$w$2:$w$489"),MATCH($J5,INDIRECT(""&amp;LEFT($J$3,2)&amp;"!$B$2:$B$489"),0))="Sleeper",TRUE,FALSE)</formula>
    </cfRule>
    <cfRule type="expression" dxfId="24" priority="39">
      <formula>IF(INDEX(INDIRECT(""&amp;LEFT($J$3,2)&amp;"!$w$2:$w$489"),MATCH($J5,INDIRECT(""&amp;LEFT($J$3,2)&amp;"!$B$2:$B$489"),0))="Avoid",TRUE,FALSE)</formula>
    </cfRule>
  </conditionalFormatting>
  <conditionalFormatting sqref="S5:Z64">
    <cfRule type="expression" dxfId="23" priority="9">
      <formula>NOT($V5="")</formula>
    </cfRule>
    <cfRule type="expression" dxfId="22" priority="10">
      <formula>$W5&gt;=MAX(MAX(IF(($V$5:$V$64=""),$W$5:$W$64)),MAX(IF(($M$5:$M$64=""),$N$5:$N$64)),MAX(IF(($D$5:$D$34=""),$E$5:$E$34)),MAX(IF(($D$37:$D$64=""),$E$37:$E$64)))</formula>
    </cfRule>
    <cfRule type="expression" dxfId="21" priority="18">
      <formula>IF(INDEX(INDIRECT(""&amp;LEFT($S$3,2)&amp;"!$w$2:$w$489"),MATCH($S5,INDIRECT(""&amp;LEFT($S$3,2)&amp;"!$B$2:$B$489"),0))="Upside",TRUE,FALSE)</formula>
    </cfRule>
    <cfRule type="expression" dxfId="20" priority="21">
      <formula>IF(INDEX(INDIRECT(""&amp;LEFT($S$3,2)&amp;"!$w$2:$w$489"),MATCH($S5,INDIRECT(""&amp;LEFT($S$3,2)&amp;"!$B$2:$B$489"),0))="Target",TRUE,FALSE)</formula>
    </cfRule>
    <cfRule type="expression" dxfId="19" priority="42">
      <formula>IF(INDEX(INDIRECT(""&amp;LEFT($S$3,2)&amp;"!$w$2:$w$489"),MATCH($S5,INDIRECT(""&amp;LEFT($S$3,2)&amp;"!$B$2:$B$489"),0))="Sleeper",TRUE,FALSE)</formula>
    </cfRule>
    <cfRule type="expression" dxfId="18" priority="43">
      <formula>IF(INDEX(INDIRECT(""&amp;LEFT($S$3,2)&amp;"!$w$2:$w$489"),MATCH($S5,INDIRECT(""&amp;LEFT($S$3,2)&amp;"!$B$2:$B$489"),0))="Avoid",TRUE,FALSE)</formula>
    </cfRule>
  </conditionalFormatting>
  <conditionalFormatting sqref="A5:H34">
    <cfRule type="expression" dxfId="17" priority="5">
      <formula>NOT($D5="")</formula>
    </cfRule>
    <cfRule type="expression" dxfId="16" priority="7">
      <formula>$E5&gt;=MAX(MAX(IF(($V$5:$V$64=""),$W$5:$W$64)),MAX(IF(($M$5:$M$64=""),$N$5:$N$64)),MAX(IF(($D$5:$D$34=""),$E$5:$E$34)),MAX(IF(($D$37:$D$64=""),$E$37:$E$64)))</formula>
    </cfRule>
    <cfRule type="expression" dxfId="15" priority="13">
      <formula>IF(INDEX(INDIRECT(""&amp;LEFT($A$3,2)&amp;"!$w$2:$w$489"),MATCH($A5,INDIRECT(""&amp;LEFT($A$3,2)&amp;"!$B$2:$B$489"),0))="Upside",TRUE,FALSE)</formula>
    </cfRule>
    <cfRule type="expression" dxfId="14" priority="24">
      <formula>IF(INDEX(INDIRECT(""&amp;LEFT($A$3,2)&amp;"!$w$2:$w$489"),MATCH($A5,INDIRECT(""&amp;LEFT($A$3,2)&amp;"!$B$2:$B$489"),0))="Target",TRUE,FALSE)</formula>
    </cfRule>
    <cfRule type="expression" dxfId="13" priority="36">
      <formula>IF(INDEX(INDIRECT(""&amp;LEFT($A$3,2)&amp;"!$w$2:$w$489"),MATCH($A5,INDIRECT(""&amp;LEFT($A$3,2)&amp;"!$B$2:$B$489"),0))="Sleeper",TRUE,FALSE)</formula>
    </cfRule>
    <cfRule type="expression" dxfId="12" priority="37">
      <formula>IF(INDEX(INDIRECT(""&amp;LEFT($A$3,2)&amp;"!$w$2:$w$489"),MATCH($A5,INDIRECT(""&amp;LEFT($A$3,2)&amp;"!$B$2:$B$489"),0))="Avoid",TRUE,FALSE)</formula>
    </cfRule>
  </conditionalFormatting>
  <conditionalFormatting sqref="A37:H64">
    <cfRule type="expression" dxfId="11" priority="6">
      <formula>NOT($D37="")</formula>
    </cfRule>
    <cfRule type="expression" dxfId="10" priority="11">
      <formula>$E37&gt;=MAX(MAX(IF(($V$5:$V$64=""),$W$5:$W$64)),MAX(IF(($M$5:$M$64=""),$N$5:$N$64)),MAX(IF(($D$5:$D$34=""),$E$5:$E$34)),MAX(IF(($D$37:$D$64=""),$E$37:$E$64)))</formula>
    </cfRule>
    <cfRule type="expression" dxfId="9" priority="19">
      <formula>IF(INDEX(INDIRECT(""&amp;LEFT($A$35,2)&amp;"!$w$2:$w$489"),MATCH($A37,INDIRECT(""&amp;LEFT($A$35,2)&amp;"!$B$2:$B$489"),0))="Upside",TRUE,FALSE)</formula>
    </cfRule>
    <cfRule type="expression" dxfId="8" priority="20">
      <formula>IF(INDEX(INDIRECT(""&amp;LEFT($A$35,2)&amp;"!$w$2:$w$489"),MATCH($A37,INDIRECT(""&amp;LEFT($A$35,2)&amp;"!$B$2:$B$489"),0))="Target",TRUE,FALSE)</formula>
    </cfRule>
    <cfRule type="expression" dxfId="7" priority="40">
      <formula>IF(INDEX(INDIRECT(""&amp;LEFT($A$35,2)&amp;"!$w$2:$w$489"),MATCH($A37,INDIRECT(""&amp;LEFT($A$35,2)&amp;"!$B$2:$B$489"),0))="Sleeper",TRUE,FALSE)</formula>
    </cfRule>
    <cfRule type="expression" dxfId="6" priority="41">
      <formula>IF(INDEX(INDIRECT(""&amp;LEFT($A$35,2)&amp;"!$w$2:$w$489"),MATCH($A37,INDIRECT(""&amp;LEFT($A$35,2)&amp;"!$B$2:$B$489"),0))="Avoid",TRUE,FALSE)</formula>
    </cfRule>
  </conditionalFormatting>
  <conditionalFormatting sqref="AB5:AE64">
    <cfRule type="expression" dxfId="5" priority="14">
      <formula>IF(INDEX(INDIRECT(""&amp;$AD5&amp;"!$w$2:$w$489"),MATCH($AC5,INDIRECT(""&amp;$AD5&amp;"!$B$2:$B$489"),0))="Upside",TRUE,FALSE)</formula>
    </cfRule>
    <cfRule type="expression" dxfId="4" priority="15">
      <formula>IF(INDEX(INDIRECT(""&amp;$AD5&amp;"!$w$2:$w$489"),MATCH($AC5,INDIRECT(""&amp;$AD5&amp;"!$B$2:$B$489"),0))="Sleeper",TRUE,FALSE)</formula>
    </cfRule>
    <cfRule type="expression" dxfId="3" priority="16">
      <formula>IF(INDEX(INDIRECT(""&amp;$AD5&amp;"!$w$2:$w$489"),MATCH($AC5,INDIRECT(""&amp;$AD5&amp;"!$B$2:$B$489"),0))="Avoid",TRUE,FALSE)</formula>
    </cfRule>
    <cfRule type="expression" dxfId="2" priority="17">
      <formula>IF(INDEX(INDIRECT(""&amp;$AD5&amp;"!$w$2:$w$489"),MATCH($AC5,INDIRECT(""&amp;$AD5&amp;"!$B$2:$B$489"),0))="Target",TRUE,FALSE)</formula>
    </cfRule>
    <cfRule type="expression" dxfId="1" priority="25">
      <formula>IF($AD5="RB",IF(INDEX($M$5:$M$64,MATCH($AC5,$J$5:$J$64,0))&lt;&gt;"",TRUE),IF($AD5="WR",IF(INDEX($V$5:$V$64,MATCH($AC5,$S$5:$S$64,0))&lt;&gt;"",TRUE),IF($AD5="QB",IF(INDEX($D$5:$D$34,MATCH($AC5,$A$5:$A$64,0))&lt;&gt;"",TRUE),IF($AD5="TE",IF(INDEX($D$37:$D$64,MATCH($AC5,$A$37:$A$64,0))&lt;&gt;"",TRUE)))))</formula>
    </cfRule>
  </conditionalFormatting>
  <pageMargins left="0.25" right="0.25" top="0.75" bottom="0.75" header="0.3" footer="0.3"/>
  <pageSetup scale="52"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1756" r:id="rId4" name="Button 12">
              <controlPr defaultSize="0" print="0" autoFill="0" autoPict="0" macro="[0]!Refresh_CheatSheet">
                <anchor moveWithCells="1" sizeWithCells="1">
                  <from>
                    <xdr:col>12</xdr:col>
                    <xdr:colOff>298450</xdr:colOff>
                    <xdr:row>1</xdr:row>
                    <xdr:rowOff>76200</xdr:rowOff>
                  </from>
                  <to>
                    <xdr:col>18</xdr:col>
                    <xdr:colOff>38100</xdr:colOff>
                    <xdr:row>1</xdr:row>
                    <xdr:rowOff>336550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70" id="{8DADE75A-9A78-4311-9094-633E64BBB4F3}">
            <xm:f>IF(VLOOKUP(A5,QB!$B$3:$W$38,22,FALSE)="Upside",TRUE,FALSE)</xm:f>
            <x14:dxf>
              <fill>
                <patternFill>
                  <bgColor theme="9"/>
                </patternFill>
              </fill>
            </x14:dxf>
          </x14:cfRule>
          <xm:sqref>A5</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A426BB-3EC1-4540-A7EA-4AD9C1351EE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49</vt:i4>
      </vt:variant>
    </vt:vector>
  </HeadingPairs>
  <TitlesOfParts>
    <vt:vector size="74" baseType="lpstr">
      <vt:lpstr>Intro</vt:lpstr>
      <vt:lpstr>LeagueInfo</vt:lpstr>
      <vt:lpstr>DefaultAuctionValues</vt:lpstr>
      <vt:lpstr>QB</vt:lpstr>
      <vt:lpstr>QB_Raw</vt:lpstr>
      <vt:lpstr>RB</vt:lpstr>
      <vt:lpstr>RB_Raw</vt:lpstr>
      <vt:lpstr>WR_Raw</vt:lpstr>
      <vt:lpstr>FlexQBWRRBTE</vt:lpstr>
      <vt:lpstr>FlexWRRB</vt:lpstr>
      <vt:lpstr>FlexWRRBTE</vt:lpstr>
      <vt:lpstr>FlexWRTE</vt:lpstr>
      <vt:lpstr>WR</vt:lpstr>
      <vt:lpstr>TE</vt:lpstr>
      <vt:lpstr>TE_Raw</vt:lpstr>
      <vt:lpstr>K_Raw</vt:lpstr>
      <vt:lpstr>K</vt:lpstr>
      <vt:lpstr>DEF</vt:lpstr>
      <vt:lpstr>BYEs</vt:lpstr>
      <vt:lpstr>DEF_Raw</vt:lpstr>
      <vt:lpstr>DepthChart</vt:lpstr>
      <vt:lpstr>DepthChart_RAW2</vt:lpstr>
      <vt:lpstr>Auction</vt:lpstr>
      <vt:lpstr>Teams</vt:lpstr>
      <vt:lpstr>CheatSheet</vt:lpstr>
      <vt:lpstr>AllowNegative</vt:lpstr>
      <vt:lpstr>BenchPF</vt:lpstr>
      <vt:lpstr>FlexOn</vt:lpstr>
      <vt:lpstr>FlexType</vt:lpstr>
      <vt:lpstr>InflationPct</vt:lpstr>
      <vt:lpstr>InfVBD</vt:lpstr>
      <vt:lpstr>PassingINT</vt:lpstr>
      <vt:lpstr>PassingTD</vt:lpstr>
      <vt:lpstr>PassingYds</vt:lpstr>
      <vt:lpstr>QBBench</vt:lpstr>
      <vt:lpstr>QBCompletion</vt:lpstr>
      <vt:lpstr>QBCount</vt:lpstr>
      <vt:lpstr>QBFuml</vt:lpstr>
      <vt:lpstr>QBPassAtt</vt:lpstr>
      <vt:lpstr>QBRushAtt</vt:lpstr>
      <vt:lpstr>QBRushingTD</vt:lpstr>
      <vt:lpstr>QBRushingYd</vt:lpstr>
      <vt:lpstr>QBStarter</vt:lpstr>
      <vt:lpstr>RBBench</vt:lpstr>
      <vt:lpstr>RBCount</vt:lpstr>
      <vt:lpstr>RBFuml</vt:lpstr>
      <vt:lpstr>RBReceptions</vt:lpstr>
      <vt:lpstr>RBRecTD</vt:lpstr>
      <vt:lpstr>RBRecYd</vt:lpstr>
      <vt:lpstr>RBRushAtt</vt:lpstr>
      <vt:lpstr>RBRushingTD</vt:lpstr>
      <vt:lpstr>RBRushingYd</vt:lpstr>
      <vt:lpstr>RBStarters</vt:lpstr>
      <vt:lpstr>StarterPF</vt:lpstr>
      <vt:lpstr>TEBench</vt:lpstr>
      <vt:lpstr>TECount</vt:lpstr>
      <vt:lpstr>TEFuml</vt:lpstr>
      <vt:lpstr>TERec</vt:lpstr>
      <vt:lpstr>TERecTD</vt:lpstr>
      <vt:lpstr>TERecYd</vt:lpstr>
      <vt:lpstr>TERushAtt</vt:lpstr>
      <vt:lpstr>TERushTD</vt:lpstr>
      <vt:lpstr>TERushYd</vt:lpstr>
      <vt:lpstr>TEStarters</vt:lpstr>
      <vt:lpstr>WRBench</vt:lpstr>
      <vt:lpstr>WRCount</vt:lpstr>
      <vt:lpstr>WRFuml</vt:lpstr>
      <vt:lpstr>WRRec</vt:lpstr>
      <vt:lpstr>WRRecTD</vt:lpstr>
      <vt:lpstr>WRRecYd</vt:lpstr>
      <vt:lpstr>WRRushAtt</vt:lpstr>
      <vt:lpstr>WRRushingTD</vt:lpstr>
      <vt:lpstr>WRRushingYd</vt:lpstr>
      <vt:lpstr>WRStarters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Bob</dc:creator>
  <cp:keywords/>
  <dc:description/>
  <cp:lastModifiedBy>Bob Mello</cp:lastModifiedBy>
  <cp:revision/>
  <dcterms:created xsi:type="dcterms:W3CDTF">2013-07-04T17:20:53Z</dcterms:created>
  <dcterms:modified xsi:type="dcterms:W3CDTF">2024-08-30T14:29:47Z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